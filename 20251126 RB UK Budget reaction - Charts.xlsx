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2.xml" ContentType="application/vnd.openxmlformats-officedocument.spreadsheetml.work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4.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666D226B-0C9E-455B-B427-D0E686552A6A}" xr6:coauthVersionLast="47" xr6:coauthVersionMax="47" xr10:uidLastSave="{00000000-0000-0000-0000-000000000000}"/>
  <bookViews>
    <workbookView xWindow="-120" yWindow="-120" windowWidth="29040" windowHeight="15720" firstSheet="7" activeTab="9" xr2:uid="{3F721106-C820-4F61-B5AD-BC00DFECE3D1}"/>
  </bookViews>
  <sheets>
    <sheet name="CHARTS&gt;&gt;" sheetId="5" r:id="rId1"/>
    <sheet name="Chart - Policy decisions" sheetId="7" r:id="rId2"/>
    <sheet name="Chart - GDP forecasts" sheetId="50" r:id="rId3"/>
    <sheet name="Chart - Fiscal impulse" sheetId="4" r:id="rId4"/>
    <sheet name="Chart - Headroom" sheetId="54" r:id="rId5"/>
    <sheet name="Chart - Real current DEL index" sheetId="47" r:id="rId6"/>
    <sheet name="DATA&gt;&gt;" sheetId="6" r:id="rId7"/>
    <sheet name="Chart - Revenues &amp; Spending" sheetId="59" r:id="rId8"/>
    <sheet name="Chart - Inflation forecasts" sheetId="60" r:id="rId9"/>
    <sheet name="Chart Data" sheetId="1" r:id="rId10"/>
    <sheet name="DataQ" sheetId="46" r:id="rId11"/>
    <sheet name="GMW" sheetId="43" r:id="rId12"/>
    <sheet name="Aggregates (£bn)" sheetId="2" r:id="rId13"/>
    <sheet name="Aggregates (per cent of GDP)" sheetId="3" r:id="rId14"/>
    <sheet name="OBR_MAR25_ST1.1" sheetId="49" r:id="rId15"/>
    <sheet name="OBR_NOV25_ST1.1" sheetId="51" r:id="rId16"/>
    <sheet name="OBR_NOV25_C4.1" sheetId="55" r:id="rId17"/>
    <sheet name="OBR_NOV25_C5.1" sheetId="56" r:id="rId18"/>
    <sheet name="OBR_NOV25_C7.3" sheetId="53" r:id="rId19"/>
    <sheet name="OBR_NOV25_TA.5" sheetId="57" r:id="rId20"/>
    <sheet name="OBR_NOV25_TA.9" sheetId="58" r:id="rId21"/>
    <sheet name="PresentationalScorecardRounded" sheetId="52" r:id="rId22"/>
  </sheets>
  <externalReferences>
    <externalReference r:id="rId23"/>
    <externalReference r:id="rId24"/>
    <externalReference r:id="rId2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 i="1" l="1"/>
  <c r="V7" i="1"/>
  <c r="V8" i="1"/>
  <c r="V9" i="1"/>
  <c r="V10" i="1"/>
  <c r="V11" i="1"/>
  <c r="V12" i="1"/>
  <c r="V13" i="1"/>
  <c r="V14" i="1"/>
  <c r="V15" i="1"/>
  <c r="V16" i="1"/>
  <c r="V17" i="1"/>
  <c r="V18" i="1"/>
  <c r="V19" i="1"/>
  <c r="V20" i="1"/>
  <c r="V21" i="1"/>
  <c r="V22" i="1"/>
  <c r="V23" i="1"/>
  <c r="V24" i="1"/>
  <c r="V25" i="1"/>
  <c r="V26" i="1"/>
  <c r="V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 i="1"/>
  <c r="V27" i="1" l="1"/>
  <c r="V28" i="1" l="1"/>
  <c r="V29" i="1" l="1"/>
  <c r="V30" i="1" l="1"/>
  <c r="V31" i="1" l="1"/>
  <c r="V32" i="1" l="1"/>
  <c r="V33" i="1" l="1"/>
  <c r="V34" i="1" l="1"/>
  <c r="V35" i="1" l="1"/>
  <c r="V36" i="1" l="1"/>
  <c r="V37" i="1" l="1"/>
  <c r="V38" i="1" l="1"/>
  <c r="V39" i="1" l="1"/>
  <c r="V40" i="1" l="1"/>
  <c r="V41" i="1" l="1"/>
  <c r="V42" i="1" l="1"/>
  <c r="V43" i="1" l="1"/>
  <c r="V44" i="1" l="1"/>
  <c r="V45" i="1" l="1"/>
  <c r="V46" i="1" l="1"/>
  <c r="V47" i="1" l="1"/>
  <c r="V48" i="1" l="1"/>
  <c r="V49" i="1" l="1"/>
  <c r="V50" i="1" l="1"/>
  <c r="V51" i="1" l="1"/>
  <c r="V52" i="1" l="1"/>
  <c r="T52" i="1" l="1"/>
  <c r="T43" i="1"/>
  <c r="T44" i="1"/>
  <c r="T45" i="1"/>
  <c r="T46" i="1"/>
  <c r="T47" i="1"/>
  <c r="T48" i="1"/>
  <c r="T49" i="1"/>
  <c r="T50" i="1"/>
  <c r="T51"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5" i="1"/>
  <c r="Q6" i="1"/>
  <c r="R6" i="1"/>
  <c r="Q7" i="1"/>
  <c r="R7" i="1"/>
  <c r="Q8" i="1"/>
  <c r="R8" i="1"/>
  <c r="Q9" i="1"/>
  <c r="R9" i="1"/>
  <c r="Q10" i="1"/>
  <c r="R10" i="1"/>
  <c r="Q11" i="1"/>
  <c r="R11" i="1"/>
  <c r="Q12" i="1"/>
  <c r="R12" i="1"/>
  <c r="Q13" i="1"/>
  <c r="R13" i="1"/>
  <c r="Q14" i="1"/>
  <c r="R14" i="1"/>
  <c r="Q15" i="1"/>
  <c r="R15" i="1"/>
  <c r="Q16" i="1"/>
  <c r="R16" i="1"/>
  <c r="Q17" i="1"/>
  <c r="R17" i="1"/>
  <c r="Q18" i="1"/>
  <c r="R18" i="1"/>
  <c r="Q19" i="1"/>
  <c r="R19" i="1"/>
  <c r="Q20" i="1"/>
  <c r="R20" i="1"/>
  <c r="Q21" i="1"/>
  <c r="R21" i="1"/>
  <c r="Q22" i="1"/>
  <c r="R22" i="1"/>
  <c r="Q23" i="1"/>
  <c r="R23" i="1"/>
  <c r="Q24" i="1"/>
  <c r="R24" i="1"/>
  <c r="Q25" i="1"/>
  <c r="R25" i="1"/>
  <c r="Q26" i="1"/>
  <c r="R26" i="1"/>
  <c r="Q27" i="1"/>
  <c r="R27" i="1"/>
  <c r="Q28" i="1"/>
  <c r="R28" i="1"/>
  <c r="Q29" i="1"/>
  <c r="R29" i="1"/>
  <c r="Q30" i="1"/>
  <c r="R30" i="1"/>
  <c r="Q31" i="1"/>
  <c r="R31" i="1"/>
  <c r="Q32" i="1"/>
  <c r="R32" i="1"/>
  <c r="Q33" i="1"/>
  <c r="R33" i="1"/>
  <c r="Q34" i="1"/>
  <c r="R34" i="1"/>
  <c r="Q35" i="1"/>
  <c r="R35" i="1"/>
  <c r="Q36" i="1"/>
  <c r="R36" i="1"/>
  <c r="Q37" i="1"/>
  <c r="R37" i="1"/>
  <c r="Q38" i="1"/>
  <c r="R38" i="1"/>
  <c r="Q39" i="1"/>
  <c r="R39" i="1"/>
  <c r="Q40" i="1"/>
  <c r="R40" i="1"/>
  <c r="Q41" i="1"/>
  <c r="R41" i="1"/>
  <c r="Q42" i="1"/>
  <c r="R42" i="1"/>
  <c r="Q43" i="1"/>
  <c r="R43" i="1"/>
  <c r="Q44" i="1"/>
  <c r="R44" i="1"/>
  <c r="Q45" i="1"/>
  <c r="R45" i="1"/>
  <c r="Q46" i="1"/>
  <c r="R46" i="1"/>
  <c r="Q47" i="1"/>
  <c r="R47" i="1"/>
  <c r="Q48" i="1"/>
  <c r="R48" i="1"/>
  <c r="Q49" i="1"/>
  <c r="R49" i="1"/>
  <c r="Q50" i="1"/>
  <c r="R50" i="1"/>
  <c r="Q51" i="1"/>
  <c r="R51" i="1"/>
  <c r="Q52" i="1"/>
  <c r="R52" i="1"/>
  <c r="Q53" i="1"/>
  <c r="R53" i="1"/>
  <c r="Q54" i="1"/>
  <c r="R54" i="1"/>
  <c r="Q55" i="1"/>
  <c r="R55" i="1"/>
  <c r="Q56" i="1"/>
  <c r="R56" i="1"/>
  <c r="Q57" i="1"/>
  <c r="R57" i="1"/>
  <c r="Q58" i="1"/>
  <c r="R58" i="1"/>
  <c r="Q59" i="1"/>
  <c r="R59" i="1"/>
  <c r="Q60" i="1"/>
  <c r="R60" i="1"/>
  <c r="Q61" i="1"/>
  <c r="R61" i="1"/>
  <c r="Q62" i="1"/>
  <c r="R62" i="1"/>
  <c r="Q63" i="1"/>
  <c r="R63" i="1"/>
  <c r="Q64" i="1"/>
  <c r="R64" i="1"/>
  <c r="Q65" i="1"/>
  <c r="R65" i="1"/>
  <c r="Q66" i="1"/>
  <c r="R66" i="1"/>
  <c r="Q67" i="1"/>
  <c r="R67" i="1"/>
  <c r="Q68" i="1"/>
  <c r="R68" i="1"/>
  <c r="Q69" i="1"/>
  <c r="R69" i="1"/>
  <c r="Q70" i="1"/>
  <c r="R70" i="1"/>
  <c r="Q71" i="1"/>
  <c r="R71" i="1"/>
  <c r="Q72" i="1"/>
  <c r="R72" i="1"/>
  <c r="Q73" i="1"/>
  <c r="R73" i="1"/>
  <c r="Q74" i="1"/>
  <c r="R74" i="1"/>
  <c r="Q75" i="1"/>
  <c r="R75" i="1"/>
  <c r="Q76" i="1"/>
  <c r="R76" i="1"/>
  <c r="Q77" i="1"/>
  <c r="R77" i="1"/>
  <c r="Q78" i="1"/>
  <c r="R78" i="1"/>
  <c r="Q79" i="1"/>
  <c r="R79" i="1"/>
  <c r="Q80" i="1"/>
  <c r="R80" i="1"/>
  <c r="R5" i="1"/>
  <c r="Q5" i="1"/>
  <c r="P5" i="1"/>
  <c r="R81" i="1" a="1"/>
  <c r="R81" i="1" s="1"/>
  <c r="Q81" i="1" a="1"/>
  <c r="Q81" i="1" s="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N10" i="1"/>
  <c r="N11" i="1"/>
  <c r="N9" i="1"/>
  <c r="N7" i="1"/>
  <c r="N6" i="1"/>
  <c r="N5" i="1"/>
  <c r="I35" i="1"/>
  <c r="J35" i="1" s="1"/>
  <c r="K35" i="1"/>
  <c r="C9" i="1"/>
  <c r="D9" i="1"/>
  <c r="E9" i="1"/>
  <c r="F9" i="1"/>
  <c r="G9" i="1"/>
  <c r="B9" i="1"/>
  <c r="C6" i="1"/>
  <c r="D6" i="1"/>
  <c r="E6" i="1"/>
  <c r="F6" i="1"/>
  <c r="G6" i="1"/>
  <c r="B6" i="1"/>
  <c r="C5" i="1"/>
  <c r="D5" i="1"/>
  <c r="E5" i="1"/>
  <c r="F5" i="1"/>
  <c r="G5" i="1"/>
  <c r="B5" i="1"/>
  <c r="FC6" i="1"/>
  <c r="FC7" i="1"/>
  <c r="FC8" i="1"/>
  <c r="FC9" i="1"/>
  <c r="FC10" i="1"/>
  <c r="FC11" i="1"/>
  <c r="FC5" i="1"/>
  <c r="R86" i="1" l="1"/>
  <c r="R85" i="1"/>
  <c r="R84" i="1"/>
  <c r="R83" i="1"/>
  <c r="R87" i="1"/>
  <c r="R82" i="1"/>
  <c r="Q86" i="1"/>
  <c r="Q83" i="1"/>
  <c r="Q82" i="1"/>
  <c r="Q87" i="1"/>
  <c r="Q85" i="1"/>
  <c r="Q84" i="1"/>
  <c r="FG6" i="1"/>
  <c r="FG7" i="1"/>
  <c r="FG8" i="1"/>
  <c r="FG9" i="1"/>
  <c r="FG10" i="1"/>
  <c r="FG11" i="1"/>
  <c r="FD6" i="1"/>
  <c r="FD7" i="1"/>
  <c r="FD8" i="1"/>
  <c r="FD9" i="1"/>
  <c r="FD10" i="1"/>
  <c r="FD5" i="1"/>
  <c r="H1" i="46" l="1"/>
  <c r="G1" i="46"/>
  <c r="F1" i="46"/>
  <c r="E1" i="46"/>
  <c r="H358" i="46" a="1"/>
  <c r="H358" i="46" s="1"/>
  <c r="G358" i="46" a="1"/>
  <c r="G358" i="46" s="1"/>
  <c r="F358" i="46" a="1"/>
  <c r="F358" i="46" s="1"/>
  <c r="H357" i="46" a="1"/>
  <c r="H357" i="46" s="1"/>
  <c r="G357" i="46" a="1"/>
  <c r="G357" i="46" s="1"/>
  <c r="F357" i="46" a="1"/>
  <c r="F357" i="46" s="1"/>
  <c r="H356" i="46" a="1"/>
  <c r="H356" i="46" s="1"/>
  <c r="G356" i="46" a="1"/>
  <c r="G356" i="46" s="1"/>
  <c r="F356" i="46" a="1"/>
  <c r="F356" i="46" s="1"/>
  <c r="H355" i="46" a="1"/>
  <c r="H355" i="46" s="1"/>
  <c r="G355" i="46" a="1"/>
  <c r="G355" i="46" s="1"/>
  <c r="F355" i="46"/>
  <c r="F355" i="46" a="1"/>
  <c r="H354" i="46" a="1"/>
  <c r="H354" i="46" s="1"/>
  <c r="G354" i="46" a="1"/>
  <c r="G354" i="46" s="1"/>
  <c r="F354" i="46" a="1"/>
  <c r="F354" i="46" s="1"/>
  <c r="H353" i="46" a="1"/>
  <c r="H353" i="46" s="1"/>
  <c r="G353" i="46" a="1"/>
  <c r="G353" i="46" s="1"/>
  <c r="F353" i="46" a="1"/>
  <c r="F353" i="46" s="1"/>
  <c r="H352" i="46" a="1"/>
  <c r="H352" i="46" s="1"/>
  <c r="G352" i="46" a="1"/>
  <c r="G352" i="46" s="1"/>
  <c r="F352" i="46" a="1"/>
  <c r="F352" i="46" s="1"/>
  <c r="H351" i="46" a="1"/>
  <c r="H351" i="46" s="1"/>
  <c r="G351" i="46" a="1"/>
  <c r="G351" i="46" s="1"/>
  <c r="F351" i="46" a="1"/>
  <c r="F351" i="46" s="1"/>
  <c r="H350" i="46" a="1"/>
  <c r="H350" i="46" s="1"/>
  <c r="G350" i="46" a="1"/>
  <c r="G350" i="46" s="1"/>
  <c r="F350" i="46" a="1"/>
  <c r="F350" i="46" s="1"/>
  <c r="H349" i="46" a="1"/>
  <c r="H349" i="46" s="1"/>
  <c r="G349" i="46" a="1"/>
  <c r="G349" i="46" s="1"/>
  <c r="F349" i="46" a="1"/>
  <c r="F349" i="46" s="1"/>
  <c r="H348" i="46" a="1"/>
  <c r="H348" i="46" s="1"/>
  <c r="G348" i="46" a="1"/>
  <c r="G348" i="46" s="1"/>
  <c r="F348" i="46" a="1"/>
  <c r="F348" i="46" s="1"/>
  <c r="H347" i="46" a="1"/>
  <c r="H347" i="46" s="1"/>
  <c r="G347" i="46" a="1"/>
  <c r="G347" i="46" s="1"/>
  <c r="F347" i="46" a="1"/>
  <c r="F347" i="46" s="1"/>
  <c r="H346" i="46" a="1"/>
  <c r="H346" i="46" s="1"/>
  <c r="G346" i="46" a="1"/>
  <c r="G346" i="46" s="1"/>
  <c r="F346" i="46" a="1"/>
  <c r="F346" i="46" s="1"/>
  <c r="H345" i="46" a="1"/>
  <c r="H345" i="46" s="1"/>
  <c r="G345" i="46" a="1"/>
  <c r="G345" i="46" s="1"/>
  <c r="F345" i="46" a="1"/>
  <c r="F345" i="46" s="1"/>
  <c r="H344" i="46" a="1"/>
  <c r="H344" i="46" s="1"/>
  <c r="G344" i="46" a="1"/>
  <c r="G344" i="46" s="1"/>
  <c r="F344" i="46" a="1"/>
  <c r="F344" i="46" s="1"/>
  <c r="H343" i="46" a="1"/>
  <c r="H343" i="46" s="1"/>
  <c r="G343" i="46" a="1"/>
  <c r="G343" i="46" s="1"/>
  <c r="F343" i="46" a="1"/>
  <c r="F343" i="46" s="1"/>
  <c r="H342" i="46" a="1"/>
  <c r="H342" i="46" s="1"/>
  <c r="G342" i="46" a="1"/>
  <c r="G342" i="46" s="1"/>
  <c r="F342" i="46" a="1"/>
  <c r="F342" i="46" s="1"/>
  <c r="H341" i="46" a="1"/>
  <c r="H341" i="46" s="1"/>
  <c r="G341" i="46" a="1"/>
  <c r="G341" i="46" s="1"/>
  <c r="F341" i="46" a="1"/>
  <c r="F341" i="46" s="1"/>
  <c r="H340" i="46" a="1"/>
  <c r="H340" i="46" s="1"/>
  <c r="G340" i="46" a="1"/>
  <c r="G340" i="46" s="1"/>
  <c r="F340" i="46" a="1"/>
  <c r="F340" i="46" s="1"/>
  <c r="H339" i="46" a="1"/>
  <c r="H339" i="46" s="1"/>
  <c r="G339" i="46" a="1"/>
  <c r="G339" i="46" s="1"/>
  <c r="F339" i="46" a="1"/>
  <c r="F339" i="46" s="1"/>
  <c r="H338" i="46" a="1"/>
  <c r="H338" i="46" s="1"/>
  <c r="G338" i="46" a="1"/>
  <c r="G338" i="46" s="1"/>
  <c r="F338" i="46" a="1"/>
  <c r="F338" i="46" s="1"/>
  <c r="H337" i="46" a="1"/>
  <c r="H337" i="46" s="1"/>
  <c r="G337" i="46" a="1"/>
  <c r="G337" i="46" s="1"/>
  <c r="F337" i="46" a="1"/>
  <c r="F337" i="46" s="1"/>
  <c r="H336" i="46" a="1"/>
  <c r="H336" i="46" s="1"/>
  <c r="G336" i="46" a="1"/>
  <c r="G336" i="46" s="1"/>
  <c r="F336" i="46" a="1"/>
  <c r="F336" i="46" s="1"/>
  <c r="H335" i="46" a="1"/>
  <c r="H335" i="46" s="1"/>
  <c r="G335" i="46" a="1"/>
  <c r="G335" i="46" s="1"/>
  <c r="F335" i="46" a="1"/>
  <c r="F335" i="46" s="1"/>
  <c r="H334" i="46" a="1"/>
  <c r="H334" i="46" s="1"/>
  <c r="G334" i="46" a="1"/>
  <c r="G334" i="46" s="1"/>
  <c r="F334" i="46" a="1"/>
  <c r="F334" i="46" s="1"/>
  <c r="H333" i="46"/>
  <c r="H333" i="46" a="1"/>
  <c r="G333" i="46" a="1"/>
  <c r="G333" i="46" s="1"/>
  <c r="F333" i="46" a="1"/>
  <c r="F333" i="46" s="1"/>
  <c r="H332" i="46" a="1"/>
  <c r="H332" i="46" s="1"/>
  <c r="G332" i="46" a="1"/>
  <c r="G332" i="46" s="1"/>
  <c r="F332" i="46" a="1"/>
  <c r="F332" i="46" s="1"/>
  <c r="H331" i="46" a="1"/>
  <c r="H331" i="46" s="1"/>
  <c r="G331" i="46" a="1"/>
  <c r="G331" i="46" s="1"/>
  <c r="F331" i="46"/>
  <c r="F331" i="46" a="1"/>
  <c r="H330" i="46" a="1"/>
  <c r="H330" i="46" s="1"/>
  <c r="G330" i="46" a="1"/>
  <c r="G330" i="46" s="1"/>
  <c r="F330" i="46" a="1"/>
  <c r="F330" i="46" s="1"/>
  <c r="H329" i="46" a="1"/>
  <c r="H329" i="46" s="1"/>
  <c r="G329" i="46" a="1"/>
  <c r="G329" i="46" s="1"/>
  <c r="F329" i="46" a="1"/>
  <c r="F329" i="46" s="1"/>
  <c r="H328" i="46" a="1"/>
  <c r="H328" i="46" s="1"/>
  <c r="G328" i="46"/>
  <c r="G328" i="46" a="1"/>
  <c r="F328" i="46" a="1"/>
  <c r="F328" i="46" s="1"/>
  <c r="H327" i="46" a="1"/>
  <c r="H327" i="46" s="1"/>
  <c r="G327" i="46" a="1"/>
  <c r="G327" i="46" s="1"/>
  <c r="F327" i="46" a="1"/>
  <c r="F327" i="46" s="1"/>
  <c r="H326" i="46" a="1"/>
  <c r="H326" i="46" s="1"/>
  <c r="G326" i="46" a="1"/>
  <c r="G326" i="46" s="1"/>
  <c r="F326" i="46" a="1"/>
  <c r="F326" i="46" s="1"/>
  <c r="H325" i="46" a="1"/>
  <c r="H325" i="46" s="1"/>
  <c r="G325" i="46" a="1"/>
  <c r="G325" i="46" s="1"/>
  <c r="F325" i="46" a="1"/>
  <c r="F325" i="46" s="1"/>
  <c r="H324" i="46" a="1"/>
  <c r="H324" i="46" s="1"/>
  <c r="G324" i="46" a="1"/>
  <c r="G324" i="46" s="1"/>
  <c r="F324" i="46" a="1"/>
  <c r="F324" i="46" s="1"/>
  <c r="H323" i="46" a="1"/>
  <c r="H323" i="46" s="1"/>
  <c r="G323" i="46" a="1"/>
  <c r="G323" i="46" s="1"/>
  <c r="F323" i="46" a="1"/>
  <c r="F323" i="46" s="1"/>
  <c r="H322" i="46" a="1"/>
  <c r="H322" i="46" s="1"/>
  <c r="G322" i="46" a="1"/>
  <c r="G322" i="46" s="1"/>
  <c r="F322" i="46" a="1"/>
  <c r="F322" i="46" s="1"/>
  <c r="H321" i="46" a="1"/>
  <c r="H321" i="46" s="1"/>
  <c r="G321" i="46" a="1"/>
  <c r="G321" i="46" s="1"/>
  <c r="F321" i="46" a="1"/>
  <c r="F321" i="46" s="1"/>
  <c r="H320" i="46" a="1"/>
  <c r="H320" i="46" s="1"/>
  <c r="G320" i="46" a="1"/>
  <c r="G320" i="46" s="1"/>
  <c r="F320" i="46" a="1"/>
  <c r="F320" i="46" s="1"/>
  <c r="H319" i="46" a="1"/>
  <c r="H319" i="46" s="1"/>
  <c r="G319" i="46" a="1"/>
  <c r="G319" i="46" s="1"/>
  <c r="F319" i="46"/>
  <c r="F319" i="46" a="1"/>
  <c r="H318" i="46" a="1"/>
  <c r="H318" i="46" s="1"/>
  <c r="G318" i="46" a="1"/>
  <c r="G318" i="46" s="1"/>
  <c r="F318" i="46" a="1"/>
  <c r="F318" i="46" s="1"/>
  <c r="H317" i="46" a="1"/>
  <c r="H317" i="46" s="1"/>
  <c r="G317" i="46" a="1"/>
  <c r="G317" i="46" s="1"/>
  <c r="F317" i="46" a="1"/>
  <c r="F317" i="46" s="1"/>
  <c r="H316" i="46" a="1"/>
  <c r="H316" i="46" s="1"/>
  <c r="G316" i="46" a="1"/>
  <c r="G316" i="46" s="1"/>
  <c r="F316" i="46" a="1"/>
  <c r="F316" i="46" s="1"/>
  <c r="H315" i="46" a="1"/>
  <c r="H315" i="46" s="1"/>
  <c r="G315" i="46" a="1"/>
  <c r="G315" i="46" s="1"/>
  <c r="F315" i="46" a="1"/>
  <c r="F315" i="46" s="1"/>
  <c r="H314" i="46" a="1"/>
  <c r="H314" i="46" s="1"/>
  <c r="G314" i="46" a="1"/>
  <c r="G314" i="46" s="1"/>
  <c r="F314" i="46" a="1"/>
  <c r="F314" i="46" s="1"/>
  <c r="H313" i="46" a="1"/>
  <c r="H313" i="46" s="1"/>
  <c r="G313" i="46" a="1"/>
  <c r="G313" i="46" s="1"/>
  <c r="F313" i="46" a="1"/>
  <c r="F313" i="46" s="1"/>
  <c r="H312" i="46" a="1"/>
  <c r="H312" i="46" s="1"/>
  <c r="G312" i="46" a="1"/>
  <c r="G312" i="46" s="1"/>
  <c r="F312" i="46" a="1"/>
  <c r="F312" i="46" s="1"/>
  <c r="H311" i="46" a="1"/>
  <c r="H311" i="46" s="1"/>
  <c r="G311" i="46" a="1"/>
  <c r="G311" i="46" s="1"/>
  <c r="F311" i="46" a="1"/>
  <c r="F311" i="46" s="1"/>
  <c r="H310" i="46" a="1"/>
  <c r="H310" i="46" s="1"/>
  <c r="G310" i="46" a="1"/>
  <c r="G310" i="46" s="1"/>
  <c r="F310" i="46" a="1"/>
  <c r="F310" i="46" s="1"/>
  <c r="H309" i="46"/>
  <c r="H309" i="46" a="1"/>
  <c r="G309" i="46" a="1"/>
  <c r="G309" i="46" s="1"/>
  <c r="F309" i="46" a="1"/>
  <c r="F309" i="46" s="1"/>
  <c r="H308" i="46" a="1"/>
  <c r="H308" i="46" s="1"/>
  <c r="G308" i="46" a="1"/>
  <c r="G308" i="46" s="1"/>
  <c r="F308" i="46" a="1"/>
  <c r="F308" i="46" s="1"/>
  <c r="H307" i="46" a="1"/>
  <c r="H307" i="46" s="1"/>
  <c r="G307" i="46" a="1"/>
  <c r="G307" i="46" s="1"/>
  <c r="F307" i="46"/>
  <c r="F307" i="46" a="1"/>
  <c r="H306" i="46" a="1"/>
  <c r="H306" i="46" s="1"/>
  <c r="G306" i="46" a="1"/>
  <c r="G306" i="46" s="1"/>
  <c r="F306" i="46" a="1"/>
  <c r="F306" i="46" s="1"/>
  <c r="H305" i="46" a="1"/>
  <c r="H305" i="46" s="1"/>
  <c r="G305" i="46" a="1"/>
  <c r="G305" i="46" s="1"/>
  <c r="F305" i="46" a="1"/>
  <c r="F305" i="46" s="1"/>
  <c r="H304" i="46" a="1"/>
  <c r="H304" i="46" s="1"/>
  <c r="G304" i="46" a="1"/>
  <c r="G304" i="46" s="1"/>
  <c r="F304" i="46" a="1"/>
  <c r="F304" i="46" s="1"/>
  <c r="H303" i="46" a="1"/>
  <c r="H303" i="46" s="1"/>
  <c r="G303" i="46" a="1"/>
  <c r="G303" i="46" s="1"/>
  <c r="F303" i="46" a="1"/>
  <c r="F303" i="46" s="1"/>
  <c r="H302" i="46" a="1"/>
  <c r="H302" i="46" s="1"/>
  <c r="G302" i="46" a="1"/>
  <c r="G302" i="46" s="1"/>
  <c r="F302" i="46" a="1"/>
  <c r="F302" i="46" s="1"/>
  <c r="H301" i="46" a="1"/>
  <c r="H301" i="46" s="1"/>
  <c r="G301" i="46" a="1"/>
  <c r="G301" i="46" s="1"/>
  <c r="F301" i="46" a="1"/>
  <c r="F301" i="46" s="1"/>
  <c r="H300" i="46" a="1"/>
  <c r="H300" i="46" s="1"/>
  <c r="G300" i="46" a="1"/>
  <c r="G300" i="46" s="1"/>
  <c r="F300" i="46" a="1"/>
  <c r="F300" i="46" s="1"/>
  <c r="H299" i="46" a="1"/>
  <c r="H299" i="46" s="1"/>
  <c r="G299" i="46" a="1"/>
  <c r="G299" i="46" s="1"/>
  <c r="F299" i="46" a="1"/>
  <c r="F299" i="46" s="1"/>
  <c r="H298" i="46" a="1"/>
  <c r="H298" i="46" s="1"/>
  <c r="G298" i="46" a="1"/>
  <c r="G298" i="46" s="1"/>
  <c r="F298" i="46" a="1"/>
  <c r="F298" i="46" s="1"/>
  <c r="H297" i="46" a="1"/>
  <c r="H297" i="46" s="1"/>
  <c r="G297" i="46" a="1"/>
  <c r="G297" i="46" s="1"/>
  <c r="F297" i="46" a="1"/>
  <c r="F297" i="46" s="1"/>
  <c r="H296" i="46" a="1"/>
  <c r="H296" i="46" s="1"/>
  <c r="G296" i="46" a="1"/>
  <c r="G296" i="46" s="1"/>
  <c r="F296" i="46" a="1"/>
  <c r="F296" i="46" s="1"/>
  <c r="H295" i="46" a="1"/>
  <c r="H295" i="46" s="1"/>
  <c r="G295" i="46" a="1"/>
  <c r="G295" i="46" s="1"/>
  <c r="F295" i="46" a="1"/>
  <c r="F295" i="46" s="1"/>
  <c r="H294" i="46" a="1"/>
  <c r="H294" i="46" s="1"/>
  <c r="G294" i="46" a="1"/>
  <c r="G294" i="46" s="1"/>
  <c r="F294" i="46" a="1"/>
  <c r="F294" i="46" s="1"/>
  <c r="H293" i="46" a="1"/>
  <c r="H293" i="46" s="1"/>
  <c r="G293" i="46" a="1"/>
  <c r="G293" i="46" s="1"/>
  <c r="F293" i="46" a="1"/>
  <c r="F293" i="46" s="1"/>
  <c r="H292" i="46" a="1"/>
  <c r="H292" i="46" s="1"/>
  <c r="G292" i="46" a="1"/>
  <c r="G292" i="46" s="1"/>
  <c r="F292" i="46" a="1"/>
  <c r="F292" i="46" s="1"/>
  <c r="H291" i="46" a="1"/>
  <c r="H291" i="46" s="1"/>
  <c r="G291" i="46" a="1"/>
  <c r="G291" i="46" s="1"/>
  <c r="F291" i="46"/>
  <c r="F291" i="46" a="1"/>
  <c r="H290" i="46" a="1"/>
  <c r="H290" i="46" s="1"/>
  <c r="G290" i="46" a="1"/>
  <c r="G290" i="46" s="1"/>
  <c r="F290" i="46" a="1"/>
  <c r="F290" i="46" s="1"/>
  <c r="H289" i="46" a="1"/>
  <c r="H289" i="46" s="1"/>
  <c r="G289" i="46" a="1"/>
  <c r="G289" i="46" s="1"/>
  <c r="F289" i="46" a="1"/>
  <c r="F289" i="46" s="1"/>
  <c r="H288" i="46" a="1"/>
  <c r="H288" i="46" s="1"/>
  <c r="G288" i="46"/>
  <c r="G288" i="46" a="1"/>
  <c r="F288" i="46" a="1"/>
  <c r="F288" i="46" s="1"/>
  <c r="H287" i="46" a="1"/>
  <c r="H287" i="46" s="1"/>
  <c r="G287" i="46" a="1"/>
  <c r="G287" i="46" s="1"/>
  <c r="F287" i="46" a="1"/>
  <c r="F287" i="46" s="1"/>
  <c r="H286" i="46" a="1"/>
  <c r="H286" i="46" s="1"/>
  <c r="G286" i="46" a="1"/>
  <c r="G286" i="46" s="1"/>
  <c r="F286" i="46" a="1"/>
  <c r="F286" i="46" s="1"/>
  <c r="H285" i="46" a="1"/>
  <c r="H285" i="46" s="1"/>
  <c r="G285" i="46" a="1"/>
  <c r="G285" i="46" s="1"/>
  <c r="F285" i="46" a="1"/>
  <c r="F285" i="46" s="1"/>
  <c r="H284" i="46" a="1"/>
  <c r="H284" i="46" s="1"/>
  <c r="G284" i="46" a="1"/>
  <c r="G284" i="46" s="1"/>
  <c r="F284" i="46" a="1"/>
  <c r="F284" i="46" s="1"/>
  <c r="H283" i="46" a="1"/>
  <c r="H283" i="46" s="1"/>
  <c r="G283" i="46" a="1"/>
  <c r="G283" i="46" s="1"/>
  <c r="F283" i="46" a="1"/>
  <c r="F283" i="46" s="1"/>
  <c r="H282" i="46" a="1"/>
  <c r="H282" i="46" s="1"/>
  <c r="G282" i="46" a="1"/>
  <c r="G282" i="46" s="1"/>
  <c r="F282" i="46" a="1"/>
  <c r="F282" i="46" s="1"/>
  <c r="H281" i="46" a="1"/>
  <c r="H281" i="46" s="1"/>
  <c r="G281" i="46" a="1"/>
  <c r="G281" i="46" s="1"/>
  <c r="F281" i="46" a="1"/>
  <c r="F281" i="46" s="1"/>
  <c r="H280" i="46" a="1"/>
  <c r="H280" i="46" s="1"/>
  <c r="G280" i="46" a="1"/>
  <c r="G280" i="46" s="1"/>
  <c r="F280" i="46" a="1"/>
  <c r="F280" i="46" s="1"/>
  <c r="H279" i="46" a="1"/>
  <c r="H279" i="46" s="1"/>
  <c r="G279" i="46" a="1"/>
  <c r="G279" i="46" s="1"/>
  <c r="F279" i="46" a="1"/>
  <c r="F279" i="46" s="1"/>
  <c r="H278" i="46" a="1"/>
  <c r="H278" i="46" s="1"/>
  <c r="G278" i="46" a="1"/>
  <c r="G278" i="46" s="1"/>
  <c r="F278" i="46" a="1"/>
  <c r="F278" i="46" s="1"/>
  <c r="H277" i="46" a="1"/>
  <c r="H277" i="46" s="1"/>
  <c r="G277" i="46" a="1"/>
  <c r="G277" i="46" s="1"/>
  <c r="F277" i="46" a="1"/>
  <c r="F277" i="46" s="1"/>
  <c r="H276" i="46" a="1"/>
  <c r="H276" i="46" s="1"/>
  <c r="G276" i="46" a="1"/>
  <c r="G276" i="46" s="1"/>
  <c r="F276" i="46" a="1"/>
  <c r="F276" i="46" s="1"/>
  <c r="H275" i="46" a="1"/>
  <c r="H275" i="46" s="1"/>
  <c r="G275" i="46" a="1"/>
  <c r="G275" i="46" s="1"/>
  <c r="F275" i="46"/>
  <c r="F275" i="46" a="1"/>
  <c r="H274" i="46" a="1"/>
  <c r="H274" i="46" s="1"/>
  <c r="G274" i="46" a="1"/>
  <c r="G274" i="46" s="1"/>
  <c r="F274" i="46" a="1"/>
  <c r="F274" i="46" s="1"/>
  <c r="H273" i="46" a="1"/>
  <c r="H273" i="46" s="1"/>
  <c r="G273" i="46" a="1"/>
  <c r="G273" i="46" s="1"/>
  <c r="F273" i="46" a="1"/>
  <c r="F273" i="46" s="1"/>
  <c r="H272" i="46" a="1"/>
  <c r="H272" i="46" s="1"/>
  <c r="G272" i="46" a="1"/>
  <c r="G272" i="46" s="1"/>
  <c r="F272" i="46" a="1"/>
  <c r="F272" i="46" s="1"/>
  <c r="H271" i="46" a="1"/>
  <c r="H271" i="46" s="1"/>
  <c r="G271" i="46" a="1"/>
  <c r="G271" i="46" s="1"/>
  <c r="F271" i="46" a="1"/>
  <c r="F271" i="46" s="1"/>
  <c r="H270" i="46" a="1"/>
  <c r="H270" i="46" s="1"/>
  <c r="G270" i="46" a="1"/>
  <c r="G270" i="46" s="1"/>
  <c r="F270" i="46" a="1"/>
  <c r="F270" i="46" s="1"/>
  <c r="H269" i="46"/>
  <c r="H269" i="46" a="1"/>
  <c r="G269" i="46" a="1"/>
  <c r="G269" i="46" s="1"/>
  <c r="F269" i="46" a="1"/>
  <c r="F269" i="46" s="1"/>
  <c r="H268" i="46" a="1"/>
  <c r="H268" i="46" s="1"/>
  <c r="G268" i="46" a="1"/>
  <c r="G268" i="46" s="1"/>
  <c r="F268" i="46" a="1"/>
  <c r="F268" i="46" s="1"/>
  <c r="H267" i="46" a="1"/>
  <c r="H267" i="46" s="1"/>
  <c r="G267" i="46" a="1"/>
  <c r="G267" i="46" s="1"/>
  <c r="F267" i="46"/>
  <c r="F267" i="46" a="1"/>
  <c r="H266" i="46" a="1"/>
  <c r="H266" i="46" s="1"/>
  <c r="G266" i="46" a="1"/>
  <c r="G266" i="46" s="1"/>
  <c r="F266" i="46" a="1"/>
  <c r="F266" i="46" s="1"/>
  <c r="H265" i="46" a="1"/>
  <c r="H265" i="46" s="1"/>
  <c r="G265" i="46" a="1"/>
  <c r="G265" i="46" s="1"/>
  <c r="F265" i="46" a="1"/>
  <c r="F265" i="46" s="1"/>
  <c r="H264" i="46" a="1"/>
  <c r="H264" i="46" s="1"/>
  <c r="G264" i="46" a="1"/>
  <c r="G264" i="46" s="1"/>
  <c r="F264" i="46" a="1"/>
  <c r="F264" i="46" s="1"/>
  <c r="H263" i="46" a="1"/>
  <c r="H263" i="46" s="1"/>
  <c r="G263" i="46" a="1"/>
  <c r="G263" i="46" s="1"/>
  <c r="F263" i="46" a="1"/>
  <c r="F263" i="46" s="1"/>
  <c r="H262" i="46" a="1"/>
  <c r="H262" i="46" s="1"/>
  <c r="G262" i="46" a="1"/>
  <c r="G262" i="46" s="1"/>
  <c r="F262" i="46" a="1"/>
  <c r="F262" i="46" s="1"/>
  <c r="H261" i="46" a="1"/>
  <c r="H261" i="46" s="1"/>
  <c r="G261" i="46" a="1"/>
  <c r="G261" i="46" s="1"/>
  <c r="F261" i="46" a="1"/>
  <c r="F261" i="46" s="1"/>
  <c r="H260" i="46" a="1"/>
  <c r="H260" i="46" s="1"/>
  <c r="G260" i="46" a="1"/>
  <c r="G260" i="46" s="1"/>
  <c r="F260" i="46" a="1"/>
  <c r="F260" i="46" s="1"/>
  <c r="H259" i="46" a="1"/>
  <c r="H259" i="46" s="1"/>
  <c r="G259" i="46" a="1"/>
  <c r="G259" i="46" s="1"/>
  <c r="F259" i="46" a="1"/>
  <c r="F259" i="46" s="1"/>
  <c r="H258" i="46" a="1"/>
  <c r="H258" i="46" s="1"/>
  <c r="G258" i="46" a="1"/>
  <c r="G258" i="46" s="1"/>
  <c r="F258" i="46" a="1"/>
  <c r="F258" i="46" s="1"/>
  <c r="H257" i="46" a="1"/>
  <c r="H257" i="46" s="1"/>
  <c r="G257" i="46" a="1"/>
  <c r="G257" i="46" s="1"/>
  <c r="F257" i="46" a="1"/>
  <c r="F257" i="46" s="1"/>
  <c r="H256" i="46" a="1"/>
  <c r="H256" i="46" s="1"/>
  <c r="G256" i="46" a="1"/>
  <c r="G256" i="46" s="1"/>
  <c r="F256" i="46" a="1"/>
  <c r="F256" i="46" s="1"/>
  <c r="H255" i="46" a="1"/>
  <c r="H255" i="46" s="1"/>
  <c r="G255" i="46" a="1"/>
  <c r="G255" i="46" s="1"/>
  <c r="F255" i="46" a="1"/>
  <c r="F255" i="46" s="1"/>
  <c r="H254" i="46" a="1"/>
  <c r="H254" i="46" s="1"/>
  <c r="G254" i="46" a="1"/>
  <c r="G254" i="46" s="1"/>
  <c r="F254" i="46" a="1"/>
  <c r="F254" i="46" s="1"/>
  <c r="H253" i="46" a="1"/>
  <c r="H253" i="46" s="1"/>
  <c r="G253" i="46" a="1"/>
  <c r="G253" i="46" s="1"/>
  <c r="F253" i="46" a="1"/>
  <c r="F253" i="46" s="1"/>
  <c r="H252" i="46" a="1"/>
  <c r="H252" i="46" s="1"/>
  <c r="G252" i="46" a="1"/>
  <c r="G252" i="46" s="1"/>
  <c r="F252" i="46" a="1"/>
  <c r="F252" i="46" s="1"/>
  <c r="H251" i="46" a="1"/>
  <c r="H251" i="46" s="1"/>
  <c r="G251" i="46" a="1"/>
  <c r="G251" i="46" s="1"/>
  <c r="F251" i="46" a="1"/>
  <c r="F251" i="46" s="1"/>
  <c r="H250" i="46" a="1"/>
  <c r="H250" i="46" s="1"/>
  <c r="G250" i="46" a="1"/>
  <c r="G250" i="46" s="1"/>
  <c r="F250" i="46" a="1"/>
  <c r="F250" i="46" s="1"/>
  <c r="H249" i="46"/>
  <c r="H249" i="46" a="1"/>
  <c r="G249" i="46" a="1"/>
  <c r="G249" i="46" s="1"/>
  <c r="F249" i="46" a="1"/>
  <c r="F249" i="46" s="1"/>
  <c r="H248" i="46" a="1"/>
  <c r="H248" i="46" s="1"/>
  <c r="G248" i="46" a="1"/>
  <c r="G248" i="46" s="1"/>
  <c r="F248" i="46" a="1"/>
  <c r="F248" i="46" s="1"/>
  <c r="H247" i="46" a="1"/>
  <c r="H247" i="46" s="1"/>
  <c r="G247" i="46" a="1"/>
  <c r="G247" i="46" s="1"/>
  <c r="F247" i="46" a="1"/>
  <c r="F247" i="46" s="1"/>
  <c r="H246" i="46" a="1"/>
  <c r="H246" i="46" s="1"/>
  <c r="G246" i="46" a="1"/>
  <c r="G246" i="46" s="1"/>
  <c r="F246" i="46" a="1"/>
  <c r="F246" i="46" s="1"/>
  <c r="H245" i="46" a="1"/>
  <c r="H245" i="46" s="1"/>
  <c r="G245" i="46" a="1"/>
  <c r="G245" i="46" s="1"/>
  <c r="F245" i="46" a="1"/>
  <c r="F245" i="46" s="1"/>
  <c r="H244" i="46"/>
  <c r="H244" i="46" a="1"/>
  <c r="G244" i="46" a="1"/>
  <c r="G244" i="46" s="1"/>
  <c r="F244" i="46" a="1"/>
  <c r="F244" i="46" s="1"/>
  <c r="H243" i="46" a="1"/>
  <c r="H243" i="46" s="1"/>
  <c r="G243" i="46" a="1"/>
  <c r="G243" i="46" s="1"/>
  <c r="F243" i="46" a="1"/>
  <c r="F243" i="46" s="1"/>
  <c r="H242" i="46" a="1"/>
  <c r="H242" i="46" s="1"/>
  <c r="G242" i="46" a="1"/>
  <c r="G242" i="46" s="1"/>
  <c r="F242" i="46" a="1"/>
  <c r="F242" i="46" s="1"/>
  <c r="H241" i="46" a="1"/>
  <c r="H241" i="46" s="1"/>
  <c r="G241" i="46" a="1"/>
  <c r="G241" i="46" s="1"/>
  <c r="F241" i="46" a="1"/>
  <c r="F241" i="46" s="1"/>
  <c r="H240" i="46" a="1"/>
  <c r="H240" i="46" s="1"/>
  <c r="G240" i="46" a="1"/>
  <c r="G240" i="46" s="1"/>
  <c r="F240" i="46" a="1"/>
  <c r="F240" i="46" s="1"/>
  <c r="H239" i="46" a="1"/>
  <c r="H239" i="46" s="1"/>
  <c r="G239" i="46" a="1"/>
  <c r="G239" i="46" s="1"/>
  <c r="F239" i="46" a="1"/>
  <c r="F239" i="46" s="1"/>
  <c r="H238" i="46" a="1"/>
  <c r="H238" i="46" s="1"/>
  <c r="G238" i="46" a="1"/>
  <c r="G238" i="46" s="1"/>
  <c r="F238" i="46" a="1"/>
  <c r="F238" i="46" s="1"/>
  <c r="H237" i="46" a="1"/>
  <c r="H237" i="46" s="1"/>
  <c r="G237" i="46" a="1"/>
  <c r="G237" i="46" s="1"/>
  <c r="F237" i="46" a="1"/>
  <c r="F237" i="46" s="1"/>
  <c r="H236" i="46" a="1"/>
  <c r="H236" i="46" s="1"/>
  <c r="G236" i="46" a="1"/>
  <c r="G236" i="46" s="1"/>
  <c r="F236" i="46" a="1"/>
  <c r="F236" i="46" s="1"/>
  <c r="H235" i="46" a="1"/>
  <c r="H235" i="46" s="1"/>
  <c r="G235" i="46" a="1"/>
  <c r="G235" i="46" s="1"/>
  <c r="F235" i="46" a="1"/>
  <c r="F235" i="46" s="1"/>
  <c r="H234" i="46" a="1"/>
  <c r="H234" i="46" s="1"/>
  <c r="G234" i="46" a="1"/>
  <c r="G234" i="46" s="1"/>
  <c r="F234" i="46" a="1"/>
  <c r="F234" i="46" s="1"/>
  <c r="H233" i="46" a="1"/>
  <c r="H233" i="46" s="1"/>
  <c r="G233" i="46" a="1"/>
  <c r="G233" i="46" s="1"/>
  <c r="F233" i="46" a="1"/>
  <c r="F233" i="46" s="1"/>
  <c r="H232" i="46" a="1"/>
  <c r="H232" i="46" s="1"/>
  <c r="G232" i="46"/>
  <c r="G232" i="46" a="1"/>
  <c r="F232" i="46" a="1"/>
  <c r="F232" i="46" s="1"/>
  <c r="H231" i="46" a="1"/>
  <c r="H231" i="46" s="1"/>
  <c r="G231" i="46" a="1"/>
  <c r="G231" i="46" s="1"/>
  <c r="F231" i="46" a="1"/>
  <c r="F231" i="46" s="1"/>
  <c r="H230" i="46" a="1"/>
  <c r="H230" i="46" s="1"/>
  <c r="G230" i="46" a="1"/>
  <c r="G230" i="46" s="1"/>
  <c r="F230" i="46" a="1"/>
  <c r="F230" i="46" s="1"/>
  <c r="H229" i="46" a="1"/>
  <c r="H229" i="46" s="1"/>
  <c r="G229" i="46" a="1"/>
  <c r="G229" i="46" s="1"/>
  <c r="F229" i="46" a="1"/>
  <c r="F229" i="46" s="1"/>
  <c r="H228" i="46" a="1"/>
  <c r="H228" i="46" s="1"/>
  <c r="G228" i="46"/>
  <c r="G228" i="46" a="1"/>
  <c r="F228" i="46" a="1"/>
  <c r="F228" i="46" s="1"/>
  <c r="H227" i="46" a="1"/>
  <c r="H227" i="46" s="1"/>
  <c r="G227" i="46" a="1"/>
  <c r="G227" i="46" s="1"/>
  <c r="F227" i="46" a="1"/>
  <c r="F227" i="46" s="1"/>
  <c r="H226" i="46" a="1"/>
  <c r="H226" i="46" s="1"/>
  <c r="G226" i="46" a="1"/>
  <c r="G226" i="46" s="1"/>
  <c r="F226" i="46" a="1"/>
  <c r="F226" i="46" s="1"/>
  <c r="H225" i="46" a="1"/>
  <c r="H225" i="46" s="1"/>
  <c r="G225" i="46" a="1"/>
  <c r="G225" i="46" s="1"/>
  <c r="F225" i="46" a="1"/>
  <c r="F225" i="46" s="1"/>
  <c r="H224" i="46" a="1"/>
  <c r="H224" i="46" s="1"/>
  <c r="G224" i="46" a="1"/>
  <c r="G224" i="46" s="1"/>
  <c r="F224" i="46" a="1"/>
  <c r="F224" i="46" s="1"/>
  <c r="H223" i="46" a="1"/>
  <c r="H223" i="46" s="1"/>
  <c r="G223" i="46" a="1"/>
  <c r="G223" i="46" s="1"/>
  <c r="F223" i="46" a="1"/>
  <c r="F223" i="46" s="1"/>
  <c r="H222" i="46" a="1"/>
  <c r="H222" i="46" s="1"/>
  <c r="G222" i="46" a="1"/>
  <c r="G222" i="46" s="1"/>
  <c r="F222" i="46" a="1"/>
  <c r="F222" i="46" s="1"/>
  <c r="H221" i="46" a="1"/>
  <c r="H221" i="46" s="1"/>
  <c r="G221" i="46" a="1"/>
  <c r="G221" i="46" s="1"/>
  <c r="F221" i="46" a="1"/>
  <c r="F221" i="46" s="1"/>
  <c r="H220" i="46" a="1"/>
  <c r="H220" i="46" s="1"/>
  <c r="G220" i="46" a="1"/>
  <c r="G220" i="46" s="1"/>
  <c r="F220" i="46" a="1"/>
  <c r="F220" i="46" s="1"/>
  <c r="H219" i="46" a="1"/>
  <c r="H219" i="46" s="1"/>
  <c r="G219" i="46" a="1"/>
  <c r="G219" i="46" s="1"/>
  <c r="F219" i="46" a="1"/>
  <c r="F219" i="46" s="1"/>
  <c r="H218" i="46"/>
  <c r="H218" i="46" a="1"/>
  <c r="G218" i="46" a="1"/>
  <c r="G218" i="46" s="1"/>
  <c r="F218" i="46" a="1"/>
  <c r="F218" i="46" s="1"/>
  <c r="H217" i="46" a="1"/>
  <c r="H217" i="46" s="1"/>
  <c r="G217" i="46" a="1"/>
  <c r="G217" i="46" s="1"/>
  <c r="F217" i="46" a="1"/>
  <c r="F217" i="46" s="1"/>
  <c r="H216" i="46" a="1"/>
  <c r="H216" i="46" s="1"/>
  <c r="G216" i="46" a="1"/>
  <c r="G216" i="46" s="1"/>
  <c r="F216" i="46" a="1"/>
  <c r="F216" i="46" s="1"/>
  <c r="H215" i="46" a="1"/>
  <c r="H215" i="46" s="1"/>
  <c r="G215" i="46" a="1"/>
  <c r="G215" i="46" s="1"/>
  <c r="F215" i="46" a="1"/>
  <c r="F215" i="46" s="1"/>
  <c r="H214" i="46" a="1"/>
  <c r="H214" i="46" s="1"/>
  <c r="G214" i="46" a="1"/>
  <c r="G214" i="46" s="1"/>
  <c r="F214" i="46" a="1"/>
  <c r="F214" i="46" s="1"/>
  <c r="H213" i="46" a="1"/>
  <c r="H213" i="46" s="1"/>
  <c r="G213" i="46" a="1"/>
  <c r="G213" i="46" s="1"/>
  <c r="F213" i="46" a="1"/>
  <c r="F213" i="46" s="1"/>
  <c r="H212" i="46" a="1"/>
  <c r="H212" i="46" s="1"/>
  <c r="G212" i="46" a="1"/>
  <c r="G212" i="46" s="1"/>
  <c r="F212" i="46" a="1"/>
  <c r="F212" i="46" s="1"/>
  <c r="H211" i="46" a="1"/>
  <c r="H211" i="46" s="1"/>
  <c r="G211" i="46" a="1"/>
  <c r="G211" i="46" s="1"/>
  <c r="F211" i="46" a="1"/>
  <c r="F211" i="46" s="1"/>
  <c r="FG5" i="1" s="1"/>
  <c r="FE5" i="1" s="1"/>
  <c r="H210" i="46" a="1"/>
  <c r="H210" i="46" s="1"/>
  <c r="G210" i="46" a="1"/>
  <c r="G210" i="46" s="1"/>
  <c r="F210" i="46" a="1"/>
  <c r="F210" i="46" s="1"/>
  <c r="H209" i="46" a="1"/>
  <c r="H209" i="46" s="1"/>
  <c r="G209" i="46" a="1"/>
  <c r="G209" i="46" s="1"/>
  <c r="F209" i="46" a="1"/>
  <c r="F209" i="46" s="1"/>
  <c r="H208" i="46" a="1"/>
  <c r="H208" i="46" s="1"/>
  <c r="G208" i="46" a="1"/>
  <c r="G208" i="46" s="1"/>
  <c r="F208" i="46"/>
  <c r="F208" i="46" a="1"/>
  <c r="H207" i="46" a="1"/>
  <c r="H207" i="46" s="1"/>
  <c r="G207" i="46" a="1"/>
  <c r="G207" i="46" s="1"/>
  <c r="F207" i="46" a="1"/>
  <c r="F207" i="46" s="1"/>
  <c r="H206" i="46" a="1"/>
  <c r="H206" i="46" s="1"/>
  <c r="G206" i="46" a="1"/>
  <c r="G206" i="46" s="1"/>
  <c r="F206" i="46" a="1"/>
  <c r="F206" i="46" s="1"/>
  <c r="H205" i="46" a="1"/>
  <c r="H205" i="46" s="1"/>
  <c r="G205" i="46" a="1"/>
  <c r="G205" i="46" s="1"/>
  <c r="F205" i="46" a="1"/>
  <c r="F205" i="46" s="1"/>
  <c r="H204" i="46" a="1"/>
  <c r="H204" i="46" s="1"/>
  <c r="G204" i="46" a="1"/>
  <c r="G204" i="46" s="1"/>
  <c r="F204" i="46" a="1"/>
  <c r="F204" i="46" s="1"/>
  <c r="H203" i="46" a="1"/>
  <c r="H203" i="46" s="1"/>
  <c r="G203" i="46" a="1"/>
  <c r="G203" i="46" s="1"/>
  <c r="F203" i="46" a="1"/>
  <c r="F203" i="46" s="1"/>
  <c r="H202" i="46" a="1"/>
  <c r="H202" i="46" s="1"/>
  <c r="G202" i="46" a="1"/>
  <c r="G202" i="46" s="1"/>
  <c r="F202" i="46" a="1"/>
  <c r="F202" i="46" s="1"/>
  <c r="H201" i="46" a="1"/>
  <c r="H201" i="46" s="1"/>
  <c r="G201" i="46"/>
  <c r="G201" i="46" a="1"/>
  <c r="F201" i="46" a="1"/>
  <c r="F201" i="46" s="1"/>
  <c r="H200" i="46" a="1"/>
  <c r="H200" i="46" s="1"/>
  <c r="G200" i="46" a="1"/>
  <c r="G200" i="46" s="1"/>
  <c r="F200" i="46" a="1"/>
  <c r="F200" i="46" s="1"/>
  <c r="H199" i="46" a="1"/>
  <c r="H199" i="46" s="1"/>
  <c r="G199" i="46"/>
  <c r="G199" i="46" a="1"/>
  <c r="F199" i="46" a="1"/>
  <c r="F199" i="46" s="1"/>
  <c r="H198" i="46" a="1"/>
  <c r="H198" i="46" s="1"/>
  <c r="G198" i="46" a="1"/>
  <c r="G198" i="46" s="1"/>
  <c r="F198" i="46" a="1"/>
  <c r="F198" i="46" s="1"/>
  <c r="H197" i="46" a="1"/>
  <c r="H197" i="46" s="1"/>
  <c r="G197" i="46" a="1"/>
  <c r="G197" i="46" s="1"/>
  <c r="F197" i="46" a="1"/>
  <c r="F197" i="46" s="1"/>
  <c r="H196" i="46"/>
  <c r="H196" i="46" a="1"/>
  <c r="G196" i="46" a="1"/>
  <c r="G196" i="46" s="1"/>
  <c r="F196" i="46" a="1"/>
  <c r="F196" i="46" s="1"/>
  <c r="H195" i="46" a="1"/>
  <c r="H195" i="46" s="1"/>
  <c r="G195" i="46" a="1"/>
  <c r="G195" i="46" s="1"/>
  <c r="F195" i="46" a="1"/>
  <c r="F195" i="46" s="1"/>
  <c r="H194" i="46" a="1"/>
  <c r="H194" i="46" s="1"/>
  <c r="G194" i="46" a="1"/>
  <c r="G194" i="46" s="1"/>
  <c r="F194" i="46" a="1"/>
  <c r="F194" i="46" s="1"/>
  <c r="H193" i="46" a="1"/>
  <c r="H193" i="46" s="1"/>
  <c r="G193" i="46" a="1"/>
  <c r="G193" i="46" s="1"/>
  <c r="F193" i="46" a="1"/>
  <c r="F193" i="46" s="1"/>
  <c r="H192" i="46" a="1"/>
  <c r="H192" i="46" s="1"/>
  <c r="G192" i="46" a="1"/>
  <c r="G192" i="46" s="1"/>
  <c r="F192" i="46" a="1"/>
  <c r="F192" i="46" s="1"/>
  <c r="H191" i="46" a="1"/>
  <c r="H191" i="46" s="1"/>
  <c r="G191" i="46" a="1"/>
  <c r="G191" i="46" s="1"/>
  <c r="F191" i="46" a="1"/>
  <c r="F191" i="46" s="1"/>
  <c r="H190" i="46"/>
  <c r="H190" i="46" a="1"/>
  <c r="G190" i="46" a="1"/>
  <c r="G190" i="46" s="1"/>
  <c r="F190" i="46" a="1"/>
  <c r="F190" i="46" s="1"/>
  <c r="H189" i="46" a="1"/>
  <c r="H189" i="46" s="1"/>
  <c r="G189" i="46" a="1"/>
  <c r="G189" i="46" s="1"/>
  <c r="F189" i="46" a="1"/>
  <c r="F189" i="46" s="1"/>
  <c r="H188" i="46" a="1"/>
  <c r="H188" i="46" s="1"/>
  <c r="G188" i="46" a="1"/>
  <c r="G188" i="46" s="1"/>
  <c r="F188" i="46" a="1"/>
  <c r="F188" i="46" s="1"/>
  <c r="H187" i="46" a="1"/>
  <c r="H187" i="46" s="1"/>
  <c r="G187" i="46" a="1"/>
  <c r="G187" i="46" s="1"/>
  <c r="F187" i="46" a="1"/>
  <c r="F187" i="46" s="1"/>
  <c r="H186" i="46" a="1"/>
  <c r="H186" i="46" s="1"/>
  <c r="G186" i="46" a="1"/>
  <c r="G186" i="46" s="1"/>
  <c r="F186" i="46"/>
  <c r="F186" i="46" a="1"/>
  <c r="H185" i="46" a="1"/>
  <c r="H185" i="46" s="1"/>
  <c r="G185" i="46" a="1"/>
  <c r="G185" i="46" s="1"/>
  <c r="F185" i="46" a="1"/>
  <c r="F185" i="46" s="1"/>
  <c r="H184" i="46" a="1"/>
  <c r="H184" i="46" s="1"/>
  <c r="G184" i="46" a="1"/>
  <c r="G184" i="46" s="1"/>
  <c r="F184" i="46" a="1"/>
  <c r="F184" i="46" s="1"/>
  <c r="H183" i="46" a="1"/>
  <c r="H183" i="46" s="1"/>
  <c r="G183" i="46" a="1"/>
  <c r="G183" i="46" s="1"/>
  <c r="F183" i="46" a="1"/>
  <c r="F183" i="46" s="1"/>
  <c r="H182" i="46" a="1"/>
  <c r="H182" i="46" s="1"/>
  <c r="G182" i="46" a="1"/>
  <c r="G182" i="46" s="1"/>
  <c r="F182" i="46"/>
  <c r="F182" i="46" a="1"/>
  <c r="H181" i="46" a="1"/>
  <c r="H181" i="46" s="1"/>
  <c r="G181" i="46" a="1"/>
  <c r="G181" i="46" s="1"/>
  <c r="F181" i="46" a="1"/>
  <c r="F181" i="46" s="1"/>
  <c r="H180" i="46" a="1"/>
  <c r="H180" i="46" s="1"/>
  <c r="G180" i="46" a="1"/>
  <c r="G180" i="46" s="1"/>
  <c r="F180" i="46"/>
  <c r="F180" i="46" a="1"/>
  <c r="H179" i="46" a="1"/>
  <c r="H179" i="46" s="1"/>
  <c r="G179" i="46" a="1"/>
  <c r="G179" i="46" s="1"/>
  <c r="F179" i="46" a="1"/>
  <c r="F179" i="46" s="1"/>
  <c r="H178" i="46" a="1"/>
  <c r="H178" i="46" s="1"/>
  <c r="G178" i="46" a="1"/>
  <c r="G178" i="46" s="1"/>
  <c r="F178" i="46"/>
  <c r="F178" i="46" a="1"/>
  <c r="H177" i="46" a="1"/>
  <c r="H177" i="46" s="1"/>
  <c r="G177" i="46" a="1"/>
  <c r="G177" i="46" s="1"/>
  <c r="F177" i="46" a="1"/>
  <c r="F177" i="46" s="1"/>
  <c r="H176" i="46" a="1"/>
  <c r="H176" i="46" s="1"/>
  <c r="G176" i="46" a="1"/>
  <c r="G176" i="46" s="1"/>
  <c r="F176" i="46"/>
  <c r="F176" i="46" a="1"/>
  <c r="H175" i="46" a="1"/>
  <c r="H175" i="46" s="1"/>
  <c r="G175" i="46" a="1"/>
  <c r="G175" i="46" s="1"/>
  <c r="F175" i="46" a="1"/>
  <c r="F175" i="46" s="1"/>
  <c r="H174" i="46" a="1"/>
  <c r="H174" i="46" s="1"/>
  <c r="G174" i="46" a="1"/>
  <c r="G174" i="46" s="1"/>
  <c r="F174" i="46" a="1"/>
  <c r="F174" i="46" s="1"/>
  <c r="H173" i="46" a="1"/>
  <c r="H173" i="46" s="1"/>
  <c r="G173" i="46" a="1"/>
  <c r="G173" i="46" s="1"/>
  <c r="F173" i="46" a="1"/>
  <c r="F173" i="46" s="1"/>
  <c r="H172" i="46" a="1"/>
  <c r="H172" i="46" s="1"/>
  <c r="G172" i="46"/>
  <c r="G172" i="46" a="1"/>
  <c r="F172" i="46"/>
  <c r="F172" i="46" a="1"/>
  <c r="H171" i="46" a="1"/>
  <c r="H171" i="46" s="1"/>
  <c r="G171" i="46"/>
  <c r="G171" i="46" a="1"/>
  <c r="F171" i="46" a="1"/>
  <c r="F171" i="46" s="1"/>
  <c r="H170" i="46" a="1"/>
  <c r="H170" i="46" s="1"/>
  <c r="G170" i="46" a="1"/>
  <c r="G170" i="46" s="1"/>
  <c r="F170" i="46" a="1"/>
  <c r="F170" i="46" s="1"/>
  <c r="H169" i="46" a="1"/>
  <c r="H169" i="46" s="1"/>
  <c r="G169" i="46"/>
  <c r="G169" i="46" a="1"/>
  <c r="F169" i="46" a="1"/>
  <c r="F169" i="46" s="1"/>
  <c r="H168" i="46" a="1"/>
  <c r="H168" i="46" s="1"/>
  <c r="G168" i="46" a="1"/>
  <c r="G168" i="46" s="1"/>
  <c r="F168" i="46"/>
  <c r="F168" i="46" a="1"/>
  <c r="H167" i="46" a="1"/>
  <c r="H167" i="46" s="1"/>
  <c r="G167" i="46"/>
  <c r="G167" i="46" a="1"/>
  <c r="F167" i="46" a="1"/>
  <c r="F167" i="46" s="1"/>
  <c r="H166" i="46" a="1"/>
  <c r="H166" i="46" s="1"/>
  <c r="G166" i="46" a="1"/>
  <c r="G166" i="46" s="1"/>
  <c r="F166" i="46" a="1"/>
  <c r="F166" i="46" s="1"/>
  <c r="H165" i="46" a="1"/>
  <c r="H165" i="46" s="1"/>
  <c r="G165" i="46" a="1"/>
  <c r="G165" i="46" s="1"/>
  <c r="F165" i="46" a="1"/>
  <c r="F165" i="46" s="1"/>
  <c r="H164" i="46" a="1"/>
  <c r="H164" i="46" s="1"/>
  <c r="G164" i="46" a="1"/>
  <c r="G164" i="46" s="1"/>
  <c r="F164" i="46" a="1"/>
  <c r="F164" i="46" s="1"/>
  <c r="H163" i="46" a="1"/>
  <c r="H163" i="46" s="1"/>
  <c r="G163" i="46"/>
  <c r="G163" i="46" a="1"/>
  <c r="F163" i="46" a="1"/>
  <c r="F163" i="46" s="1"/>
  <c r="H162" i="46" a="1"/>
  <c r="H162" i="46" s="1"/>
  <c r="G162" i="46" a="1"/>
  <c r="G162" i="46" s="1"/>
  <c r="F162" i="46" a="1"/>
  <c r="F162" i="46" s="1"/>
  <c r="H161" i="46" a="1"/>
  <c r="H161" i="46" s="1"/>
  <c r="G161" i="46" a="1"/>
  <c r="G161" i="46" s="1"/>
  <c r="F161" i="46" a="1"/>
  <c r="F161" i="46" s="1"/>
  <c r="H160" i="46"/>
  <c r="H160" i="46" a="1"/>
  <c r="G160" i="46"/>
  <c r="G160" i="46" a="1"/>
  <c r="F160" i="46" a="1"/>
  <c r="F160" i="46" s="1"/>
  <c r="H159" i="46" a="1"/>
  <c r="H159" i="46" s="1"/>
  <c r="G159" i="46" a="1"/>
  <c r="G159" i="46" s="1"/>
  <c r="F159" i="46" a="1"/>
  <c r="F159" i="46" s="1"/>
  <c r="H158" i="46" a="1"/>
  <c r="H158" i="46" s="1"/>
  <c r="G158" i="46" a="1"/>
  <c r="G158" i="46" s="1"/>
  <c r="F158" i="46" a="1"/>
  <c r="F158" i="46" s="1"/>
  <c r="H157" i="46" a="1"/>
  <c r="H157" i="46" s="1"/>
  <c r="G157" i="46" a="1"/>
  <c r="G157" i="46" s="1"/>
  <c r="F157" i="46" a="1"/>
  <c r="F157" i="46" s="1"/>
  <c r="H156" i="46" a="1"/>
  <c r="H156" i="46" s="1"/>
  <c r="G156" i="46" a="1"/>
  <c r="G156" i="46" s="1"/>
  <c r="F156" i="46" a="1"/>
  <c r="F156" i="46" s="1"/>
  <c r="H155" i="46" a="1"/>
  <c r="H155" i="46" s="1"/>
  <c r="G155" i="46" a="1"/>
  <c r="G155" i="46" s="1"/>
  <c r="F155" i="46" a="1"/>
  <c r="F155" i="46" s="1"/>
  <c r="H154" i="46" a="1"/>
  <c r="H154" i="46" s="1"/>
  <c r="G154" i="46" a="1"/>
  <c r="G154" i="46" s="1"/>
  <c r="F154" i="46"/>
  <c r="F154" i="46" a="1"/>
  <c r="H153" i="46" a="1"/>
  <c r="H153" i="46" s="1"/>
  <c r="G153" i="46" a="1"/>
  <c r="G153" i="46" s="1"/>
  <c r="F153" i="46" a="1"/>
  <c r="F153" i="46" s="1"/>
  <c r="H152" i="46" a="1"/>
  <c r="H152" i="46" s="1"/>
  <c r="G152" i="46" a="1"/>
  <c r="G152" i="46" s="1"/>
  <c r="F152" i="46" a="1"/>
  <c r="F152" i="46" s="1"/>
  <c r="H151" i="46" a="1"/>
  <c r="H151" i="46" s="1"/>
  <c r="G151" i="46" a="1"/>
  <c r="G151" i="46" s="1"/>
  <c r="F151" i="46" a="1"/>
  <c r="F151" i="46" s="1"/>
  <c r="H150" i="46" a="1"/>
  <c r="H150" i="46" s="1"/>
  <c r="G150" i="46" a="1"/>
  <c r="G150" i="46" s="1"/>
  <c r="F150" i="46"/>
  <c r="F150" i="46" a="1"/>
  <c r="H149" i="46" a="1"/>
  <c r="H149" i="46" s="1"/>
  <c r="G149" i="46" a="1"/>
  <c r="G149" i="46" s="1"/>
  <c r="F149" i="46" a="1"/>
  <c r="F149" i="46" s="1"/>
  <c r="H148" i="46" a="1"/>
  <c r="H148" i="46" s="1"/>
  <c r="G148" i="46" a="1"/>
  <c r="G148" i="46" s="1"/>
  <c r="F148" i="46" a="1"/>
  <c r="F148" i="46" s="1"/>
  <c r="H147" i="46" a="1"/>
  <c r="H147" i="46" s="1"/>
  <c r="G147" i="46" a="1"/>
  <c r="G147" i="46" s="1"/>
  <c r="F147" i="46" a="1"/>
  <c r="F147" i="46" s="1"/>
  <c r="H146" i="46" a="1"/>
  <c r="H146" i="46" s="1"/>
  <c r="G146" i="46" a="1"/>
  <c r="G146" i="46" s="1"/>
  <c r="F146" i="46" a="1"/>
  <c r="F146" i="46" s="1"/>
  <c r="H145" i="46" a="1"/>
  <c r="H145" i="46" s="1"/>
  <c r="G145" i="46"/>
  <c r="G145" i="46" a="1"/>
  <c r="F145" i="46" a="1"/>
  <c r="F145" i="46" s="1"/>
  <c r="H144" i="46" a="1"/>
  <c r="H144" i="46" s="1"/>
  <c r="G144" i="46"/>
  <c r="G144" i="46" a="1"/>
  <c r="F144" i="46" a="1"/>
  <c r="F144" i="46" s="1"/>
  <c r="H143" i="46" a="1"/>
  <c r="H143" i="46" s="1"/>
  <c r="G143" i="46" a="1"/>
  <c r="G143" i="46" s="1"/>
  <c r="F143" i="46" a="1"/>
  <c r="F143" i="46" s="1"/>
  <c r="H142" i="46" a="1"/>
  <c r="H142" i="46" s="1"/>
  <c r="G142" i="46" a="1"/>
  <c r="G142" i="46" s="1"/>
  <c r="F142" i="46" a="1"/>
  <c r="F142" i="46" s="1"/>
  <c r="H141" i="46" a="1"/>
  <c r="H141" i="46" s="1"/>
  <c r="G141" i="46" a="1"/>
  <c r="G141" i="46" s="1"/>
  <c r="F141" i="46" a="1"/>
  <c r="F141" i="46" s="1"/>
  <c r="H140" i="46" a="1"/>
  <c r="H140" i="46" s="1"/>
  <c r="G140" i="46" a="1"/>
  <c r="G140" i="46" s="1"/>
  <c r="F140" i="46"/>
  <c r="F140" i="46" a="1"/>
  <c r="H139" i="46" a="1"/>
  <c r="H139" i="46" s="1"/>
  <c r="G139" i="46" a="1"/>
  <c r="G139" i="46" s="1"/>
  <c r="F139" i="46"/>
  <c r="F139" i="46" a="1"/>
  <c r="H138" i="46" a="1"/>
  <c r="H138" i="46" s="1"/>
  <c r="G138" i="46" a="1"/>
  <c r="G138" i="46" s="1"/>
  <c r="F138" i="46" a="1"/>
  <c r="F138" i="46" s="1"/>
  <c r="H137" i="46" a="1"/>
  <c r="H137" i="46" s="1"/>
  <c r="G137" i="46" a="1"/>
  <c r="G137" i="46" s="1"/>
  <c r="F137" i="46" a="1"/>
  <c r="F137" i="46" s="1"/>
  <c r="H136" i="46" a="1"/>
  <c r="H136" i="46" s="1"/>
  <c r="G136" i="46" a="1"/>
  <c r="G136" i="46" s="1"/>
  <c r="F136" i="46"/>
  <c r="F136" i="46" a="1"/>
  <c r="H135" i="46" a="1"/>
  <c r="H135" i="46" s="1"/>
  <c r="G135" i="46" a="1"/>
  <c r="G135" i="46" s="1"/>
  <c r="F135" i="46" a="1"/>
  <c r="F135" i="46" s="1"/>
  <c r="H134" i="46" a="1"/>
  <c r="H134" i="46" s="1"/>
  <c r="G134" i="46" a="1"/>
  <c r="G134" i="46" s="1"/>
  <c r="F134" i="46" a="1"/>
  <c r="F134" i="46" s="1"/>
  <c r="H133" i="46" a="1"/>
  <c r="H133" i="46" s="1"/>
  <c r="G133" i="46" a="1"/>
  <c r="G133" i="46" s="1"/>
  <c r="F133" i="46" a="1"/>
  <c r="F133" i="46" s="1"/>
  <c r="H132" i="46" a="1"/>
  <c r="H132" i="46" s="1"/>
  <c r="G132" i="46" a="1"/>
  <c r="G132" i="46" s="1"/>
  <c r="F132" i="46" a="1"/>
  <c r="F132" i="46" s="1"/>
  <c r="H131" i="46" a="1"/>
  <c r="H131" i="46" s="1"/>
  <c r="G131" i="46" a="1"/>
  <c r="G131" i="46" s="1"/>
  <c r="F131" i="46" a="1"/>
  <c r="F131" i="46" s="1"/>
  <c r="H130" i="46" a="1"/>
  <c r="H130" i="46" s="1"/>
  <c r="G130" i="46" a="1"/>
  <c r="G130" i="46" s="1"/>
  <c r="F130" i="46" a="1"/>
  <c r="F130" i="46" s="1"/>
  <c r="H129" i="46" a="1"/>
  <c r="H129" i="46" s="1"/>
  <c r="G129" i="46" a="1"/>
  <c r="G129" i="46" s="1"/>
  <c r="F129" i="46" a="1"/>
  <c r="F129" i="46" s="1"/>
  <c r="H128" i="46" a="1"/>
  <c r="H128" i="46" s="1"/>
  <c r="G128" i="46" a="1"/>
  <c r="G128" i="46" s="1"/>
  <c r="F128" i="46" a="1"/>
  <c r="F128" i="46" s="1"/>
  <c r="H127" i="46" a="1"/>
  <c r="H127" i="46" s="1"/>
  <c r="G127" i="46" a="1"/>
  <c r="G127" i="46" s="1"/>
  <c r="F127" i="46" a="1"/>
  <c r="F127" i="46" s="1"/>
  <c r="H126" i="46" a="1"/>
  <c r="H126" i="46" s="1"/>
  <c r="G126" i="46" a="1"/>
  <c r="G126" i="46" s="1"/>
  <c r="F126" i="46" a="1"/>
  <c r="F126" i="46" s="1"/>
  <c r="H125" i="46" a="1"/>
  <c r="H125" i="46" s="1"/>
  <c r="G125" i="46"/>
  <c r="G125" i="46" a="1"/>
  <c r="F125" i="46" a="1"/>
  <c r="F125" i="46" s="1"/>
  <c r="H124" i="46" a="1"/>
  <c r="H124" i="46" s="1"/>
  <c r="G124" i="46" a="1"/>
  <c r="G124" i="46" s="1"/>
  <c r="F124" i="46"/>
  <c r="F124" i="46" a="1"/>
  <c r="H123" i="46" a="1"/>
  <c r="H123" i="46" s="1"/>
  <c r="G123" i="46" a="1"/>
  <c r="G123" i="46" s="1"/>
  <c r="F123" i="46" a="1"/>
  <c r="F123" i="46" s="1"/>
  <c r="H122" i="46" a="1"/>
  <c r="H122" i="46" s="1"/>
  <c r="G122" i="46" a="1"/>
  <c r="G122" i="46" s="1"/>
  <c r="F122" i="46" a="1"/>
  <c r="F122" i="46" s="1"/>
  <c r="H121" i="46" a="1"/>
  <c r="H121" i="46" s="1"/>
  <c r="G121" i="46" a="1"/>
  <c r="G121" i="46" s="1"/>
  <c r="F121" i="46" a="1"/>
  <c r="F121" i="46" s="1"/>
  <c r="H120" i="46" a="1"/>
  <c r="H120" i="46" s="1"/>
  <c r="G120" i="46" a="1"/>
  <c r="G120" i="46" s="1"/>
  <c r="F120" i="46" a="1"/>
  <c r="F120" i="46" s="1"/>
  <c r="H119" i="46" a="1"/>
  <c r="H119" i="46" s="1"/>
  <c r="G119" i="46" a="1"/>
  <c r="G119" i="46" s="1"/>
  <c r="F119" i="46" a="1"/>
  <c r="F119" i="46" s="1"/>
  <c r="H118" i="46" a="1"/>
  <c r="H118" i="46" s="1"/>
  <c r="G118" i="46" a="1"/>
  <c r="G118" i="46" s="1"/>
  <c r="F118" i="46" a="1"/>
  <c r="F118" i="46" s="1"/>
  <c r="H117" i="46" a="1"/>
  <c r="H117" i="46" s="1"/>
  <c r="G117" i="46" a="1"/>
  <c r="G117" i="46" s="1"/>
  <c r="F117" i="46" a="1"/>
  <c r="F117" i="46" s="1"/>
  <c r="H116" i="46" a="1"/>
  <c r="H116" i="46" s="1"/>
  <c r="G116" i="46" a="1"/>
  <c r="G116" i="46" s="1"/>
  <c r="F116" i="46" a="1"/>
  <c r="F116" i="46" s="1"/>
  <c r="H115" i="46" a="1"/>
  <c r="H115" i="46" s="1"/>
  <c r="G115" i="46" a="1"/>
  <c r="G115" i="46" s="1"/>
  <c r="F115" i="46" a="1"/>
  <c r="F115" i="46" s="1"/>
  <c r="H114" i="46" a="1"/>
  <c r="H114" i="46" s="1"/>
  <c r="G114" i="46" a="1"/>
  <c r="G114" i="46" s="1"/>
  <c r="F114" i="46" a="1"/>
  <c r="F114" i="46" s="1"/>
  <c r="H113" i="46" a="1"/>
  <c r="H113" i="46" s="1"/>
  <c r="G113" i="46"/>
  <c r="G113" i="46" a="1"/>
  <c r="F113" i="46" a="1"/>
  <c r="F113" i="46" s="1"/>
  <c r="H112" i="46" a="1"/>
  <c r="H112" i="46" s="1"/>
  <c r="G112" i="46" a="1"/>
  <c r="G112" i="46" s="1"/>
  <c r="F112" i="46" a="1"/>
  <c r="F112" i="46" s="1"/>
  <c r="H111" i="46" a="1"/>
  <c r="H111" i="46" s="1"/>
  <c r="G111" i="46" a="1"/>
  <c r="G111" i="46" s="1"/>
  <c r="F111" i="46" a="1"/>
  <c r="F111" i="46" s="1"/>
  <c r="H110" i="46" a="1"/>
  <c r="H110" i="46" s="1"/>
  <c r="G110" i="46" a="1"/>
  <c r="G110" i="46" s="1"/>
  <c r="F110" i="46" a="1"/>
  <c r="F110" i="46" s="1"/>
  <c r="H109" i="46" a="1"/>
  <c r="H109" i="46" s="1"/>
  <c r="G109" i="46" a="1"/>
  <c r="G109" i="46" s="1"/>
  <c r="F109" i="46" a="1"/>
  <c r="F109" i="46" s="1"/>
  <c r="H108" i="46" a="1"/>
  <c r="H108" i="46" s="1"/>
  <c r="G108" i="46" a="1"/>
  <c r="G108" i="46" s="1"/>
  <c r="F108" i="46" a="1"/>
  <c r="F108" i="46" s="1"/>
  <c r="H107" i="46" a="1"/>
  <c r="H107" i="46" s="1"/>
  <c r="G107" i="46" a="1"/>
  <c r="G107" i="46" s="1"/>
  <c r="F107" i="46" a="1"/>
  <c r="F107" i="46" s="1"/>
  <c r="H106" i="46"/>
  <c r="H106" i="46" a="1"/>
  <c r="G106" i="46" a="1"/>
  <c r="G106" i="46" s="1"/>
  <c r="F106" i="46" a="1"/>
  <c r="F106" i="46" s="1"/>
  <c r="H105" i="46" a="1"/>
  <c r="H105" i="46" s="1"/>
  <c r="G105" i="46" a="1"/>
  <c r="G105" i="46" s="1"/>
  <c r="F105" i="46" a="1"/>
  <c r="F105" i="46" s="1"/>
  <c r="H104" i="46" a="1"/>
  <c r="H104" i="46" s="1"/>
  <c r="G104" i="46" a="1"/>
  <c r="G104" i="46" s="1"/>
  <c r="F104" i="46"/>
  <c r="F104" i="46" a="1"/>
  <c r="H103" i="46" a="1"/>
  <c r="H103" i="46" s="1"/>
  <c r="G103" i="46" a="1"/>
  <c r="G103" i="46" s="1"/>
  <c r="F103" i="46" a="1"/>
  <c r="F103" i="46" s="1"/>
  <c r="H102" i="46" a="1"/>
  <c r="H102" i="46" s="1"/>
  <c r="G102" i="46" a="1"/>
  <c r="G102" i="46" s="1"/>
  <c r="F102" i="46" a="1"/>
  <c r="F102" i="46" s="1"/>
  <c r="H101" i="46" a="1"/>
  <c r="H101" i="46" s="1"/>
  <c r="G101" i="46" a="1"/>
  <c r="G101" i="46" s="1"/>
  <c r="F101" i="46" a="1"/>
  <c r="F101" i="46" s="1"/>
  <c r="H100" i="46" a="1"/>
  <c r="H100" i="46" s="1"/>
  <c r="G100" i="46" a="1"/>
  <c r="G100" i="46" s="1"/>
  <c r="F100" i="46" a="1"/>
  <c r="F100" i="46" s="1"/>
  <c r="H99" i="46" a="1"/>
  <c r="H99" i="46" s="1"/>
  <c r="G99" i="46" a="1"/>
  <c r="G99" i="46" s="1"/>
  <c r="F99" i="46" a="1"/>
  <c r="F99" i="46" s="1"/>
  <c r="H98" i="46" a="1"/>
  <c r="H98" i="46" s="1"/>
  <c r="G98" i="46" a="1"/>
  <c r="G98" i="46" s="1"/>
  <c r="F98" i="46" a="1"/>
  <c r="F98" i="46" s="1"/>
  <c r="H97" i="46" a="1"/>
  <c r="H97" i="46" s="1"/>
  <c r="G97" i="46" a="1"/>
  <c r="G97" i="46" s="1"/>
  <c r="F97" i="46" a="1"/>
  <c r="F97" i="46" s="1"/>
  <c r="H96" i="46" a="1"/>
  <c r="H96" i="46" s="1"/>
  <c r="G96" i="46" a="1"/>
  <c r="G96" i="46" s="1"/>
  <c r="F96" i="46" a="1"/>
  <c r="F96" i="46" s="1"/>
  <c r="H95" i="46" a="1"/>
  <c r="H95" i="46" s="1"/>
  <c r="G95" i="46" a="1"/>
  <c r="G95" i="46" s="1"/>
  <c r="F95" i="46" a="1"/>
  <c r="F95" i="46" s="1"/>
  <c r="H94" i="46" a="1"/>
  <c r="H94" i="46" s="1"/>
  <c r="G94" i="46" a="1"/>
  <c r="G94" i="46" s="1"/>
  <c r="F94" i="46" a="1"/>
  <c r="F94" i="46" s="1"/>
  <c r="H93" i="46" a="1"/>
  <c r="H93" i="46" s="1"/>
  <c r="G93" i="46" a="1"/>
  <c r="G93" i="46" s="1"/>
  <c r="F93" i="46" a="1"/>
  <c r="F93" i="46" s="1"/>
  <c r="H92" i="46" a="1"/>
  <c r="H92" i="46" s="1"/>
  <c r="G92" i="46" a="1"/>
  <c r="G92" i="46" s="1"/>
  <c r="F92" i="46" a="1"/>
  <c r="F92" i="46" s="1"/>
  <c r="H91" i="46" a="1"/>
  <c r="H91" i="46" s="1"/>
  <c r="G91" i="46" a="1"/>
  <c r="G91" i="46" s="1"/>
  <c r="F91" i="46" a="1"/>
  <c r="F91" i="46" s="1"/>
  <c r="H90" i="46" a="1"/>
  <c r="H90" i="46" s="1"/>
  <c r="G90" i="46" a="1"/>
  <c r="G90" i="46" s="1"/>
  <c r="F90" i="46" a="1"/>
  <c r="F90" i="46" s="1"/>
  <c r="H89" i="46" a="1"/>
  <c r="H89" i="46" s="1"/>
  <c r="G89" i="46" a="1"/>
  <c r="G89" i="46" s="1"/>
  <c r="F89" i="46" a="1"/>
  <c r="F89" i="46" s="1"/>
  <c r="H88" i="46" a="1"/>
  <c r="H88" i="46" s="1"/>
  <c r="G88" i="46" a="1"/>
  <c r="G88" i="46" s="1"/>
  <c r="F88" i="46" a="1"/>
  <c r="F88" i="46" s="1"/>
  <c r="H87" i="46" a="1"/>
  <c r="H87" i="46" s="1"/>
  <c r="G87" i="46" a="1"/>
  <c r="G87" i="46" s="1"/>
  <c r="F87" i="46" a="1"/>
  <c r="F87" i="46" s="1"/>
  <c r="H86" i="46" a="1"/>
  <c r="H86" i="46" s="1"/>
  <c r="G86" i="46" a="1"/>
  <c r="G86" i="46" s="1"/>
  <c r="F86" i="46" a="1"/>
  <c r="F86" i="46" s="1"/>
  <c r="H85" i="46" a="1"/>
  <c r="H85" i="46" s="1"/>
  <c r="G85" i="46" a="1"/>
  <c r="G85" i="46" s="1"/>
  <c r="F85" i="46" a="1"/>
  <c r="F85" i="46" s="1"/>
  <c r="H84" i="46" a="1"/>
  <c r="H84" i="46" s="1"/>
  <c r="G84" i="46" a="1"/>
  <c r="G84" i="46" s="1"/>
  <c r="F84" i="46"/>
  <c r="F84" i="46" a="1"/>
  <c r="H83" i="46" a="1"/>
  <c r="H83" i="46" s="1"/>
  <c r="G83" i="46" a="1"/>
  <c r="G83" i="46" s="1"/>
  <c r="F83" i="46" a="1"/>
  <c r="F83" i="46" s="1"/>
  <c r="H82" i="46"/>
  <c r="H82" i="46" a="1"/>
  <c r="G82" i="46" a="1"/>
  <c r="G82" i="46" s="1"/>
  <c r="F82" i="46" a="1"/>
  <c r="F82" i="46" s="1"/>
  <c r="H81" i="46" a="1"/>
  <c r="H81" i="46" s="1"/>
  <c r="G81" i="46" a="1"/>
  <c r="G81" i="46" s="1"/>
  <c r="F81" i="46" a="1"/>
  <c r="F81" i="46" s="1"/>
  <c r="H80" i="46" a="1"/>
  <c r="H80" i="46" s="1"/>
  <c r="G80" i="46" a="1"/>
  <c r="G80" i="46" s="1"/>
  <c r="F80" i="46" a="1"/>
  <c r="F80" i="46" s="1"/>
  <c r="H79" i="46" a="1"/>
  <c r="H79" i="46" s="1"/>
  <c r="G79" i="46" a="1"/>
  <c r="G79" i="46" s="1"/>
  <c r="F79" i="46" a="1"/>
  <c r="F79" i="46" s="1"/>
  <c r="H78" i="46" a="1"/>
  <c r="H78" i="46" s="1"/>
  <c r="G78" i="46" a="1"/>
  <c r="G78" i="46" s="1"/>
  <c r="F78" i="46" a="1"/>
  <c r="F78" i="46" s="1"/>
  <c r="H77" i="46" a="1"/>
  <c r="H77" i="46" s="1"/>
  <c r="G77" i="46" a="1"/>
  <c r="G77" i="46" s="1"/>
  <c r="F77" i="46" a="1"/>
  <c r="F77" i="46" s="1"/>
  <c r="H76" i="46" a="1"/>
  <c r="H76" i="46" s="1"/>
  <c r="G76" i="46" a="1"/>
  <c r="G76" i="46" s="1"/>
  <c r="F76" i="46" a="1"/>
  <c r="F76" i="46" s="1"/>
  <c r="H75" i="46" a="1"/>
  <c r="H75" i="46" s="1"/>
  <c r="G75" i="46" a="1"/>
  <c r="G75" i="46" s="1"/>
  <c r="F75" i="46" a="1"/>
  <c r="F75" i="46" s="1"/>
  <c r="H74" i="46" a="1"/>
  <c r="H74" i="46" s="1"/>
  <c r="G74" i="46" a="1"/>
  <c r="G74" i="46" s="1"/>
  <c r="F74" i="46" a="1"/>
  <c r="F74" i="46" s="1"/>
  <c r="H73" i="46" a="1"/>
  <c r="H73" i="46" s="1"/>
  <c r="G73" i="46"/>
  <c r="G73" i="46" a="1"/>
  <c r="F73" i="46" a="1"/>
  <c r="F73" i="46" s="1"/>
  <c r="H72" i="46" a="1"/>
  <c r="H72" i="46" s="1"/>
  <c r="G72" i="46" a="1"/>
  <c r="G72" i="46" s="1"/>
  <c r="F72" i="46"/>
  <c r="F72" i="46" a="1"/>
  <c r="H71" i="46" a="1"/>
  <c r="H71" i="46" s="1"/>
  <c r="G71" i="46" a="1"/>
  <c r="G71" i="46" s="1"/>
  <c r="F71" i="46" a="1"/>
  <c r="F71" i="46" s="1"/>
  <c r="H70" i="46"/>
  <c r="H70" i="46" a="1"/>
  <c r="G70" i="46" a="1"/>
  <c r="G70" i="46" s="1"/>
  <c r="F70" i="46" a="1"/>
  <c r="F70" i="46" s="1"/>
  <c r="H69" i="46" a="1"/>
  <c r="H69" i="46" s="1"/>
  <c r="G69" i="46" a="1"/>
  <c r="G69" i="46" s="1"/>
  <c r="F69" i="46" a="1"/>
  <c r="F69" i="46" s="1"/>
  <c r="H68" i="46" a="1"/>
  <c r="H68" i="46" s="1"/>
  <c r="G68" i="46" a="1"/>
  <c r="G68" i="46" s="1"/>
  <c r="F68" i="46" a="1"/>
  <c r="F68" i="46" s="1"/>
  <c r="H67" i="46" a="1"/>
  <c r="H67" i="46" s="1"/>
  <c r="G67" i="46" a="1"/>
  <c r="G67" i="46" s="1"/>
  <c r="F67" i="46" a="1"/>
  <c r="F67" i="46" s="1"/>
  <c r="H66" i="46"/>
  <c r="H66" i="46" a="1"/>
  <c r="G66" i="46" a="1"/>
  <c r="G66" i="46" s="1"/>
  <c r="F66" i="46" a="1"/>
  <c r="F66" i="46" s="1"/>
  <c r="H65" i="46" a="1"/>
  <c r="H65" i="46" s="1"/>
  <c r="G65" i="46" a="1"/>
  <c r="G65" i="46" s="1"/>
  <c r="F65" i="46" a="1"/>
  <c r="F65" i="46" s="1"/>
  <c r="H64" i="46" a="1"/>
  <c r="H64" i="46" s="1"/>
  <c r="G64" i="46" a="1"/>
  <c r="G64" i="46" s="1"/>
  <c r="F64" i="46" a="1"/>
  <c r="F64" i="46" s="1"/>
  <c r="H63" i="46" a="1"/>
  <c r="H63" i="46" s="1"/>
  <c r="G63" i="46" a="1"/>
  <c r="G63" i="46" s="1"/>
  <c r="F63" i="46" a="1"/>
  <c r="F63" i="46" s="1"/>
  <c r="H62" i="46" a="1"/>
  <c r="H62" i="46" s="1"/>
  <c r="G62" i="46" a="1"/>
  <c r="G62" i="46" s="1"/>
  <c r="F62" i="46" a="1"/>
  <c r="F62" i="46" s="1"/>
  <c r="H61" i="46" a="1"/>
  <c r="H61" i="46" s="1"/>
  <c r="G61" i="46"/>
  <c r="G61" i="46" a="1"/>
  <c r="F61" i="46" a="1"/>
  <c r="F61" i="46" s="1"/>
  <c r="H60" i="46" a="1"/>
  <c r="H60" i="46" s="1"/>
  <c r="G60" i="46" a="1"/>
  <c r="G60" i="46" s="1"/>
  <c r="F60" i="46" a="1"/>
  <c r="F60" i="46" s="1"/>
  <c r="H59" i="46" a="1"/>
  <c r="H59" i="46" s="1"/>
  <c r="G59" i="46" a="1"/>
  <c r="G59" i="46" s="1"/>
  <c r="F59" i="46" a="1"/>
  <c r="F59" i="46" s="1"/>
  <c r="H58" i="46" a="1"/>
  <c r="H58" i="46" s="1"/>
  <c r="G58" i="46" a="1"/>
  <c r="G58" i="46" s="1"/>
  <c r="F58" i="46" a="1"/>
  <c r="F58" i="46" s="1"/>
  <c r="H57" i="46" a="1"/>
  <c r="H57" i="46" s="1"/>
  <c r="G57" i="46" a="1"/>
  <c r="G57" i="46" s="1"/>
  <c r="F57" i="46" a="1"/>
  <c r="F57" i="46" s="1"/>
  <c r="H56" i="46" a="1"/>
  <c r="H56" i="46" s="1"/>
  <c r="G56" i="46" a="1"/>
  <c r="G56" i="46" s="1"/>
  <c r="F56" i="46"/>
  <c r="F56" i="46" a="1"/>
  <c r="H55" i="46" a="1"/>
  <c r="H55" i="46" s="1"/>
  <c r="G55" i="46" a="1"/>
  <c r="G55" i="46" s="1"/>
  <c r="F55" i="46" a="1"/>
  <c r="F55" i="46" s="1"/>
  <c r="H54" i="46" a="1"/>
  <c r="H54" i="46" s="1"/>
  <c r="G54" i="46"/>
  <c r="G54" i="46" a="1"/>
  <c r="F54" i="46" a="1"/>
  <c r="F54" i="46" s="1"/>
  <c r="H53" i="46" a="1"/>
  <c r="H53" i="46" s="1"/>
  <c r="G53" i="46" a="1"/>
  <c r="G53" i="46" s="1"/>
  <c r="F53" i="46" a="1"/>
  <c r="F53" i="46" s="1"/>
  <c r="H52" i="46" a="1"/>
  <c r="H52" i="46" s="1"/>
  <c r="G52" i="46" a="1"/>
  <c r="G52" i="46" s="1"/>
  <c r="F52" i="46" a="1"/>
  <c r="F52" i="46" s="1"/>
  <c r="H51" i="46" a="1"/>
  <c r="H51" i="46" s="1"/>
  <c r="G51" i="46" a="1"/>
  <c r="G51" i="46" s="1"/>
  <c r="F51" i="46" a="1"/>
  <c r="F51" i="46" s="1"/>
  <c r="H50" i="46" a="1"/>
  <c r="H50" i="46" s="1"/>
  <c r="G50" i="46" a="1"/>
  <c r="G50" i="46" s="1"/>
  <c r="F50" i="46" a="1"/>
  <c r="F50" i="46" s="1"/>
  <c r="H49" i="46" a="1"/>
  <c r="H49" i="46" s="1"/>
  <c r="G49" i="46" a="1"/>
  <c r="G49" i="46" s="1"/>
  <c r="F49" i="46" a="1"/>
  <c r="F49" i="46" s="1"/>
  <c r="H48" i="46" a="1"/>
  <c r="H48" i="46" s="1"/>
  <c r="G48" i="46" a="1"/>
  <c r="G48" i="46" s="1"/>
  <c r="F48" i="46" a="1"/>
  <c r="F48" i="46" s="1"/>
  <c r="H47" i="46" a="1"/>
  <c r="H47" i="46" s="1"/>
  <c r="G47" i="46" a="1"/>
  <c r="G47" i="46" s="1"/>
  <c r="F47" i="46" a="1"/>
  <c r="F47" i="46" s="1"/>
  <c r="H46" i="46" a="1"/>
  <c r="H46" i="46" s="1"/>
  <c r="G46" i="46" a="1"/>
  <c r="G46" i="46" s="1"/>
  <c r="F46" i="46" a="1"/>
  <c r="F46" i="46" s="1"/>
  <c r="H45" i="46" a="1"/>
  <c r="H45" i="46" s="1"/>
  <c r="G45" i="46" a="1"/>
  <c r="G45" i="46" s="1"/>
  <c r="F45" i="46" a="1"/>
  <c r="F45" i="46" s="1"/>
  <c r="H44" i="46" a="1"/>
  <c r="H44" i="46" s="1"/>
  <c r="G44" i="46" a="1"/>
  <c r="G44" i="46" s="1"/>
  <c r="F44" i="46" a="1"/>
  <c r="F44" i="46" s="1"/>
  <c r="H43" i="46" a="1"/>
  <c r="H43" i="46" s="1"/>
  <c r="G43" i="46" a="1"/>
  <c r="G43" i="46" s="1"/>
  <c r="F43" i="46" a="1"/>
  <c r="F43" i="46" s="1"/>
  <c r="H42" i="46" a="1"/>
  <c r="H42" i="46" s="1"/>
  <c r="G42" i="46" a="1"/>
  <c r="G42" i="46" s="1"/>
  <c r="F42" i="46" a="1"/>
  <c r="F42" i="46" s="1"/>
  <c r="H41" i="46" a="1"/>
  <c r="H41" i="46" s="1"/>
  <c r="G41" i="46" a="1"/>
  <c r="G41" i="46" s="1"/>
  <c r="F41" i="46" a="1"/>
  <c r="F41" i="46" s="1"/>
  <c r="H40" i="46" a="1"/>
  <c r="H40" i="46" s="1"/>
  <c r="G40" i="46" a="1"/>
  <c r="G40" i="46" s="1"/>
  <c r="F40" i="46" a="1"/>
  <c r="F40" i="46" s="1"/>
  <c r="H39" i="46" a="1"/>
  <c r="H39" i="46" s="1"/>
  <c r="G39" i="46" a="1"/>
  <c r="G39" i="46" s="1"/>
  <c r="F39" i="46" a="1"/>
  <c r="F39" i="46" s="1"/>
  <c r="H38" i="46" a="1"/>
  <c r="H38" i="46" s="1"/>
  <c r="G38" i="46" a="1"/>
  <c r="G38" i="46" s="1"/>
  <c r="F38" i="46" a="1"/>
  <c r="F38" i="46" s="1"/>
  <c r="H37" i="46" a="1"/>
  <c r="H37" i="46" s="1"/>
  <c r="G37" i="46" a="1"/>
  <c r="G37" i="46" s="1"/>
  <c r="F37" i="46" a="1"/>
  <c r="F37" i="46" s="1"/>
  <c r="H36" i="46" a="1"/>
  <c r="H36" i="46" s="1"/>
  <c r="G36" i="46" a="1"/>
  <c r="G36" i="46" s="1"/>
  <c r="F36" i="46" a="1"/>
  <c r="F36" i="46" s="1"/>
  <c r="H35" i="46" a="1"/>
  <c r="H35" i="46" s="1"/>
  <c r="G35" i="46" a="1"/>
  <c r="G35" i="46" s="1"/>
  <c r="F35" i="46" a="1"/>
  <c r="F35" i="46" s="1"/>
  <c r="H34" i="46" a="1"/>
  <c r="H34" i="46" s="1"/>
  <c r="G34" i="46" a="1"/>
  <c r="G34" i="46" s="1"/>
  <c r="F34" i="46" a="1"/>
  <c r="F34" i="46" s="1"/>
  <c r="H33" i="46" a="1"/>
  <c r="H33" i="46" s="1"/>
  <c r="G33" i="46" a="1"/>
  <c r="G33" i="46" s="1"/>
  <c r="F33" i="46" a="1"/>
  <c r="F33" i="46" s="1"/>
  <c r="H32" i="46" a="1"/>
  <c r="H32" i="46" s="1"/>
  <c r="G32" i="46" a="1"/>
  <c r="G32" i="46" s="1"/>
  <c r="F32" i="46" a="1"/>
  <c r="F32" i="46" s="1"/>
  <c r="H31" i="46" a="1"/>
  <c r="H31" i="46" s="1"/>
  <c r="G31" i="46" a="1"/>
  <c r="G31" i="46" s="1"/>
  <c r="F31" i="46" a="1"/>
  <c r="F31" i="46" s="1"/>
  <c r="H30" i="46" a="1"/>
  <c r="H30" i="46" s="1"/>
  <c r="G30" i="46" a="1"/>
  <c r="G30" i="46" s="1"/>
  <c r="F30" i="46" a="1"/>
  <c r="F30" i="46" s="1"/>
  <c r="H29" i="46" a="1"/>
  <c r="H29" i="46" s="1"/>
  <c r="G29" i="46" a="1"/>
  <c r="G29" i="46" s="1"/>
  <c r="F29" i="46" a="1"/>
  <c r="F29" i="46" s="1"/>
  <c r="H28" i="46" a="1"/>
  <c r="H28" i="46" s="1"/>
  <c r="G28" i="46" a="1"/>
  <c r="G28" i="46" s="1"/>
  <c r="F28" i="46" a="1"/>
  <c r="F28" i="46" s="1"/>
  <c r="H27" i="46" a="1"/>
  <c r="H27" i="46" s="1"/>
  <c r="G27" i="46" a="1"/>
  <c r="G27" i="46" s="1"/>
  <c r="F27" i="46" a="1"/>
  <c r="F27" i="46" s="1"/>
  <c r="H26" i="46" a="1"/>
  <c r="H26" i="46" s="1"/>
  <c r="G26" i="46" a="1"/>
  <c r="G26" i="46" s="1"/>
  <c r="F26" i="46" a="1"/>
  <c r="F26" i="46" s="1"/>
  <c r="H25" i="46" a="1"/>
  <c r="H25" i="46" s="1"/>
  <c r="G25" i="46" a="1"/>
  <c r="G25" i="46" s="1"/>
  <c r="F25" i="46" a="1"/>
  <c r="F25" i="46" s="1"/>
  <c r="H24" i="46" a="1"/>
  <c r="H24" i="46" s="1"/>
  <c r="G24" i="46" a="1"/>
  <c r="G24" i="46" s="1"/>
  <c r="F24" i="46" a="1"/>
  <c r="F24" i="46" s="1"/>
  <c r="H23" i="46" a="1"/>
  <c r="H23" i="46" s="1"/>
  <c r="G23" i="46" a="1"/>
  <c r="G23" i="46" s="1"/>
  <c r="F23" i="46" a="1"/>
  <c r="F23" i="46" s="1"/>
  <c r="H22" i="46" a="1"/>
  <c r="H22" i="46" s="1"/>
  <c r="G22" i="46" a="1"/>
  <c r="G22" i="46" s="1"/>
  <c r="F22" i="46" a="1"/>
  <c r="F22" i="46" s="1"/>
  <c r="H21" i="46" a="1"/>
  <c r="H21" i="46" s="1"/>
  <c r="G21" i="46" a="1"/>
  <c r="G21" i="46" s="1"/>
  <c r="F21" i="46" a="1"/>
  <c r="F21" i="46" s="1"/>
  <c r="H20" i="46" a="1"/>
  <c r="H20" i="46" s="1"/>
  <c r="G20" i="46" a="1"/>
  <c r="G20" i="46" s="1"/>
  <c r="F20" i="46" a="1"/>
  <c r="F20" i="46" s="1"/>
  <c r="H19" i="46" a="1"/>
  <c r="H19" i="46" s="1"/>
  <c r="G19" i="46" a="1"/>
  <c r="G19" i="46" s="1"/>
  <c r="F19" i="46" a="1"/>
  <c r="F19" i="46" s="1"/>
  <c r="H18" i="46" a="1"/>
  <c r="H18" i="46" s="1"/>
  <c r="G18" i="46" a="1"/>
  <c r="G18" i="46" s="1"/>
  <c r="F18" i="46" a="1"/>
  <c r="F18" i="46" s="1"/>
  <c r="H17" i="46" a="1"/>
  <c r="H17" i="46" s="1"/>
  <c r="G17" i="46" a="1"/>
  <c r="G17" i="46" s="1"/>
  <c r="F17" i="46" a="1"/>
  <c r="F17" i="46" s="1"/>
  <c r="H16" i="46" a="1"/>
  <c r="H16" i="46" s="1"/>
  <c r="G16" i="46" a="1"/>
  <c r="G16" i="46" s="1"/>
  <c r="F16" i="46" a="1"/>
  <c r="F16" i="46" s="1"/>
  <c r="H15" i="46" a="1"/>
  <c r="H15" i="46" s="1"/>
  <c r="G15" i="46" a="1"/>
  <c r="G15" i="46" s="1"/>
  <c r="F15" i="46" a="1"/>
  <c r="F15" i="46" s="1"/>
  <c r="H14" i="46" a="1"/>
  <c r="H14" i="46" s="1"/>
  <c r="G14" i="46" a="1"/>
  <c r="G14" i="46" s="1"/>
  <c r="F14" i="46" a="1"/>
  <c r="F14" i="46" s="1"/>
  <c r="H13" i="46" a="1"/>
  <c r="H13" i="46" s="1"/>
  <c r="G13" i="46" a="1"/>
  <c r="G13" i="46" s="1"/>
  <c r="F13" i="46" a="1"/>
  <c r="F13" i="46" s="1"/>
  <c r="H12" i="46" a="1"/>
  <c r="H12" i="46" s="1"/>
  <c r="G12" i="46" a="1"/>
  <c r="G12" i="46" s="1"/>
  <c r="F12" i="46" a="1"/>
  <c r="F12" i="46" s="1"/>
  <c r="H11" i="46" a="1"/>
  <c r="H11" i="46" s="1"/>
  <c r="G11" i="46" a="1"/>
  <c r="G11" i="46" s="1"/>
  <c r="F11" i="46" a="1"/>
  <c r="F11" i="46" s="1"/>
  <c r="H10" i="46" a="1"/>
  <c r="H10" i="46" s="1"/>
  <c r="G10" i="46" a="1"/>
  <c r="G10" i="46" s="1"/>
  <c r="F10" i="46" a="1"/>
  <c r="F10" i="46" s="1"/>
  <c r="H9" i="46" a="1"/>
  <c r="H9" i="46" s="1"/>
  <c r="G9" i="46" a="1"/>
  <c r="G9" i="46" s="1"/>
  <c r="F9" i="46" a="1"/>
  <c r="F9" i="46" s="1"/>
  <c r="H8" i="46" a="1"/>
  <c r="H8" i="46" s="1"/>
  <c r="G8" i="46" a="1"/>
  <c r="G8" i="46" s="1"/>
  <c r="F8" i="46" a="1"/>
  <c r="F8" i="46" s="1"/>
  <c r="H7" i="46" a="1"/>
  <c r="H7" i="46" s="1"/>
  <c r="G7" i="46" a="1"/>
  <c r="G7" i="46" s="1"/>
  <c r="F7" i="46" a="1"/>
  <c r="F7" i="46" s="1"/>
  <c r="H6" i="46" a="1"/>
  <c r="H6" i="46" s="1"/>
  <c r="G6" i="46" a="1"/>
  <c r="G6" i="46" s="1"/>
  <c r="F6" i="46" a="1"/>
  <c r="F6" i="46" s="1"/>
  <c r="E8" i="46" a="1"/>
  <c r="E8" i="46" s="1"/>
  <c r="E9" i="46" a="1"/>
  <c r="E9" i="46" s="1"/>
  <c r="E10" i="46" a="1"/>
  <c r="E10" i="46" s="1"/>
  <c r="E11" i="46" a="1"/>
  <c r="E11" i="46" s="1"/>
  <c r="E12" i="46" a="1"/>
  <c r="E12" i="46" s="1"/>
  <c r="E13" i="46" a="1"/>
  <c r="E13" i="46" s="1"/>
  <c r="E14" i="46" a="1"/>
  <c r="E14" i="46" s="1"/>
  <c r="E15" i="46" a="1"/>
  <c r="E15" i="46" s="1"/>
  <c r="E16" i="46" a="1"/>
  <c r="E16" i="46" s="1"/>
  <c r="E17" i="46" a="1"/>
  <c r="E17" i="46" s="1"/>
  <c r="E18" i="46" a="1"/>
  <c r="E18" i="46" s="1"/>
  <c r="E19" i="46" a="1"/>
  <c r="E19" i="46" s="1"/>
  <c r="E20" i="46" a="1"/>
  <c r="E20" i="46" s="1"/>
  <c r="E21" i="46" a="1"/>
  <c r="E21" i="46" s="1"/>
  <c r="E22" i="46" a="1"/>
  <c r="E22" i="46" s="1"/>
  <c r="E23" i="46" a="1"/>
  <c r="E23" i="46"/>
  <c r="E24" i="46" a="1"/>
  <c r="E24" i="46" s="1"/>
  <c r="E25" i="46" a="1"/>
  <c r="E25" i="46" s="1"/>
  <c r="E26" i="46" a="1"/>
  <c r="E26" i="46" s="1"/>
  <c r="E27" i="46" a="1"/>
  <c r="E27" i="46" s="1"/>
  <c r="E28" i="46" a="1"/>
  <c r="E28" i="46" s="1"/>
  <c r="E29" i="46" a="1"/>
  <c r="E29" i="46" s="1"/>
  <c r="E30" i="46" a="1"/>
  <c r="E30" i="46" s="1"/>
  <c r="E31" i="46" a="1"/>
  <c r="E31" i="46"/>
  <c r="E32" i="46" a="1"/>
  <c r="E32" i="46" s="1"/>
  <c r="E33" i="46" a="1"/>
  <c r="E33" i="46" s="1"/>
  <c r="E34" i="46" a="1"/>
  <c r="E34" i="46" s="1"/>
  <c r="E35" i="46" a="1"/>
  <c r="E35" i="46" s="1"/>
  <c r="E36" i="46" a="1"/>
  <c r="E36" i="46" s="1"/>
  <c r="E37" i="46" a="1"/>
  <c r="E37" i="46" s="1"/>
  <c r="E38" i="46" a="1"/>
  <c r="E38" i="46" s="1"/>
  <c r="E39" i="46" a="1"/>
  <c r="E39" i="46"/>
  <c r="E40" i="46" a="1"/>
  <c r="E40" i="46" s="1"/>
  <c r="E41" i="46" a="1"/>
  <c r="E41" i="46" s="1"/>
  <c r="E42" i="46" a="1"/>
  <c r="E42" i="46" s="1"/>
  <c r="E43" i="46" a="1"/>
  <c r="E43" i="46" s="1"/>
  <c r="E44" i="46" a="1"/>
  <c r="E44" i="46" s="1"/>
  <c r="E45" i="46" a="1"/>
  <c r="E45" i="46" s="1"/>
  <c r="E46" i="46" a="1"/>
  <c r="E46" i="46" s="1"/>
  <c r="E47" i="46" a="1"/>
  <c r="E47" i="46" s="1"/>
  <c r="E48" i="46" a="1"/>
  <c r="E48" i="46" s="1"/>
  <c r="E49" i="46" a="1"/>
  <c r="E49" i="46" s="1"/>
  <c r="E50" i="46" a="1"/>
  <c r="E50" i="46" s="1"/>
  <c r="E51" i="46" a="1"/>
  <c r="E51" i="46" s="1"/>
  <c r="E52" i="46" a="1"/>
  <c r="E52" i="46" s="1"/>
  <c r="E53" i="46" a="1"/>
  <c r="E53" i="46" s="1"/>
  <c r="E54" i="46" a="1"/>
  <c r="E54" i="46" s="1"/>
  <c r="E55" i="46" a="1"/>
  <c r="E55" i="46"/>
  <c r="E56" i="46" a="1"/>
  <c r="E56" i="46" s="1"/>
  <c r="E57" i="46" a="1"/>
  <c r="E57" i="46" s="1"/>
  <c r="E58" i="46" a="1"/>
  <c r="E58" i="46" s="1"/>
  <c r="E59" i="46" a="1"/>
  <c r="E59" i="46" s="1"/>
  <c r="E60" i="46" a="1"/>
  <c r="E60" i="46" s="1"/>
  <c r="E61" i="46" a="1"/>
  <c r="E61" i="46" s="1"/>
  <c r="E62" i="46" a="1"/>
  <c r="E62" i="46" s="1"/>
  <c r="E63" i="46" a="1"/>
  <c r="E63" i="46"/>
  <c r="E64" i="46" a="1"/>
  <c r="E64" i="46" s="1"/>
  <c r="E65" i="46" a="1"/>
  <c r="E65" i="46" s="1"/>
  <c r="E66" i="46" a="1"/>
  <c r="E66" i="46" s="1"/>
  <c r="E67" i="46" a="1"/>
  <c r="E67" i="46"/>
  <c r="E68" i="46" a="1"/>
  <c r="E68" i="46" s="1"/>
  <c r="E69" i="46" a="1"/>
  <c r="E69" i="46" s="1"/>
  <c r="E70" i="46" a="1"/>
  <c r="E70" i="46" s="1"/>
  <c r="E71" i="46" a="1"/>
  <c r="E71" i="46"/>
  <c r="E72" i="46" a="1"/>
  <c r="E72" i="46" s="1"/>
  <c r="E73" i="46" a="1"/>
  <c r="E73" i="46" s="1"/>
  <c r="E74" i="46" a="1"/>
  <c r="E74" i="46" s="1"/>
  <c r="E75" i="46" a="1"/>
  <c r="E75" i="46" s="1"/>
  <c r="E76" i="46" a="1"/>
  <c r="E76" i="46" s="1"/>
  <c r="E77" i="46" a="1"/>
  <c r="E77" i="46" s="1"/>
  <c r="E78" i="46" a="1"/>
  <c r="E78" i="46" s="1"/>
  <c r="E79" i="46" a="1"/>
  <c r="E79" i="46" s="1"/>
  <c r="E80" i="46" a="1"/>
  <c r="E80" i="46" s="1"/>
  <c r="E81" i="46" a="1"/>
  <c r="E81" i="46" s="1"/>
  <c r="E82" i="46" a="1"/>
  <c r="E82" i="46" s="1"/>
  <c r="E83" i="46" a="1"/>
  <c r="E83" i="46" s="1"/>
  <c r="E84" i="46" a="1"/>
  <c r="E84" i="46" s="1"/>
  <c r="E85" i="46" a="1"/>
  <c r="E85" i="46" s="1"/>
  <c r="E86" i="46" a="1"/>
  <c r="E86" i="46" s="1"/>
  <c r="E87" i="46" a="1"/>
  <c r="E87" i="46"/>
  <c r="E88" i="46" a="1"/>
  <c r="E88" i="46" s="1"/>
  <c r="E89" i="46" a="1"/>
  <c r="E89" i="46" s="1"/>
  <c r="E90" i="46" a="1"/>
  <c r="E90" i="46" s="1"/>
  <c r="E91" i="46" a="1"/>
  <c r="E91" i="46" s="1"/>
  <c r="E92" i="46" a="1"/>
  <c r="E92" i="46" s="1"/>
  <c r="E93" i="46" a="1"/>
  <c r="E93" i="46" s="1"/>
  <c r="E94" i="46" a="1"/>
  <c r="E94" i="46" s="1"/>
  <c r="E95" i="46" a="1"/>
  <c r="E95" i="46"/>
  <c r="E96" i="46" a="1"/>
  <c r="E96" i="46" s="1"/>
  <c r="E97" i="46" a="1"/>
  <c r="E97" i="46" s="1"/>
  <c r="E98" i="46" a="1"/>
  <c r="E98" i="46" s="1"/>
  <c r="E99" i="46" a="1"/>
  <c r="E99" i="46"/>
  <c r="E100" i="46" a="1"/>
  <c r="E100" i="46" s="1"/>
  <c r="E101" i="46" a="1"/>
  <c r="E101" i="46" s="1"/>
  <c r="E102" i="46" a="1"/>
  <c r="E102" i="46" s="1"/>
  <c r="E103" i="46" a="1"/>
  <c r="E103" i="46"/>
  <c r="E104" i="46" a="1"/>
  <c r="E104" i="46" s="1"/>
  <c r="E105" i="46" a="1"/>
  <c r="E105" i="46" s="1"/>
  <c r="E106" i="46" a="1"/>
  <c r="E106" i="46" s="1"/>
  <c r="E107" i="46" a="1"/>
  <c r="E107" i="46" s="1"/>
  <c r="E108" i="46" a="1"/>
  <c r="E108" i="46" s="1"/>
  <c r="E109" i="46" a="1"/>
  <c r="E109" i="46" s="1"/>
  <c r="E110" i="46" a="1"/>
  <c r="E110" i="46" s="1"/>
  <c r="E111" i="46" a="1"/>
  <c r="E111" i="46" s="1"/>
  <c r="E112" i="46" a="1"/>
  <c r="E112" i="46" s="1"/>
  <c r="E113" i="46" a="1"/>
  <c r="E113" i="46" s="1"/>
  <c r="E114" i="46" a="1"/>
  <c r="E114" i="46" s="1"/>
  <c r="E115" i="46" a="1"/>
  <c r="E115" i="46" s="1"/>
  <c r="E116" i="46" a="1"/>
  <c r="E116" i="46" s="1"/>
  <c r="E117" i="46" a="1"/>
  <c r="E117" i="46" s="1"/>
  <c r="E118" i="46" a="1"/>
  <c r="E118" i="46" s="1"/>
  <c r="E119" i="46" a="1"/>
  <c r="E119" i="46"/>
  <c r="E120" i="46" a="1"/>
  <c r="E120" i="46" s="1"/>
  <c r="E121" i="46" a="1"/>
  <c r="E121" i="46" s="1"/>
  <c r="E122" i="46" a="1"/>
  <c r="E122" i="46" s="1"/>
  <c r="E123" i="46" a="1"/>
  <c r="E123" i="46" s="1"/>
  <c r="E124" i="46" a="1"/>
  <c r="E124" i="46" s="1"/>
  <c r="E125" i="46" a="1"/>
  <c r="E125" i="46" s="1"/>
  <c r="E126" i="46" a="1"/>
  <c r="E126" i="46" s="1"/>
  <c r="E127" i="46" a="1"/>
  <c r="E127" i="46"/>
  <c r="E128" i="46" a="1"/>
  <c r="E128" i="46" s="1"/>
  <c r="E129" i="46" a="1"/>
  <c r="E129" i="46" s="1"/>
  <c r="E130" i="46" a="1"/>
  <c r="E130" i="46" s="1"/>
  <c r="E131" i="46" a="1"/>
  <c r="E131" i="46"/>
  <c r="E132" i="46" a="1"/>
  <c r="E132" i="46" s="1"/>
  <c r="E133" i="46" a="1"/>
  <c r="E133" i="46" s="1"/>
  <c r="E134" i="46" a="1"/>
  <c r="E134" i="46" s="1"/>
  <c r="E135" i="46" a="1"/>
  <c r="E135" i="46"/>
  <c r="E136" i="46" a="1"/>
  <c r="E136" i="46" s="1"/>
  <c r="E137" i="46" a="1"/>
  <c r="E137" i="46" s="1"/>
  <c r="E138" i="46" a="1"/>
  <c r="E138" i="46" s="1"/>
  <c r="E139" i="46" a="1"/>
  <c r="E139" i="46"/>
  <c r="E140" i="46" a="1"/>
  <c r="E140" i="46" s="1"/>
  <c r="E141" i="46" a="1"/>
  <c r="E141" i="46" s="1"/>
  <c r="E142" i="46" a="1"/>
  <c r="E142" i="46" s="1"/>
  <c r="E143" i="46" a="1"/>
  <c r="E143" i="46" s="1"/>
  <c r="E144" i="46" a="1"/>
  <c r="E144" i="46" s="1"/>
  <c r="E145" i="46" a="1"/>
  <c r="E145" i="46" s="1"/>
  <c r="E146" i="46" a="1"/>
  <c r="E146" i="46" s="1"/>
  <c r="E147" i="46" a="1"/>
  <c r="E147" i="46" s="1"/>
  <c r="E148" i="46" a="1"/>
  <c r="E148" i="46" s="1"/>
  <c r="E149" i="46" a="1"/>
  <c r="E149" i="46" s="1"/>
  <c r="E150" i="46" a="1"/>
  <c r="E150" i="46" s="1"/>
  <c r="E151" i="46" a="1"/>
  <c r="E151" i="46"/>
  <c r="E152" i="46" a="1"/>
  <c r="E152" i="46" s="1"/>
  <c r="E153" i="46" a="1"/>
  <c r="E153" i="46" s="1"/>
  <c r="E154" i="46" a="1"/>
  <c r="E154" i="46" s="1"/>
  <c r="E155" i="46" a="1"/>
  <c r="E155" i="46" s="1"/>
  <c r="E156" i="46" a="1"/>
  <c r="E156" i="46" s="1"/>
  <c r="E157" i="46" a="1"/>
  <c r="E157" i="46" s="1"/>
  <c r="E158" i="46" a="1"/>
  <c r="E158" i="46" s="1"/>
  <c r="E159" i="46" a="1"/>
  <c r="E159" i="46"/>
  <c r="E160" i="46" a="1"/>
  <c r="E160" i="46" s="1"/>
  <c r="E161" i="46" a="1"/>
  <c r="E161" i="46" s="1"/>
  <c r="E162" i="46" a="1"/>
  <c r="E162" i="46" s="1"/>
  <c r="E163" i="46" a="1"/>
  <c r="E163" i="46"/>
  <c r="E164" i="46" a="1"/>
  <c r="E164" i="46" s="1"/>
  <c r="E165" i="46" a="1"/>
  <c r="E165" i="46" s="1"/>
  <c r="E166" i="46" a="1"/>
  <c r="E166" i="46" s="1"/>
  <c r="E167" i="46" a="1"/>
  <c r="E167" i="46"/>
  <c r="E168" i="46" a="1"/>
  <c r="E168" i="46" s="1"/>
  <c r="E169" i="46" a="1"/>
  <c r="E169" i="46" s="1"/>
  <c r="E170" i="46" a="1"/>
  <c r="E170" i="46" s="1"/>
  <c r="E171" i="46" a="1"/>
  <c r="E171" i="46"/>
  <c r="E172" i="46" a="1"/>
  <c r="E172" i="46" s="1"/>
  <c r="E173" i="46" a="1"/>
  <c r="E173" i="46" s="1"/>
  <c r="E174" i="46" a="1"/>
  <c r="E174" i="46" s="1"/>
  <c r="E175" i="46" a="1"/>
  <c r="E175" i="46" s="1"/>
  <c r="E176" i="46" a="1"/>
  <c r="E176" i="46" s="1"/>
  <c r="E177" i="46" a="1"/>
  <c r="E177" i="46" s="1"/>
  <c r="E178" i="46" a="1"/>
  <c r="E178" i="46" s="1"/>
  <c r="E179" i="46" a="1"/>
  <c r="E179" i="46" s="1"/>
  <c r="E180" i="46" a="1"/>
  <c r="E180" i="46" s="1"/>
  <c r="E181" i="46" a="1"/>
  <c r="E181" i="46" s="1"/>
  <c r="E182" i="46" a="1"/>
  <c r="E182" i="46" s="1"/>
  <c r="E183" i="46" a="1"/>
  <c r="E183" i="46"/>
  <c r="E184" i="46" a="1"/>
  <c r="E184" i="46" s="1"/>
  <c r="E185" i="46" a="1"/>
  <c r="E185" i="46" s="1"/>
  <c r="E186" i="46" a="1"/>
  <c r="E186" i="46" s="1"/>
  <c r="E187" i="46" a="1"/>
  <c r="E187" i="46" s="1"/>
  <c r="E188" i="46" a="1"/>
  <c r="E188" i="46" s="1"/>
  <c r="E189" i="46" a="1"/>
  <c r="E189" i="46" s="1"/>
  <c r="E190" i="46" a="1"/>
  <c r="E190" i="46" s="1"/>
  <c r="E191" i="46" a="1"/>
  <c r="E191" i="46"/>
  <c r="E192" i="46" a="1"/>
  <c r="E192" i="46" s="1"/>
  <c r="E193" i="46" a="1"/>
  <c r="E193" i="46" s="1"/>
  <c r="E194" i="46" a="1"/>
  <c r="E194" i="46" s="1"/>
  <c r="E195" i="46" a="1"/>
  <c r="E195" i="46"/>
  <c r="E196" i="46" a="1"/>
  <c r="E196" i="46" s="1"/>
  <c r="E197" i="46" a="1"/>
  <c r="E197" i="46" s="1"/>
  <c r="E198" i="46" a="1"/>
  <c r="E198" i="46" s="1"/>
  <c r="E199" i="46" a="1"/>
  <c r="E199" i="46"/>
  <c r="E200" i="46" a="1"/>
  <c r="E200" i="46" s="1"/>
  <c r="E201" i="46" a="1"/>
  <c r="E201" i="46" s="1"/>
  <c r="E202" i="46" a="1"/>
  <c r="E202" i="46" s="1"/>
  <c r="E203" i="46" a="1"/>
  <c r="E203" i="46"/>
  <c r="E204" i="46" a="1"/>
  <c r="E204" i="46" s="1"/>
  <c r="E205" i="46" a="1"/>
  <c r="E205" i="46" s="1"/>
  <c r="E206" i="46" a="1"/>
  <c r="E206" i="46" s="1"/>
  <c r="E207" i="46" a="1"/>
  <c r="E207" i="46" s="1"/>
  <c r="E208" i="46" a="1"/>
  <c r="E208" i="46" s="1"/>
  <c r="E209" i="46" a="1"/>
  <c r="E209" i="46" s="1"/>
  <c r="E210" i="46" a="1"/>
  <c r="E210" i="46" s="1"/>
  <c r="E211" i="46" a="1"/>
  <c r="E211" i="46" s="1"/>
  <c r="E212" i="46" a="1"/>
  <c r="E212" i="46" s="1"/>
  <c r="E213" i="46" a="1"/>
  <c r="E213" i="46" s="1"/>
  <c r="E214" i="46" a="1"/>
  <c r="E214" i="46" s="1"/>
  <c r="E215" i="46" a="1"/>
  <c r="E215" i="46"/>
  <c r="E216" i="46" a="1"/>
  <c r="E216" i="46" s="1"/>
  <c r="E217" i="46" a="1"/>
  <c r="E217" i="46" s="1"/>
  <c r="E218" i="46" a="1"/>
  <c r="E218" i="46" s="1"/>
  <c r="E219" i="46" a="1"/>
  <c r="E219" i="46" s="1"/>
  <c r="E220" i="46" a="1"/>
  <c r="E220" i="46" s="1"/>
  <c r="E221" i="46" a="1"/>
  <c r="E221" i="46" s="1"/>
  <c r="E222" i="46" a="1"/>
  <c r="E222" i="46" s="1"/>
  <c r="E223" i="46" a="1"/>
  <c r="E223" i="46"/>
  <c r="E224" i="46" a="1"/>
  <c r="E224" i="46" s="1"/>
  <c r="E225" i="46" a="1"/>
  <c r="E225" i="46" s="1"/>
  <c r="E226" i="46" a="1"/>
  <c r="E226" i="46" s="1"/>
  <c r="E227" i="46" a="1"/>
  <c r="E227" i="46"/>
  <c r="E228" i="46" a="1"/>
  <c r="E228" i="46" s="1"/>
  <c r="E229" i="46" a="1"/>
  <c r="E229" i="46" s="1"/>
  <c r="E230" i="46" a="1"/>
  <c r="E230" i="46" s="1"/>
  <c r="E231" i="46" a="1"/>
  <c r="E231" i="46"/>
  <c r="E232" i="46" a="1"/>
  <c r="E232" i="46" s="1"/>
  <c r="E233" i="46" a="1"/>
  <c r="E233" i="46" s="1"/>
  <c r="E234" i="46" a="1"/>
  <c r="E234" i="46" s="1"/>
  <c r="E235" i="46" a="1"/>
  <c r="E235" i="46"/>
  <c r="E236" i="46" a="1"/>
  <c r="E236" i="46" s="1"/>
  <c r="E237" i="46" a="1"/>
  <c r="E237" i="46" s="1"/>
  <c r="E238" i="46" a="1"/>
  <c r="E238" i="46" s="1"/>
  <c r="E239" i="46" a="1"/>
  <c r="E239" i="46" s="1"/>
  <c r="E240" i="46" a="1"/>
  <c r="E240" i="46" s="1"/>
  <c r="E241" i="46" a="1"/>
  <c r="E241" i="46" s="1"/>
  <c r="E242" i="46" a="1"/>
  <c r="E242" i="46" s="1"/>
  <c r="E243" i="46" a="1"/>
  <c r="E243" i="46" s="1"/>
  <c r="E244" i="46" a="1"/>
  <c r="E244" i="46" s="1"/>
  <c r="E245" i="46" a="1"/>
  <c r="E245" i="46" s="1"/>
  <c r="E246" i="46" a="1"/>
  <c r="E246" i="46" s="1"/>
  <c r="E247" i="46" a="1"/>
  <c r="E247" i="46" s="1"/>
  <c r="E248" i="46" a="1"/>
  <c r="E248" i="46" s="1"/>
  <c r="E249" i="46" a="1"/>
  <c r="E249" i="46" s="1"/>
  <c r="E250" i="46" a="1"/>
  <c r="E250" i="46" s="1"/>
  <c r="E251" i="46" a="1"/>
  <c r="E251" i="46" s="1"/>
  <c r="E252" i="46" a="1"/>
  <c r="E252" i="46" s="1"/>
  <c r="E253" i="46" a="1"/>
  <c r="E253" i="46" s="1"/>
  <c r="E254" i="46" a="1"/>
  <c r="E254" i="46" s="1"/>
  <c r="E255" i="46" a="1"/>
  <c r="E255" i="46"/>
  <c r="E256" i="46" a="1"/>
  <c r="E256" i="46" s="1"/>
  <c r="E257" i="46" a="1"/>
  <c r="E257" i="46" s="1"/>
  <c r="E258" i="46" a="1"/>
  <c r="E258" i="46" s="1"/>
  <c r="E259" i="46" a="1"/>
  <c r="E259" i="46"/>
  <c r="E260" i="46" a="1"/>
  <c r="E260" i="46" s="1"/>
  <c r="E261" i="46" a="1"/>
  <c r="E261" i="46" s="1"/>
  <c r="E262" i="46" a="1"/>
  <c r="E262" i="46" s="1"/>
  <c r="E263" i="46" a="1"/>
  <c r="E263" i="46"/>
  <c r="E264" i="46" a="1"/>
  <c r="E264" i="46" s="1"/>
  <c r="E265" i="46" a="1"/>
  <c r="E265" i="46" s="1"/>
  <c r="E266" i="46" a="1"/>
  <c r="E266" i="46" s="1"/>
  <c r="E267" i="46" a="1"/>
  <c r="E267" i="46"/>
  <c r="E268" i="46" a="1"/>
  <c r="E268" i="46" s="1"/>
  <c r="E269" i="46" a="1"/>
  <c r="E269" i="46" s="1"/>
  <c r="E270" i="46" a="1"/>
  <c r="E270" i="46" s="1"/>
  <c r="E271" i="46" a="1"/>
  <c r="E271" i="46" s="1"/>
  <c r="E272" i="46" a="1"/>
  <c r="E272" i="46" s="1"/>
  <c r="E273" i="46" a="1"/>
  <c r="E273" i="46" s="1"/>
  <c r="E274" i="46" a="1"/>
  <c r="E274" i="46" s="1"/>
  <c r="E275" i="46" a="1"/>
  <c r="E275" i="46" s="1"/>
  <c r="E276" i="46" a="1"/>
  <c r="E276" i="46" s="1"/>
  <c r="E277" i="46" a="1"/>
  <c r="E277" i="46" s="1"/>
  <c r="E278" i="46" a="1"/>
  <c r="E278" i="46" s="1"/>
  <c r="E279" i="46" a="1"/>
  <c r="E279" i="46" s="1"/>
  <c r="E280" i="46" a="1"/>
  <c r="E280" i="46" s="1"/>
  <c r="E281" i="46" a="1"/>
  <c r="E281" i="46" s="1"/>
  <c r="E282" i="46" a="1"/>
  <c r="E282" i="46" s="1"/>
  <c r="E283" i="46" a="1"/>
  <c r="E283" i="46" s="1"/>
  <c r="E284" i="46" a="1"/>
  <c r="E284" i="46" s="1"/>
  <c r="E285" i="46" a="1"/>
  <c r="E285" i="46"/>
  <c r="E286" i="46" a="1"/>
  <c r="E286" i="46" s="1"/>
  <c r="E287" i="46" a="1"/>
  <c r="E287" i="46"/>
  <c r="E288" i="46" a="1"/>
  <c r="E288" i="46" s="1"/>
  <c r="E289" i="46" a="1"/>
  <c r="E289" i="46"/>
  <c r="E290" i="46" a="1"/>
  <c r="E290" i="46" s="1"/>
  <c r="E291" i="46" a="1"/>
  <c r="E291" i="46"/>
  <c r="E292" i="46" a="1"/>
  <c r="E292" i="46" s="1"/>
  <c r="E293" i="46" a="1"/>
  <c r="E293" i="46" s="1"/>
  <c r="E294" i="46" a="1"/>
  <c r="E294" i="46" s="1"/>
  <c r="E295" i="46" a="1"/>
  <c r="E295" i="46" s="1"/>
  <c r="E296" i="46" a="1"/>
  <c r="E296" i="46" s="1"/>
  <c r="E297" i="46" a="1"/>
  <c r="E297" i="46" s="1"/>
  <c r="E298" i="46" a="1"/>
  <c r="E298" i="46" s="1"/>
  <c r="E299" i="46" a="1"/>
  <c r="E299" i="46" s="1"/>
  <c r="E300" i="46" a="1"/>
  <c r="E300" i="46" s="1"/>
  <c r="E301" i="46" a="1"/>
  <c r="E301" i="46"/>
  <c r="E302" i="46" a="1"/>
  <c r="E302" i="46" s="1"/>
  <c r="E303" i="46" a="1"/>
  <c r="E303" i="46"/>
  <c r="E304" i="46" a="1"/>
  <c r="E304" i="46" s="1"/>
  <c r="E305" i="46" a="1"/>
  <c r="E305" i="46"/>
  <c r="E306" i="46" a="1"/>
  <c r="E306" i="46" s="1"/>
  <c r="E307" i="46" a="1"/>
  <c r="E307" i="46"/>
  <c r="E308" i="46" a="1"/>
  <c r="E308" i="46" s="1"/>
  <c r="E309" i="46" a="1"/>
  <c r="E309" i="46" s="1"/>
  <c r="E310" i="46" a="1"/>
  <c r="E310" i="46" s="1"/>
  <c r="E311" i="46" a="1"/>
  <c r="E311" i="46" s="1"/>
  <c r="E312" i="46" a="1"/>
  <c r="E312" i="46" s="1"/>
  <c r="E313" i="46" a="1"/>
  <c r="E313" i="46" s="1"/>
  <c r="E314" i="46" a="1"/>
  <c r="E314" i="46" s="1"/>
  <c r="E315" i="46" a="1"/>
  <c r="E315" i="46" s="1"/>
  <c r="E316" i="46" a="1"/>
  <c r="E316" i="46" s="1"/>
  <c r="E317" i="46" a="1"/>
  <c r="E317" i="46"/>
  <c r="E318" i="46" a="1"/>
  <c r="E318" i="46" s="1"/>
  <c r="E319" i="46" a="1"/>
  <c r="E319" i="46"/>
  <c r="E320" i="46" a="1"/>
  <c r="E320" i="46" s="1"/>
  <c r="E321" i="46" a="1"/>
  <c r="E321" i="46"/>
  <c r="E322" i="46" a="1"/>
  <c r="E322" i="46" s="1"/>
  <c r="E323" i="46" a="1"/>
  <c r="E323" i="46"/>
  <c r="E324" i="46" a="1"/>
  <c r="E324" i="46" s="1"/>
  <c r="E325" i="46" a="1"/>
  <c r="E325" i="46" s="1"/>
  <c r="E326" i="46" a="1"/>
  <c r="E326" i="46" s="1"/>
  <c r="E327" i="46" a="1"/>
  <c r="E327" i="46" s="1"/>
  <c r="E328" i="46" a="1"/>
  <c r="E328" i="46" s="1"/>
  <c r="E329" i="46" a="1"/>
  <c r="E329" i="46" s="1"/>
  <c r="E330" i="46" a="1"/>
  <c r="E330" i="46" s="1"/>
  <c r="E331" i="46" a="1"/>
  <c r="E331" i="46" s="1"/>
  <c r="E332" i="46" a="1"/>
  <c r="E332" i="46" s="1"/>
  <c r="E333" i="46" a="1"/>
  <c r="E333" i="46"/>
  <c r="E334" i="46" a="1"/>
  <c r="E334" i="46" s="1"/>
  <c r="E335" i="46" a="1"/>
  <c r="E335" i="46"/>
  <c r="E336" i="46" a="1"/>
  <c r="E336" i="46" s="1"/>
  <c r="E337" i="46" a="1"/>
  <c r="E337" i="46"/>
  <c r="E338" i="46" a="1"/>
  <c r="E338" i="46" s="1"/>
  <c r="E339" i="46" a="1"/>
  <c r="E339" i="46"/>
  <c r="E340" i="46" a="1"/>
  <c r="E340" i="46" s="1"/>
  <c r="E341" i="46" a="1"/>
  <c r="E341" i="46" s="1"/>
  <c r="E342" i="46" a="1"/>
  <c r="E342" i="46" s="1"/>
  <c r="E343" i="46" a="1"/>
  <c r="E343" i="46" s="1"/>
  <c r="E344" i="46" a="1"/>
  <c r="E344" i="46" s="1"/>
  <c r="E345" i="46" a="1"/>
  <c r="E345" i="46" s="1"/>
  <c r="E346" i="46" a="1"/>
  <c r="E346" i="46" s="1"/>
  <c r="E347" i="46" a="1"/>
  <c r="E347" i="46" s="1"/>
  <c r="E348" i="46" a="1"/>
  <c r="E348" i="46" s="1"/>
  <c r="E349" i="46" a="1"/>
  <c r="E349" i="46"/>
  <c r="E350" i="46" a="1"/>
  <c r="E350" i="46"/>
  <c r="E351" i="46" a="1"/>
  <c r="E351" i="46" s="1"/>
  <c r="E352" i="46" a="1"/>
  <c r="E352" i="46" s="1"/>
  <c r="E353" i="46" a="1"/>
  <c r="E353" i="46"/>
  <c r="E354" i="46" a="1"/>
  <c r="E354" i="46"/>
  <c r="E355" i="46" a="1"/>
  <c r="E355" i="46" s="1"/>
  <c r="E356" i="46" a="1"/>
  <c r="E356" i="46" s="1"/>
  <c r="E357" i="46" a="1"/>
  <c r="E357" i="46"/>
  <c r="E358" i="46" a="1"/>
  <c r="E358" i="46"/>
  <c r="B25" i="46"/>
  <c r="B29" i="46" s="1"/>
  <c r="B33" i="46" s="1"/>
  <c r="B37" i="46" s="1"/>
  <c r="B41" i="46" s="1"/>
  <c r="B45" i="46" s="1"/>
  <c r="B49" i="46" s="1"/>
  <c r="B53" i="46" s="1"/>
  <c r="B57" i="46" s="1"/>
  <c r="B61" i="46" s="1"/>
  <c r="B65" i="46" s="1"/>
  <c r="B69" i="46" s="1"/>
  <c r="B73" i="46" s="1"/>
  <c r="B77" i="46" s="1"/>
  <c r="B81" i="46" s="1"/>
  <c r="B85" i="46" s="1"/>
  <c r="B89" i="46" s="1"/>
  <c r="B93" i="46" s="1"/>
  <c r="B97" i="46" s="1"/>
  <c r="B101" i="46" s="1"/>
  <c r="B105" i="46" s="1"/>
  <c r="B109" i="46" s="1"/>
  <c r="B113" i="46" s="1"/>
  <c r="B117" i="46" s="1"/>
  <c r="B121" i="46" s="1"/>
  <c r="B125" i="46" s="1"/>
  <c r="B129" i="46" s="1"/>
  <c r="B133" i="46" s="1"/>
  <c r="B137" i="46" s="1"/>
  <c r="B141" i="46" s="1"/>
  <c r="B145" i="46" s="1"/>
  <c r="B149" i="46" s="1"/>
  <c r="B153" i="46" s="1"/>
  <c r="B157" i="46" s="1"/>
  <c r="B161" i="46" s="1"/>
  <c r="B165" i="46" s="1"/>
  <c r="B169" i="46" s="1"/>
  <c r="B173" i="46" s="1"/>
  <c r="B177" i="46" s="1"/>
  <c r="B181" i="46" s="1"/>
  <c r="B185" i="46" s="1"/>
  <c r="B189" i="46" s="1"/>
  <c r="B193" i="46" s="1"/>
  <c r="B197" i="46" s="1"/>
  <c r="B201" i="46" s="1"/>
  <c r="B205" i="46" s="1"/>
  <c r="B209" i="46" s="1"/>
  <c r="B213" i="46" s="1"/>
  <c r="B217" i="46" s="1"/>
  <c r="B221" i="46" s="1"/>
  <c r="B225" i="46" s="1"/>
  <c r="B229" i="46" s="1"/>
  <c r="B233" i="46" s="1"/>
  <c r="B237" i="46" s="1"/>
  <c r="B241" i="46" s="1"/>
  <c r="B245" i="46" s="1"/>
  <c r="B249" i="46" s="1"/>
  <c r="B253" i="46" s="1"/>
  <c r="B257" i="46" s="1"/>
  <c r="B261" i="46" s="1"/>
  <c r="B265" i="46" s="1"/>
  <c r="B269" i="46" s="1"/>
  <c r="B273" i="46" s="1"/>
  <c r="B277" i="46" s="1"/>
  <c r="B281" i="46" s="1"/>
  <c r="B285" i="46" s="1"/>
  <c r="B289" i="46" s="1"/>
  <c r="B293" i="46" s="1"/>
  <c r="B297" i="46" s="1"/>
  <c r="B301" i="46" s="1"/>
  <c r="B305" i="46" s="1"/>
  <c r="B309" i="46" s="1"/>
  <c r="B313" i="46" s="1"/>
  <c r="B317" i="46" s="1"/>
  <c r="B321" i="46" s="1"/>
  <c r="B325" i="46" s="1"/>
  <c r="B329" i="46" s="1"/>
  <c r="B333" i="46" s="1"/>
  <c r="B337" i="46" s="1"/>
  <c r="B341" i="46" s="1"/>
  <c r="B345" i="46" s="1"/>
  <c r="B349" i="46" s="1"/>
  <c r="B353" i="46" s="1"/>
  <c r="B357" i="46" s="1"/>
  <c r="B18" i="46"/>
  <c r="B22" i="46" s="1"/>
  <c r="B26" i="46" s="1"/>
  <c r="B30" i="46" s="1"/>
  <c r="B34" i="46" s="1"/>
  <c r="B38" i="46" s="1"/>
  <c r="B42" i="46" s="1"/>
  <c r="B46" i="46" s="1"/>
  <c r="B50" i="46" s="1"/>
  <c r="B54" i="46" s="1"/>
  <c r="B58" i="46" s="1"/>
  <c r="B62" i="46" s="1"/>
  <c r="B66" i="46" s="1"/>
  <c r="B70" i="46" s="1"/>
  <c r="B74" i="46" s="1"/>
  <c r="B78" i="46" s="1"/>
  <c r="B82" i="46" s="1"/>
  <c r="B86" i="46" s="1"/>
  <c r="B90" i="46" s="1"/>
  <c r="B94" i="46" s="1"/>
  <c r="B98" i="46" s="1"/>
  <c r="B102" i="46" s="1"/>
  <c r="B106" i="46" s="1"/>
  <c r="B110" i="46" s="1"/>
  <c r="B114" i="46" s="1"/>
  <c r="B118" i="46" s="1"/>
  <c r="B122" i="46" s="1"/>
  <c r="B126" i="46" s="1"/>
  <c r="B130" i="46" s="1"/>
  <c r="B134" i="46" s="1"/>
  <c r="B138" i="46" s="1"/>
  <c r="B142" i="46" s="1"/>
  <c r="B146" i="46" s="1"/>
  <c r="B150" i="46" s="1"/>
  <c r="B154" i="46" s="1"/>
  <c r="B158" i="46" s="1"/>
  <c r="B162" i="46" s="1"/>
  <c r="B166" i="46" s="1"/>
  <c r="B170" i="46" s="1"/>
  <c r="B174" i="46" s="1"/>
  <c r="B178" i="46" s="1"/>
  <c r="B182" i="46" s="1"/>
  <c r="B186" i="46" s="1"/>
  <c r="B190" i="46" s="1"/>
  <c r="B194" i="46" s="1"/>
  <c r="B198" i="46" s="1"/>
  <c r="B202" i="46" s="1"/>
  <c r="B206" i="46" s="1"/>
  <c r="B210" i="46" s="1"/>
  <c r="B214" i="46" s="1"/>
  <c r="B218" i="46" s="1"/>
  <c r="B222" i="46" s="1"/>
  <c r="B226" i="46" s="1"/>
  <c r="B230" i="46" s="1"/>
  <c r="B234" i="46" s="1"/>
  <c r="B238" i="46" s="1"/>
  <c r="B242" i="46" s="1"/>
  <c r="B246" i="46" s="1"/>
  <c r="B250" i="46" s="1"/>
  <c r="B254" i="46" s="1"/>
  <c r="B258" i="46" s="1"/>
  <c r="B262" i="46" s="1"/>
  <c r="B266" i="46" s="1"/>
  <c r="B270" i="46" s="1"/>
  <c r="B274" i="46" s="1"/>
  <c r="B278" i="46" s="1"/>
  <c r="B282" i="46" s="1"/>
  <c r="B286" i="46" s="1"/>
  <c r="B290" i="46" s="1"/>
  <c r="B294" i="46" s="1"/>
  <c r="B298" i="46" s="1"/>
  <c r="B302" i="46" s="1"/>
  <c r="B306" i="46" s="1"/>
  <c r="B310" i="46" s="1"/>
  <c r="B314" i="46" s="1"/>
  <c r="B318" i="46" s="1"/>
  <c r="B322" i="46" s="1"/>
  <c r="B326" i="46" s="1"/>
  <c r="B330" i="46" s="1"/>
  <c r="B334" i="46" s="1"/>
  <c r="B338" i="46" s="1"/>
  <c r="B342" i="46" s="1"/>
  <c r="B346" i="46" s="1"/>
  <c r="B350" i="46" s="1"/>
  <c r="B354" i="46" s="1"/>
  <c r="B358" i="46" s="1"/>
  <c r="B17" i="46"/>
  <c r="B21" i="46" s="1"/>
  <c r="B14" i="46"/>
  <c r="B13" i="46"/>
  <c r="B12" i="46"/>
  <c r="B16" i="46" s="1"/>
  <c r="B20" i="46" s="1"/>
  <c r="B24" i="46" s="1"/>
  <c r="B28" i="46" s="1"/>
  <c r="B32" i="46" s="1"/>
  <c r="B36" i="46" s="1"/>
  <c r="B40" i="46" s="1"/>
  <c r="B44" i="46" s="1"/>
  <c r="B48" i="46" s="1"/>
  <c r="B52" i="46" s="1"/>
  <c r="B56" i="46" s="1"/>
  <c r="B60" i="46" s="1"/>
  <c r="B64" i="46" s="1"/>
  <c r="B68" i="46" s="1"/>
  <c r="B72" i="46" s="1"/>
  <c r="B76" i="46" s="1"/>
  <c r="B80" i="46" s="1"/>
  <c r="B84" i="46" s="1"/>
  <c r="B88" i="46" s="1"/>
  <c r="B92" i="46" s="1"/>
  <c r="B96" i="46" s="1"/>
  <c r="B100" i="46" s="1"/>
  <c r="B104" i="46" s="1"/>
  <c r="B108" i="46" s="1"/>
  <c r="B112" i="46" s="1"/>
  <c r="B116" i="46" s="1"/>
  <c r="B120" i="46" s="1"/>
  <c r="B124" i="46" s="1"/>
  <c r="B128" i="46" s="1"/>
  <c r="B132" i="46" s="1"/>
  <c r="B136" i="46" s="1"/>
  <c r="B140" i="46" s="1"/>
  <c r="B144" i="46" s="1"/>
  <c r="B148" i="46" s="1"/>
  <c r="B152" i="46" s="1"/>
  <c r="B156" i="46" s="1"/>
  <c r="B160" i="46" s="1"/>
  <c r="B164" i="46" s="1"/>
  <c r="B168" i="46" s="1"/>
  <c r="B172" i="46" s="1"/>
  <c r="B176" i="46" s="1"/>
  <c r="B180" i="46" s="1"/>
  <c r="B184" i="46" s="1"/>
  <c r="B188" i="46" s="1"/>
  <c r="B192" i="46" s="1"/>
  <c r="B196" i="46" s="1"/>
  <c r="B200" i="46" s="1"/>
  <c r="B204" i="46" s="1"/>
  <c r="B208" i="46" s="1"/>
  <c r="B212" i="46" s="1"/>
  <c r="B216" i="46" s="1"/>
  <c r="B220" i="46" s="1"/>
  <c r="B224" i="46" s="1"/>
  <c r="B228" i="46" s="1"/>
  <c r="B232" i="46" s="1"/>
  <c r="B236" i="46" s="1"/>
  <c r="B240" i="46" s="1"/>
  <c r="B244" i="46" s="1"/>
  <c r="B248" i="46" s="1"/>
  <c r="B252" i="46" s="1"/>
  <c r="B256" i="46" s="1"/>
  <c r="B260" i="46" s="1"/>
  <c r="B264" i="46" s="1"/>
  <c r="B268" i="46" s="1"/>
  <c r="B272" i="46" s="1"/>
  <c r="B276" i="46" s="1"/>
  <c r="B280" i="46" s="1"/>
  <c r="B284" i="46" s="1"/>
  <c r="B288" i="46" s="1"/>
  <c r="B292" i="46" s="1"/>
  <c r="B296" i="46" s="1"/>
  <c r="B300" i="46" s="1"/>
  <c r="B304" i="46" s="1"/>
  <c r="B308" i="46" s="1"/>
  <c r="B312" i="46" s="1"/>
  <c r="B316" i="46" s="1"/>
  <c r="B320" i="46" s="1"/>
  <c r="B324" i="46" s="1"/>
  <c r="B328" i="46" s="1"/>
  <c r="B332" i="46" s="1"/>
  <c r="B336" i="46" s="1"/>
  <c r="B340" i="46" s="1"/>
  <c r="B344" i="46" s="1"/>
  <c r="B348" i="46" s="1"/>
  <c r="B352" i="46" s="1"/>
  <c r="B356" i="46" s="1"/>
  <c r="B15" i="46"/>
  <c r="B19" i="46" s="1"/>
  <c r="B23" i="46" s="1"/>
  <c r="B27" i="46" s="1"/>
  <c r="B31" i="46" s="1"/>
  <c r="B35" i="46" s="1"/>
  <c r="B39" i="46" s="1"/>
  <c r="B43" i="46" s="1"/>
  <c r="B47" i="46" s="1"/>
  <c r="B51" i="46" s="1"/>
  <c r="B55" i="46" s="1"/>
  <c r="B59" i="46" s="1"/>
  <c r="B63" i="46" s="1"/>
  <c r="B67" i="46" s="1"/>
  <c r="B71" i="46" s="1"/>
  <c r="B75" i="46" s="1"/>
  <c r="B79" i="46" s="1"/>
  <c r="B83" i="46" s="1"/>
  <c r="B87" i="46" s="1"/>
  <c r="B91" i="46" s="1"/>
  <c r="B95" i="46" s="1"/>
  <c r="B99" i="46" s="1"/>
  <c r="B103" i="46" s="1"/>
  <c r="B107" i="46" s="1"/>
  <c r="B111" i="46" s="1"/>
  <c r="B115" i="46" s="1"/>
  <c r="B119" i="46" s="1"/>
  <c r="B123" i="46" s="1"/>
  <c r="B127" i="46" s="1"/>
  <c r="B131" i="46" s="1"/>
  <c r="B135" i="46" s="1"/>
  <c r="B139" i="46" s="1"/>
  <c r="B143" i="46" s="1"/>
  <c r="B147" i="46" s="1"/>
  <c r="B151" i="46" s="1"/>
  <c r="B155" i="46" s="1"/>
  <c r="B159" i="46" s="1"/>
  <c r="B163" i="46" s="1"/>
  <c r="B167" i="46" s="1"/>
  <c r="B171" i="46" s="1"/>
  <c r="B175" i="46" s="1"/>
  <c r="B179" i="46" s="1"/>
  <c r="B183" i="46" s="1"/>
  <c r="B187" i="46" s="1"/>
  <c r="B191" i="46" s="1"/>
  <c r="B195" i="46" s="1"/>
  <c r="B199" i="46" s="1"/>
  <c r="B203" i="46" s="1"/>
  <c r="B207" i="46" s="1"/>
  <c r="B211" i="46" s="1"/>
  <c r="B215" i="46" s="1"/>
  <c r="B219" i="46" s="1"/>
  <c r="B223" i="46" s="1"/>
  <c r="B227" i="46" s="1"/>
  <c r="B231" i="46" s="1"/>
  <c r="B235" i="46" s="1"/>
  <c r="B239" i="46" s="1"/>
  <c r="B243" i="46" s="1"/>
  <c r="B247" i="46" s="1"/>
  <c r="B251" i="46" s="1"/>
  <c r="B255" i="46" s="1"/>
  <c r="B259" i="46" s="1"/>
  <c r="B263" i="46" s="1"/>
  <c r="B267" i="46" s="1"/>
  <c r="B271" i="46" s="1"/>
  <c r="B275" i="46" s="1"/>
  <c r="B279" i="46" s="1"/>
  <c r="B283" i="46" s="1"/>
  <c r="B287" i="46" s="1"/>
  <c r="B291" i="46" s="1"/>
  <c r="B295" i="46" s="1"/>
  <c r="B299" i="46" s="1"/>
  <c r="B303" i="46" s="1"/>
  <c r="B307" i="46" s="1"/>
  <c r="B311" i="46" s="1"/>
  <c r="B315" i="46" s="1"/>
  <c r="B319" i="46" s="1"/>
  <c r="B323" i="46" s="1"/>
  <c r="B327" i="46" s="1"/>
  <c r="B331" i="46" s="1"/>
  <c r="B335" i="46" s="1"/>
  <c r="B339" i="46" s="1"/>
  <c r="B343" i="46" s="1"/>
  <c r="B347" i="46" s="1"/>
  <c r="B351" i="46" s="1"/>
  <c r="B355" i="46" s="1"/>
  <c r="A12" i="46"/>
  <c r="A16" i="46" s="1"/>
  <c r="A20" i="46" s="1"/>
  <c r="A24" i="46" s="1"/>
  <c r="A28" i="46" s="1"/>
  <c r="A32" i="46" s="1"/>
  <c r="A36" i="46" s="1"/>
  <c r="A40" i="46" s="1"/>
  <c r="A44" i="46" s="1"/>
  <c r="A48" i="46" s="1"/>
  <c r="A52" i="46" s="1"/>
  <c r="A56" i="46" s="1"/>
  <c r="A60" i="46" s="1"/>
  <c r="A64" i="46" s="1"/>
  <c r="A68" i="46" s="1"/>
  <c r="A72" i="46" s="1"/>
  <c r="A76" i="46" s="1"/>
  <c r="A80" i="46" s="1"/>
  <c r="A84" i="46" s="1"/>
  <c r="A88" i="46" s="1"/>
  <c r="A92" i="46" s="1"/>
  <c r="A96" i="46" s="1"/>
  <c r="A100" i="46" s="1"/>
  <c r="A104" i="46" s="1"/>
  <c r="A108" i="46" s="1"/>
  <c r="A112" i="46" s="1"/>
  <c r="A116" i="46" s="1"/>
  <c r="A120" i="46" s="1"/>
  <c r="A124" i="46" s="1"/>
  <c r="A128" i="46" s="1"/>
  <c r="A132" i="46" s="1"/>
  <c r="A136" i="46" s="1"/>
  <c r="A140" i="46" s="1"/>
  <c r="A144" i="46" s="1"/>
  <c r="A148" i="46" s="1"/>
  <c r="A152" i="46" s="1"/>
  <c r="A156" i="46" s="1"/>
  <c r="A160" i="46" s="1"/>
  <c r="A164" i="46" s="1"/>
  <c r="A168" i="46" s="1"/>
  <c r="A172" i="46" s="1"/>
  <c r="A176" i="46" s="1"/>
  <c r="A180" i="46" s="1"/>
  <c r="A184" i="46" s="1"/>
  <c r="A188" i="46" s="1"/>
  <c r="A192" i="46" s="1"/>
  <c r="A196" i="46" s="1"/>
  <c r="A200" i="46" s="1"/>
  <c r="A204" i="46" s="1"/>
  <c r="A208" i="46" s="1"/>
  <c r="A212" i="46" s="1"/>
  <c r="A216" i="46" s="1"/>
  <c r="A220" i="46" s="1"/>
  <c r="A224" i="46" s="1"/>
  <c r="A228" i="46" s="1"/>
  <c r="A232" i="46" s="1"/>
  <c r="A236" i="46" s="1"/>
  <c r="A240" i="46" s="1"/>
  <c r="A244" i="46" s="1"/>
  <c r="A248" i="46" s="1"/>
  <c r="A252" i="46" s="1"/>
  <c r="A256" i="46" s="1"/>
  <c r="A260" i="46" s="1"/>
  <c r="A264" i="46" s="1"/>
  <c r="A268" i="46" s="1"/>
  <c r="A272" i="46" s="1"/>
  <c r="A276" i="46" s="1"/>
  <c r="A280" i="46" s="1"/>
  <c r="A284" i="46" s="1"/>
  <c r="A288" i="46" s="1"/>
  <c r="A292" i="46" s="1"/>
  <c r="A296" i="46" s="1"/>
  <c r="A300" i="46" s="1"/>
  <c r="A304" i="46" s="1"/>
  <c r="A308" i="46" s="1"/>
  <c r="A312" i="46" s="1"/>
  <c r="A316" i="46" s="1"/>
  <c r="A320" i="46" s="1"/>
  <c r="A324" i="46" s="1"/>
  <c r="A328" i="46" s="1"/>
  <c r="A332" i="46" s="1"/>
  <c r="A336" i="46" s="1"/>
  <c r="A340" i="46" s="1"/>
  <c r="A344" i="46" s="1"/>
  <c r="A348" i="46" s="1"/>
  <c r="A352" i="46" s="1"/>
  <c r="A356" i="46" s="1"/>
  <c r="A13" i="46"/>
  <c r="A17" i="46" s="1"/>
  <c r="A21" i="46" s="1"/>
  <c r="A25" i="46" s="1"/>
  <c r="A29" i="46" s="1"/>
  <c r="A33" i="46" s="1"/>
  <c r="A37" i="46" s="1"/>
  <c r="A41" i="46" s="1"/>
  <c r="A45" i="46" s="1"/>
  <c r="A49" i="46" s="1"/>
  <c r="A53" i="46" s="1"/>
  <c r="A57" i="46" s="1"/>
  <c r="A61" i="46" s="1"/>
  <c r="A65" i="46" s="1"/>
  <c r="A69" i="46" s="1"/>
  <c r="A73" i="46" s="1"/>
  <c r="A77" i="46" s="1"/>
  <c r="A81" i="46" s="1"/>
  <c r="A85" i="46" s="1"/>
  <c r="A89" i="46" s="1"/>
  <c r="A93" i="46" s="1"/>
  <c r="A97" i="46" s="1"/>
  <c r="A101" i="46" s="1"/>
  <c r="A105" i="46" s="1"/>
  <c r="A109" i="46" s="1"/>
  <c r="A113" i="46" s="1"/>
  <c r="A117" i="46" s="1"/>
  <c r="A121" i="46" s="1"/>
  <c r="A125" i="46" s="1"/>
  <c r="A129" i="46" s="1"/>
  <c r="A133" i="46" s="1"/>
  <c r="A137" i="46" s="1"/>
  <c r="A141" i="46" s="1"/>
  <c r="A145" i="46" s="1"/>
  <c r="A149" i="46" s="1"/>
  <c r="A153" i="46" s="1"/>
  <c r="A157" i="46" s="1"/>
  <c r="A161" i="46" s="1"/>
  <c r="A165" i="46" s="1"/>
  <c r="A169" i="46" s="1"/>
  <c r="A173" i="46" s="1"/>
  <c r="A177" i="46" s="1"/>
  <c r="A181" i="46" s="1"/>
  <c r="A185" i="46" s="1"/>
  <c r="A189" i="46" s="1"/>
  <c r="A193" i="46" s="1"/>
  <c r="A197" i="46" s="1"/>
  <c r="A201" i="46" s="1"/>
  <c r="A205" i="46" s="1"/>
  <c r="A209" i="46" s="1"/>
  <c r="A213" i="46" s="1"/>
  <c r="A217" i="46" s="1"/>
  <c r="A221" i="46" s="1"/>
  <c r="A225" i="46" s="1"/>
  <c r="A229" i="46" s="1"/>
  <c r="A233" i="46" s="1"/>
  <c r="A237" i="46" s="1"/>
  <c r="A241" i="46" s="1"/>
  <c r="A245" i="46" s="1"/>
  <c r="A249" i="46" s="1"/>
  <c r="A253" i="46" s="1"/>
  <c r="A257" i="46" s="1"/>
  <c r="A261" i="46" s="1"/>
  <c r="A265" i="46" s="1"/>
  <c r="A269" i="46" s="1"/>
  <c r="A273" i="46" s="1"/>
  <c r="A277" i="46" s="1"/>
  <c r="A281" i="46" s="1"/>
  <c r="A285" i="46" s="1"/>
  <c r="A289" i="46" s="1"/>
  <c r="A293" i="46" s="1"/>
  <c r="A297" i="46" s="1"/>
  <c r="A301" i="46" s="1"/>
  <c r="A305" i="46" s="1"/>
  <c r="A309" i="46" s="1"/>
  <c r="A313" i="46" s="1"/>
  <c r="A317" i="46" s="1"/>
  <c r="A321" i="46" s="1"/>
  <c r="A325" i="46" s="1"/>
  <c r="A329" i="46" s="1"/>
  <c r="A333" i="46" s="1"/>
  <c r="A337" i="46" s="1"/>
  <c r="A341" i="46" s="1"/>
  <c r="A345" i="46" s="1"/>
  <c r="A349" i="46" s="1"/>
  <c r="A353" i="46" s="1"/>
  <c r="A357" i="46" s="1"/>
  <c r="A14" i="46"/>
  <c r="A18" i="46" s="1"/>
  <c r="A22" i="46" s="1"/>
  <c r="A26" i="46" s="1"/>
  <c r="A30" i="46" s="1"/>
  <c r="A34" i="46" s="1"/>
  <c r="A38" i="46" s="1"/>
  <c r="A42" i="46" s="1"/>
  <c r="A46" i="46" s="1"/>
  <c r="A50" i="46" s="1"/>
  <c r="A54" i="46" s="1"/>
  <c r="A58" i="46" s="1"/>
  <c r="A62" i="46" s="1"/>
  <c r="A66" i="46" s="1"/>
  <c r="A70" i="46" s="1"/>
  <c r="A74" i="46" s="1"/>
  <c r="A78" i="46" s="1"/>
  <c r="A82" i="46" s="1"/>
  <c r="A86" i="46" s="1"/>
  <c r="A90" i="46" s="1"/>
  <c r="A94" i="46" s="1"/>
  <c r="A98" i="46" s="1"/>
  <c r="A102" i="46" s="1"/>
  <c r="A106" i="46" s="1"/>
  <c r="A110" i="46" s="1"/>
  <c r="A114" i="46" s="1"/>
  <c r="A118" i="46" s="1"/>
  <c r="A122" i="46" s="1"/>
  <c r="A126" i="46" s="1"/>
  <c r="A130" i="46" s="1"/>
  <c r="A134" i="46" s="1"/>
  <c r="A138" i="46" s="1"/>
  <c r="A142" i="46" s="1"/>
  <c r="A146" i="46" s="1"/>
  <c r="A150" i="46" s="1"/>
  <c r="A154" i="46" s="1"/>
  <c r="A158" i="46" s="1"/>
  <c r="A162" i="46" s="1"/>
  <c r="A166" i="46" s="1"/>
  <c r="A170" i="46" s="1"/>
  <c r="A174" i="46" s="1"/>
  <c r="A178" i="46" s="1"/>
  <c r="A182" i="46" s="1"/>
  <c r="A186" i="46" s="1"/>
  <c r="A190" i="46" s="1"/>
  <c r="A194" i="46" s="1"/>
  <c r="A198" i="46" s="1"/>
  <c r="A202" i="46" s="1"/>
  <c r="A206" i="46" s="1"/>
  <c r="A210" i="46" s="1"/>
  <c r="A214" i="46" s="1"/>
  <c r="A218" i="46" s="1"/>
  <c r="A222" i="46" s="1"/>
  <c r="A226" i="46" s="1"/>
  <c r="A230" i="46" s="1"/>
  <c r="A234" i="46" s="1"/>
  <c r="A238" i="46" s="1"/>
  <c r="A242" i="46" s="1"/>
  <c r="A246" i="46" s="1"/>
  <c r="A250" i="46" s="1"/>
  <c r="A254" i="46" s="1"/>
  <c r="A258" i="46" s="1"/>
  <c r="A262" i="46" s="1"/>
  <c r="A266" i="46" s="1"/>
  <c r="A270" i="46" s="1"/>
  <c r="A274" i="46" s="1"/>
  <c r="A278" i="46" s="1"/>
  <c r="A282" i="46" s="1"/>
  <c r="A286" i="46" s="1"/>
  <c r="A290" i="46" s="1"/>
  <c r="A294" i="46" s="1"/>
  <c r="A298" i="46" s="1"/>
  <c r="A302" i="46" s="1"/>
  <c r="A306" i="46" s="1"/>
  <c r="A310" i="46" s="1"/>
  <c r="A314" i="46" s="1"/>
  <c r="A318" i="46" s="1"/>
  <c r="A322" i="46" s="1"/>
  <c r="A326" i="46" s="1"/>
  <c r="A330" i="46" s="1"/>
  <c r="A334" i="46" s="1"/>
  <c r="A338" i="46" s="1"/>
  <c r="A342" i="46" s="1"/>
  <c r="A346" i="46" s="1"/>
  <c r="A350" i="46" s="1"/>
  <c r="A354" i="46" s="1"/>
  <c r="A358" i="46" s="1"/>
  <c r="A15" i="46"/>
  <c r="A19" i="46" s="1"/>
  <c r="A23" i="46" s="1"/>
  <c r="A27" i="46" s="1"/>
  <c r="A31" i="46" s="1"/>
  <c r="A35" i="46" s="1"/>
  <c r="A39" i="46" s="1"/>
  <c r="A43" i="46" s="1"/>
  <c r="A47" i="46" s="1"/>
  <c r="A51" i="46" s="1"/>
  <c r="A55" i="46" s="1"/>
  <c r="A59" i="46" s="1"/>
  <c r="A63" i="46" s="1"/>
  <c r="A67" i="46" s="1"/>
  <c r="A71" i="46" s="1"/>
  <c r="A75" i="46" s="1"/>
  <c r="A79" i="46" s="1"/>
  <c r="A83" i="46" s="1"/>
  <c r="A87" i="46" s="1"/>
  <c r="A91" i="46" s="1"/>
  <c r="A95" i="46" s="1"/>
  <c r="A99" i="46" s="1"/>
  <c r="A103" i="46" s="1"/>
  <c r="A107" i="46" s="1"/>
  <c r="A111" i="46" s="1"/>
  <c r="A115" i="46" s="1"/>
  <c r="A119" i="46" s="1"/>
  <c r="A123" i="46" s="1"/>
  <c r="A127" i="46" s="1"/>
  <c r="A131" i="46" s="1"/>
  <c r="A135" i="46" s="1"/>
  <c r="A139" i="46" s="1"/>
  <c r="A143" i="46" s="1"/>
  <c r="A147" i="46" s="1"/>
  <c r="A151" i="46" s="1"/>
  <c r="A155" i="46" s="1"/>
  <c r="A159" i="46" s="1"/>
  <c r="A163" i="46" s="1"/>
  <c r="A167" i="46" s="1"/>
  <c r="A171" i="46" s="1"/>
  <c r="A175" i="46" s="1"/>
  <c r="A179" i="46" s="1"/>
  <c r="A183" i="46" s="1"/>
  <c r="A187" i="46" s="1"/>
  <c r="A191" i="46" s="1"/>
  <c r="A195" i="46" s="1"/>
  <c r="A199" i="46" s="1"/>
  <c r="A203" i="46" s="1"/>
  <c r="A207" i="46" s="1"/>
  <c r="A211" i="46" s="1"/>
  <c r="A215" i="46" s="1"/>
  <c r="A219" i="46" s="1"/>
  <c r="A223" i="46" s="1"/>
  <c r="A227" i="46" s="1"/>
  <c r="A231" i="46" s="1"/>
  <c r="A235" i="46" s="1"/>
  <c r="A239" i="46" s="1"/>
  <c r="A243" i="46" s="1"/>
  <c r="A247" i="46" s="1"/>
  <c r="A251" i="46" s="1"/>
  <c r="A255" i="46" s="1"/>
  <c r="A259" i="46" s="1"/>
  <c r="A263" i="46" s="1"/>
  <c r="A267" i="46" s="1"/>
  <c r="A271" i="46" s="1"/>
  <c r="A275" i="46" s="1"/>
  <c r="A279" i="46" s="1"/>
  <c r="A283" i="46" s="1"/>
  <c r="A287" i="46" s="1"/>
  <c r="A291" i="46" s="1"/>
  <c r="A295" i="46" s="1"/>
  <c r="A299" i="46" s="1"/>
  <c r="A303" i="46" s="1"/>
  <c r="A307" i="46" s="1"/>
  <c r="A311" i="46" s="1"/>
  <c r="A315" i="46" s="1"/>
  <c r="A319" i="46" s="1"/>
  <c r="A323" i="46" s="1"/>
  <c r="A327" i="46" s="1"/>
  <c r="A331" i="46" s="1"/>
  <c r="A335" i="46" s="1"/>
  <c r="A339" i="46" s="1"/>
  <c r="A343" i="46" s="1"/>
  <c r="A347" i="46" s="1"/>
  <c r="A351" i="46" s="1"/>
  <c r="A355" i="46" s="1"/>
  <c r="A11" i="46"/>
  <c r="CM16" i="1"/>
  <c r="CM15" i="1"/>
  <c r="CM14" i="1"/>
  <c r="CM13" i="1"/>
  <c r="CM12" i="1"/>
  <c r="CM11" i="1"/>
  <c r="EQ16" i="1"/>
  <c r="DP16" i="1" s="1"/>
  <c r="EQ15" i="1"/>
  <c r="DP15" i="1" s="1"/>
  <c r="EQ14" i="1"/>
  <c r="DP14" i="1" s="1"/>
  <c r="EQ13" i="1"/>
  <c r="DP13" i="1" s="1"/>
  <c r="EQ12" i="1"/>
  <c r="DP12" i="1" s="1"/>
  <c r="EQ11" i="1"/>
  <c r="DP11" i="1" s="1"/>
  <c r="CW11" i="1" s="1"/>
  <c r="EQ10" i="1"/>
  <c r="DP10" i="1" s="1"/>
  <c r="EQ9" i="1"/>
  <c r="EQ8" i="1"/>
  <c r="EQ7" i="1"/>
  <c r="EQ6" i="1"/>
  <c r="EQ5" i="1"/>
  <c r="CE16" i="1"/>
  <c r="E7" i="46" a="1"/>
  <c r="E7" i="46" s="1"/>
  <c r="C11" i="46"/>
  <c r="C15" i="46" s="1"/>
  <c r="C19" i="46" s="1"/>
  <c r="C23" i="46" s="1"/>
  <c r="C27" i="46" s="1"/>
  <c r="C31" i="46" s="1"/>
  <c r="C35" i="46" s="1"/>
  <c r="C39" i="46" s="1"/>
  <c r="C43" i="46" s="1"/>
  <c r="C47" i="46" s="1"/>
  <c r="C51" i="46" s="1"/>
  <c r="C55" i="46" s="1"/>
  <c r="C59" i="46" s="1"/>
  <c r="C63" i="46" s="1"/>
  <c r="C67" i="46" s="1"/>
  <c r="C71" i="46" s="1"/>
  <c r="C75" i="46" s="1"/>
  <c r="C79" i="46" s="1"/>
  <c r="C83" i="46" s="1"/>
  <c r="C87" i="46" s="1"/>
  <c r="C91" i="46" s="1"/>
  <c r="C95" i="46" s="1"/>
  <c r="C99" i="46" s="1"/>
  <c r="C103" i="46" s="1"/>
  <c r="C107" i="46" s="1"/>
  <c r="C111" i="46" s="1"/>
  <c r="C115" i="46" s="1"/>
  <c r="C119" i="46" s="1"/>
  <c r="C123" i="46" s="1"/>
  <c r="C127" i="46" s="1"/>
  <c r="C131" i="46" s="1"/>
  <c r="C135" i="46" s="1"/>
  <c r="C139" i="46" s="1"/>
  <c r="C143" i="46" s="1"/>
  <c r="C147" i="46" s="1"/>
  <c r="C151" i="46" s="1"/>
  <c r="C155" i="46" s="1"/>
  <c r="C159" i="46" s="1"/>
  <c r="C163" i="46" s="1"/>
  <c r="C167" i="46" s="1"/>
  <c r="C171" i="46" s="1"/>
  <c r="C175" i="46" s="1"/>
  <c r="C179" i="46" s="1"/>
  <c r="C183" i="46" s="1"/>
  <c r="C187" i="46" s="1"/>
  <c r="C191" i="46" s="1"/>
  <c r="C195" i="46" s="1"/>
  <c r="C199" i="46" s="1"/>
  <c r="C203" i="46" s="1"/>
  <c r="C207" i="46" s="1"/>
  <c r="C211" i="46" s="1"/>
  <c r="C215" i="46" s="1"/>
  <c r="C219" i="46" s="1"/>
  <c r="C223" i="46" s="1"/>
  <c r="C227" i="46" s="1"/>
  <c r="C231" i="46" s="1"/>
  <c r="C235" i="46" s="1"/>
  <c r="C239" i="46" s="1"/>
  <c r="C243" i="46" s="1"/>
  <c r="C247" i="46" s="1"/>
  <c r="C251" i="46" s="1"/>
  <c r="C255" i="46" s="1"/>
  <c r="C259" i="46" s="1"/>
  <c r="C263" i="46" s="1"/>
  <c r="C267" i="46" s="1"/>
  <c r="C271" i="46" s="1"/>
  <c r="C275" i="46" s="1"/>
  <c r="C279" i="46" s="1"/>
  <c r="C283" i="46" s="1"/>
  <c r="C287" i="46" s="1"/>
  <c r="C291" i="46" s="1"/>
  <c r="C295" i="46" s="1"/>
  <c r="C299" i="46" s="1"/>
  <c r="C303" i="46" s="1"/>
  <c r="C307" i="46" s="1"/>
  <c r="C311" i="46" s="1"/>
  <c r="C315" i="46" s="1"/>
  <c r="C319" i="46" s="1"/>
  <c r="C323" i="46" s="1"/>
  <c r="C327" i="46" s="1"/>
  <c r="C331" i="46" s="1"/>
  <c r="C335" i="46" s="1"/>
  <c r="C339" i="46" s="1"/>
  <c r="C343" i="46" s="1"/>
  <c r="C347" i="46" s="1"/>
  <c r="C351" i="46" s="1"/>
  <c r="C355" i="46" s="1"/>
  <c r="D8" i="46"/>
  <c r="C8" i="46"/>
  <c r="DW10" i="1"/>
  <c r="DX10" i="1"/>
  <c r="DW11" i="1"/>
  <c r="DX11" i="1"/>
  <c r="DW12" i="1"/>
  <c r="DX12" i="1"/>
  <c r="DW13" i="1"/>
  <c r="DX13" i="1"/>
  <c r="DW14" i="1"/>
  <c r="DX14" i="1"/>
  <c r="DW15" i="1"/>
  <c r="DX15" i="1"/>
  <c r="DX9" i="1"/>
  <c r="DW9" i="1"/>
  <c r="DU9" i="1"/>
  <c r="DV9" i="1"/>
  <c r="DU10" i="1"/>
  <c r="DV10" i="1"/>
  <c r="DU11" i="1"/>
  <c r="DV11" i="1"/>
  <c r="DU12" i="1"/>
  <c r="DV12" i="1"/>
  <c r="DU13" i="1"/>
  <c r="DV13" i="1"/>
  <c r="DU14" i="1"/>
  <c r="DV14" i="1"/>
  <c r="DU8" i="1"/>
  <c r="DV8" i="1"/>
  <c r="DS8" i="1"/>
  <c r="DT8" i="1"/>
  <c r="DS9" i="1"/>
  <c r="DT9" i="1"/>
  <c r="DS10" i="1"/>
  <c r="DT10" i="1"/>
  <c r="DS11" i="1"/>
  <c r="DT11" i="1"/>
  <c r="DS12" i="1"/>
  <c r="DT12" i="1"/>
  <c r="DS13" i="1"/>
  <c r="DT13" i="1"/>
  <c r="DS7" i="1"/>
  <c r="DT7" i="1"/>
  <c r="DR6" i="1"/>
  <c r="DR7" i="1"/>
  <c r="DR8" i="1"/>
  <c r="DR9" i="1"/>
  <c r="DR10" i="1"/>
  <c r="DR11" i="1"/>
  <c r="DR12" i="1"/>
  <c r="DR5" i="1"/>
  <c r="EF10" i="1"/>
  <c r="EG10" i="1"/>
  <c r="EF11" i="1"/>
  <c r="EG11" i="1"/>
  <c r="EF12" i="1"/>
  <c r="EG12" i="1"/>
  <c r="EF13" i="1"/>
  <c r="EG13" i="1"/>
  <c r="EF14" i="1"/>
  <c r="EG14" i="1"/>
  <c r="EF15" i="1"/>
  <c r="EG15" i="1"/>
  <c r="EF9" i="1"/>
  <c r="EG9" i="1"/>
  <c r="ED9" i="1"/>
  <c r="EE9" i="1"/>
  <c r="ED10" i="1"/>
  <c r="EE10" i="1"/>
  <c r="ED11" i="1"/>
  <c r="EE11" i="1"/>
  <c r="ED12" i="1"/>
  <c r="EE12" i="1"/>
  <c r="ED13" i="1"/>
  <c r="EE13" i="1"/>
  <c r="ED14" i="1"/>
  <c r="EE14" i="1"/>
  <c r="ED8" i="1"/>
  <c r="EE8" i="1"/>
  <c r="EB13" i="1"/>
  <c r="EC13" i="1"/>
  <c r="EB7" i="1"/>
  <c r="EC7" i="1"/>
  <c r="EB8" i="1"/>
  <c r="EC8" i="1"/>
  <c r="EB9" i="1"/>
  <c r="EC9" i="1"/>
  <c r="EB10" i="1"/>
  <c r="EC10" i="1"/>
  <c r="EB11" i="1"/>
  <c r="EC11" i="1"/>
  <c r="EB12" i="1"/>
  <c r="EC12" i="1"/>
  <c r="EA6" i="1"/>
  <c r="EA7" i="1"/>
  <c r="EA8" i="1"/>
  <c r="EA9" i="1"/>
  <c r="EA10" i="1"/>
  <c r="EA11" i="1"/>
  <c r="EA12" i="1"/>
  <c r="EA5" i="1"/>
  <c r="EX15" i="1"/>
  <c r="EY15" i="1"/>
  <c r="EV14" i="1"/>
  <c r="EW14" i="1"/>
  <c r="EX14" i="1"/>
  <c r="EY14" i="1"/>
  <c r="ET13" i="1"/>
  <c r="EU13" i="1"/>
  <c r="EV13" i="1"/>
  <c r="EW13" i="1"/>
  <c r="EX13" i="1"/>
  <c r="EY13" i="1"/>
  <c r="ES6" i="1"/>
  <c r="ET6" i="1"/>
  <c r="EU6" i="1"/>
  <c r="EV6" i="1"/>
  <c r="EW6" i="1"/>
  <c r="EX6" i="1"/>
  <c r="EY6" i="1"/>
  <c r="ES7" i="1"/>
  <c r="ET7" i="1"/>
  <c r="EU7" i="1"/>
  <c r="EV7" i="1"/>
  <c r="EW7" i="1"/>
  <c r="EX7" i="1"/>
  <c r="EY7" i="1"/>
  <c r="ES8" i="1"/>
  <c r="ET8" i="1"/>
  <c r="EU8" i="1"/>
  <c r="EV8" i="1"/>
  <c r="EW8" i="1"/>
  <c r="EX8" i="1"/>
  <c r="EY8" i="1"/>
  <c r="ES9" i="1"/>
  <c r="ET9" i="1"/>
  <c r="EU9" i="1"/>
  <c r="EV9" i="1"/>
  <c r="EW9" i="1"/>
  <c r="EX9" i="1"/>
  <c r="EY9" i="1"/>
  <c r="ES10" i="1"/>
  <c r="ET10" i="1"/>
  <c r="EU10" i="1"/>
  <c r="EV10" i="1"/>
  <c r="EW10" i="1"/>
  <c r="EX10" i="1"/>
  <c r="EY10" i="1"/>
  <c r="ES11" i="1"/>
  <c r="EJ11" i="1" s="1"/>
  <c r="ET11" i="1"/>
  <c r="EK11" i="1" s="1"/>
  <c r="EU11" i="1"/>
  <c r="EL11" i="1" s="1"/>
  <c r="EV11" i="1"/>
  <c r="EM11" i="1" s="1"/>
  <c r="EW11" i="1"/>
  <c r="EN11" i="1" s="1"/>
  <c r="EX11" i="1"/>
  <c r="EO11" i="1" s="1"/>
  <c r="EY11" i="1"/>
  <c r="EP11" i="1" s="1"/>
  <c r="ES12" i="1"/>
  <c r="ET12" i="1"/>
  <c r="EU12" i="1"/>
  <c r="EV12" i="1"/>
  <c r="EW12" i="1"/>
  <c r="EX12" i="1"/>
  <c r="EO12" i="1" s="1"/>
  <c r="EY12" i="1"/>
  <c r="ET5" i="1"/>
  <c r="EU5" i="1"/>
  <c r="EV5" i="1"/>
  <c r="EW5" i="1"/>
  <c r="EX5" i="1"/>
  <c r="EO5" i="1" s="1"/>
  <c r="EY5" i="1"/>
  <c r="ES5" i="1"/>
  <c r="CE15" i="1"/>
  <c r="CE14" i="1"/>
  <c r="CE13" i="1"/>
  <c r="CE12" i="1"/>
  <c r="CE11" i="1"/>
  <c r="CE10" i="1"/>
  <c r="CE9" i="1"/>
  <c r="CE8" i="1"/>
  <c r="CE7" i="1"/>
  <c r="CE6" i="1"/>
  <c r="CB6" i="1"/>
  <c r="CB7" i="1" s="1"/>
  <c r="CB8" i="1" s="1"/>
  <c r="CB9" i="1" s="1"/>
  <c r="CB10" i="1" s="1"/>
  <c r="CE5" i="1"/>
  <c r="EY4" i="1"/>
  <c r="EX4" i="1"/>
  <c r="EW4" i="1"/>
  <c r="EV4" i="1"/>
  <c r="EU4" i="1"/>
  <c r="ET4" i="1"/>
  <c r="ES4" i="1"/>
  <c r="EP4" i="1"/>
  <c r="EO4" i="1"/>
  <c r="EN4" i="1"/>
  <c r="EM4" i="1"/>
  <c r="EL4" i="1"/>
  <c r="EK4" i="1"/>
  <c r="EJ4" i="1"/>
  <c r="EG4" i="1"/>
  <c r="EF4" i="1"/>
  <c r="EE4" i="1"/>
  <c r="ED4" i="1"/>
  <c r="EC4" i="1"/>
  <c r="EB4" i="1"/>
  <c r="EA4" i="1"/>
  <c r="DX4" i="1"/>
  <c r="DW4" i="1"/>
  <c r="DV4" i="1"/>
  <c r="DU4" i="1"/>
  <c r="DT4" i="1"/>
  <c r="DS4" i="1"/>
  <c r="DR4" i="1"/>
  <c r="DO4" i="1"/>
  <c r="DN4" i="1"/>
  <c r="DM4" i="1"/>
  <c r="DL4" i="1"/>
  <c r="DK4" i="1"/>
  <c r="DJ4" i="1"/>
  <c r="DI4" i="1"/>
  <c r="DF4" i="1"/>
  <c r="DE4" i="1"/>
  <c r="DD4" i="1"/>
  <c r="DC4" i="1"/>
  <c r="DB4" i="1"/>
  <c r="DA4" i="1"/>
  <c r="CZ4" i="1"/>
  <c r="CV4" i="1"/>
  <c r="CU4" i="1"/>
  <c r="CT4" i="1"/>
  <c r="CS4" i="1"/>
  <c r="CR4" i="1"/>
  <c r="CQ4" i="1"/>
  <c r="CP4" i="1"/>
  <c r="CL4" i="1"/>
  <c r="CK4" i="1"/>
  <c r="CJ4" i="1"/>
  <c r="CI4" i="1"/>
  <c r="CH4" i="1"/>
  <c r="CG4" i="1"/>
  <c r="CF4" i="1"/>
  <c r="BY4" i="1"/>
  <c r="BX4" i="1"/>
  <c r="BW4" i="1"/>
  <c r="BV4" i="1"/>
  <c r="BU4" i="1"/>
  <c r="BT4" i="1"/>
  <c r="BS4" i="1"/>
  <c r="BP4" i="1"/>
  <c r="BO4" i="1"/>
  <c r="BN4" i="1"/>
  <c r="BM4" i="1"/>
  <c r="BL4" i="1"/>
  <c r="BK4" i="1"/>
  <c r="BJ4" i="1"/>
  <c r="BG4" i="1"/>
  <c r="BF4" i="1"/>
  <c r="BE4" i="1"/>
  <c r="BD4" i="1"/>
  <c r="BC4" i="1"/>
  <c r="BB4" i="1"/>
  <c r="BA4" i="1"/>
  <c r="AX4" i="1"/>
  <c r="AW4" i="1"/>
  <c r="AV4" i="1"/>
  <c r="AU4" i="1"/>
  <c r="AT4" i="1"/>
  <c r="AS4" i="1"/>
  <c r="AR4" i="1"/>
  <c r="AO4" i="1"/>
  <c r="AN4" i="1"/>
  <c r="AM4" i="1"/>
  <c r="AL4" i="1"/>
  <c r="AK4" i="1"/>
  <c r="AJ4" i="1"/>
  <c r="AI4" i="1"/>
  <c r="EY3" i="1"/>
  <c r="EX3" i="1"/>
  <c r="EW3" i="1"/>
  <c r="EV3" i="1"/>
  <c r="EU3" i="1"/>
  <c r="ET3" i="1"/>
  <c r="ES3" i="1"/>
  <c r="EP3" i="1"/>
  <c r="EO3" i="1"/>
  <c r="EN3" i="1"/>
  <c r="EM3" i="1"/>
  <c r="EL3" i="1"/>
  <c r="EK3" i="1"/>
  <c r="EJ3" i="1"/>
  <c r="EG3" i="1"/>
  <c r="EF3" i="1"/>
  <c r="EE3" i="1"/>
  <c r="ED3" i="1"/>
  <c r="EC3" i="1"/>
  <c r="EB3" i="1"/>
  <c r="EA3" i="1"/>
  <c r="DX3" i="1"/>
  <c r="DW3" i="1"/>
  <c r="DV3" i="1"/>
  <c r="DU3" i="1"/>
  <c r="DT3" i="1"/>
  <c r="DS3" i="1"/>
  <c r="DR3" i="1"/>
  <c r="DO3" i="1"/>
  <c r="DN3" i="1"/>
  <c r="DM3" i="1"/>
  <c r="DL3" i="1"/>
  <c r="DK3" i="1"/>
  <c r="DJ3" i="1"/>
  <c r="DI3" i="1"/>
  <c r="DF3" i="1"/>
  <c r="DE3" i="1"/>
  <c r="DD3" i="1"/>
  <c r="DC3" i="1"/>
  <c r="DB3" i="1"/>
  <c r="DA3" i="1"/>
  <c r="CZ3" i="1"/>
  <c r="CV3" i="1"/>
  <c r="CU3" i="1"/>
  <c r="CT3" i="1"/>
  <c r="CS3" i="1"/>
  <c r="CR3" i="1"/>
  <c r="CQ3" i="1"/>
  <c r="CP3" i="1"/>
  <c r="CL3" i="1"/>
  <c r="CK3" i="1"/>
  <c r="CJ3" i="1"/>
  <c r="CI3" i="1"/>
  <c r="CH3" i="1"/>
  <c r="CG3" i="1"/>
  <c r="CF3" i="1"/>
  <c r="BY3" i="1"/>
  <c r="BX3" i="1"/>
  <c r="BW3" i="1"/>
  <c r="BV3" i="1"/>
  <c r="BU3" i="1"/>
  <c r="BT3" i="1"/>
  <c r="BS3" i="1"/>
  <c r="BP3" i="1"/>
  <c r="BO3" i="1"/>
  <c r="BN3" i="1"/>
  <c r="BM3" i="1"/>
  <c r="BL3" i="1"/>
  <c r="BK3" i="1"/>
  <c r="BJ3" i="1"/>
  <c r="BG3" i="1"/>
  <c r="BF3" i="1"/>
  <c r="BE3" i="1"/>
  <c r="BD3" i="1"/>
  <c r="BC3" i="1"/>
  <c r="BB3" i="1"/>
  <c r="BA3" i="1"/>
  <c r="AX3" i="1"/>
  <c r="AW3" i="1"/>
  <c r="AV3" i="1"/>
  <c r="AU3" i="1"/>
  <c r="AT3" i="1"/>
  <c r="AS3" i="1"/>
  <c r="AR3" i="1"/>
  <c r="AO3" i="1"/>
  <c r="AN3" i="1"/>
  <c r="AM3" i="1"/>
  <c r="AL3" i="1"/>
  <c r="AK3" i="1"/>
  <c r="AJ3" i="1"/>
  <c r="AI3" i="1"/>
  <c r="EO9" i="1" l="1"/>
  <c r="EO10" i="1"/>
  <c r="EK12" i="1"/>
  <c r="CW12" i="1"/>
  <c r="EK5" i="1"/>
  <c r="EN9" i="1"/>
  <c r="EK6" i="1"/>
  <c r="CW13" i="1"/>
  <c r="EN14" i="1"/>
  <c r="DM14" i="1" s="1"/>
  <c r="EK13" i="1"/>
  <c r="EL10" i="1"/>
  <c r="EK9" i="1"/>
  <c r="EO13" i="1"/>
  <c r="EL5" i="1"/>
  <c r="EJ12" i="1"/>
  <c r="EL6" i="1"/>
  <c r="EM8" i="1"/>
  <c r="EL7" i="1"/>
  <c r="DK7" i="1" s="1"/>
  <c r="EM10" i="1"/>
  <c r="EL9" i="1"/>
  <c r="DB9" i="1" s="1"/>
  <c r="EK8" i="1"/>
  <c r="CW15" i="1"/>
  <c r="CW16" i="1"/>
  <c r="CW10" i="1"/>
  <c r="EL12" i="1"/>
  <c r="EP14" i="1"/>
  <c r="EP12" i="1"/>
  <c r="EN10" i="1"/>
  <c r="EM9" i="1"/>
  <c r="EL8" i="1"/>
  <c r="DK8" i="1" s="1"/>
  <c r="EK7" i="1"/>
  <c r="EO14" i="1"/>
  <c r="EP13" i="1"/>
  <c r="DO13" i="1" s="1"/>
  <c r="EP5" i="1"/>
  <c r="EN12" i="1"/>
  <c r="EP6" i="1"/>
  <c r="EM14" i="1"/>
  <c r="EM12" i="1"/>
  <c r="EK10" i="1"/>
  <c r="EP7" i="1"/>
  <c r="EO6" i="1"/>
  <c r="EN13" i="1"/>
  <c r="EP15" i="1"/>
  <c r="EN5" i="1"/>
  <c r="EJ10" i="1"/>
  <c r="DI10" i="1" s="1"/>
  <c r="EP8" i="1"/>
  <c r="EO7" i="1"/>
  <c r="EN6" i="1"/>
  <c r="EM13" i="1"/>
  <c r="EO15" i="1"/>
  <c r="EM5" i="1"/>
  <c r="EP9" i="1"/>
  <c r="EO8" i="1"/>
  <c r="EN7" i="1"/>
  <c r="EM6" i="1"/>
  <c r="EL13" i="1"/>
  <c r="EP10" i="1"/>
  <c r="EN8" i="1"/>
  <c r="EM7" i="1"/>
  <c r="CW14" i="1"/>
  <c r="EJ5" i="1"/>
  <c r="EJ6" i="1"/>
  <c r="EJ7" i="1"/>
  <c r="EJ8" i="1"/>
  <c r="EJ9" i="1"/>
  <c r="DI9" i="1" s="1"/>
  <c r="FE6" i="1"/>
  <c r="FE7" i="1"/>
  <c r="FE8" i="1"/>
  <c r="FE10" i="1"/>
  <c r="FE9" i="1"/>
  <c r="FE11" i="1"/>
  <c r="C9" i="46"/>
  <c r="C13" i="46" s="1"/>
  <c r="C17" i="46" s="1"/>
  <c r="C21" i="46" s="1"/>
  <c r="C25" i="46" s="1"/>
  <c r="C29" i="46" s="1"/>
  <c r="C33" i="46" s="1"/>
  <c r="C37" i="46" s="1"/>
  <c r="C41" i="46" s="1"/>
  <c r="C45" i="46" s="1"/>
  <c r="C49" i="46" s="1"/>
  <c r="C53" i="46" s="1"/>
  <c r="C57" i="46" s="1"/>
  <c r="C61" i="46" s="1"/>
  <c r="C65" i="46" s="1"/>
  <c r="C69" i="46" s="1"/>
  <c r="C73" i="46" s="1"/>
  <c r="C77" i="46" s="1"/>
  <c r="C81" i="46" s="1"/>
  <c r="C85" i="46" s="1"/>
  <c r="C89" i="46" s="1"/>
  <c r="C93" i="46" s="1"/>
  <c r="C97" i="46" s="1"/>
  <c r="C101" i="46" s="1"/>
  <c r="C105" i="46" s="1"/>
  <c r="C109" i="46" s="1"/>
  <c r="C113" i="46" s="1"/>
  <c r="C117" i="46" s="1"/>
  <c r="C121" i="46" s="1"/>
  <c r="C125" i="46" s="1"/>
  <c r="C129" i="46" s="1"/>
  <c r="C133" i="46" s="1"/>
  <c r="C137" i="46" s="1"/>
  <c r="C141" i="46" s="1"/>
  <c r="C145" i="46" s="1"/>
  <c r="C149" i="46" s="1"/>
  <c r="C153" i="46" s="1"/>
  <c r="C157" i="46" s="1"/>
  <c r="C161" i="46" s="1"/>
  <c r="C165" i="46" s="1"/>
  <c r="C169" i="46" s="1"/>
  <c r="C173" i="46" s="1"/>
  <c r="C177" i="46" s="1"/>
  <c r="C181" i="46" s="1"/>
  <c r="C185" i="46" s="1"/>
  <c r="C189" i="46" s="1"/>
  <c r="C193" i="46" s="1"/>
  <c r="C197" i="46" s="1"/>
  <c r="C201" i="46" s="1"/>
  <c r="C205" i="46" s="1"/>
  <c r="C209" i="46" s="1"/>
  <c r="C213" i="46" s="1"/>
  <c r="C217" i="46" s="1"/>
  <c r="C221" i="46" s="1"/>
  <c r="C225" i="46" s="1"/>
  <c r="C229" i="46" s="1"/>
  <c r="C233" i="46" s="1"/>
  <c r="C237" i="46" s="1"/>
  <c r="C241" i="46" s="1"/>
  <c r="C245" i="46" s="1"/>
  <c r="C249" i="46" s="1"/>
  <c r="C253" i="46" s="1"/>
  <c r="C257" i="46" s="1"/>
  <c r="C261" i="46" s="1"/>
  <c r="C265" i="46" s="1"/>
  <c r="C269" i="46" s="1"/>
  <c r="C273" i="46" s="1"/>
  <c r="C277" i="46" s="1"/>
  <c r="C281" i="46" s="1"/>
  <c r="C285" i="46" s="1"/>
  <c r="C289" i="46" s="1"/>
  <c r="C293" i="46" s="1"/>
  <c r="C297" i="46" s="1"/>
  <c r="C301" i="46" s="1"/>
  <c r="C305" i="46" s="1"/>
  <c r="C309" i="46" s="1"/>
  <c r="C313" i="46" s="1"/>
  <c r="C317" i="46" s="1"/>
  <c r="C321" i="46" s="1"/>
  <c r="C325" i="46" s="1"/>
  <c r="C329" i="46" s="1"/>
  <c r="C333" i="46" s="1"/>
  <c r="C337" i="46" s="1"/>
  <c r="C341" i="46" s="1"/>
  <c r="C345" i="46" s="1"/>
  <c r="C349" i="46" s="1"/>
  <c r="C353" i="46" s="1"/>
  <c r="C357" i="46" s="1"/>
  <c r="C12" i="46"/>
  <c r="C16" i="46" s="1"/>
  <c r="C20" i="46" s="1"/>
  <c r="C24" i="46" s="1"/>
  <c r="C28" i="46" s="1"/>
  <c r="C32" i="46" s="1"/>
  <c r="C36" i="46" s="1"/>
  <c r="C40" i="46" s="1"/>
  <c r="C44" i="46" s="1"/>
  <c r="C48" i="46" s="1"/>
  <c r="C52" i="46" s="1"/>
  <c r="C56" i="46" s="1"/>
  <c r="C60" i="46" s="1"/>
  <c r="C64" i="46" s="1"/>
  <c r="C68" i="46" s="1"/>
  <c r="C72" i="46" s="1"/>
  <c r="C76" i="46" s="1"/>
  <c r="C80" i="46" s="1"/>
  <c r="C84" i="46" s="1"/>
  <c r="C88" i="46" s="1"/>
  <c r="C92" i="46" s="1"/>
  <c r="C96" i="46" s="1"/>
  <c r="C100" i="46" s="1"/>
  <c r="C104" i="46" s="1"/>
  <c r="C108" i="46" s="1"/>
  <c r="C112" i="46" s="1"/>
  <c r="C116" i="46" s="1"/>
  <c r="C120" i="46" s="1"/>
  <c r="C124" i="46" s="1"/>
  <c r="C128" i="46" s="1"/>
  <c r="C132" i="46" s="1"/>
  <c r="C136" i="46" s="1"/>
  <c r="C140" i="46" s="1"/>
  <c r="C144" i="46" s="1"/>
  <c r="C148" i="46" s="1"/>
  <c r="C152" i="46" s="1"/>
  <c r="C156" i="46" s="1"/>
  <c r="C160" i="46" s="1"/>
  <c r="C164" i="46" s="1"/>
  <c r="C168" i="46" s="1"/>
  <c r="C172" i="46" s="1"/>
  <c r="C176" i="46" s="1"/>
  <c r="C180" i="46" s="1"/>
  <c r="C184" i="46" s="1"/>
  <c r="C188" i="46" s="1"/>
  <c r="C192" i="46" s="1"/>
  <c r="C196" i="46" s="1"/>
  <c r="C200" i="46" s="1"/>
  <c r="C204" i="46" s="1"/>
  <c r="C208" i="46" s="1"/>
  <c r="C212" i="46" s="1"/>
  <c r="C216" i="46" s="1"/>
  <c r="C220" i="46" s="1"/>
  <c r="C224" i="46" s="1"/>
  <c r="C228" i="46" s="1"/>
  <c r="C232" i="46" s="1"/>
  <c r="C236" i="46" s="1"/>
  <c r="C240" i="46" s="1"/>
  <c r="C244" i="46" s="1"/>
  <c r="C248" i="46" s="1"/>
  <c r="C252" i="46" s="1"/>
  <c r="C256" i="46" s="1"/>
  <c r="C260" i="46" s="1"/>
  <c r="C264" i="46" s="1"/>
  <c r="C268" i="46" s="1"/>
  <c r="C272" i="46" s="1"/>
  <c r="C276" i="46" s="1"/>
  <c r="C280" i="46" s="1"/>
  <c r="C284" i="46" s="1"/>
  <c r="C288" i="46" s="1"/>
  <c r="C292" i="46" s="1"/>
  <c r="C296" i="46" s="1"/>
  <c r="C300" i="46" s="1"/>
  <c r="C304" i="46" s="1"/>
  <c r="C308" i="46" s="1"/>
  <c r="C312" i="46" s="1"/>
  <c r="C316" i="46" s="1"/>
  <c r="C320" i="46" s="1"/>
  <c r="C324" i="46" s="1"/>
  <c r="C328" i="46" s="1"/>
  <c r="C332" i="46" s="1"/>
  <c r="C336" i="46" s="1"/>
  <c r="C340" i="46" s="1"/>
  <c r="C344" i="46" s="1"/>
  <c r="C348" i="46" s="1"/>
  <c r="C352" i="46" s="1"/>
  <c r="C356" i="46" s="1"/>
  <c r="C10" i="46"/>
  <c r="C14" i="46" s="1"/>
  <c r="C18" i="46" s="1"/>
  <c r="C22" i="46" s="1"/>
  <c r="C26" i="46" s="1"/>
  <c r="C30" i="46" s="1"/>
  <c r="C34" i="46" s="1"/>
  <c r="C38" i="46" s="1"/>
  <c r="C42" i="46" s="1"/>
  <c r="C46" i="46" s="1"/>
  <c r="C50" i="46" s="1"/>
  <c r="C54" i="46" s="1"/>
  <c r="C58" i="46" s="1"/>
  <c r="C62" i="46" s="1"/>
  <c r="C66" i="46" s="1"/>
  <c r="C70" i="46" s="1"/>
  <c r="C74" i="46" s="1"/>
  <c r="C78" i="46" s="1"/>
  <c r="C82" i="46" s="1"/>
  <c r="C86" i="46" s="1"/>
  <c r="C90" i="46" s="1"/>
  <c r="C94" i="46" s="1"/>
  <c r="C98" i="46" s="1"/>
  <c r="C102" i="46" s="1"/>
  <c r="C106" i="46" s="1"/>
  <c r="C110" i="46" s="1"/>
  <c r="C114" i="46" s="1"/>
  <c r="C118" i="46" s="1"/>
  <c r="C122" i="46" s="1"/>
  <c r="C126" i="46" s="1"/>
  <c r="C130" i="46" s="1"/>
  <c r="C134" i="46" s="1"/>
  <c r="C138" i="46" s="1"/>
  <c r="C142" i="46" s="1"/>
  <c r="C146" i="46" s="1"/>
  <c r="C150" i="46" s="1"/>
  <c r="C154" i="46" s="1"/>
  <c r="C158" i="46" s="1"/>
  <c r="C162" i="46" s="1"/>
  <c r="C166" i="46" s="1"/>
  <c r="C170" i="46" s="1"/>
  <c r="C174" i="46" s="1"/>
  <c r="C178" i="46" s="1"/>
  <c r="C182" i="46" s="1"/>
  <c r="C186" i="46" s="1"/>
  <c r="C190" i="46" s="1"/>
  <c r="C194" i="46" s="1"/>
  <c r="C198" i="46" s="1"/>
  <c r="C202" i="46" s="1"/>
  <c r="C206" i="46" s="1"/>
  <c r="C210" i="46" s="1"/>
  <c r="C214" i="46" s="1"/>
  <c r="C218" i="46" s="1"/>
  <c r="C222" i="46" s="1"/>
  <c r="C226" i="46" s="1"/>
  <c r="C230" i="46" s="1"/>
  <c r="C234" i="46" s="1"/>
  <c r="C238" i="46" s="1"/>
  <c r="C242" i="46" s="1"/>
  <c r="C246" i="46" s="1"/>
  <c r="C250" i="46" s="1"/>
  <c r="C254" i="46" s="1"/>
  <c r="C258" i="46" s="1"/>
  <c r="C262" i="46" s="1"/>
  <c r="C266" i="46" s="1"/>
  <c r="C270" i="46" s="1"/>
  <c r="C274" i="46" s="1"/>
  <c r="C278" i="46" s="1"/>
  <c r="C282" i="46" s="1"/>
  <c r="C286" i="46" s="1"/>
  <c r="C290" i="46" s="1"/>
  <c r="C294" i="46" s="1"/>
  <c r="C298" i="46" s="1"/>
  <c r="C302" i="46" s="1"/>
  <c r="C306" i="46" s="1"/>
  <c r="C310" i="46" s="1"/>
  <c r="C314" i="46" s="1"/>
  <c r="C318" i="46" s="1"/>
  <c r="C322" i="46" s="1"/>
  <c r="C326" i="46" s="1"/>
  <c r="C330" i="46" s="1"/>
  <c r="C334" i="46" s="1"/>
  <c r="C338" i="46" s="1"/>
  <c r="C342" i="46" s="1"/>
  <c r="C346" i="46" s="1"/>
  <c r="C350" i="46" s="1"/>
  <c r="C354" i="46" s="1"/>
  <c r="C358" i="46" s="1"/>
  <c r="D9" i="46"/>
  <c r="DB11" i="1"/>
  <c r="CH11" i="1" s="1"/>
  <c r="DO11" i="1"/>
  <c r="CV11" i="1" s="1"/>
  <c r="CB11" i="1"/>
  <c r="DO12" i="1"/>
  <c r="CZ10" i="1" l="1"/>
  <c r="CH9" i="1"/>
  <c r="CV12" i="1"/>
  <c r="CV13" i="1"/>
  <c r="DK9" i="1"/>
  <c r="D10" i="46"/>
  <c r="DK11" i="1"/>
  <c r="CR11" i="1" s="1"/>
  <c r="DJ9" i="1"/>
  <c r="DK12" i="1"/>
  <c r="DI8" i="1"/>
  <c r="CZ11" i="1"/>
  <c r="CF11" i="1" s="1"/>
  <c r="CZ9" i="1"/>
  <c r="DB12" i="1"/>
  <c r="CH12" i="1" s="1"/>
  <c r="DI6" i="1"/>
  <c r="CZ7" i="1"/>
  <c r="CZ8" i="1"/>
  <c r="DF9" i="1"/>
  <c r="DD9" i="1"/>
  <c r="DM10" i="1"/>
  <c r="DM12" i="1"/>
  <c r="DA9" i="1"/>
  <c r="DC8" i="1"/>
  <c r="DN11" i="1"/>
  <c r="CU11" i="1" s="1"/>
  <c r="DF13" i="1"/>
  <c r="DI7" i="1"/>
  <c r="DD8" i="1"/>
  <c r="CB12" i="1"/>
  <c r="DM11" i="1"/>
  <c r="CT11" i="1" s="1"/>
  <c r="DJ7" i="1"/>
  <c r="DN10" i="1"/>
  <c r="DO15" i="1"/>
  <c r="CV15" i="1" s="1"/>
  <c r="DJ12" i="1"/>
  <c r="DD10" i="1"/>
  <c r="DF11" i="1"/>
  <c r="CL11" i="1" s="1"/>
  <c r="DD12" i="1"/>
  <c r="CZ6" i="1"/>
  <c r="DC10" i="1"/>
  <c r="CZ5" i="1"/>
  <c r="DE14" i="1"/>
  <c r="DC11" i="1"/>
  <c r="CI11" i="1" s="1"/>
  <c r="DI11" i="1"/>
  <c r="CP11" i="1" s="1"/>
  <c r="DA13" i="1"/>
  <c r="DL9" i="1"/>
  <c r="DL14" i="1"/>
  <c r="DC9" i="1"/>
  <c r="DO14" i="1"/>
  <c r="CV14" i="1" s="1"/>
  <c r="DB8" i="1"/>
  <c r="CH8" i="1" s="1"/>
  <c r="DJ11" i="1"/>
  <c r="CQ11" i="1" s="1"/>
  <c r="DD13" i="1"/>
  <c r="DL10" i="1"/>
  <c r="DE15" i="1"/>
  <c r="DC12" i="1"/>
  <c r="CZ12" i="1"/>
  <c r="DA7" i="1"/>
  <c r="DL11" i="1"/>
  <c r="CS11" i="1" s="1"/>
  <c r="DL8" i="1"/>
  <c r="DO10" i="1"/>
  <c r="CV10" i="1" s="1"/>
  <c r="DK10" i="1"/>
  <c r="DB10" i="1"/>
  <c r="CH10" i="1" s="1"/>
  <c r="DA12" i="1"/>
  <c r="DJ8" i="1"/>
  <c r="DE12" i="1"/>
  <c r="DE9" i="1"/>
  <c r="DC13" i="1"/>
  <c r="CI13" i="1" s="1"/>
  <c r="DN12" i="1"/>
  <c r="DN14" i="1"/>
  <c r="DL12" i="1"/>
  <c r="DA8" i="1"/>
  <c r="DO9" i="1"/>
  <c r="CV9" i="1" s="1"/>
  <c r="DB13" i="1"/>
  <c r="CH13" i="1" s="1"/>
  <c r="DA11" i="1"/>
  <c r="CG11" i="1" s="1"/>
  <c r="DM8" i="1"/>
  <c r="DJ10" i="1"/>
  <c r="DE10" i="1"/>
  <c r="DN15" i="1"/>
  <c r="DL13" i="1"/>
  <c r="DF15" i="1"/>
  <c r="DD14" i="1"/>
  <c r="DF12" i="1"/>
  <c r="DF10" i="1"/>
  <c r="DD11" i="1"/>
  <c r="CJ11" i="1" s="1"/>
  <c r="DC14" i="1"/>
  <c r="DI5" i="1"/>
  <c r="DM13" i="1"/>
  <c r="CT13" i="1" s="1"/>
  <c r="DI12" i="1"/>
  <c r="DN13" i="1"/>
  <c r="DA10" i="1"/>
  <c r="CG10" i="1" s="1"/>
  <c r="DK13" i="1"/>
  <c r="DB7" i="1"/>
  <c r="CH7" i="1" s="1"/>
  <c r="DF14" i="1"/>
  <c r="CL14" i="1" s="1"/>
  <c r="DE13" i="1"/>
  <c r="DM9" i="1"/>
  <c r="CT9" i="1" s="1"/>
  <c r="DJ13" i="1"/>
  <c r="DE11" i="1"/>
  <c r="CK11" i="1" s="1"/>
  <c r="DN9" i="1"/>
  <c r="CU9" i="1" s="1"/>
  <c r="CP5" i="1" l="1"/>
  <c r="CJ12" i="1"/>
  <c r="CI12" i="1"/>
  <c r="CF6" i="1"/>
  <c r="CF9" i="1"/>
  <c r="CP10" i="1"/>
  <c r="CI14" i="1"/>
  <c r="CQ10" i="1"/>
  <c r="CU13" i="1"/>
  <c r="CG12" i="1"/>
  <c r="CT12" i="1"/>
  <c r="CG8" i="1"/>
  <c r="CS9" i="1"/>
  <c r="CU15" i="1"/>
  <c r="CU14" i="1"/>
  <c r="CR10" i="1"/>
  <c r="CS10" i="1"/>
  <c r="CG13" i="1"/>
  <c r="CR8" i="1"/>
  <c r="CS14" i="1"/>
  <c r="CK13" i="1"/>
  <c r="CS12" i="1"/>
  <c r="CR12" i="1"/>
  <c r="CU10" i="1"/>
  <c r="CS13" i="1"/>
  <c r="CK15" i="1"/>
  <c r="CK10" i="1"/>
  <c r="CU12" i="1"/>
  <c r="CR13" i="1"/>
  <c r="CS8" i="1"/>
  <c r="CQ12" i="1"/>
  <c r="CJ8" i="1"/>
  <c r="CJ9" i="1"/>
  <c r="CP8" i="1"/>
  <c r="CJ13" i="1"/>
  <c r="CP7" i="1"/>
  <c r="CL10" i="1"/>
  <c r="CF8" i="1"/>
  <c r="CQ9" i="1"/>
  <c r="CT10" i="1"/>
  <c r="CJ10" i="1"/>
  <c r="CL12" i="1"/>
  <c r="CK14" i="1"/>
  <c r="CF7" i="1"/>
  <c r="CT14" i="1"/>
  <c r="CF10" i="1"/>
  <c r="CL13" i="1"/>
  <c r="CJ14" i="1"/>
  <c r="CK12" i="1"/>
  <c r="CF5" i="1"/>
  <c r="CI8" i="1"/>
  <c r="CP6" i="1"/>
  <c r="CR7" i="1"/>
  <c r="CT8" i="1"/>
  <c r="CG7" i="1"/>
  <c r="CQ13" i="1"/>
  <c r="CP12" i="1"/>
  <c r="CL15" i="1"/>
  <c r="CQ8" i="1"/>
  <c r="CF12" i="1"/>
  <c r="CI9" i="1"/>
  <c r="CI10" i="1"/>
  <c r="CQ7" i="1"/>
  <c r="CG9" i="1"/>
  <c r="CR9" i="1"/>
  <c r="CP9" i="1"/>
  <c r="D11" i="46"/>
  <c r="CB13" i="1"/>
  <c r="D12" i="46" l="1"/>
  <c r="CB14" i="1"/>
  <c r="D13" i="46" l="1"/>
  <c r="CB15" i="1"/>
  <c r="CB16" i="1" l="1"/>
  <c r="D14" i="46"/>
  <c r="D15" i="46" l="1"/>
  <c r="D16" i="46" l="1"/>
  <c r="D17" i="46" l="1"/>
  <c r="D18" i="46" l="1"/>
  <c r="D19" i="46" l="1"/>
  <c r="D20" i="46" l="1"/>
  <c r="D21" i="46" l="1"/>
  <c r="D22" i="46" l="1"/>
  <c r="D23" i="46" l="1"/>
  <c r="D24" i="46" l="1"/>
  <c r="D25" i="46" l="1"/>
  <c r="D26" i="46" l="1"/>
  <c r="D27" i="46" l="1"/>
  <c r="D28" i="46" l="1"/>
  <c r="D29" i="46" l="1"/>
  <c r="D30" i="46" l="1"/>
  <c r="D31" i="46" l="1"/>
  <c r="D32" i="46" l="1"/>
  <c r="D33" i="46" l="1"/>
  <c r="D34" i="46" l="1"/>
  <c r="D35" i="46" l="1"/>
  <c r="D36" i="46" l="1"/>
  <c r="D37" i="46" l="1"/>
  <c r="D38" i="46" l="1"/>
  <c r="D39" i="46" l="1"/>
  <c r="D40" i="46" l="1"/>
  <c r="D41" i="46" l="1"/>
  <c r="D42" i="46" l="1"/>
  <c r="D43" i="46" l="1"/>
  <c r="D44" i="46" l="1"/>
  <c r="D45" i="46" l="1"/>
  <c r="D46" i="46" l="1"/>
  <c r="D47" i="46" l="1"/>
  <c r="D48" i="46" l="1"/>
  <c r="D49" i="46" l="1"/>
  <c r="D50" i="46" l="1"/>
  <c r="D51" i="46" l="1"/>
  <c r="D52" i="46" l="1"/>
  <c r="D53" i="46" l="1"/>
  <c r="D54" i="46" l="1"/>
  <c r="D55" i="46" l="1"/>
  <c r="D56" i="46" l="1"/>
  <c r="D57" i="46" l="1"/>
  <c r="D58" i="46" l="1"/>
  <c r="D59" i="46" l="1"/>
  <c r="D60" i="46" l="1"/>
  <c r="D61" i="46" l="1"/>
  <c r="D62" i="46" l="1"/>
  <c r="D63" i="46" l="1"/>
  <c r="D64" i="46" l="1"/>
  <c r="D65" i="46" l="1"/>
  <c r="D66" i="46" l="1"/>
  <c r="D67" i="46" l="1"/>
  <c r="D68" i="46" l="1"/>
  <c r="D69" i="46" l="1"/>
  <c r="D70" i="46" l="1"/>
  <c r="D71" i="46" l="1"/>
  <c r="D72" i="46" l="1"/>
  <c r="D73" i="46" l="1"/>
  <c r="D74" i="46" l="1"/>
  <c r="D75" i="46" l="1"/>
  <c r="D76" i="46" l="1"/>
  <c r="D77" i="46" l="1"/>
  <c r="D78" i="46" l="1"/>
  <c r="D79" i="46" l="1"/>
  <c r="D80" i="46" l="1"/>
  <c r="D81" i="46" l="1"/>
  <c r="D82" i="46" l="1"/>
  <c r="D83" i="46" l="1"/>
  <c r="D84" i="46" l="1"/>
  <c r="D85" i="46" l="1"/>
  <c r="D86" i="46" l="1"/>
  <c r="D87" i="46" l="1"/>
  <c r="D88" i="46" l="1"/>
  <c r="D89" i="46" l="1"/>
  <c r="D90" i="46" l="1"/>
  <c r="D91" i="46" l="1"/>
  <c r="D92" i="46" l="1"/>
  <c r="D93" i="46" l="1"/>
  <c r="D94" i="46" l="1"/>
  <c r="D95" i="46" l="1"/>
  <c r="D96" i="46" l="1"/>
  <c r="D97" i="46" l="1"/>
  <c r="D98" i="46" l="1"/>
  <c r="D99" i="46" l="1"/>
  <c r="D100" i="46" l="1"/>
  <c r="D101" i="46" l="1"/>
  <c r="D102" i="46" l="1"/>
  <c r="D103" i="46" l="1"/>
  <c r="D104" i="46" l="1"/>
  <c r="D105" i="46" l="1"/>
  <c r="D106" i="46" l="1"/>
  <c r="D107" i="46" l="1"/>
  <c r="D108" i="46" l="1"/>
  <c r="D109" i="46" l="1"/>
  <c r="D110" i="46" l="1"/>
  <c r="D111" i="46" l="1"/>
  <c r="D112" i="46" l="1"/>
  <c r="D113" i="46" l="1"/>
  <c r="D114" i="46" l="1"/>
  <c r="D115" i="46" l="1"/>
  <c r="D116" i="46" l="1"/>
  <c r="D117" i="46" l="1"/>
  <c r="D118" i="46" l="1"/>
  <c r="D119" i="46" l="1"/>
  <c r="D120" i="46" l="1"/>
  <c r="D121" i="46" l="1"/>
  <c r="D122" i="46" l="1"/>
  <c r="D123" i="46" l="1"/>
  <c r="D124" i="46" l="1"/>
  <c r="D125" i="46" l="1"/>
  <c r="D126" i="46" l="1"/>
  <c r="D127" i="46" l="1"/>
  <c r="D128" i="46" l="1"/>
  <c r="D129" i="46" l="1"/>
  <c r="D130" i="46" l="1"/>
  <c r="D131" i="46" l="1"/>
  <c r="D132" i="46" l="1"/>
  <c r="D133" i="46" l="1"/>
  <c r="D134" i="46" l="1"/>
  <c r="D135" i="46" l="1"/>
  <c r="D136" i="46" l="1"/>
  <c r="D137" i="46" l="1"/>
  <c r="D138" i="46" l="1"/>
  <c r="D139" i="46" l="1"/>
  <c r="D140" i="46" l="1"/>
  <c r="D141" i="46" l="1"/>
  <c r="D142" i="46" l="1"/>
  <c r="D143" i="46" l="1"/>
  <c r="D144" i="46" l="1"/>
  <c r="D145" i="46" l="1"/>
  <c r="D146" i="46" l="1"/>
  <c r="D147" i="46" l="1"/>
  <c r="D148" i="46" l="1"/>
  <c r="D149" i="46" l="1"/>
  <c r="D150" i="46" l="1"/>
  <c r="D151" i="46" l="1"/>
  <c r="D152" i="46" l="1"/>
  <c r="D153" i="46" l="1"/>
  <c r="D154" i="46" l="1"/>
  <c r="D155" i="46" l="1"/>
  <c r="D156" i="46" l="1"/>
  <c r="D157" i="46" l="1"/>
  <c r="D158" i="46" l="1"/>
  <c r="D159" i="46" l="1"/>
  <c r="D160" i="46" l="1"/>
  <c r="D161" i="46" l="1"/>
  <c r="D162" i="46" l="1"/>
  <c r="D163" i="46" l="1"/>
  <c r="D164" i="46" l="1"/>
  <c r="D165" i="46" l="1"/>
  <c r="D166" i="46" l="1"/>
  <c r="D167" i="46" l="1"/>
  <c r="D168" i="46" l="1"/>
  <c r="D169" i="46" l="1"/>
  <c r="D170" i="46" l="1"/>
  <c r="D171" i="46" l="1"/>
  <c r="D172" i="46" l="1"/>
  <c r="D173" i="46" l="1"/>
  <c r="D174" i="46" l="1"/>
  <c r="D175" i="46" l="1"/>
  <c r="D176" i="46" l="1"/>
  <c r="D177" i="46" l="1"/>
  <c r="D178" i="46" l="1"/>
  <c r="D179" i="46" l="1"/>
  <c r="D180" i="46" l="1"/>
  <c r="D181" i="46" l="1"/>
  <c r="D182" i="46" l="1"/>
  <c r="D183" i="46" l="1"/>
  <c r="D184" i="46" l="1"/>
  <c r="D185" i="46" l="1"/>
  <c r="D186" i="46" l="1"/>
  <c r="D187" i="46" l="1"/>
  <c r="D188" i="46" l="1"/>
  <c r="D189" i="46" l="1"/>
  <c r="D190" i="46" l="1"/>
  <c r="D191" i="46" l="1"/>
  <c r="D192" i="46" l="1"/>
  <c r="D193" i="46" l="1"/>
  <c r="D194" i="46" l="1"/>
  <c r="D195" i="46" l="1"/>
  <c r="CC5" i="1" s="1"/>
  <c r="BS5" i="1" l="1"/>
  <c r="BA5" i="1" s="1"/>
  <c r="BJ5" i="1"/>
  <c r="AR5" i="1" s="1"/>
  <c r="D196" i="46"/>
  <c r="D197" i="46" l="1"/>
  <c r="D198" i="46" l="1"/>
  <c r="D199" i="46" l="1"/>
  <c r="CC6" i="1" s="1"/>
  <c r="BJ6" i="1" l="1"/>
  <c r="AR6" i="1" s="1"/>
  <c r="BS6" i="1"/>
  <c r="BA6" i="1" s="1"/>
  <c r="D200" i="46"/>
  <c r="D201" i="46" l="1"/>
  <c r="D202" i="46" l="1"/>
  <c r="D203" i="46" l="1"/>
  <c r="CC7" i="1" s="1"/>
  <c r="BT7" i="1" l="1"/>
  <c r="BB7" i="1" s="1"/>
  <c r="BS7" i="1"/>
  <c r="BA7" i="1" s="1"/>
  <c r="BJ7" i="1"/>
  <c r="AR7" i="1" s="1"/>
  <c r="BK7" i="1"/>
  <c r="AS7" i="1" s="1"/>
  <c r="BU7" i="1"/>
  <c r="BC7" i="1" s="1"/>
  <c r="BL7" i="1"/>
  <c r="AT7" i="1" s="1"/>
  <c r="D204" i="46"/>
  <c r="D205" i="46" l="1"/>
  <c r="D206" i="46" l="1"/>
  <c r="D207" i="46" l="1"/>
  <c r="CC8" i="1" s="1"/>
  <c r="BM8" i="1" l="1"/>
  <c r="AU8" i="1" s="1"/>
  <c r="BK8" i="1"/>
  <c r="AS8" i="1" s="1"/>
  <c r="BS8" i="1"/>
  <c r="BA8" i="1" s="1"/>
  <c r="BT8" i="1"/>
  <c r="BB8" i="1" s="1"/>
  <c r="BU8" i="1"/>
  <c r="BC8" i="1" s="1"/>
  <c r="BN8" i="1"/>
  <c r="AV8" i="1" s="1"/>
  <c r="BJ8" i="1"/>
  <c r="AR8" i="1" s="1"/>
  <c r="BL8" i="1"/>
  <c r="AT8" i="1" s="1"/>
  <c r="BV8" i="1"/>
  <c r="BD8" i="1" s="1"/>
  <c r="BW8" i="1"/>
  <c r="BE8" i="1" s="1"/>
  <c r="D208" i="46"/>
  <c r="D209" i="46" l="1"/>
  <c r="D210" i="46" l="1"/>
  <c r="D211" i="46" l="1"/>
  <c r="CC9" i="1" s="1"/>
  <c r="BM9" i="1" l="1"/>
  <c r="BU9" i="1"/>
  <c r="BO9" i="1"/>
  <c r="BX9" i="1"/>
  <c r="BK9" i="1"/>
  <c r="BT9" i="1"/>
  <c r="BV9" i="1"/>
  <c r="BJ9" i="1"/>
  <c r="BN9" i="1"/>
  <c r="BS9" i="1"/>
  <c r="BW9" i="1"/>
  <c r="BY9" i="1"/>
  <c r="BL9" i="1"/>
  <c r="BP9" i="1"/>
  <c r="D212" i="46"/>
  <c r="D213" i="46" l="1"/>
  <c r="D214" i="46" l="1"/>
  <c r="D215" i="46" l="1"/>
  <c r="CC10" i="1" s="1"/>
  <c r="BZ10" i="1" l="1"/>
  <c r="BH10" i="1" s="1"/>
  <c r="BX10" i="1"/>
  <c r="BM10" i="1"/>
  <c r="BQ10" i="1"/>
  <c r="AY10" i="1" s="1"/>
  <c r="BW10" i="1"/>
  <c r="BN10" i="1"/>
  <c r="BJ10" i="1"/>
  <c r="BU10" i="1"/>
  <c r="BY10" i="1"/>
  <c r="BP10" i="1"/>
  <c r="BT10" i="1"/>
  <c r="BS10" i="1"/>
  <c r="BV10" i="1"/>
  <c r="BK10" i="1"/>
  <c r="BL10" i="1"/>
  <c r="BO10" i="1"/>
  <c r="D216" i="46"/>
  <c r="D217" i="46" l="1"/>
  <c r="D218" i="46" l="1"/>
  <c r="D219" i="46" l="1"/>
  <c r="CC11" i="1" s="1"/>
  <c r="BQ11" i="1" l="1"/>
  <c r="AY11" i="1" s="1"/>
  <c r="AG11" i="1" s="1"/>
  <c r="BS11" i="1"/>
  <c r="BX11" i="1"/>
  <c r="BO11" i="1"/>
  <c r="BU11" i="1"/>
  <c r="BP11" i="1"/>
  <c r="BJ11" i="1"/>
  <c r="BW11" i="1"/>
  <c r="BV11" i="1"/>
  <c r="BY11" i="1"/>
  <c r="BT11" i="1"/>
  <c r="BZ11" i="1"/>
  <c r="BH11" i="1" s="1"/>
  <c r="BL11" i="1"/>
  <c r="BK11" i="1"/>
  <c r="BN11" i="1"/>
  <c r="BM11" i="1"/>
  <c r="D220" i="46"/>
  <c r="AP11" i="1" l="1"/>
  <c r="AP10" i="1"/>
  <c r="D221" i="46"/>
  <c r="D222" i="46" l="1"/>
  <c r="D223" i="46" l="1"/>
  <c r="CC12" i="1" s="1"/>
  <c r="BL12" i="1" l="1"/>
  <c r="BP12" i="1"/>
  <c r="BZ12" i="1"/>
  <c r="BH12" i="1" s="1"/>
  <c r="AP12" i="1" s="1"/>
  <c r="BK12" i="1"/>
  <c r="BN12" i="1"/>
  <c r="BS12" i="1"/>
  <c r="BT12" i="1"/>
  <c r="BY12" i="1"/>
  <c r="BQ12" i="1"/>
  <c r="AY12" i="1" s="1"/>
  <c r="AG12" i="1" s="1"/>
  <c r="BU12" i="1"/>
  <c r="BJ12" i="1"/>
  <c r="BV12" i="1"/>
  <c r="BX12" i="1"/>
  <c r="BM12" i="1"/>
  <c r="BW12" i="1"/>
  <c r="BO12" i="1"/>
  <c r="D224" i="46"/>
  <c r="D225" i="46" l="1"/>
  <c r="D226" i="46" l="1"/>
  <c r="D227" i="46" l="1"/>
  <c r="CC13" i="1" s="1"/>
  <c r="BM13" i="1" l="1"/>
  <c r="BZ13" i="1"/>
  <c r="BH13" i="1" s="1"/>
  <c r="AP13" i="1" s="1"/>
  <c r="BO13" i="1"/>
  <c r="BN13" i="1"/>
  <c r="BY13" i="1"/>
  <c r="BW13" i="1"/>
  <c r="BL13" i="1"/>
  <c r="BV13" i="1"/>
  <c r="BK13" i="1"/>
  <c r="BU13" i="1"/>
  <c r="BT13" i="1"/>
  <c r="BP13" i="1"/>
  <c r="BX13" i="1"/>
  <c r="BQ13" i="1"/>
  <c r="AY13" i="1" s="1"/>
  <c r="AG13" i="1" s="1"/>
  <c r="D228" i="46"/>
  <c r="D229" i="46" l="1"/>
  <c r="D230" i="46" l="1"/>
  <c r="D231" i="46" l="1"/>
  <c r="CC14" i="1" s="1"/>
  <c r="BO14" i="1" l="1"/>
  <c r="BN14" i="1"/>
  <c r="BQ14" i="1"/>
  <c r="AY14" i="1" s="1"/>
  <c r="AG14" i="1" s="1"/>
  <c r="BX14" i="1"/>
  <c r="BZ14" i="1"/>
  <c r="BH14" i="1" s="1"/>
  <c r="AP14" i="1" s="1"/>
  <c r="BY14" i="1"/>
  <c r="BV14" i="1"/>
  <c r="BM14" i="1"/>
  <c r="BP14" i="1"/>
  <c r="BW14" i="1"/>
  <c r="D232" i="46"/>
  <c r="D233" i="46" l="1"/>
  <c r="D234" i="46" l="1"/>
  <c r="D235" i="46" l="1"/>
  <c r="CC15" i="1" s="1"/>
  <c r="BO15" i="1" l="1"/>
  <c r="BY15" i="1"/>
  <c r="BP15" i="1"/>
  <c r="BZ15" i="1"/>
  <c r="BH15" i="1" s="1"/>
  <c r="AP15" i="1" s="1"/>
  <c r="BQ15" i="1"/>
  <c r="AY15" i="1" s="1"/>
  <c r="AG15" i="1" s="1"/>
  <c r="BX15" i="1"/>
  <c r="D236" i="46"/>
  <c r="D237" i="46" l="1"/>
  <c r="D238" i="46" l="1"/>
  <c r="D239" i="46" l="1"/>
  <c r="CC16" i="1" s="1"/>
  <c r="BZ16" i="1" l="1"/>
  <c r="BH16" i="1" s="1"/>
  <c r="AP16" i="1" s="1"/>
  <c r="BQ16" i="1"/>
  <c r="AY16" i="1" s="1"/>
  <c r="AG16" i="1" s="1"/>
  <c r="D240" i="46"/>
  <c r="D241" i="46" l="1"/>
  <c r="D242" i="46" l="1"/>
  <c r="D243" i="46" l="1"/>
  <c r="D244" i="46" l="1"/>
  <c r="D245" i="46" l="1"/>
  <c r="D246" i="46" l="1"/>
  <c r="D247" i="46" l="1"/>
  <c r="D248" i="46" l="1"/>
  <c r="D249" i="46" l="1"/>
  <c r="D250" i="46" l="1"/>
  <c r="D251" i="46" l="1"/>
  <c r="D252" i="46" l="1"/>
  <c r="D253" i="46" l="1"/>
  <c r="D254" i="46" l="1"/>
  <c r="D255" i="46" l="1"/>
  <c r="D256" i="46" l="1"/>
  <c r="D257" i="46" l="1"/>
  <c r="D258" i="46" l="1"/>
  <c r="D259" i="46" l="1"/>
  <c r="D260" i="46" l="1"/>
  <c r="D261" i="46" l="1"/>
  <c r="D262" i="46" l="1"/>
  <c r="D263" i="46" l="1"/>
  <c r="D264" i="46" l="1"/>
  <c r="D265" i="46" l="1"/>
  <c r="D266" i="46" l="1"/>
  <c r="D267" i="46" l="1"/>
  <c r="D268" i="46" l="1"/>
  <c r="D269" i="46" l="1"/>
  <c r="D270" i="46" l="1"/>
  <c r="D271" i="46" l="1"/>
  <c r="D272" i="46" l="1"/>
  <c r="D273" i="46" l="1"/>
  <c r="D274" i="46" l="1"/>
  <c r="D275" i="46" l="1"/>
  <c r="D276" i="46" l="1"/>
  <c r="D277" i="46" l="1"/>
  <c r="D278" i="46" l="1"/>
  <c r="D279" i="46" l="1"/>
  <c r="D280" i="46" l="1"/>
  <c r="D281" i="46" l="1"/>
  <c r="D282" i="46" l="1"/>
  <c r="D283" i="46" l="1"/>
  <c r="D284" i="46" l="1"/>
  <c r="D285" i="46" l="1"/>
  <c r="D286" i="46" l="1"/>
  <c r="D287" i="46" l="1"/>
  <c r="D288" i="46" l="1"/>
  <c r="D289" i="46" l="1"/>
  <c r="D290" i="46" l="1"/>
  <c r="D291" i="46" l="1"/>
  <c r="D292" i="46" l="1"/>
  <c r="D293" i="46" l="1"/>
  <c r="D294" i="46" l="1"/>
  <c r="D295" i="46" l="1"/>
  <c r="D296" i="46" l="1"/>
  <c r="D297" i="46" l="1"/>
  <c r="D298" i="46" l="1"/>
  <c r="D299" i="46" l="1"/>
  <c r="D300" i="46" l="1"/>
  <c r="D301" i="46" l="1"/>
  <c r="D302" i="46" l="1"/>
  <c r="D303" i="46" l="1"/>
  <c r="D304" i="46" l="1"/>
  <c r="D305" i="46" l="1"/>
  <c r="D306" i="46" l="1"/>
  <c r="D307" i="46" l="1"/>
  <c r="D308" i="46" l="1"/>
  <c r="D309" i="46" l="1"/>
  <c r="D310" i="46" l="1"/>
  <c r="D311" i="46" l="1"/>
  <c r="D312" i="46" l="1"/>
  <c r="D313" i="46" l="1"/>
  <c r="D314" i="46" l="1"/>
  <c r="D315" i="46" l="1"/>
  <c r="D316" i="46" l="1"/>
  <c r="D317" i="46" l="1"/>
  <c r="D318" i="46" l="1"/>
  <c r="D319" i="46" l="1"/>
  <c r="D320" i="46" s="1"/>
  <c r="D321" i="46" s="1"/>
  <c r="D322" i="46" s="1"/>
  <c r="D323" i="46" s="1"/>
  <c r="D324" i="46" s="1"/>
  <c r="D325" i="46" s="1"/>
  <c r="D326" i="46" s="1"/>
  <c r="D327" i="46" s="1"/>
  <c r="D328" i="46" s="1"/>
  <c r="D329" i="46" s="1"/>
  <c r="D330" i="46" s="1"/>
  <c r="D331" i="46" s="1"/>
  <c r="D332" i="46" s="1"/>
  <c r="D333" i="46" s="1"/>
  <c r="D334" i="46" s="1"/>
  <c r="D335" i="46" s="1"/>
  <c r="D336" i="46" s="1"/>
  <c r="D337" i="46" s="1"/>
  <c r="D338" i="46" s="1"/>
  <c r="D339" i="46" s="1"/>
  <c r="D340" i="46" s="1"/>
  <c r="D341" i="46" s="1"/>
  <c r="D342" i="46" s="1"/>
  <c r="D343" i="46" s="1"/>
  <c r="D344" i="46" s="1"/>
  <c r="D345" i="46" s="1"/>
  <c r="D346" i="46" s="1"/>
  <c r="D347" i="46" s="1"/>
  <c r="D348" i="46" s="1"/>
  <c r="D349" i="46" s="1"/>
  <c r="D350" i="46" s="1"/>
  <c r="D351" i="46" s="1"/>
  <c r="D352" i="46" s="1"/>
  <c r="D353" i="46" s="1"/>
  <c r="D354" i="46" s="1"/>
  <c r="D355" i="46" s="1"/>
  <c r="D356" i="46" s="1"/>
  <c r="D357" i="46" s="1"/>
  <c r="D358" i="46" s="1"/>
  <c r="D6" i="46" s="1"/>
  <c r="E6" i="46" s="1" a="1"/>
  <c r="E6" i="46" s="1"/>
  <c r="B15" i="1"/>
  <c r="C15" i="1"/>
  <c r="D15" i="1"/>
  <c r="E15" i="1"/>
  <c r="F15" i="1"/>
  <c r="G15" i="1"/>
  <c r="C14" i="1"/>
  <c r="D14" i="1"/>
  <c r="E14" i="1"/>
  <c r="F14" i="1"/>
  <c r="G14" i="1"/>
  <c r="B14" i="1"/>
  <c r="C13" i="1"/>
  <c r="D13" i="1"/>
  <c r="E13" i="1"/>
  <c r="F13" i="1"/>
  <c r="G13" i="1"/>
  <c r="B13" i="1"/>
  <c r="G7" i="1"/>
  <c r="G16" i="1" s="1"/>
  <c r="E7" i="1"/>
  <c r="E16" i="1" s="1"/>
  <c r="B7" i="1"/>
  <c r="B16" i="1" s="1"/>
  <c r="D7" i="1"/>
  <c r="D16" i="1" s="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5" i="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5" i="1"/>
  <c r="J5" i="1" s="1"/>
  <c r="F7" i="1" l="1"/>
  <c r="F16" i="1" s="1"/>
  <c r="C7" i="1"/>
  <c r="C16" i="1" s="1"/>
  <c r="BG13" i="1" l="1"/>
  <c r="AW15" i="1"/>
  <c r="AT13" i="1"/>
  <c r="BD11" i="1"/>
  <c r="BG15" i="1"/>
  <c r="AR12" i="1"/>
  <c r="BF9" i="1"/>
  <c r="BF15" i="1"/>
  <c r="AN15" i="1" s="1"/>
  <c r="AX14" i="1"/>
  <c r="AS13" i="1"/>
  <c r="AX10" i="1"/>
  <c r="AF10" i="1" s="1"/>
  <c r="BD14" i="1"/>
  <c r="BG14" i="1"/>
  <c r="BD12" i="1"/>
  <c r="BE12" i="1"/>
  <c r="AW12" i="1"/>
  <c r="AE12" i="1" s="1"/>
  <c r="AW13" i="1"/>
  <c r="AW11" i="1"/>
  <c r="BG10" i="1"/>
  <c r="BF12" i="1"/>
  <c r="BC13" i="1"/>
  <c r="BF11" i="1"/>
  <c r="AN11" i="1" s="1"/>
  <c r="BB12" i="1"/>
  <c r="AW14" i="1"/>
  <c r="AE14" i="1" s="1"/>
  <c r="AR9" i="1"/>
  <c r="BE10" i="1"/>
  <c r="BF13" i="1"/>
  <c r="AT11" i="1"/>
  <c r="BA12" i="1"/>
  <c r="AT9" i="1"/>
  <c r="AU11" i="1"/>
  <c r="AU12" i="1"/>
  <c r="AC12" i="1" s="1"/>
  <c r="AX9" i="1"/>
  <c r="AX12" i="1"/>
  <c r="BG9" i="1"/>
  <c r="BB9" i="1"/>
  <c r="BD10" i="1"/>
  <c r="BC11" i="1"/>
  <c r="AT12" i="1"/>
  <c r="AX13" i="1"/>
  <c r="AF13" i="1" s="1"/>
  <c r="AS12" i="1"/>
  <c r="BD9" i="1"/>
  <c r="BE9" i="1"/>
  <c r="AW10" i="1"/>
  <c r="AE10" i="1" s="1"/>
  <c r="AU10" i="1"/>
  <c r="AC8" i="1" s="1"/>
  <c r="BE11" i="1"/>
  <c r="BC9" i="1"/>
  <c r="AK9" i="1" s="1"/>
  <c r="BC12" i="1"/>
  <c r="AK12" i="1" s="1"/>
  <c r="AS11" i="1"/>
  <c r="AU14" i="1"/>
  <c r="BB10" i="1"/>
  <c r="AV10" i="1"/>
  <c r="AD8" i="1" s="1"/>
  <c r="AV11" i="1"/>
  <c r="AV12" i="1"/>
  <c r="BB13" i="1"/>
  <c r="AJ13" i="1" s="1"/>
  <c r="AV14" i="1"/>
  <c r="AS9" i="1"/>
  <c r="BG12" i="1"/>
  <c r="BF14" i="1"/>
  <c r="BA9" i="1"/>
  <c r="BA10" i="1"/>
  <c r="BE13" i="1"/>
  <c r="AM13" i="1" s="1"/>
  <c r="BA11" i="1"/>
  <c r="AV13" i="1"/>
  <c r="BG11" i="1"/>
  <c r="AO11" i="1" s="1"/>
  <c r="AU9" i="1"/>
  <c r="AX11" i="1"/>
  <c r="AF11" i="1" s="1"/>
  <c r="BC10" i="1"/>
  <c r="AW9" i="1"/>
  <c r="AT10" i="1"/>
  <c r="AB10" i="1" s="1"/>
  <c r="AV9" i="1"/>
  <c r="AD9" i="1" s="1"/>
  <c r="AS10" i="1"/>
  <c r="AA7" i="1" s="1"/>
  <c r="AR10" i="1"/>
  <c r="Z7" i="1" s="1"/>
  <c r="BE14" i="1"/>
  <c r="BF10" i="1"/>
  <c r="BD13" i="1"/>
  <c r="BB11" i="1"/>
  <c r="AR11" i="1"/>
  <c r="AU13" i="1"/>
  <c r="AX15" i="1"/>
  <c r="AF15" i="1" s="1"/>
  <c r="AJ12" i="1" l="1"/>
  <c r="AL13" i="1"/>
  <c r="AL12" i="1"/>
  <c r="AL10" i="1"/>
  <c r="AL14" i="1"/>
  <c r="AM12" i="1"/>
  <c r="AO14" i="1"/>
  <c r="AO15" i="1"/>
  <c r="AF14" i="1"/>
  <c r="AN9" i="1"/>
  <c r="AI10" i="1"/>
  <c r="AK13" i="1"/>
  <c r="AN12" i="1"/>
  <c r="AL11" i="1"/>
  <c r="AL8" i="1"/>
  <c r="AI11" i="1"/>
  <c r="AI8" i="1"/>
  <c r="AI5" i="1"/>
  <c r="AI6" i="1"/>
  <c r="AI7" i="1"/>
  <c r="AK11" i="1"/>
  <c r="AK7" i="1"/>
  <c r="AK8" i="1"/>
  <c r="AJ11" i="1"/>
  <c r="AJ7" i="1"/>
  <c r="AJ8" i="1"/>
  <c r="AK10" i="1"/>
  <c r="AJ9" i="1"/>
  <c r="AN14" i="1"/>
  <c r="AJ10" i="1"/>
  <c r="AM9" i="1"/>
  <c r="AO9" i="1"/>
  <c r="AN13" i="1"/>
  <c r="AO10" i="1"/>
  <c r="AM11" i="1"/>
  <c r="AM8" i="1"/>
  <c r="AN10" i="1"/>
  <c r="AM14" i="1"/>
  <c r="AO12" i="1"/>
  <c r="AL9" i="1"/>
  <c r="AM10" i="1"/>
  <c r="AE15" i="1"/>
  <c r="AI12" i="1"/>
  <c r="AI9" i="1"/>
  <c r="AO13" i="1"/>
  <c r="Z10" i="1"/>
  <c r="AC9" i="1"/>
  <c r="AA8" i="1"/>
  <c r="AD10" i="1"/>
  <c r="AA9" i="1"/>
  <c r="AB8" i="1"/>
  <c r="AF12" i="1"/>
  <c r="AB7" i="1"/>
  <c r="AD14" i="1"/>
  <c r="Z12" i="1"/>
  <c r="AB9" i="1"/>
  <c r="AB11" i="1"/>
  <c r="AC10" i="1"/>
  <c r="AD13" i="1"/>
  <c r="Z11" i="1"/>
  <c r="AD12" i="1"/>
  <c r="AA11" i="1"/>
  <c r="AB12" i="1"/>
  <c r="AC13" i="1"/>
  <c r="AD11" i="1"/>
  <c r="AA12" i="1"/>
  <c r="AE11" i="1"/>
  <c r="AB13" i="1"/>
  <c r="AE13" i="1"/>
  <c r="AA13" i="1"/>
  <c r="AC11" i="1"/>
  <c r="Z9" i="1"/>
  <c r="Z5" i="1"/>
  <c r="AA10" i="1"/>
  <c r="Z6" i="1"/>
  <c r="AC14" i="1"/>
  <c r="Z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<sst xmlns="http://schemas.openxmlformats.org/spreadsheetml/2006/main" count="2039" uniqueCount="994">
  <si>
    <t>£ billion</t>
  </si>
  <si>
    <t>Receipts and expenditure</t>
  </si>
  <si>
    <t>Deficit</t>
  </si>
  <si>
    <t>Fiscal targets</t>
  </si>
  <si>
    <t>Financing</t>
  </si>
  <si>
    <t>Other Debt and Deficit measures</t>
  </si>
  <si>
    <t>Economic indicators</t>
  </si>
  <si>
    <t>Public sector current receipts</t>
  </si>
  <si>
    <t>Total managed expenditure</t>
  </si>
  <si>
    <t>Public sector current expenditure</t>
  </si>
  <si>
    <t>Public sector net investment</t>
  </si>
  <si>
    <t>Depreciation</t>
  </si>
  <si>
    <t>Public sector gross investment</t>
  </si>
  <si>
    <t>National account taxes</t>
  </si>
  <si>
    <t>Cyclically-adjusted current budget deficit</t>
  </si>
  <si>
    <t>Primary balance</t>
  </si>
  <si>
    <t>Cyclically-adjusted primary balance</t>
  </si>
  <si>
    <t>Cyclically-adjusted net borrowing</t>
  </si>
  <si>
    <t>Public sector net borrowing</t>
  </si>
  <si>
    <t>Current budget deficit</t>
  </si>
  <si>
    <t>Public sector net financial liabilities</t>
  </si>
  <si>
    <t>Central government net cash requirement</t>
  </si>
  <si>
    <t>Public sector net cash requirement</t>
  </si>
  <si>
    <t>Central government debt interest, net of APF</t>
  </si>
  <si>
    <t>Public sector net debt</t>
  </si>
  <si>
    <t>Public Sector Net Debt ex BoE</t>
  </si>
  <si>
    <t>Public sector net worth (inverted)</t>
  </si>
  <si>
    <t>General government net borrowing</t>
  </si>
  <si>
    <t>Cyclically-adjusted general government net borrowing</t>
  </si>
  <si>
    <t>General Government Gross Debt</t>
  </si>
  <si>
    <t>Nominal GDP (£ billion)</t>
  </si>
  <si>
    <t>Nominal GDP, centred end-March (£ billion)</t>
  </si>
  <si>
    <t>Output gap (per cent of GDP)</t>
  </si>
  <si>
    <t>GDP Deflator (2024-25=100)</t>
  </si>
  <si>
    <t>ONS code</t>
  </si>
  <si>
    <t>JW2O</t>
  </si>
  <si>
    <t>KX5Q</t>
  </si>
  <si>
    <t>JW2Q</t>
  </si>
  <si>
    <t>-JW2Z</t>
  </si>
  <si>
    <t>-JW2S</t>
  </si>
  <si>
    <t>(J5II+JW2P-JW2L+JW2M)</t>
  </si>
  <si>
    <t>-J5II</t>
  </si>
  <si>
    <t>-JW2T</t>
  </si>
  <si>
    <t>RUUW</t>
  </si>
  <si>
    <t>JW38</t>
  </si>
  <si>
    <t>NMFX+MU74</t>
  </si>
  <si>
    <t>HF6W</t>
  </si>
  <si>
    <t>CPPH</t>
  </si>
  <si>
    <t>-NNBK</t>
  </si>
  <si>
    <t>BKPX</t>
  </si>
  <si>
    <t>BKTL</t>
  </si>
  <si>
    <t>YBGB</t>
  </si>
  <si>
    <t>Derivation</t>
  </si>
  <si>
    <t>a</t>
  </si>
  <si>
    <t>b</t>
  </si>
  <si>
    <t>c</t>
  </si>
  <si>
    <t>d</t>
  </si>
  <si>
    <t>e</t>
  </si>
  <si>
    <t>(c+d+e)</t>
  </si>
  <si>
    <t>(d+e)</t>
  </si>
  <si>
    <t>(b-a)</t>
  </si>
  <si>
    <t>(c+e-a)</t>
  </si>
  <si>
    <t>1946-47</t>
  </si>
  <si>
    <t>-</t>
  </si>
  <si>
    <t>1947-48</t>
  </si>
  <si>
    <t>1948-49</t>
  </si>
  <si>
    <t>1949-50</t>
  </si>
  <si>
    <t>1950-51</t>
  </si>
  <si>
    <t>1951-52</t>
  </si>
  <si>
    <t>1952-53</t>
  </si>
  <si>
    <t>1953-54</t>
  </si>
  <si>
    <t>1954-55</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</si>
  <si>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</si>
  <si>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</si>
  <si>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</si>
  <si>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</si>
  <si>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</si>
  <si>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</si>
  <si>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</si>
  <si>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</si>
  <si>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</si>
  <si>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</si>
  <si>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</si>
  <si>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</si>
  <si>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</si>
  <si>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</si>
  <si>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</si>
  <si>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</si>
  <si>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</si>
  <si>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</si>
  <si>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</si>
  <si>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</si>
  <si>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</si>
  <si>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</si>
  <si>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</si>
  <si>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</si>
  <si>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</si>
  <si>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</si>
  <si>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</si>
  <si>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</si>
  <si>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</si>
  <si>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</si>
  <si>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</si>
  <si>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</si>
  <si>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</si>
  <si>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</si>
  <si>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</si>
  <si>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</si>
  <si>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</si>
  <si>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</si>
  <si>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</si>
  <si>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</si>
  <si>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</si>
  <si>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</si>
  <si>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</si>
  <si>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</si>
  <si>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</si>
  <si>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</si>
  <si>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</si>
  <si>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</si>
  <si>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</si>
  <si>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</si>
  <si>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</si>
  <si>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</si>
  <si>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</si>
  <si>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</si>
  <si>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</si>
  <si>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</si>
  <si>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</si>
  <si>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</si>
  <si>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</si>
  <si>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</si>
  <si>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</si>
  <si>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</si>
  <si>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</si>
  <si>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</si>
  <si>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</si>
  <si>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</si>
  <si>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</si>
  <si>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</si>
  <si>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</si>
  <si>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</si>
  <si>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</si>
  <si>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</si>
  <si>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</si>
  <si>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</si>
  <si>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</si>
  <si>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 xml:space="preserve">Notes: </t>
  </si>
  <si>
    <t xml:space="preserve">Outturn fiscal data consistent with the ONS/HM Treasury Public Sector Finances Statistical Bulletin released on 21 October 2025. </t>
  </si>
  <si>
    <r>
      <t xml:space="preserve">Forecast years from 2025-26 are consistent with the OBR </t>
    </r>
    <r>
      <rPr>
        <i/>
        <sz val="10"/>
        <color indexed="8"/>
        <rFont val="Calibri"/>
        <family val="2"/>
      </rPr>
      <t>Economic and fiscal outlook</t>
    </r>
    <r>
      <rPr>
        <sz val="10"/>
        <color indexed="8"/>
        <rFont val="Calibri"/>
        <family val="2"/>
      </rPr>
      <t xml:space="preserve"> forecast published March 2025.</t>
    </r>
  </si>
  <si>
    <t>A full list of sources is available in the glossary.</t>
  </si>
  <si>
    <t>Cyclically adjusted aggregates are OBR calculations based on estimates of the size of the output gap. For more information see Working paper No. 3: Cyclically-adjusting the public finances (https://obr.uk/download/working-paper-no-3-cyclically-adjusting-the-public-finances/)</t>
  </si>
  <si>
    <r>
      <t>Per cent of GDP</t>
    </r>
    <r>
      <rPr>
        <vertAlign val="superscript"/>
        <sz val="14"/>
        <rFont val="Calibri"/>
        <family val="2"/>
      </rPr>
      <t>1</t>
    </r>
  </si>
  <si>
    <r>
      <t>Public sector net debt</t>
    </r>
    <r>
      <rPr>
        <vertAlign val="superscript"/>
        <sz val="10"/>
        <rFont val="Calibri"/>
        <family val="2"/>
      </rPr>
      <t>2</t>
    </r>
  </si>
  <si>
    <r>
      <t>Public sector net debt (ex BOE)</t>
    </r>
    <r>
      <rPr>
        <vertAlign val="superscript"/>
        <sz val="10"/>
        <rFont val="Calibri"/>
        <family val="2"/>
      </rPr>
      <t>2</t>
    </r>
  </si>
  <si>
    <t>Forecast</t>
  </si>
  <si>
    <t>Notes:</t>
  </si>
  <si>
    <r>
      <t xml:space="preserve">1 </t>
    </r>
    <r>
      <rPr>
        <sz val="10"/>
        <rFont val="Calibri"/>
        <family val="2"/>
      </rPr>
      <t>Outturn data presented as a per cent of GDP is consistent with the latest available ONS GDP data (Quarterly National Accounts published 30th September 2025).</t>
    </r>
  </si>
  <si>
    <r>
      <t xml:space="preserve">2 </t>
    </r>
    <r>
      <rPr>
        <sz val="10"/>
        <rFont val="Calibri"/>
        <family val="2"/>
      </rPr>
      <t>Debt at end March; GDP centred on end-March.</t>
    </r>
  </si>
  <si>
    <t>Outturn fiscal data consistent with the ONS/HM Treasury Public Sector Finances Statistical Bulletin released on 21 October 2025.</t>
  </si>
  <si>
    <t>Cyclically adjusted aggregates are OBR estimates based on internal calculations of the size of the output gap. For more information see Working paper No. 3: Cyclically-adjusting the public finances (https://obr.uk/download/working-paper-no-3-cyclically-adjusting-the-public-finances/)</t>
  </si>
  <si>
    <t>OBR fiscal impulse</t>
  </si>
  <si>
    <t>Fiscal impulse</t>
  </si>
  <si>
    <t>Budget policy decisions</t>
  </si>
  <si>
    <t>2025-2026</t>
  </si>
  <si>
    <t>2026-2027</t>
  </si>
  <si>
    <t>2027-2028</t>
  </si>
  <si>
    <t>2028-2029</t>
  </si>
  <si>
    <t>2029-2030</t>
  </si>
  <si>
    <t>Tax</t>
  </si>
  <si>
    <t>Current spending</t>
  </si>
  <si>
    <t>Total</t>
  </si>
  <si>
    <t>check</t>
  </si>
  <si>
    <t>GDP!</t>
  </si>
  <si>
    <t>% of GDP</t>
  </si>
  <si>
    <t>2030-2031</t>
  </si>
  <si>
    <t>24-25</t>
  </si>
  <si>
    <t>25-26</t>
  </si>
  <si>
    <t>26-27</t>
  </si>
  <si>
    <t>27-28</t>
  </si>
  <si>
    <t>28-29</t>
  </si>
  <si>
    <t>29-30</t>
  </si>
  <si>
    <t>PSCE in RDEL</t>
  </si>
  <si>
    <t>Real government spending across fiscal events</t>
  </si>
  <si>
    <t>Real PSCE in RDEL per head (2024-2025=100)</t>
  </si>
  <si>
    <t>Real PSCE in RDEL per head (2024-2025 prices)</t>
  </si>
  <si>
    <t>Real PSGI in RDEL per head (2024-2025 prices)</t>
  </si>
  <si>
    <t>PSCE in RDEL per head</t>
  </si>
  <si>
    <t>PSGI in RDEL per head</t>
  </si>
  <si>
    <t>PSGI in RDEL</t>
  </si>
  <si>
    <t>GDP deflator (raw)</t>
  </si>
  <si>
    <t>Spring Statement (Mar22)</t>
  </si>
  <si>
    <t>AS22</t>
  </si>
  <si>
    <t>Budget (Mar23)</t>
  </si>
  <si>
    <t>AS23</t>
  </si>
  <si>
    <t>Budget (Mar24)</t>
  </si>
  <si>
    <t>Budget (Oct24)</t>
  </si>
  <si>
    <t>Spring forecast (Mar25)</t>
  </si>
  <si>
    <t>Population</t>
  </si>
  <si>
    <t>100 LINE</t>
  </si>
  <si>
    <t>19-20</t>
  </si>
  <si>
    <t>20-21</t>
  </si>
  <si>
    <t>21-22</t>
  </si>
  <si>
    <t>22-23</t>
  </si>
  <si>
    <t>23-24</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</si>
  <si>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</si>
  <si>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</si>
  <si>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</si>
  <si>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</si>
  <si>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</si>
  <si>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</si>
  <si>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</si>
  <si>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</si>
  <si>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</si>
  <si>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</si>
  <si>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</si>
  <si>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</si>
  <si>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</si>
  <si>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</si>
  <si>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</si>
  <si>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</si>
  <si>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</si>
  <si>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</si>
  <si>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</si>
  <si>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</si>
  <si>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</si>
  <si>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</si>
  <si>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</si>
  <si>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</si>
  <si>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</si>
  <si>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</si>
  <si>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</si>
  <si>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</si>
  <si>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</si>
  <si>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</si>
  <si>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</si>
  <si>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</si>
  <si>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</si>
  <si>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</si>
  <si>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</si>
  <si>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</si>
  <si>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</si>
  <si>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</si>
  <si>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</si>
  <si>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</si>
  <si>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</si>
  <si>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</si>
  <si>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</si>
  <si>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</si>
  <si>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</si>
  <si>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</si>
  <si>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</si>
  <si>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</si>
  <si>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</si>
  <si>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</si>
  <si>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</si>
  <si>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</si>
  <si>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</si>
  <si>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</si>
  <si>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</si>
  <si>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</si>
  <si>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</si>
  <si>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</si>
  <si>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</si>
  <si>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</si>
  <si>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</si>
  <si>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</si>
  <si>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</si>
  <si>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</si>
  <si>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</si>
  <si>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</si>
  <si>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</si>
  <si>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</si>
  <si>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</si>
  <si>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</si>
  <si>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</si>
  <si>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</si>
  <si>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</si>
  <si>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</si>
  <si>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</si>
  <si>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</si>
  <si>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</si>
  <si>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</si>
  <si>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</si>
  <si>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</si>
  <si>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</si>
  <si>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</si>
  <si>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</si>
  <si>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</si>
  <si>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</si>
  <si>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</si>
  <si>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</si>
  <si>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</si>
  <si>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</si>
  <si>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</si>
  <si>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</si>
  <si>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</si>
  <si>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</si>
  <si>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</si>
  <si>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</si>
  <si>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</si>
  <si>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</si>
  <si>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</si>
  <si>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</si>
  <si>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</si>
  <si>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</si>
  <si>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</si>
  <si>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</si>
  <si>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</si>
  <si>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</si>
  <si>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</si>
  <si>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</si>
  <si>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</si>
  <si>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</si>
  <si>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</si>
  <si>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</si>
  <si>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</si>
  <si>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</si>
  <si>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</si>
  <si>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</si>
  <si>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</si>
  <si>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</si>
  <si>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</si>
  <si>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</si>
  <si>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</si>
  <si>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</si>
  <si>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</si>
  <si>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</si>
  <si>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</si>
  <si>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</si>
  <si>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</si>
  <si>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</si>
  <si>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</si>
  <si>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</si>
  <si>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</si>
  <si>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</si>
  <si>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</si>
  <si>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</si>
  <si>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</si>
  <si>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</si>
  <si>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</si>
  <si>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</si>
  <si>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</si>
  <si>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</si>
  <si>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</si>
  <si>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</si>
  <si>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</si>
  <si>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</si>
  <si>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</si>
  <si>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</si>
  <si>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</si>
  <si>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</si>
  <si>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</si>
  <si>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</si>
  <si>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</si>
  <si>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</si>
  <si>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</si>
  <si>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</si>
  <si>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</si>
  <si>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</si>
  <si>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</si>
  <si>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</si>
  <si>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</si>
  <si>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</si>
  <si>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</si>
  <si>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</si>
  <si>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</si>
  <si>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</si>
  <si>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</si>
  <si>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</si>
  <si>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</si>
  <si>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</si>
  <si>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</si>
  <si>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</si>
  <si>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</si>
  <si>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</si>
  <si>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</si>
  <si>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</si>
  <si>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</si>
  <si>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</si>
  <si>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</si>
  <si>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</si>
  <si>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</si>
  <si>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</si>
  <si>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</si>
  <si>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</si>
  <si>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</si>
  <si>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</si>
  <si>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</si>
  <si>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</si>
  <si>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</si>
  <si>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</si>
  <si>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</si>
  <si>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</si>
  <si>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</si>
  <si>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</si>
  <si>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</si>
  <si>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</si>
  <si>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</si>
  <si>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</si>
  <si>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</si>
  <si>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</si>
  <si>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</si>
  <si>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</si>
  <si>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</si>
  <si>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</si>
  <si>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</si>
  <si>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</si>
  <si>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</si>
  <si>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</si>
  <si>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</si>
  <si>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</si>
  <si>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</si>
  <si>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</si>
  <si>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</si>
  <si>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</si>
  <si>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</si>
  <si>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</si>
  <si>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</si>
  <si>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</si>
  <si>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</si>
  <si>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</si>
  <si>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</si>
  <si>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</si>
  <si>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</si>
  <si>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</si>
  <si>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</si>
  <si>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</si>
  <si>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</si>
  <si>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</si>
  <si>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</si>
  <si>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</si>
  <si>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</si>
  <si>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</si>
  <si>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</si>
  <si>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</si>
  <si>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</si>
  <si>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</si>
  <si>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</si>
  <si>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</si>
  <si>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</si>
  <si>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</si>
  <si>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</si>
  <si>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</si>
  <si>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</si>
  <si>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</si>
  <si>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</si>
  <si>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</si>
  <si>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</si>
  <si>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</si>
  <si>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</si>
  <si>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</si>
  <si>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</si>
  <si>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</si>
  <si>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</si>
  <si>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</si>
  <si>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</si>
  <si>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</si>
  <si>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</si>
  <si>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</si>
  <si>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</si>
  <si>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</si>
  <si>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</si>
  <si>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</si>
  <si>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</si>
  <si>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</si>
  <si>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</si>
  <si>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</si>
  <si>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</si>
  <si>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</si>
  <si>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</si>
  <si>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</si>
  <si>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</si>
  <si>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</si>
  <si>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</si>
  <si>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</si>
  <si>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</si>
  <si>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</si>
  <si>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</si>
  <si>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</si>
  <si>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</si>
  <si>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</si>
  <si>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</si>
  <si>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</si>
  <si>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</si>
  <si>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</si>
  <si>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</si>
  <si>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</si>
  <si>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</si>
  <si>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</si>
  <si>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</si>
  <si>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</si>
  <si>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</si>
  <si>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</si>
  <si>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</si>
  <si>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</si>
  <si>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</si>
  <si>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</si>
  <si>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</si>
  <si>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</si>
  <si>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</si>
  <si>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</si>
  <si>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</si>
  <si>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</si>
  <si>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</si>
  <si>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</si>
  <si>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</si>
  <si>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</si>
  <si>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</si>
  <si>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</si>
  <si>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</si>
  <si>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</si>
  <si>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</si>
  <si>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</si>
  <si>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</si>
  <si>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</si>
  <si>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</si>
  <si>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</si>
  <si>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</si>
  <si>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</si>
  <si>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</si>
  <si>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</si>
  <si>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</si>
  <si>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2051 Q1</t>
  </si>
  <si>
    <t>2051 Q2</t>
  </si>
  <si>
    <t>2051 Q3</t>
  </si>
  <si>
    <t>2051 Q4</t>
  </si>
  <si>
    <t>2052 Q1</t>
  </si>
  <si>
    <t>2052 Q2</t>
  </si>
  <si>
    <t>2052 Q3</t>
  </si>
  <si>
    <t>2052 Q4</t>
  </si>
  <si>
    <t>2053 Q1</t>
  </si>
  <si>
    <t>2053 Q2</t>
  </si>
  <si>
    <t>2053 Q3</t>
  </si>
  <si>
    <t>2053 Q4</t>
  </si>
  <si>
    <t>2054 Q1</t>
  </si>
  <si>
    <t>2054 Q2</t>
  </si>
  <si>
    <t>2054 Q3</t>
  </si>
  <si>
    <t>2054 Q4</t>
  </si>
  <si>
    <t>2055 Q1</t>
  </si>
  <si>
    <t>2055 Q2</t>
  </si>
  <si>
    <t>2055 Q3</t>
  </si>
  <si>
    <t>2055 Q4</t>
  </si>
  <si>
    <t>2056 Q1</t>
  </si>
  <si>
    <t>2056 Q2</t>
  </si>
  <si>
    <t>2056 Q3</t>
  </si>
  <si>
    <t>2056 Q4</t>
  </si>
  <si>
    <t>2057 Q1</t>
  </si>
  <si>
    <t>2057 Q2</t>
  </si>
  <si>
    <t>2057 Q3</t>
  </si>
  <si>
    <t>2057 Q4</t>
  </si>
  <si>
    <t>2058 Q1</t>
  </si>
  <si>
    <t>2058 Q2</t>
  </si>
  <si>
    <t>2058 Q3</t>
  </si>
  <si>
    <t>2058 Q4</t>
  </si>
  <si>
    <t>2059 Q1</t>
  </si>
  <si>
    <t>2059 Q2</t>
  </si>
  <si>
    <t>2059 Q3</t>
  </si>
  <si>
    <t>2059 Q4</t>
  </si>
  <si>
    <t>2060 Q1</t>
  </si>
  <si>
    <t>2060 Q2</t>
  </si>
  <si>
    <t>2060 Q3</t>
  </si>
  <si>
    <t>2060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</si>
  <si>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</si>
  <si>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</si>
  <si>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</si>
  <si>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</si>
  <si>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</si>
  <si>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</si>
  <si>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</si>
  <si>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</si>
  <si>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</si>
  <si>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</si>
  <si>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</si>
  <si>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</si>
  <si>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</si>
  <si>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Population, total</t>
  </si>
  <si>
    <t>NOV021L</t>
  </si>
  <si>
    <t>Person</t>
  </si>
  <si>
    <t>Thousands</t>
  </si>
  <si>
    <t>Level</t>
  </si>
  <si>
    <t>Office for National Statistics\Haver Analytics</t>
  </si>
  <si>
    <t>NA</t>
  </si>
  <si>
    <t>DYAYA@UK</t>
  </si>
  <si>
    <t xml:space="preserve">U.K.: Population: Midyear Estimates (Thous.Persons)  </t>
  </si>
  <si>
    <t>GBR</t>
  </si>
  <si>
    <t>POP</t>
  </si>
  <si>
    <t>NOV021L.db</t>
  </si>
  <si>
    <t>UK</t>
  </si>
  <si>
    <t>L</t>
  </si>
  <si>
    <t>30-31</t>
  </si>
  <si>
    <t>Budget (Nov25)</t>
  </si>
  <si>
    <t>GDP deflator (2025-2026 = 100)</t>
  </si>
  <si>
    <t>Real PSGI in RDEL (2024-2025 prices)</t>
  </si>
  <si>
    <t>Real PSCE in RDEL (2024-2025 prices)</t>
  </si>
  <si>
    <t>Real PSCE in RDEL (2025-2026=100)</t>
  </si>
  <si>
    <t>Real PSGI in RDEL (2025-2026=100)</t>
  </si>
  <si>
    <t>Real PSGI in RDEL per head (2025-2026=100)</t>
  </si>
  <si>
    <t>GDP, real, LCU</t>
  </si>
  <si>
    <t>Pound</t>
  </si>
  <si>
    <t>Millions</t>
  </si>
  <si>
    <t>chained 2023</t>
  </si>
  <si>
    <t>ABMIQ@UK</t>
  </si>
  <si>
    <t>U.K.: Real Gross Domestic Product (SA, Mil.Chn.2023.GBP)</t>
  </si>
  <si>
    <t>GDP</t>
  </si>
  <si>
    <t>Consumer price index</t>
  </si>
  <si>
    <t>Index</t>
  </si>
  <si>
    <t>D7BT@UK</t>
  </si>
  <si>
    <t xml:space="preserve">UK: Consumer Price Index: All Items (NSA, 2015=100) </t>
  </si>
  <si>
    <t>CPI</t>
  </si>
  <si>
    <t>Average Weekly Earnings (total pay)</t>
  </si>
  <si>
    <t>Pound per Employee</t>
  </si>
  <si>
    <t>KAB9@UK</t>
  </si>
  <si>
    <t>GB: AWE, Total Pay: Whole Economy (SA, GBP)</t>
  </si>
  <si>
    <t>WAGEWKLY</t>
  </si>
  <si>
    <t>CYs</t>
  </si>
  <si>
    <t>FYs</t>
  </si>
  <si>
    <t>GDP forecasts compared</t>
  </si>
  <si>
    <t>OE (Nov25)</t>
  </si>
  <si>
    <t>OBR (Nov25)</t>
  </si>
  <si>
    <t>OBR (Mar25)</t>
  </si>
  <si>
    <t>Back to contents</t>
  </si>
  <si>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</si>
  <si>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</si>
  <si>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</si>
  <si>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</si>
  <si>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</si>
  <si>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</si>
  <si>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</si>
  <si>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</si>
  <si>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</si>
  <si>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</si>
  <si>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</si>
  <si>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</si>
  <si>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</si>
  <si>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</si>
  <si>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</si>
  <si>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of which:</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</si>
  <si>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</si>
  <si>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</si>
  <si>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</si>
  <si>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</si>
  <si>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</si>
  <si>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</si>
  <si>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</si>
  <si>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</si>
  <si>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</si>
  <si>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</si>
  <si>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</si>
  <si>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</si>
  <si>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</si>
  <si>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</si>
  <si>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</si>
  <si>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</si>
  <si>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</si>
  <si>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</si>
  <si>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</si>
  <si>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</si>
  <si>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</si>
  <si>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</si>
  <si>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</si>
  <si>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</si>
  <si>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</si>
  <si>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</si>
  <si>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</si>
  <si>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</si>
  <si>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</si>
  <si>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</si>
  <si>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</si>
  <si>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</si>
  <si>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</si>
  <si>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</si>
  <si>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</si>
  <si>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</si>
  <si>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</si>
  <si>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</si>
  <si>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</si>
  <si>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</si>
  <si>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</si>
  <si>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</si>
  <si>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</si>
  <si>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</si>
  <si>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</si>
  <si>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</si>
  <si>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</si>
  <si>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</si>
  <si>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</si>
  <si>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</si>
  <si>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</si>
  <si>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</si>
  <si>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</si>
  <si>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</si>
  <si>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</si>
  <si>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</si>
  <si>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</si>
  <si>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</si>
  <si>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</si>
  <si>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</si>
  <si>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</si>
  <si>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</si>
  <si>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</si>
  <si>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</si>
  <si>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</si>
  <si>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</si>
  <si>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</si>
  <si>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</si>
  <si>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</si>
  <si>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</si>
  <si>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</si>
  <si>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</si>
  <si>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</si>
  <si>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</si>
  <si>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</si>
  <si>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</si>
  <si>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</si>
  <si>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</si>
  <si>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</si>
  <si>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</si>
  <si>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</si>
  <si>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</si>
  <si>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</si>
  <si>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</si>
  <si>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</si>
  <si>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</si>
  <si>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</si>
  <si>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</si>
  <si>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</si>
  <si>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</si>
  <si>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</si>
  <si>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</si>
  <si>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</si>
  <si>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</si>
  <si>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</si>
  <si>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</si>
  <si>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</si>
  <si>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</si>
  <si>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</si>
  <si>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</si>
  <si>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</si>
  <si>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</si>
  <si>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</si>
  <si>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</si>
  <si>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</si>
  <si>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</si>
  <si>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</si>
  <si>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</si>
  <si>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</si>
  <si>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</si>
  <si>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2030Q2</t>
  </si>
  <si>
    <t>2030Q3</t>
  </si>
  <si>
    <t>2030Q4</t>
  </si>
  <si>
    <t>2031Q1</t>
  </si>
  <si>
    <t>2030-31</t>
  </si>
  <si>
    <r>
      <t>Table 4.1 Budget 2025 policy decisions (£ million)</t>
    </r>
    <r>
      <rPr>
        <b/>
        <vertAlign val="superscript"/>
        <sz val="18"/>
        <color theme="1"/>
        <rFont val="Humnst777 Lt BT"/>
        <family val="2"/>
      </rPr>
      <t>1,2</t>
    </r>
  </si>
  <si>
    <r>
      <t>Head</t>
    </r>
    <r>
      <rPr>
        <vertAlign val="superscript"/>
        <sz val="18"/>
        <rFont val="Humnst777 Lt BT"/>
        <family val="2"/>
      </rPr>
      <t>3</t>
    </r>
  </si>
  <si>
    <t>Getting inflation down and tackling the cost of living</t>
  </si>
  <si>
    <t>Renewables Obligation: Fund 75% of the domestic share of the Renewables Obligation via the Exchequer over the Spending Review period</t>
  </si>
  <si>
    <t>Spend</t>
  </si>
  <si>
    <t>Warm Homes Plan: Increase funding for the Warm Homes Plan and expand the Warm Home Discount Scheme</t>
  </si>
  <si>
    <t>Fuel Duty: Cancel uprating for 2026-27; extend the 5p cut in rates to 31 August 2026, then increase by 1p from 1 September 2026, 2p from 1 December 2026, and 2p from 1 March 2027</t>
  </si>
  <si>
    <t>Rail Fares: Freeze rail fares in England for one year from 1 March 2026</t>
  </si>
  <si>
    <t>Health and Social Care: Freeze NHS prescription charges in England for one year from 1 April 2026</t>
  </si>
  <si>
    <t>Tackling child poverty and reforming welfare</t>
  </si>
  <si>
    <t>Universal Credit Child Element: Remove the two child limit from April 2026, taking 450,000 children out of poverty</t>
  </si>
  <si>
    <t>Universal Credit: Extend the £2,500 surplus earnings threshold for one year from 6 April 2026</t>
  </si>
  <si>
    <t>Child Benefit: Exempt 16–19-year-olds with an illness or disability from the 12-hour weekly rule and equalise the treatment of non-standard educational settings from 1 September 2025</t>
  </si>
  <si>
    <t>Carer’s Allowance Review: Reassess overpayments from 2015 to 2025 caused by incorrect operational guidance</t>
  </si>
  <si>
    <t>Housing Benefit: Reduce the financial cliff edge for claimants in supported housing and temporary accommodation from Autumn 2026</t>
  </si>
  <si>
    <t>DWP Fraud and Error: Extend Targeted Case Review of Universal Credit to 2030-31</t>
  </si>
  <si>
    <t xml:space="preserve">DWP Fraud and Error: Improve accuracy in Pension Credit claims from April 2026 </t>
  </si>
  <si>
    <t>Health and Disability Benefits: Improve operations by increasing face-to-face assessments, increasing WCA reassessment capability, and PIP award review changes, starting from April 2026</t>
  </si>
  <si>
    <t>Motability: Introduce VAT at the standard rate on Advance Payments paid to Motability or equivalent schemes, and Insurance Premium Tax at the standard rate on insurance related to vehicle leases, from 1 July 2026</t>
  </si>
  <si>
    <t>Housing Benefit and Pension Credit Administration: Bring together the administration of pensioner Housing Benefit and Pension Credit from Autumn 2026</t>
  </si>
  <si>
    <t>National Insurance: Remove access to Class 2 National Insurance contributions (NICs) and increase the initial residency and contributions history requirements for Class 3 NICs for individuals abroad from 6 April 2026</t>
  </si>
  <si>
    <t>Growth, business &amp; entrepreneurship</t>
  </si>
  <si>
    <t>Rebuilding Britain: Accelerate delivery of growth-enhancing capital investment, including the Lower Thames Crossing</t>
  </si>
  <si>
    <t>Business Rates: Introduce both a three year Transitional Relief scheme, partially funded by a 1p Transitional Relief Supplement in 2026/27, and a Supporting Small Business scheme from 1 April 2026</t>
  </si>
  <si>
    <t>Business Rates: Introduce two new lower multipliers for eligible retail, hospitality and leisure properties funded by a new high-value multiplier from 1 April 2026</t>
  </si>
  <si>
    <t>Enterprise Management Incentives (EMI): Increase eligibility to allow scale-ups, as well as start-ups, to access the scheme from 6 April 2026</t>
  </si>
  <si>
    <t>Venture Capital Schemes: Increase the Venture Capital Trust (VCT) scheme and the Enterprise Investment Scheme (EIS) annual and lifetime investment limits and the gross assets test from 6 April 2026</t>
  </si>
  <si>
    <t>Venture Capital Schemes: Reduce the VCT scheme Income Tax relief from 6 April 2026</t>
  </si>
  <si>
    <t>UK Listing Relief: Stamp Duty Reserve Tax relief for transfers of a company's securities for a three-year period from the point of listing, effective from 27 November 2025</t>
  </si>
  <si>
    <r>
      <t>Jobs and Skills: Invest in Youth Guarantee, Growth and Skills Levy, and employment &amp; skills support</t>
    </r>
    <r>
      <rPr>
        <vertAlign val="superscript"/>
        <sz val="18"/>
        <color theme="1"/>
        <rFont val="Humnst777 Lt BT"/>
        <family val="2"/>
      </rPr>
      <t>4</t>
    </r>
  </si>
  <si>
    <t>Planning Capacity and Capability: Fund additional capacity in the planning system to get Britain building</t>
  </si>
  <si>
    <t>British Business Bank: Expand the Growth Guarantee Scheme to support businesses impacted by changes in global tariffs</t>
  </si>
  <si>
    <t>Clamping Down on Illegal High Street Operations: Invest in a new cross-government taskforce, additional Insolvency Service staff and enhanced Trading Standards and law enforcement capabilities</t>
  </si>
  <si>
    <t>VAT: Introduce a relief for business donations of goods to charity for onward distribution or use in the delivery of their services, from 1 April 2026</t>
  </si>
  <si>
    <t>Cross-border VAT Grouping: Revert to unconditional whole entity cross-border VAT grouping from 26 November 2025 </t>
  </si>
  <si>
    <t>National Level Regulation: Provide funding to reduce regulatory burden for large food businesses</t>
  </si>
  <si>
    <t>Fisheries and Coastal Growth: Launch a fund to support the domestic fishing sector and coastal communities</t>
  </si>
  <si>
    <t>Innovation in Wales: Invest in a world-leading semiconductor technologies cluster</t>
  </si>
  <si>
    <t xml:space="preserve">Northern Ireland: Post-Brexit trade support </t>
  </si>
  <si>
    <t>Kernow Industrial Growth Fund: Provide funding to support growth in Cornwall</t>
  </si>
  <si>
    <t>Business Rates Retention: Extend Greater London Authority enhanced business rates retention arrangements, and pilot Business Rate Retentions for West England Combined Authority, Cornwall, and Liverpool City Region, for three years from April 2026</t>
  </si>
  <si>
    <t>Port Talbot: Remediate contaminated brownfield land adjacent to the Celtic Freeport</t>
  </si>
  <si>
    <t>Cutting waste and investing in public services</t>
  </si>
  <si>
    <t>RDEL: Go further on efficiencies and savings</t>
  </si>
  <si>
    <t>Health and Social Care: Bringing forward SR25 funding to support the abolition of NHS England and unlock savings</t>
  </si>
  <si>
    <t>NHS: Investing in NHS technology to improve productivity</t>
  </si>
  <si>
    <t xml:space="preserve">Home Office: Provide additional funding to tackle people smuggling gangs </t>
  </si>
  <si>
    <t xml:space="preserve">Systems &amp; Compliance: Invest in HMRC, DWP and other departments to: reduce fraud and error in the welfare system &amp; public sector; ensure tax compliance and implement Budget tax measures; and increase departmental resilience to economic shocks </t>
  </si>
  <si>
    <t>National Year of Reading: Fund state-funded secondary schools in England to increase book supplies</t>
  </si>
  <si>
    <t>Investing in Communities: Provide funding to refurbish and improve up to 200 playgrounds in England</t>
  </si>
  <si>
    <t>Environmental Regeneration: Launch a new grant scheme for public bodies to support land remediation and reinvest water company fines in projects to clean up rivers, lakes and seas</t>
  </si>
  <si>
    <t>UK-EU Deal: Fund DEFRA costs in 2025-26 for domestic implementation of UK-EU Sanitary and Phytosanitary Agreement</t>
  </si>
  <si>
    <t>Raising revenue fairly</t>
  </si>
  <si>
    <t>Personal Tax: Maintain the personal income tax and equivalent national insurance thresholds at current levels for a further three years until April 2031</t>
  </si>
  <si>
    <t>National Insurance: Maintain the secondary threshold for employer contributions at current level for a further three years until April 2031</t>
  </si>
  <si>
    <t>Student Loans: Freeze Plan 2 repayment threshold for three years from 6 April 2027</t>
  </si>
  <si>
    <t>Property Income: Introduce separate tax rates for property income at 22% for the property basic rate, 42% for the property higher rate and 47% for the property additional rate, from 6 April 2027</t>
  </si>
  <si>
    <t>Dividend Income: Increase tax rates on dividend income by 2ppts at the ordinary and upper rate from 6 April 2026</t>
  </si>
  <si>
    <t>Savings Income: Increase tax rates on savings income by 2ppts at the basic, higher and additional rate from 6 April 2027 and maintain the Starting Rate of Savings limit at £5000 from April 2026 to April 2031</t>
  </si>
  <si>
    <t xml:space="preserve">Salary Sacrifice: Limit the value of salary sacrificed pension contributions that can receive employee and employer NICs relief to £2,000 per year from 6 April 2029 </t>
  </si>
  <si>
    <t xml:space="preserve">Capital Gains Tax: Reduce Capital Gains Tax relief on qualifying disposals to employee ownership trusts from 100% to 50% from 26 November 2025 </t>
  </si>
  <si>
    <t>High Value Council Tax Surcharge: Introduce a surcharge on owners of residential properties valued over £2m in England from 1 April 2028</t>
  </si>
  <si>
    <t>Inheritance Tax: Maintain the nil-rate band, residence nil-rate band, and allowance for 100% rate of agricultural property relief and business property relief for a further year, from April 2030 until April 2031</t>
  </si>
  <si>
    <t>Cap trust charges at £5m for pre-30 October 2024 excluded property trusts for charges applying from 6 April 2025 and close post-departure trade profits loophole from 6 April 2026</t>
  </si>
  <si>
    <t>Writing-down Allowances: Reduce the main rate writing-down allowance to 14% from April 2026 and introduce a new 40% first-year allowance from 1 January 2026</t>
  </si>
  <si>
    <t>Air Passenger Duty: Extend the scope of the higher rate to cover all private jets over 5.7 tonnes from 1 April 2027</t>
  </si>
  <si>
    <r>
      <t>HMRC: Further measures to close the tax gap</t>
    </r>
    <r>
      <rPr>
        <vertAlign val="superscript"/>
        <sz val="18"/>
        <color theme="1"/>
        <rFont val="Humnst777 Lt BT"/>
        <family val="2"/>
      </rPr>
      <t>5</t>
    </r>
  </si>
  <si>
    <t>Modernising the tax system</t>
  </si>
  <si>
    <t>Gambling Duty: Increase Remote Gaming Duty to 40% from 1 April 2026, introduce a new Remote Betting Rate at 25% (excluding Self-Service Betting Terminals, spread betting, pool betting &amp; UK horseracing) from 1 April 2027, and abolish Bingo Duty from 1 April 2026</t>
  </si>
  <si>
    <t xml:space="preserve">Gambling Commission: Provide funding to tackle the illegal market </t>
  </si>
  <si>
    <t>Tour Operators' Margin Scheme: Exclude Private Hire Vehicle Services from the scope of the scheme from 2 January 2026</t>
  </si>
  <si>
    <t>Low Value Imports: Reform the customs treatment of low value imports from March 2029</t>
  </si>
  <si>
    <t>Emissions Trading Scheme (ETS): Expansion of the UK ETS to International Maritime Routes from 2028</t>
  </si>
  <si>
    <t>Defined Benefit (DB) Pension Scheme Surplus Extraction: Introduce flexibilities for employers and direct payments to members from April 2027</t>
  </si>
  <si>
    <t>Landfill Tax: Increase the lower rate by the cash increase of the standard rate from 1 April 2026 and in each year of the forecast period</t>
  </si>
  <si>
    <t xml:space="preserve">Soft Drink Industry Levy: Reduce the levy threshold from 5g to 4.5g/100ml and extend to milk-based drinks and milk substitutes from 1 January 2028 </t>
  </si>
  <si>
    <t>Non-reimbursed Homeworking Expenses: Remove the tax relief available from 6 April 2026</t>
  </si>
  <si>
    <t>Carbon Border Adjustment Mechanism (CBAM): Remove indirect emissions from scope of the CBAM from 1 January 2027</t>
  </si>
  <si>
    <t>Advanced Corporation Tax (ACT) reform: Abolish shadow ACT restrictions to relax the limits on companies’ use of surplus ACT balances from 1 April 2026</t>
  </si>
  <si>
    <t>Modernising motoring tax and supporting the British automative industry</t>
  </si>
  <si>
    <t>Electric Vehicle Excise Duty (eVED): Introduce a new mileage supplement for electric and plug-in hybrid cars from 1 April 2028</t>
  </si>
  <si>
    <t>Support for British automotive industry: Provide additional Electric Car Grant funding &amp; extend to 2029-30 and invest in EV charging infrastructure</t>
  </si>
  <si>
    <t>Support for British automotive industry: Increase the Expensive Car Supplement threshold for zero emission vehicles to £50,000, from 1 April 2026 </t>
  </si>
  <si>
    <t>Support for British automotive industry: Delay bringing Employee Car Ownership schemes within the Benefit in Kind rules from 6 April 2026 to 6 April 2030, with a two year transition period</t>
  </si>
  <si>
    <t>Support for British automotive industry: Extend 100% first-year allowances for zero-emission cars and electric vehicle charge points to 31 March 2027 for Corporation Tax and 5 April 2027 for Income Tax</t>
  </si>
  <si>
    <t>Previously announced policy and other changes</t>
  </si>
  <si>
    <t>Sizewell C: Reclassify construction costs and recognise income generated through the Regulated Asset Base levy</t>
  </si>
  <si>
    <t xml:space="preserve">Plug-in hybrid electric vehicle (PHEV) emissions regulatory standard changes and Benefit in Kind easement </t>
  </si>
  <si>
    <t>Student Finance: Confirm policy detail for the Lifelong Learning Entitlement launch on 1 January 2027 and increase spending on student loans due to a new means-tested maintenance grant offer for students studying certain courses from academic year 2028/29</t>
  </si>
  <si>
    <t>Supporting Savers: Make the Help to Save scheme permanent, maintain total ISA annual subscription limit at £20,000 with cash limit reduced to £12,000 for under-65s from April 2027, delay ISA digitalisation until April 2028 and maintain the ISA subscription limits until 2030/31</t>
  </si>
  <si>
    <t>Agricultural Property Relief and Business Property Relief: Allow any unused allowance for the 100% rate of relief to be transferable between spouses and civil partners from 6 April 2026</t>
  </si>
  <si>
    <t>British Coal Staff Superannuation Scheme: Transfer investment reserve to scheme members</t>
  </si>
  <si>
    <t>Defined Benefit Pensions: Provide inflation protection for pre-1997 pensions in the Pension Protection Fund (PPF) and Financial Assistance Scheme (FAS) where members’ former schemes provided it, from 1 January 2027</t>
  </si>
  <si>
    <t>Personal Independence Payment: Not proceeding with Spring Statement 2025 reforms to eligibility</t>
  </si>
  <si>
    <t>Winter Fuel Payment: Target to pensioners with taxable income below or equal to £35,000 from Winter 2025</t>
  </si>
  <si>
    <t>Universal Credit: Changes to the standard allowance and health element to protect existing claimants and new health element claimants who meet the Severe Conditions Criteria from April 2026</t>
  </si>
  <si>
    <t>Loan Charge: Government response to the independent review</t>
  </si>
  <si>
    <t>Compensation Payments: Make compensation available to those affected by Post Office Capture IT software shortfalls and deliver recommendations from Volume 1 of the Post Office Horizon IT Inquiry's final report</t>
  </si>
  <si>
    <t>Tariffs: Changes since Spring 2025</t>
  </si>
  <si>
    <t>Total policy decisions</t>
  </si>
  <si>
    <t>Total spending policy decisions</t>
  </si>
  <si>
    <t>Total tax policy decisions</t>
  </si>
  <si>
    <r>
      <rPr>
        <vertAlign val="superscript"/>
        <sz val="18"/>
        <color theme="1"/>
        <rFont val="Humnst777 Lt BT"/>
        <family val="2"/>
      </rPr>
      <t xml:space="preserve">1 </t>
    </r>
    <r>
      <rPr>
        <sz val="18"/>
        <color theme="1"/>
        <rFont val="Humnst777 Lt BT"/>
        <family val="2"/>
      </rPr>
      <t>Costings reflect the OBR’s latest economic and fiscal determinants. Totals may not sum due to rounding.</t>
    </r>
  </si>
  <si>
    <r>
      <rPr>
        <vertAlign val="superscript"/>
        <sz val="18"/>
        <color theme="1"/>
        <rFont val="Humnst777 Lt BT"/>
        <family val="2"/>
      </rPr>
      <t xml:space="preserve">2 </t>
    </r>
    <r>
      <rPr>
        <sz val="18"/>
        <color theme="1"/>
        <rFont val="Humnst777 Lt BT"/>
        <family val="2"/>
      </rPr>
      <t xml:space="preserve">Measures with no net increase to borrowing are not set out on this presentational scorecard. These are increases to levies (Economic Crime Levy, Financial Conduct Authority levies, Immigration Skills Charge, International Student Levy) to fund spending on government priorities, reclassification of spend for Mayoral Combined Authorities and police &amp; fire pensions. AME and tax costings with an impact of less than ±£10 million in every year are excluded from the scorecard. </t>
    </r>
  </si>
  <si>
    <r>
      <t>3</t>
    </r>
    <r>
      <rPr>
        <sz val="18"/>
        <color theme="1"/>
        <rFont val="Humnst777 Lt BT"/>
        <family val="2"/>
      </rPr>
      <t xml:space="preserve"> Many measures have both tax and spend impacts. Measures are identified as tax or spend on the basis of their largest impact.</t>
    </r>
  </si>
  <si>
    <r>
      <rPr>
        <vertAlign val="superscript"/>
        <sz val="18"/>
        <color theme="1"/>
        <rFont val="Humnst777 Lt BT"/>
        <family val="2"/>
      </rPr>
      <t xml:space="preserve">4 </t>
    </r>
    <r>
      <rPr>
        <sz val="18"/>
        <color theme="1"/>
        <rFont val="Humnst777 Lt BT"/>
        <family val="2"/>
      </rPr>
      <t>Includes additional RDEL investment across the SR25 period of £725m for the Growth and Skills Levy and £425m for the Youth Guarantee. This is supported by funding previously allocated at SR25, which will help deliver an £820m Youth Guarantee across the SR25 period.</t>
    </r>
  </si>
  <si>
    <r>
      <rPr>
        <vertAlign val="superscript"/>
        <sz val="18"/>
        <color theme="1"/>
        <rFont val="Humnst777 Lt BT"/>
        <family val="2"/>
      </rPr>
      <t xml:space="preserve">5 </t>
    </r>
    <r>
      <rPr>
        <sz val="18"/>
        <color theme="1"/>
        <rFont val="Humnst777 Lt BT"/>
        <family val="2"/>
      </rPr>
      <t>Full costings for the measures in this package are set out in the Budget 2025 Published Costings Document available on gov.uk</t>
    </r>
  </si>
  <si>
    <t>Spending</t>
  </si>
  <si>
    <t>Chart 7.3: Probability of meeting and headroom against fiscal mandate</t>
  </si>
  <si>
    <t>Date</t>
  </si>
  <si>
    <t>Headroom (left axis)</t>
  </si>
  <si>
    <t>Probability of meeting fiscal mandate (right axis)</t>
  </si>
  <si>
    <t>Nov 10</t>
  </si>
  <si>
    <t>Mar 11</t>
  </si>
  <si>
    <t>Nov 11</t>
  </si>
  <si>
    <t>Mar 12</t>
  </si>
  <si>
    <t>Dec 12</t>
  </si>
  <si>
    <t>Mar 13</t>
  </si>
  <si>
    <t>Dec 13</t>
  </si>
  <si>
    <t>Mar 14</t>
  </si>
  <si>
    <t>Dec 14</t>
  </si>
  <si>
    <t>Mar 15</t>
  </si>
  <si>
    <t>Jul 15</t>
  </si>
  <si>
    <t>Nov 15</t>
  </si>
  <si>
    <t>Mar 16</t>
  </si>
  <si>
    <t>Nov 16</t>
  </si>
  <si>
    <t>Mar 17</t>
  </si>
  <si>
    <t>Nov 17</t>
  </si>
  <si>
    <t>Mar 18</t>
  </si>
  <si>
    <t>Oct 18</t>
  </si>
  <si>
    <t>Mar 19</t>
  </si>
  <si>
    <t>Mar 20</t>
  </si>
  <si>
    <t>Oct 21</t>
  </si>
  <si>
    <t>Mar 22</t>
  </si>
  <si>
    <t>Nov 22</t>
  </si>
  <si>
    <t>Mar 23</t>
  </si>
  <si>
    <t>Nov 23</t>
  </si>
  <si>
    <t>Mar 24</t>
  </si>
  <si>
    <t>Oct 24</t>
  </si>
  <si>
    <t>Mar 25</t>
  </si>
  <si>
    <t>Nov 25</t>
  </si>
  <si>
    <t>Average headroom of previous Chancellors (left axis)</t>
  </si>
  <si>
    <t>Headroom</t>
  </si>
  <si>
    <t>2010-2019</t>
  </si>
  <si>
    <t>Sunak</t>
  </si>
  <si>
    <t>Hunt</t>
  </si>
  <si>
    <t>Chart 4.1: National Accounts taxes as a share of GDP</t>
  </si>
  <si>
    <t>Year</t>
  </si>
  <si>
    <t>Outturn</t>
  </si>
  <si>
    <t>March 2025 restated forecast</t>
  </si>
  <si>
    <t>November 2025 pre-measures forecast</t>
  </si>
  <si>
    <t>November 2025 forecast</t>
  </si>
  <si>
    <t>1945-46</t>
  </si>
  <si>
    <t>Chart 5.1: Public spending as a share of GDP</t>
  </si>
  <si>
    <t>November 2025 pre-measures</t>
  </si>
  <si>
    <t>Revenues &amp; spending</t>
  </si>
  <si>
    <t>Table A.5: Current receipts</t>
  </si>
  <si>
    <t xml:space="preserve">    Outturn</t>
  </si>
  <si>
    <r>
      <t>Income tax</t>
    </r>
    <r>
      <rPr>
        <vertAlign val="superscript"/>
        <sz val="10"/>
        <rFont val="Calibri"/>
        <family val="2"/>
      </rPr>
      <t>1</t>
    </r>
  </si>
  <si>
    <t>Pay as you earn</t>
  </si>
  <si>
    <t>Self assessment</t>
  </si>
  <si>
    <t>Other income tax</t>
  </si>
  <si>
    <t>National insurance contributions</t>
  </si>
  <si>
    <t>Value added tax</t>
  </si>
  <si>
    <r>
      <t>Corporation tax</t>
    </r>
    <r>
      <rPr>
        <vertAlign val="superscript"/>
        <sz val="10"/>
        <rFont val="Calibri"/>
        <family val="2"/>
      </rPr>
      <t>2</t>
    </r>
  </si>
  <si>
    <t xml:space="preserve">of which: </t>
  </si>
  <si>
    <t>Onshore</t>
  </si>
  <si>
    <t>Offshore</t>
  </si>
  <si>
    <t>Petroleum revenue tax</t>
  </si>
  <si>
    <t>Fuel duties</t>
  </si>
  <si>
    <t>Business rates</t>
  </si>
  <si>
    <r>
      <t>Council tax</t>
    </r>
    <r>
      <rPr>
        <vertAlign val="superscript"/>
        <sz val="10"/>
        <rFont val="Calibri"/>
        <family val="2"/>
      </rPr>
      <t>3</t>
    </r>
  </si>
  <si>
    <t>VAT refunds</t>
  </si>
  <si>
    <t>Capital gains tax</t>
  </si>
  <si>
    <t>Inheritance tax</t>
  </si>
  <si>
    <r>
      <t>Property transaction taxes</t>
    </r>
    <r>
      <rPr>
        <vertAlign val="superscript"/>
        <sz val="10"/>
        <rFont val="Calibri"/>
        <family val="2"/>
      </rPr>
      <t>4</t>
    </r>
  </si>
  <si>
    <t>Stamp taxes on shares</t>
  </si>
  <si>
    <t>Tobacco duties</t>
  </si>
  <si>
    <t>Alcohol duties</t>
  </si>
  <si>
    <t>Air passenger duty</t>
  </si>
  <si>
    <t>Insurance premium tax</t>
  </si>
  <si>
    <t>Climate change levy</t>
  </si>
  <si>
    <t>Bank levy</t>
  </si>
  <si>
    <t>Bank surcharge</t>
  </si>
  <si>
    <t>Apprenticeship levy</t>
  </si>
  <si>
    <t>Digital services tax</t>
  </si>
  <si>
    <r>
      <t>Other HMRC taxes</t>
    </r>
    <r>
      <rPr>
        <vertAlign val="superscript"/>
        <sz val="10"/>
        <rFont val="Calibri"/>
        <family val="2"/>
      </rPr>
      <t>5</t>
    </r>
  </si>
  <si>
    <t>Vehicle excise duties</t>
  </si>
  <si>
    <t>Licence fee receipts</t>
  </si>
  <si>
    <t>Environmental levies</t>
  </si>
  <si>
    <t>Emissions Trading Scheme</t>
  </si>
  <si>
    <t>Energy profits levy</t>
  </si>
  <si>
    <t>Electricity generator levy</t>
  </si>
  <si>
    <t>Other taxes</t>
  </si>
  <si>
    <t>National Accounts taxes</t>
  </si>
  <si>
    <t>Interest and dividends</t>
  </si>
  <si>
    <t>Gross operating surplus</t>
  </si>
  <si>
    <t>Other receipts</t>
  </si>
  <si>
    <t>Current receipts</t>
  </si>
  <si>
    <r>
      <t>Memo: UK oil and gas revenues</t>
    </r>
    <r>
      <rPr>
        <i/>
        <vertAlign val="superscript"/>
        <sz val="8"/>
        <rFont val="Calibri"/>
        <family val="2"/>
      </rPr>
      <t>6</t>
    </r>
  </si>
  <si>
    <r>
      <rPr>
        <vertAlign val="superscript"/>
        <sz val="8"/>
        <rFont val="Calibri"/>
        <family val="2"/>
      </rPr>
      <t>1</t>
    </r>
    <r>
      <rPr>
        <sz val="8"/>
        <rFont val="Calibri"/>
        <family val="2"/>
      </rPr>
      <t xml:space="preserve"> Includes PAYE, self assessment, tax on savings income, and other minor components, such as income tax repayments.</t>
    </r>
  </si>
  <si>
    <r>
      <rPr>
        <vertAlign val="superscript"/>
        <sz val="8"/>
        <rFont val="Calibri"/>
        <family val="2"/>
      </rPr>
      <t>2</t>
    </r>
    <r>
      <rPr>
        <sz val="8"/>
        <rFont val="Calibri"/>
        <family val="2"/>
      </rPr>
      <t xml:space="preserve"> National Accounts measure, includes Pillar 2 taxes.</t>
    </r>
  </si>
  <si>
    <r>
      <rPr>
        <vertAlign val="superscript"/>
        <sz val="8"/>
        <rFont val="Calibri"/>
        <family val="2"/>
      </rPr>
      <t>3</t>
    </r>
    <r>
      <rPr>
        <sz val="8"/>
        <rFont val="Calibri"/>
        <family val="2"/>
      </rPr>
      <t xml:space="preserve"> Includes high-value council tax surcharge.</t>
    </r>
  </si>
  <si>
    <r>
      <rPr>
        <vertAlign val="superscript"/>
        <sz val="8"/>
        <rFont val="Calibri"/>
        <family val="2"/>
      </rPr>
      <t>4</t>
    </r>
    <r>
      <rPr>
        <sz val="8"/>
        <rFont val="Calibri"/>
        <family val="2"/>
      </rPr>
      <t xml:space="preserve"> Includes stamp duty land tax, devolved property transaction taxes, and the annual tax on enveloped dwellings.</t>
    </r>
  </si>
  <si>
    <r>
      <rPr>
        <vertAlign val="superscript"/>
        <sz val="8"/>
        <rFont val="Calibri"/>
        <family val="2"/>
      </rPr>
      <t xml:space="preserve">5 </t>
    </r>
    <r>
      <rPr>
        <sz val="8"/>
        <rFont val="Calibri"/>
        <family val="2"/>
      </rPr>
      <t>Consists of landfill tax and aggregates levy (ex devolved), betting &amp; gaming duties, customs duties, diverted profits tax, soft drinks industry levy, residential property developer tax, the carbon border adjustment mechanism, vaping tax and plastic packaging tax.</t>
    </r>
  </si>
  <si>
    <r>
      <rPr>
        <vertAlign val="superscript"/>
        <sz val="8"/>
        <rFont val="Calibri"/>
        <family val="2"/>
      </rPr>
      <t xml:space="preserve">6 </t>
    </r>
    <r>
      <rPr>
        <sz val="8"/>
        <rFont val="Calibri"/>
        <family val="2"/>
      </rPr>
      <t>Consists of offshore corporation tax, petroleum revenue tax, and energy profits levy.</t>
    </r>
  </si>
  <si>
    <t>Table A.9: Fiscal aggregates</t>
  </si>
  <si>
    <t>Per cent of GDP</t>
  </si>
  <si>
    <t>Public sector current receipts (a)</t>
  </si>
  <si>
    <t>Total managed expenditure (b)</t>
  </si>
  <si>
    <t>Public sector current expenditure (c)</t>
  </si>
  <si>
    <t>Public sector net investment (d)</t>
  </si>
  <si>
    <t>Depreciation (e)</t>
  </si>
  <si>
    <t>Fiscal mandate and supplementary target</t>
  </si>
  <si>
    <t>Current budget deficit (c+e-a)</t>
  </si>
  <si>
    <r>
      <t>Public sector net financial liabilities</t>
    </r>
    <r>
      <rPr>
        <vertAlign val="superscript"/>
        <sz val="10"/>
        <rFont val="Calibri"/>
        <family val="2"/>
      </rPr>
      <t>1</t>
    </r>
  </si>
  <si>
    <t>Other deficit measures</t>
  </si>
  <si>
    <t>Public sector net borrowing (b-a)</t>
  </si>
  <si>
    <t>Cyclically adjusted net borrowing</t>
  </si>
  <si>
    <t>Cyclically adjusted current budget deficit</t>
  </si>
  <si>
    <t>Primary deficit</t>
  </si>
  <si>
    <t>Cyclically adjusted primary deficit</t>
  </si>
  <si>
    <t>Alternative balance sheet metrics</t>
  </si>
  <si>
    <r>
      <t>Public sector net debt</t>
    </r>
    <r>
      <rPr>
        <vertAlign val="superscript"/>
        <sz val="10"/>
        <rFont val="Calibri"/>
        <family val="2"/>
      </rPr>
      <t>1</t>
    </r>
  </si>
  <si>
    <r>
      <t>Public sector net debt ex Bank of England</t>
    </r>
    <r>
      <rPr>
        <vertAlign val="superscript"/>
        <sz val="10"/>
        <rFont val="Calibri"/>
        <family val="2"/>
      </rPr>
      <t>1</t>
    </r>
  </si>
  <si>
    <r>
      <t>Public sector net worth (inverted)</t>
    </r>
    <r>
      <rPr>
        <vertAlign val="superscript"/>
        <sz val="10"/>
        <rFont val="Calibri"/>
        <family val="2"/>
      </rPr>
      <t>1</t>
    </r>
  </si>
  <si>
    <r>
      <t>International comparisons</t>
    </r>
    <r>
      <rPr>
        <b/>
        <vertAlign val="superscript"/>
        <sz val="10"/>
        <rFont val="Calibri"/>
        <family val="2"/>
      </rPr>
      <t>2</t>
    </r>
  </si>
  <si>
    <t>General government net borrowing (GGNB)</t>
  </si>
  <si>
    <t>Cyclically adjusted GGNB</t>
  </si>
  <si>
    <t>General government gross debt</t>
  </si>
  <si>
    <t>Public sector net debt ex Bank of England</t>
  </si>
  <si>
    <t>Net debt interest</t>
  </si>
  <si>
    <t>Non-interest receipts</t>
  </si>
  <si>
    <t>Memo: output gap (per cent of GDP)</t>
  </si>
  <si>
    <r>
      <rPr>
        <vertAlign val="superscript"/>
        <sz val="8"/>
        <rFont val="Calibri"/>
        <family val="2"/>
      </rPr>
      <t>1</t>
    </r>
    <r>
      <rPr>
        <sz val="8"/>
        <rFont val="Calibri"/>
        <family val="2"/>
      </rPr>
      <t xml:space="preserve"> Position at end-March; GDP centred on end-March.</t>
    </r>
  </si>
  <si>
    <r>
      <rPr>
        <vertAlign val="superscript"/>
        <sz val="8"/>
        <rFont val="Calibri"/>
        <family val="2"/>
      </rPr>
      <t>2</t>
    </r>
    <r>
      <rPr>
        <sz val="8"/>
        <rFont val="Calibri"/>
        <family val="2"/>
      </rPr>
      <t xml:space="preserve"> Calendar year basis.</t>
    </r>
  </si>
  <si>
    <t>Revenues</t>
  </si>
  <si>
    <t>Inflation forecasts</t>
  </si>
  <si>
    <t>2% LINE</t>
  </si>
  <si>
    <t>OE November forecast</t>
  </si>
  <si>
    <t>OE post-Budget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</si>
</sst>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0.0"/>
    <numFmt numFmtId="165" formatCode="0.0%"/>
    <numFmt numFmtId="166" formatCode="0.000"/>
    <numFmt numFmtId="167" formatCode="0.000000"/>
    <numFmt numFmtId="168" formatCode="###0.0;\-###0.0;0.0;@"/>
    <numFmt numFmtId="169" formatCode="\+#,##0;\-#,##0;0"/>
    <numFmt numFmtId="170" formatCode="\+#,##0&quot;m&quot;;\-#,##0&quot;m&quot;"/>
    <numFmt numFmtId="171" formatCode="\+#,##0.0000;\-#,##0.0000;0.0000"/>
    <numFmt numFmtId="172" formatCode="#,##0.0"/>
    <numFmt numFmtId="173" formatCode="_-* #,##0_-;\-* #,##0_-;_-* &quot;-&quot;??_-;_-@_-"/>
  </numFmts>
  <fonts count="69">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4"/>
      <name val="Calibri"/>
      <family val="2"/>
    </font>
    <font>
      <sz val="12"/>
      <color indexed="8"/>
      <name val="Calibri"/>
      <family val="2"/>
    </font>
    <font>
      <sz val="12"/>
      <name val="Calibri"/>
      <family val="2"/>
    </font>
    <font>
      <sz val="11"/>
      <color indexed="8"/>
      <name val="Calibri"/>
      <family val="2"/>
    </font>
    <font>
      <sz val="10"/>
      <name val="Calibri"/>
      <family val="2"/>
    </font>
    <font>
      <sz val="10"/>
      <color indexed="8"/>
      <name val="Calibri"/>
      <family val="2"/>
    </font>
    <font>
      <sz val="10"/>
      <color theme="1"/>
      <name val="Calibri"/>
      <family val="2"/>
    </font>
    <font>
      <sz val="10"/>
      <color indexed="10"/>
      <name val="Calibri"/>
      <family val="2"/>
    </font>
    <font>
      <sz val="10"/>
      <color indexed="45"/>
      <name val="Calibri"/>
      <family val="2"/>
    </font>
    <font>
      <sz val="10"/>
      <color indexed="14"/>
      <name val="Calibri"/>
      <family val="2"/>
    </font>
    <font>
      <sz val="10"/>
      <color indexed="46"/>
      <name val="Calibri"/>
      <family val="2"/>
    </font>
    <font>
      <sz val="10"/>
      <color theme="8"/>
      <name val="Calibri"/>
      <family val="2"/>
    </font>
    <font>
      <sz val="8"/>
      <name val="Calibri"/>
      <family val="2"/>
    </font>
    <font>
      <i/>
      <sz val="10"/>
      <color indexed="8"/>
      <name val="Calibri"/>
      <family val="2"/>
    </font>
    <font>
      <vertAlign val="superscript"/>
      <sz val="14"/>
      <name val="Calibri"/>
      <family val="2"/>
    </font>
    <font>
      <vertAlign val="superscript"/>
      <sz val="10"/>
      <name val="Calibri"/>
      <family val="2"/>
    </font>
    <font>
      <u/>
      <sz val="10"/>
      <color theme="10"/>
      <name val="Arial"/>
      <family val="2"/>
    </font>
    <font>
      <u/>
      <sz val="11"/>
      <color theme="10"/>
      <name val="Calibri"/>
      <family val="2"/>
    </font>
    <font>
      <u/>
      <sz val="12"/>
      <color theme="10"/>
      <name val="Arial"/>
      <family val="2"/>
    </font>
    <font>
      <sz val="12"/>
      <color theme="1"/>
      <name val="Arial"/>
      <family val="2"/>
    </font>
    <font>
      <sz val="11"/>
      <color rgb="FF000000"/>
      <name val="Calibri"/>
      <family val="2"/>
    </font>
    <font>
      <b/>
      <sz val="11"/>
      <color rgb="FFFFFFFF"/>
      <name val="Calibri"/>
      <family val="2"/>
    </font>
    <font>
      <sz val="11"/>
      <color indexed="16"/>
      <name val="Aptos Narrow"/>
      <family val="2"/>
      <scheme val="minor"/>
    </font>
    <font>
      <u/>
      <sz val="10"/>
      <color theme="10"/>
      <name val="Calibri"/>
      <family val="2"/>
    </font>
    <font>
      <sz val="8"/>
      <color indexed="8"/>
      <name val="Calibri"/>
      <family val="2"/>
    </font>
    <font>
      <sz val="12"/>
      <color indexed="8"/>
      <name val="Futura Bk BT"/>
      <family val="2"/>
    </font>
    <font>
      <b/>
      <sz val="12"/>
      <color indexed="8"/>
      <name val="Calibri"/>
      <family val="2"/>
    </font>
    <font>
      <sz val="14"/>
      <color indexed="8"/>
      <name val="Calibri"/>
      <family val="2"/>
    </font>
    <font>
      <sz val="14"/>
      <color theme="1"/>
      <name val="Calibri"/>
      <family val="2"/>
    </font>
    <font>
      <b/>
      <sz val="12"/>
      <color indexed="8"/>
      <name val="Futura Bk BT"/>
      <family val="2"/>
    </font>
    <font>
      <i/>
      <sz val="12"/>
      <name val="Calibri"/>
      <family val="2"/>
    </font>
    <font>
      <sz val="7"/>
      <color indexed="8"/>
      <name val="Calibri"/>
      <family val="2"/>
    </font>
    <font>
      <sz val="12"/>
      <color rgb="FFFF0000"/>
      <name val="Calibri"/>
      <family val="2"/>
    </font>
    <font>
      <sz val="10"/>
      <name val="Humnst777 Lt BT"/>
      <family val="2"/>
    </font>
    <font>
      <sz val="12"/>
      <name val="Arial"/>
      <family val="2"/>
    </font>
    <font>
      <b/>
      <sz val="16"/>
      <name val="Arial"/>
      <family val="2"/>
    </font>
    <font>
      <b/>
      <sz val="18"/>
      <color theme="1"/>
      <name val="Humnst777 Lt BT"/>
      <family val="2"/>
    </font>
    <font>
      <b/>
      <vertAlign val="superscript"/>
      <sz val="18"/>
      <color theme="1"/>
      <name val="Humnst777 Lt BT"/>
      <family val="2"/>
    </font>
    <font>
      <b/>
      <sz val="18"/>
      <name val="Humnst777 Lt BT"/>
      <family val="2"/>
    </font>
    <font>
      <sz val="14"/>
      <name val="Humnst777 Lt BT"/>
      <family val="2"/>
    </font>
    <font>
      <sz val="18"/>
      <name val="Humnst777 Lt BT"/>
      <family val="2"/>
    </font>
    <font>
      <vertAlign val="superscript"/>
      <sz val="18"/>
      <name val="Humnst777 Lt BT"/>
      <family val="2"/>
    </font>
    <font>
      <b/>
      <u/>
      <sz val="12"/>
      <name val="Arial"/>
      <family val="2"/>
    </font>
    <font>
      <b/>
      <u/>
      <sz val="16"/>
      <name val="Arial"/>
      <family val="2"/>
    </font>
    <font>
      <b/>
      <u/>
      <sz val="18"/>
      <color theme="1"/>
      <name val="Humnst777 Lt BT"/>
      <family val="2"/>
    </font>
    <font>
      <sz val="18"/>
      <color theme="1"/>
      <name val="Humnst777 Lt BT"/>
      <family val="2"/>
    </font>
    <font>
      <b/>
      <sz val="14"/>
      <name val="Humnst777 Lt BT"/>
      <family val="2"/>
    </font>
    <font>
      <sz val="14"/>
      <color rgb="FFFF0000"/>
      <name val="Humnst777 Lt BT"/>
      <family val="2"/>
    </font>
    <font>
      <b/>
      <sz val="16"/>
      <color rgb="FFFF0000"/>
      <name val="Humnst777 Lt BT"/>
      <family val="2"/>
    </font>
    <font>
      <sz val="12"/>
      <color rgb="FFFF0000"/>
      <name val="Arial"/>
      <family val="2"/>
    </font>
    <font>
      <vertAlign val="superscript"/>
      <sz val="18"/>
      <color theme="1"/>
      <name val="Humnst777 Lt BT"/>
      <family val="2"/>
    </font>
    <font>
      <sz val="14"/>
      <color theme="1"/>
      <name val="Humnst777 Lt BT"/>
      <family val="2"/>
    </font>
    <font>
      <sz val="11"/>
      <color rgb="FFFF0000"/>
      <name val="Humnst777 Lt BT"/>
      <family val="2"/>
    </font>
    <font>
      <b/>
      <sz val="16"/>
      <name val="Humnst777 Lt BT"/>
      <family val="2"/>
    </font>
    <font>
      <u/>
      <sz val="11"/>
      <color theme="10"/>
      <name val="Aptos Narrow"/>
      <family val="2"/>
      <scheme val="minor"/>
    </font>
    <font>
      <u/>
      <sz val="10"/>
      <color theme="8"/>
      <name val="Calibri"/>
      <family val="2"/>
    </font>
    <font>
      <sz val="13"/>
      <color theme="8"/>
      <name val="Calibri"/>
      <family val="2"/>
    </font>
    <font>
      <i/>
      <sz val="10"/>
      <name val="Calibri"/>
      <family val="2"/>
    </font>
    <font>
      <sz val="12"/>
      <color theme="1"/>
      <name val="Calibri"/>
      <family val="2"/>
    </font>
    <font>
      <b/>
      <sz val="10"/>
      <name val="Calibri"/>
      <family val="2"/>
    </font>
    <font>
      <i/>
      <sz val="8"/>
      <name val="Calibri"/>
      <family val="2"/>
    </font>
    <font>
      <i/>
      <vertAlign val="superscript"/>
      <sz val="8"/>
      <name val="Calibri"/>
      <family val="2"/>
    </font>
    <font>
      <vertAlign val="superscript"/>
      <sz val="8"/>
      <name val="Calibri"/>
      <family val="2"/>
    </font>
    <font>
      <sz val="9"/>
      <name val="Calibri"/>
      <family val="2"/>
    </font>
    <font>
      <b/>
      <vertAlign val="superscript"/>
      <sz val="10"/>
      <name val="Calibri"/>
      <family val="2"/>
    </font>
  </fonts>
  <fills count="12">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theme="0"/>
        <bgColor indexed="64"/>
      </patternFill>
    </fill>
    <fill>
      <patternFill patternType="solid">
        <fgColor theme="5"/>
        <bgColor indexed="64"/>
      </patternFill>
    </fill>
    <fill>
      <patternFill patternType="solid">
        <fgColor indexed="65"/>
        <bgColor indexed="64"/>
      </patternFill>
    </fill>
    <fill>
      <patternFill patternType="solid">
        <fgColor rgb="FF004A80"/>
      </patternFill>
    </fill>
    <fill>
      <patternFill patternType="solid">
        <fgColor rgb="FFFFCCCC"/>
        <bgColor indexed="64"/>
      </patternFill>
    </fill>
    <fill>
      <patternFill patternType="solid">
        <fgColor theme="9" tint="0.79998168889431442"/>
        <bgColor indexed="64"/>
      </patternFill>
    </fill>
    <fill>
      <patternFill patternType="solid">
        <fgColor theme="9"/>
        <bgColor indexed="64"/>
      </patternFill>
    </fill>
    <fill>
      <patternFill patternType="solid">
        <fgColor rgb="FFB5C7D4"/>
        <bgColor indexed="64"/>
      </patternFill>
    </fill>
  </fills>
  <borders count="99">
    <border>
      <left/>
      <right/>
      <top/>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style="medium">
        <color indexed="45"/>
      </left>
      <right style="medium">
        <color indexed="45"/>
      </right>
      <top/>
      <bottom/>
      <diagonal/>
    </border>
    <border>
      <left style="medium">
        <color indexed="45"/>
      </left>
      <right/>
      <top/>
      <bottom/>
      <diagonal/>
    </border>
    <border>
      <left/>
      <right/>
      <top/>
      <bottom style="thin">
        <color indexed="45"/>
      </bottom>
      <diagonal/>
    </border>
    <border>
      <left/>
      <right/>
      <top style="medium">
        <color indexed="45"/>
      </top>
      <bottom style="thin">
        <color theme="8"/>
      </bottom>
      <diagonal/>
    </border>
    <border>
      <left/>
      <right style="medium">
        <color indexed="45"/>
      </right>
      <top/>
      <bottom/>
      <diagonal/>
    </border>
    <border>
      <left/>
      <right/>
      <top style="thin">
        <color theme="8"/>
      </top>
      <bottom style="thin">
        <color theme="8"/>
      </bottom>
      <diagonal/>
    </border>
    <border>
      <left/>
      <right/>
      <top/>
      <bottom style="thin">
        <color theme="8"/>
      </bottom>
      <diagonal/>
    </border>
    <border>
      <left/>
      <right/>
      <top style="thin">
        <color indexed="45"/>
      </top>
      <bottom style="thin">
        <color indexed="45"/>
      </bottom>
      <diagonal/>
    </border>
    <border>
      <left/>
      <right style="medium">
        <color indexed="45"/>
      </right>
      <top style="thin">
        <color indexed="45"/>
      </top>
      <bottom style="thin">
        <color indexed="45"/>
      </bottom>
      <diagonal/>
    </border>
    <border>
      <left style="medium">
        <color indexed="45"/>
      </left>
      <right/>
      <top style="thin">
        <color indexed="45"/>
      </top>
      <bottom style="thin">
        <color indexed="45"/>
      </bottom>
      <diagonal/>
    </border>
    <border>
      <left/>
      <right style="medium">
        <color indexed="45"/>
      </right>
      <top style="thin">
        <color indexed="45"/>
      </top>
      <bottom/>
      <diagonal/>
    </border>
    <border>
      <left style="medium">
        <color indexed="45"/>
      </left>
      <right/>
      <top/>
      <bottom style="thin">
        <color indexed="45"/>
      </bottom>
      <diagonal/>
    </border>
    <border>
      <left/>
      <right style="medium">
        <color indexed="45"/>
      </right>
      <top/>
      <bottom style="thin">
        <color indexed="45"/>
      </bottom>
      <diagonal/>
    </border>
    <border>
      <left style="medium">
        <color indexed="45"/>
      </left>
      <right style="thin">
        <color indexed="45"/>
      </right>
      <top style="thin">
        <color indexed="45"/>
      </top>
      <bottom/>
      <diagonal/>
    </border>
    <border>
      <left style="medium">
        <color indexed="45"/>
      </left>
      <right style="thin">
        <color indexed="45"/>
      </right>
      <top/>
      <bottom/>
      <diagonal/>
    </border>
    <border>
      <left/>
      <right style="medium">
        <color theme="8"/>
      </right>
      <top/>
      <bottom/>
      <diagonal/>
    </border>
    <border>
      <left style="thin">
        <color theme="8"/>
      </left>
      <right/>
      <top/>
      <bottom/>
      <diagonal/>
    </border>
    <border>
      <left style="medium">
        <color theme="8"/>
      </left>
      <right/>
      <top/>
      <bottom/>
      <diagonal/>
    </border>
    <border>
      <left style="medium">
        <color theme="8"/>
      </left>
      <right style="thin">
        <color theme="8"/>
      </right>
      <top/>
      <bottom/>
      <diagonal/>
    </border>
    <border>
      <left style="medium">
        <color indexed="45"/>
      </left>
      <right style="thin">
        <color theme="8"/>
      </right>
      <top/>
      <bottom/>
      <diagonal/>
    </border>
    <border>
      <left/>
      <right/>
      <top/>
      <bottom style="dashed">
        <color rgb="FF477391"/>
      </bottom>
      <diagonal/>
    </border>
    <border>
      <left/>
      <right/>
      <top/>
      <bottom style="dashed">
        <color indexed="45"/>
      </bottom>
      <diagonal/>
    </border>
    <border>
      <left style="medium">
        <color indexed="45"/>
      </left>
      <right style="thin">
        <color theme="8"/>
      </right>
      <top/>
      <bottom style="dashed">
        <color indexed="45"/>
      </bottom>
      <diagonal/>
    </border>
    <border>
      <left style="medium">
        <color theme="8"/>
      </left>
      <right style="dashed">
        <color theme="8"/>
      </right>
      <top/>
      <bottom style="dashed">
        <color theme="8"/>
      </bottom>
      <diagonal/>
    </border>
    <border>
      <left style="dashed">
        <color theme="8"/>
      </left>
      <right/>
      <top style="dashed">
        <color rgb="FF477391"/>
      </top>
      <bottom/>
      <diagonal/>
    </border>
    <border>
      <left/>
      <right style="dashed">
        <color theme="8"/>
      </right>
      <top/>
      <bottom/>
      <diagonal/>
    </border>
    <border>
      <left style="dashed">
        <color theme="8"/>
      </left>
      <right style="medium">
        <color theme="8"/>
      </right>
      <top/>
      <bottom style="dashed">
        <color theme="8"/>
      </bottom>
      <diagonal/>
    </border>
    <border>
      <left style="thin">
        <color theme="8"/>
      </left>
      <right/>
      <top style="dashed">
        <color theme="8"/>
      </top>
      <bottom/>
      <diagonal/>
    </border>
    <border>
      <left/>
      <right/>
      <top style="dashed">
        <color theme="8"/>
      </top>
      <bottom/>
      <diagonal/>
    </border>
    <border>
      <left/>
      <right style="medium">
        <color theme="8"/>
      </right>
      <top style="dashed">
        <color theme="8"/>
      </top>
      <bottom/>
      <diagonal/>
    </border>
    <border>
      <left/>
      <right style="medium">
        <color theme="8"/>
      </right>
      <top/>
      <bottom style="thin">
        <color indexed="45"/>
      </bottom>
      <diagonal/>
    </border>
    <border>
      <left/>
      <right/>
      <top style="thin">
        <color indexed="45"/>
      </top>
      <bottom/>
      <diagonal/>
    </border>
    <border>
      <left style="medium">
        <color indexed="45"/>
      </left>
      <right style="medium">
        <color theme="8"/>
      </right>
      <top/>
      <bottom/>
      <diagonal/>
    </border>
    <border>
      <left style="medium">
        <color indexed="45"/>
      </left>
      <right style="thin">
        <color indexed="45"/>
      </right>
      <top/>
      <bottom style="medium">
        <color indexed="45"/>
      </bottom>
      <diagonal/>
    </border>
    <border>
      <left/>
      <right/>
      <top/>
      <bottom style="medium">
        <color indexed="45"/>
      </bottom>
      <diagonal/>
    </border>
    <border>
      <left/>
      <right style="medium">
        <color indexed="45"/>
      </right>
      <top/>
      <bottom style="medium">
        <color indexed="45"/>
      </bottom>
      <diagonal/>
    </border>
    <border>
      <left style="medium">
        <color indexed="45"/>
      </left>
      <right/>
      <top/>
      <bottom style="medium">
        <color indexed="45"/>
      </bottom>
      <diagonal/>
    </border>
    <border>
      <left/>
      <right style="medium">
        <color theme="8"/>
      </right>
      <top/>
      <bottom style="medium">
        <color indexed="45"/>
      </bottom>
      <diagonal/>
    </border>
    <border>
      <left/>
      <right style="medium">
        <color theme="8"/>
      </right>
      <top style="thin">
        <color indexed="45"/>
      </top>
      <bottom style="thin">
        <color indexed="45"/>
      </bottom>
      <diagonal/>
    </border>
    <border>
      <left/>
      <right/>
      <top style="thin">
        <color theme="8"/>
      </top>
      <bottom style="thin">
        <color indexed="45"/>
      </bottom>
      <diagonal/>
    </border>
    <border>
      <left/>
      <right/>
      <top style="thin">
        <color theme="8"/>
      </top>
      <bottom/>
      <diagonal/>
    </border>
    <border>
      <left/>
      <right style="medium">
        <color theme="8"/>
      </right>
      <top style="thin">
        <color indexed="45"/>
      </top>
      <bottom/>
      <diagonal/>
    </border>
    <border>
      <left style="thin">
        <color indexed="45"/>
      </left>
      <right/>
      <top/>
      <bottom/>
      <diagonal/>
    </border>
    <border>
      <left style="medium">
        <color indexed="45"/>
      </left>
      <right/>
      <top/>
      <bottom style="dashed">
        <color indexed="45"/>
      </bottom>
      <diagonal/>
    </border>
    <border>
      <left/>
      <right/>
      <top/>
      <bottom style="dashed">
        <color theme="8"/>
      </bottom>
      <diagonal/>
    </border>
    <border>
      <left/>
      <right style="medium">
        <color theme="8"/>
      </right>
      <top/>
      <bottom style="dashed">
        <color theme="8"/>
      </bottom>
      <diagonal/>
    </border>
    <border>
      <left/>
      <right style="medium">
        <color indexed="45"/>
      </right>
      <top style="dotted">
        <color theme="1"/>
      </top>
      <bottom/>
      <diagonal/>
    </border>
    <border>
      <left/>
      <right/>
      <top style="dashed">
        <color rgb="FF477391"/>
      </top>
      <bottom/>
      <diagonal/>
    </border>
    <border>
      <left style="medium">
        <color indexed="45"/>
      </left>
      <right style="thin">
        <color indexed="45"/>
      </right>
      <top/>
      <bottom style="thin">
        <color indexed="45"/>
      </bottom>
      <diagonal/>
    </border>
    <border>
      <left style="thin">
        <color indexed="45"/>
      </left>
      <right/>
      <top/>
      <bottom style="thin">
        <color indexed="45"/>
      </bottom>
      <diagonal/>
    </border>
    <border>
      <left style="thin">
        <color rgb="FF363636"/>
      </left>
      <right style="thin">
        <color rgb="FF363636"/>
      </right>
      <top style="thin">
        <color rgb="FF363636"/>
      </top>
      <bottom style="thin">
        <color rgb="FF363636"/>
      </bottom>
      <diagonal/>
    </border>
    <border>
      <left/>
      <right/>
      <top style="medium">
        <color indexed="45"/>
      </top>
      <bottom/>
      <diagonal/>
    </border>
    <border>
      <left/>
      <right style="medium">
        <color theme="8"/>
      </right>
      <top style="medium">
        <color indexed="45"/>
      </top>
      <bottom style="medium">
        <color indexed="45"/>
      </bottom>
      <diagonal/>
    </border>
    <border>
      <left/>
      <right style="medium">
        <color theme="8"/>
      </right>
      <top style="medium">
        <color indexed="45"/>
      </top>
      <bottom/>
      <diagonal/>
    </border>
    <border>
      <left/>
      <right style="medium">
        <color theme="8"/>
      </right>
      <top/>
      <bottom style="thin">
        <color theme="8"/>
      </bottom>
      <diagonal/>
    </border>
    <border>
      <left style="medium">
        <color indexed="45"/>
      </left>
      <right/>
      <top/>
      <bottom style="medium">
        <color theme="8"/>
      </bottom>
      <diagonal/>
    </border>
    <border>
      <left style="medium">
        <color indexed="45"/>
      </left>
      <right/>
      <top style="medium">
        <color theme="8"/>
      </top>
      <bottom/>
      <diagonal/>
    </border>
    <border>
      <left/>
      <right/>
      <top style="medium">
        <color theme="8"/>
      </top>
      <bottom/>
      <diagonal/>
    </border>
    <border>
      <left/>
      <right style="medium">
        <color theme="8"/>
      </right>
      <top style="medium">
        <color theme="8"/>
      </top>
      <bottom/>
      <diagonal/>
    </border>
    <border>
      <left style="medium">
        <color rgb="FFC00000"/>
      </left>
      <right/>
      <top/>
      <bottom/>
      <diagonal/>
    </border>
    <border>
      <left/>
      <right style="medium">
        <color rgb="FFC00000"/>
      </right>
      <top/>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right/>
      <top/>
      <bottom style="medium">
        <color theme="8"/>
      </bottom>
      <diagonal/>
    </border>
    <border>
      <left/>
      <right style="medium">
        <color theme="8"/>
      </right>
      <top/>
      <bottom style="medium">
        <color theme="8"/>
      </bottom>
      <diagonal/>
    </border>
    <border>
      <left/>
      <right/>
      <top style="medium">
        <color theme="8"/>
      </top>
      <bottom style="thin">
        <color theme="8"/>
      </bottom>
      <diagonal/>
    </border>
    <border>
      <left/>
      <right style="thick">
        <color theme="9"/>
      </right>
      <top style="medium">
        <color theme="8"/>
      </top>
      <bottom style="thin">
        <color theme="8"/>
      </bottom>
      <diagonal/>
    </border>
    <border>
      <left/>
      <right style="thick">
        <color theme="9"/>
      </right>
      <top style="thin">
        <color theme="8"/>
      </top>
      <bottom style="thin">
        <color theme="8"/>
      </bottom>
      <diagonal/>
    </border>
    <border>
      <left/>
      <right style="thick">
        <color theme="9"/>
      </right>
      <top/>
      <bottom/>
      <diagonal/>
    </border>
    <border>
      <left style="thick">
        <color theme="9"/>
      </left>
      <right/>
      <top/>
      <bottom/>
      <diagonal/>
    </border>
    <border>
      <left style="thick">
        <color theme="0"/>
      </left>
      <right/>
      <top/>
      <bottom/>
      <diagonal/>
    </border>
    <border>
      <left style="thick">
        <color theme="9"/>
      </left>
      <right/>
      <top style="thin">
        <color theme="8"/>
      </top>
      <bottom style="thin">
        <color theme="8"/>
      </bottom>
      <diagonal/>
    </border>
    <border>
      <left style="thick">
        <color theme="9"/>
      </left>
      <right/>
      <top style="thin">
        <color theme="8"/>
      </top>
      <bottom/>
      <diagonal/>
    </border>
    <border>
      <left/>
      <right style="thick">
        <color theme="9"/>
      </right>
      <top style="thin">
        <color theme="8"/>
      </top>
      <bottom/>
      <diagonal/>
    </border>
    <border>
      <left style="thick">
        <color theme="9"/>
      </left>
      <right/>
      <top/>
      <bottom style="medium">
        <color theme="8"/>
      </bottom>
      <diagonal/>
    </border>
    <border>
      <left/>
      <right style="thick">
        <color theme="9"/>
      </right>
      <top/>
      <bottom style="medium">
        <color theme="8"/>
      </bottom>
      <diagonal/>
    </border>
    <border>
      <left/>
      <right style="thick">
        <color theme="0"/>
      </right>
      <top/>
      <bottom/>
      <diagonal/>
    </border>
    <border>
      <left/>
      <right style="thick">
        <color theme="0"/>
      </right>
      <top style="medium">
        <color theme="8"/>
      </top>
      <bottom style="thin">
        <color theme="8"/>
      </bottom>
      <diagonal/>
    </border>
    <border>
      <left/>
      <right style="thick">
        <color theme="0"/>
      </right>
      <top style="thin">
        <color theme="8"/>
      </top>
      <bottom style="thin">
        <color theme="8"/>
      </bottom>
      <diagonal/>
    </border>
    <border>
      <left/>
      <right style="thick">
        <color theme="0"/>
      </right>
      <top/>
      <bottom style="thin">
        <color theme="8"/>
      </bottom>
      <diagonal/>
    </border>
    <border>
      <left/>
      <right/>
      <top/>
      <bottom style="thin">
        <color theme="7"/>
      </bottom>
      <diagonal/>
    </border>
    <border>
      <left/>
      <right style="thick">
        <color theme="0"/>
      </right>
      <top/>
      <bottom style="thin">
        <color theme="7"/>
      </bottom>
      <diagonal/>
    </border>
    <border>
      <left/>
      <right style="thick">
        <color theme="0"/>
      </right>
      <top style="thin">
        <color theme="8"/>
      </top>
      <bottom/>
      <diagonal/>
    </border>
  </borders>
  <cellStyleXfs count="22">
    <xf numFmtId="0" fontId="0" fillId="0" borderId="0"/>
    <xf numFmtId="0" fontId="3" fillId="0" borderId="0"/>
    <xf numFmtId="0" fontId="3"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20" fillId="0" borderId="0" applyNumberFormat="0" applyFill="0" applyBorder="0" applyAlignment="0" applyProtection="0"/>
    <xf numFmtId="0" fontId="3" fillId="0" borderId="0"/>
    <xf numFmtId="0" fontId="3" fillId="0" borderId="0"/>
    <xf numFmtId="0" fontId="21" fillId="0" borderId="0" applyNumberFormat="0" applyFill="0" applyBorder="0" applyAlignment="0" applyProtection="0">
      <alignment vertical="top"/>
      <protection locked="0"/>
    </xf>
    <xf numFmtId="0" fontId="22" fillId="0" borderId="0" applyNumberFormat="0" applyFill="0" applyBorder="0" applyAlignment="0" applyProtection="0"/>
    <xf numFmtId="0" fontId="23" fillId="0" borderId="0"/>
    <xf numFmtId="0" fontId="1" fillId="0" borderId="0"/>
    <xf numFmtId="0" fontId="3" fillId="0" borderId="0"/>
    <xf numFmtId="0" fontId="1" fillId="0" borderId="0"/>
    <xf numFmtId="0" fontId="23" fillId="0" borderId="0"/>
    <xf numFmtId="0" fontId="24" fillId="0" borderId="0"/>
    <xf numFmtId="0" fontId="1" fillId="0" borderId="0"/>
    <xf numFmtId="0" fontId="3" fillId="0" borderId="0"/>
    <xf numFmtId="0" fontId="58" fillId="0" borderId="0" applyNumberFormat="0" applyFill="0" applyBorder="0" applyAlignment="0" applyProtection="0"/>
    <xf numFmtId="0" fontId="3" fillId="0" borderId="0"/>
    <xf numFmtId="43" fontId="23" fillId="0" borderId="0" applyFont="0" applyFill="0" applyBorder="0" applyAlignment="0" applyProtection="0"/>
  </cellStyleXfs>
  <cellXfs count="522">
    <xf numFmtId="0" fontId="0" fillId="0" borderId="0" xfId="0"/>
    <xf numFmtId="164" fontId="4" fillId="2" borderId="1" xfId="1" applyNumberFormat="1" applyFont="1" applyFill="1" applyBorder="1" applyAlignment="1">
      <alignment horizontal="centerContinuous" vertical="top" wrapText="1"/>
    </xf>
    <xf numFmtId="0" fontId="5" fillId="3" borderId="4" xfId="2" applyFont="1" applyFill="1" applyBorder="1"/>
    <xf numFmtId="164" fontId="4" fillId="2" borderId="2" xfId="1" applyNumberFormat="1" applyFont="1" applyFill="1" applyBorder="1" applyAlignment="1">
      <alignment horizontal="center" vertical="top" wrapText="1"/>
    </xf>
    <xf numFmtId="164" fontId="4" fillId="2" borderId="3" xfId="1" applyNumberFormat="1" applyFont="1" applyFill="1" applyBorder="1" applyAlignment="1">
      <alignment horizontal="center" vertical="top" wrapText="1"/>
    </xf>
    <xf numFmtId="0" fontId="5" fillId="3" borderId="0" xfId="2" applyFont="1" applyFill="1"/>
    <xf numFmtId="164" fontId="4" fillId="3" borderId="0" xfId="1" applyNumberFormat="1" applyFont="1" applyFill="1" applyAlignment="1">
      <alignment horizontal="centerContinuous" vertical="top" wrapText="1"/>
    </xf>
    <xf numFmtId="164" fontId="6" fillId="2" borderId="5" xfId="1" applyNumberFormat="1" applyFont="1" applyFill="1" applyBorder="1" applyAlignment="1">
      <alignment vertical="center" wrapText="1"/>
    </xf>
    <xf numFmtId="0" fontId="5" fillId="2" borderId="0" xfId="3" applyFont="1" applyFill="1" applyAlignment="1">
      <alignment horizontal="centerContinuous" vertical="center" wrapText="1"/>
    </xf>
    <xf numFmtId="0" fontId="5" fillId="2" borderId="0" xfId="2" applyFont="1" applyFill="1" applyAlignment="1">
      <alignment vertical="center" wrapText="1"/>
    </xf>
    <xf numFmtId="0" fontId="5" fillId="2" borderId="0" xfId="3" applyFont="1" applyFill="1" applyAlignment="1">
      <alignment horizontal="center" vertical="center" wrapText="1"/>
    </xf>
    <xf numFmtId="0" fontId="5" fillId="2" borderId="6" xfId="3" applyFont="1" applyFill="1" applyBorder="1" applyAlignment="1">
      <alignment horizontal="centerContinuous" vertical="center" wrapText="1"/>
    </xf>
    <xf numFmtId="0" fontId="5" fillId="2" borderId="7" xfId="3" applyFont="1" applyFill="1" applyBorder="1" applyAlignment="1">
      <alignment horizontal="centerContinuous" vertical="center" wrapText="1"/>
    </xf>
    <xf numFmtId="0" fontId="5" fillId="2" borderId="8" xfId="3" applyFont="1" applyFill="1" applyBorder="1" applyAlignment="1">
      <alignment horizontal="centerContinuous" vertical="center" wrapText="1"/>
    </xf>
    <xf numFmtId="0" fontId="5" fillId="3" borderId="0" xfId="2" applyFont="1" applyFill="1" applyAlignment="1">
      <alignment vertical="center"/>
    </xf>
    <xf numFmtId="0" fontId="5" fillId="3" borderId="0" xfId="2" applyFont="1" applyFill="1" applyAlignment="1">
      <alignment horizontal="centerContinuous" vertical="center" wrapText="1"/>
    </xf>
    <xf numFmtId="0" fontId="5" fillId="3" borderId="0" xfId="2" applyFont="1" applyFill="1" applyAlignment="1">
      <alignment vertical="center" wrapText="1"/>
    </xf>
    <xf numFmtId="0" fontId="5" fillId="3" borderId="0" xfId="2" applyFont="1" applyFill="1" applyAlignment="1">
      <alignment horizontal="left" vertical="center"/>
    </xf>
    <xf numFmtId="164" fontId="8" fillId="2" borderId="5" xfId="1" applyNumberFormat="1" applyFont="1" applyFill="1" applyBorder="1" applyAlignment="1">
      <alignment horizontal="center" wrapText="1"/>
    </xf>
    <xf numFmtId="2" fontId="8" fillId="2" borderId="0" xfId="2" applyNumberFormat="1" applyFont="1" applyFill="1" applyAlignment="1">
      <alignment horizontal="center" wrapText="1"/>
    </xf>
    <xf numFmtId="2" fontId="8" fillId="5" borderId="0" xfId="2" applyNumberFormat="1" applyFont="1" applyFill="1" applyAlignment="1">
      <alignment horizontal="center" wrapText="1"/>
    </xf>
    <xf numFmtId="2" fontId="9" fillId="5" borderId="0" xfId="2" applyNumberFormat="1" applyFont="1" applyFill="1" applyAlignment="1">
      <alignment horizontal="center" wrapText="1"/>
    </xf>
    <xf numFmtId="0" fontId="9" fillId="5" borderId="0" xfId="2" applyFont="1" applyFill="1" applyAlignment="1">
      <alignment horizontal="center" wrapText="1"/>
    </xf>
    <xf numFmtId="2" fontId="9" fillId="2" borderId="0" xfId="2" applyNumberFormat="1" applyFont="1" applyFill="1" applyAlignment="1">
      <alignment horizontal="center" wrapText="1"/>
    </xf>
    <xf numFmtId="2" fontId="9" fillId="2" borderId="14" xfId="2" applyNumberFormat="1" applyFont="1" applyFill="1" applyBorder="1" applyAlignment="1">
      <alignment horizontal="center" wrapText="1"/>
    </xf>
    <xf numFmtId="0" fontId="5" fillId="3" borderId="0" xfId="2" applyFont="1" applyFill="1" applyAlignment="1">
      <alignment horizontal="center"/>
    </xf>
    <xf numFmtId="0" fontId="9" fillId="3" borderId="0" xfId="2" applyFont="1" applyFill="1" applyAlignment="1">
      <alignment horizontal="center" wrapText="1"/>
    </xf>
    <xf numFmtId="0" fontId="9" fillId="3" borderId="0" xfId="2" applyFont="1" applyFill="1" applyAlignment="1">
      <alignment horizontal="center"/>
    </xf>
    <xf numFmtId="2" fontId="8" fillId="3" borderId="0" xfId="2" applyNumberFormat="1" applyFont="1" applyFill="1" applyAlignment="1">
      <alignment horizontal="center" wrapText="1"/>
    </xf>
    <xf numFmtId="164" fontId="8" fillId="2" borderId="5" xfId="1" applyNumberFormat="1" applyFont="1" applyFill="1" applyBorder="1" applyAlignment="1">
      <alignment horizontal="left" wrapText="1"/>
    </xf>
    <xf numFmtId="2" fontId="8" fillId="2" borderId="0" xfId="2" quotePrefix="1" applyNumberFormat="1" applyFont="1" applyFill="1" applyAlignment="1">
      <alignment horizontal="center" wrapText="1"/>
    </xf>
    <xf numFmtId="0" fontId="9" fillId="2" borderId="0" xfId="2" applyFont="1" applyFill="1" applyAlignment="1">
      <alignment horizontal="center" wrapText="1"/>
    </xf>
    <xf numFmtId="2" fontId="9" fillId="2" borderId="0" xfId="2" quotePrefix="1" applyNumberFormat="1" applyFont="1" applyFill="1" applyAlignment="1">
      <alignment horizontal="center" wrapText="1"/>
    </xf>
    <xf numFmtId="2" fontId="9" fillId="2" borderId="8" xfId="2" applyNumberFormat="1" applyFont="1" applyFill="1" applyBorder="1" applyAlignment="1">
      <alignment horizontal="center" wrapText="1"/>
    </xf>
    <xf numFmtId="0" fontId="9" fillId="2" borderId="0" xfId="3" applyFont="1" applyFill="1" applyAlignment="1">
      <alignment horizontal="center" vertical="center" wrapText="1"/>
    </xf>
    <xf numFmtId="0" fontId="9" fillId="2" borderId="0" xfId="3" applyFont="1" applyFill="1" applyAlignment="1">
      <alignment horizontal="centerContinuous" vertical="center" wrapText="1"/>
    </xf>
    <xf numFmtId="2" fontId="8" fillId="2" borderId="0" xfId="2" applyNumberFormat="1" applyFont="1" applyFill="1" applyAlignment="1">
      <alignment horizontal="right" wrapText="1"/>
    </xf>
    <xf numFmtId="0" fontId="9" fillId="2" borderId="0" xfId="2" applyFont="1" applyFill="1" applyAlignment="1">
      <alignment horizontal="right" wrapText="1"/>
    </xf>
    <xf numFmtId="2" fontId="8" fillId="2" borderId="8" xfId="2" applyNumberFormat="1" applyFont="1" applyFill="1" applyBorder="1" applyAlignment="1">
      <alignment horizontal="right" wrapText="1"/>
    </xf>
    <xf numFmtId="0" fontId="5" fillId="3" borderId="0" xfId="2" applyFont="1" applyFill="1" applyAlignment="1">
      <alignment horizontal="right"/>
    </xf>
    <xf numFmtId="0" fontId="9" fillId="3" borderId="0" xfId="2" applyFont="1" applyFill="1" applyAlignment="1">
      <alignment horizontal="right" wrapText="1"/>
    </xf>
    <xf numFmtId="0" fontId="7" fillId="3" borderId="0" xfId="2" applyFont="1" applyFill="1" applyAlignment="1">
      <alignment horizontal="right" wrapText="1"/>
    </xf>
    <xf numFmtId="0" fontId="9" fillId="2" borderId="6" xfId="3" applyFont="1" applyFill="1" applyBorder="1" applyAlignment="1">
      <alignment horizontal="center" vertical="center" wrapText="1"/>
    </xf>
    <xf numFmtId="0" fontId="9" fillId="2" borderId="6" xfId="3" applyFont="1" applyFill="1" applyBorder="1" applyAlignment="1">
      <alignment horizontal="centerContinuous" vertical="center" wrapText="1"/>
    </xf>
    <xf numFmtId="2" fontId="8" fillId="2" borderId="6" xfId="2" applyNumberFormat="1" applyFont="1" applyFill="1" applyBorder="1" applyAlignment="1">
      <alignment horizontal="right" wrapText="1"/>
    </xf>
    <xf numFmtId="0" fontId="9" fillId="2" borderId="6" xfId="2" applyFont="1" applyFill="1" applyBorder="1" applyAlignment="1">
      <alignment horizontal="right" wrapText="1"/>
    </xf>
    <xf numFmtId="2" fontId="8" fillId="2" borderId="15" xfId="2" applyNumberFormat="1" applyFont="1" applyFill="1" applyBorder="1" applyAlignment="1">
      <alignment horizontal="right" wrapText="1"/>
    </xf>
    <xf numFmtId="2" fontId="8" fillId="2" borderId="16" xfId="2" applyNumberFormat="1" applyFont="1" applyFill="1" applyBorder="1" applyAlignment="1">
      <alignment horizontal="right" wrapText="1"/>
    </xf>
    <xf numFmtId="0" fontId="8" fillId="3" borderId="17" xfId="3" applyFont="1" applyFill="1" applyBorder="1" applyAlignment="1">
      <alignment horizontal="right"/>
    </xf>
    <xf numFmtId="164" fontId="9" fillId="6" borderId="0" xfId="2" applyNumberFormat="1" applyFont="1" applyFill="1" applyAlignment="1">
      <alignment horizontal="center" vertical="center" wrapText="1"/>
    </xf>
    <xf numFmtId="164" fontId="8" fillId="6" borderId="0" xfId="2" applyNumberFormat="1" applyFont="1" applyFill="1" applyAlignment="1">
      <alignment horizontal="center" vertical="center" wrapText="1"/>
    </xf>
    <xf numFmtId="164" fontId="8" fillId="3" borderId="0" xfId="1" quotePrefix="1" applyNumberFormat="1" applyFont="1" applyFill="1" applyAlignment="1">
      <alignment horizontal="center" vertical="center"/>
    </xf>
    <xf numFmtId="164" fontId="8" fillId="3" borderId="0" xfId="1" applyNumberFormat="1" applyFont="1" applyFill="1" applyAlignment="1">
      <alignment horizontal="center" vertical="center"/>
    </xf>
    <xf numFmtId="2" fontId="8" fillId="3" borderId="0" xfId="2" applyNumberFormat="1" applyFont="1" applyFill="1" applyAlignment="1">
      <alignment horizontal="center" vertical="center" wrapText="1"/>
    </xf>
    <xf numFmtId="2" fontId="8" fillId="3" borderId="0" xfId="2" applyNumberFormat="1" applyFont="1" applyFill="1" applyAlignment="1">
      <alignment horizontal="right" vertical="center" wrapText="1"/>
    </xf>
    <xf numFmtId="0" fontId="9" fillId="3" borderId="0" xfId="2" applyFont="1" applyFill="1" applyAlignment="1">
      <alignment horizontal="right" vertical="center" wrapText="1"/>
    </xf>
    <xf numFmtId="0" fontId="5" fillId="3" borderId="4" xfId="2" applyFont="1" applyFill="1" applyBorder="1" applyAlignment="1">
      <alignment vertical="center"/>
    </xf>
    <xf numFmtId="164" fontId="8" fillId="6" borderId="5" xfId="2" applyNumberFormat="1" applyFont="1" applyFill="1" applyBorder="1" applyAlignment="1">
      <alignment horizontal="center" vertical="center" wrapText="1"/>
    </xf>
    <xf numFmtId="2" fontId="8" fillId="3" borderId="8" xfId="2" applyNumberFormat="1" applyFont="1" applyFill="1" applyBorder="1" applyAlignment="1">
      <alignment horizontal="center" vertical="center" wrapText="1"/>
    </xf>
    <xf numFmtId="0" fontId="8" fillId="3" borderId="18" xfId="3" applyFont="1" applyFill="1" applyBorder="1" applyAlignment="1">
      <alignment horizontal="right"/>
    </xf>
    <xf numFmtId="164" fontId="10" fillId="4" borderId="19" xfId="1" applyNumberFormat="1" applyFont="1" applyFill="1" applyBorder="1" applyAlignment="1">
      <alignment horizontal="center" vertical="center"/>
    </xf>
    <xf numFmtId="0" fontId="5" fillId="6" borderId="0" xfId="2" applyFont="1" applyFill="1" applyAlignment="1">
      <alignment horizontal="right"/>
    </xf>
    <xf numFmtId="164" fontId="8" fillId="6" borderId="18" xfId="1" applyNumberFormat="1" applyFont="1" applyFill="1" applyBorder="1" applyAlignment="1">
      <alignment horizontal="right"/>
    </xf>
    <xf numFmtId="164" fontId="9" fillId="3" borderId="0" xfId="2" applyNumberFormat="1" applyFont="1" applyFill="1" applyAlignment="1">
      <alignment horizontal="right" wrapText="1"/>
    </xf>
    <xf numFmtId="164" fontId="9" fillId="3" borderId="0" xfId="2" applyNumberFormat="1" applyFont="1" applyFill="1" applyAlignment="1">
      <alignment horizontal="left" indent="1"/>
    </xf>
    <xf numFmtId="164" fontId="9" fillId="3" borderId="0" xfId="2" applyNumberFormat="1" applyFont="1" applyFill="1" applyAlignment="1">
      <alignment horizontal="left" wrapText="1" indent="1"/>
    </xf>
    <xf numFmtId="164" fontId="5" fillId="3" borderId="0" xfId="2" applyNumberFormat="1" applyFont="1" applyFill="1" applyAlignment="1">
      <alignment horizontal="right"/>
    </xf>
    <xf numFmtId="164" fontId="8" fillId="3" borderId="0" xfId="3" applyNumberFormat="1" applyFont="1" applyFill="1" applyAlignment="1">
      <alignment horizontal="left" vertical="center" indent="1"/>
    </xf>
    <xf numFmtId="0" fontId="5" fillId="6" borderId="0" xfId="2" applyFont="1" applyFill="1"/>
    <xf numFmtId="2" fontId="8" fillId="3" borderId="18" xfId="2" applyNumberFormat="1" applyFont="1" applyFill="1" applyBorder="1" applyAlignment="1">
      <alignment horizontal="right" vertical="center"/>
    </xf>
    <xf numFmtId="164" fontId="8" fillId="3" borderId="0" xfId="2" applyNumberFormat="1" applyFont="1" applyFill="1" applyAlignment="1">
      <alignment horizontal="center" vertical="center"/>
    </xf>
    <xf numFmtId="164" fontId="8" fillId="3" borderId="0" xfId="4" applyNumberFormat="1" applyFont="1" applyFill="1" applyBorder="1" applyAlignment="1">
      <alignment horizontal="center" vertical="center"/>
    </xf>
    <xf numFmtId="164" fontId="9" fillId="3" borderId="0" xfId="2" applyNumberFormat="1" applyFont="1" applyFill="1" applyAlignment="1">
      <alignment horizontal="center" vertical="center"/>
    </xf>
    <xf numFmtId="164" fontId="5" fillId="3" borderId="0" xfId="2" applyNumberFormat="1" applyFont="1" applyFill="1"/>
    <xf numFmtId="164" fontId="11" fillId="3" borderId="0" xfId="1" applyNumberFormat="1" applyFont="1" applyFill="1" applyAlignment="1">
      <alignment horizontal="center" vertical="center"/>
    </xf>
    <xf numFmtId="2" fontId="8" fillId="4" borderId="18" xfId="2" applyNumberFormat="1" applyFont="1" applyFill="1" applyBorder="1" applyAlignment="1">
      <alignment horizontal="right" vertical="center"/>
    </xf>
    <xf numFmtId="164" fontId="8" fillId="4" borderId="0" xfId="2" applyNumberFormat="1" applyFont="1" applyFill="1" applyAlignment="1">
      <alignment horizontal="center" vertical="center"/>
    </xf>
    <xf numFmtId="164" fontId="8" fillId="4" borderId="0" xfId="1" applyNumberFormat="1" applyFont="1" applyFill="1" applyAlignment="1">
      <alignment horizontal="center" vertical="center"/>
    </xf>
    <xf numFmtId="164" fontId="9" fillId="4" borderId="0" xfId="2" applyNumberFormat="1" applyFont="1" applyFill="1" applyAlignment="1">
      <alignment horizontal="center" vertical="center"/>
    </xf>
    <xf numFmtId="0" fontId="5" fillId="4" borderId="4" xfId="2" applyFont="1" applyFill="1" applyBorder="1" applyAlignment="1">
      <alignment vertical="center"/>
    </xf>
    <xf numFmtId="164" fontId="5" fillId="4" borderId="0" xfId="2" applyNumberFormat="1" applyFont="1" applyFill="1"/>
    <xf numFmtId="164" fontId="9" fillId="4" borderId="0" xfId="2" applyNumberFormat="1" applyFont="1" applyFill="1" applyAlignment="1">
      <alignment horizontal="right" wrapText="1"/>
    </xf>
    <xf numFmtId="0" fontId="5" fillId="4" borderId="0" xfId="2" applyFont="1" applyFill="1"/>
    <xf numFmtId="164" fontId="9" fillId="4" borderId="0" xfId="2" applyNumberFormat="1" applyFont="1" applyFill="1" applyAlignment="1">
      <alignment horizontal="left" indent="1"/>
    </xf>
    <xf numFmtId="164" fontId="8" fillId="4" borderId="0" xfId="3" applyNumberFormat="1" applyFont="1" applyFill="1" applyAlignment="1">
      <alignment horizontal="left" vertical="center" indent="1"/>
    </xf>
    <xf numFmtId="164" fontId="5" fillId="4" borderId="0" xfId="2" applyNumberFormat="1" applyFont="1" applyFill="1" applyAlignment="1">
      <alignment horizontal="right"/>
    </xf>
    <xf numFmtId="164" fontId="8" fillId="3" borderId="0" xfId="2" applyNumberFormat="1" applyFont="1" applyFill="1" applyAlignment="1">
      <alignment horizontal="center" vertical="center" wrapText="1"/>
    </xf>
    <xf numFmtId="165" fontId="5" fillId="4" borderId="0" xfId="4" applyNumberFormat="1" applyFont="1" applyFill="1" applyBorder="1"/>
    <xf numFmtId="2" fontId="8" fillId="4" borderId="5" xfId="2" applyNumberFormat="1" applyFont="1" applyFill="1" applyBorder="1" applyAlignment="1">
      <alignment horizontal="right" vertical="center"/>
    </xf>
    <xf numFmtId="164" fontId="9" fillId="6" borderId="20" xfId="2" applyNumberFormat="1" applyFont="1" applyFill="1" applyBorder="1" applyAlignment="1">
      <alignment horizontal="center" vertical="center" wrapText="1"/>
    </xf>
    <xf numFmtId="164" fontId="8" fillId="4" borderId="0" xfId="2" applyNumberFormat="1" applyFont="1" applyFill="1" applyAlignment="1">
      <alignment horizontal="right" wrapText="1"/>
    </xf>
    <xf numFmtId="164" fontId="8" fillId="4" borderId="0" xfId="2" applyNumberFormat="1" applyFont="1" applyFill="1"/>
    <xf numFmtId="164" fontId="8" fillId="4" borderId="0" xfId="2" applyNumberFormat="1" applyFont="1" applyFill="1" applyAlignment="1">
      <alignment horizontal="left" indent="1"/>
    </xf>
    <xf numFmtId="164" fontId="8" fillId="4" borderId="0" xfId="2" applyNumberFormat="1" applyFont="1" applyFill="1" applyAlignment="1">
      <alignment horizontal="left" vertical="center" wrapText="1" indent="1"/>
    </xf>
    <xf numFmtId="0" fontId="6" fillId="4" borderId="0" xfId="2" applyFont="1" applyFill="1"/>
    <xf numFmtId="164" fontId="8" fillId="4" borderId="0" xfId="4" applyNumberFormat="1" applyFont="1" applyFill="1" applyBorder="1" applyAlignment="1">
      <alignment horizontal="center" vertical="center"/>
    </xf>
    <xf numFmtId="164" fontId="8" fillId="3" borderId="19" xfId="2" applyNumberFormat="1" applyFont="1" applyFill="1" applyBorder="1" applyAlignment="1">
      <alignment horizontal="center" vertical="center"/>
    </xf>
    <xf numFmtId="0" fontId="6" fillId="4" borderId="8" xfId="2" applyFont="1" applyFill="1" applyBorder="1" applyAlignment="1">
      <alignment vertical="center"/>
    </xf>
    <xf numFmtId="2" fontId="8" fillId="4" borderId="0" xfId="1" applyNumberFormat="1" applyFont="1" applyFill="1" applyAlignment="1">
      <alignment horizontal="center" vertical="center"/>
    </xf>
    <xf numFmtId="43" fontId="12" fillId="4" borderId="0" xfId="5" applyFont="1" applyFill="1" applyBorder="1"/>
    <xf numFmtId="164" fontId="13" fillId="4" borderId="0" xfId="2" applyNumberFormat="1" applyFont="1" applyFill="1" applyAlignment="1">
      <alignment horizontal="left" indent="1"/>
    </xf>
    <xf numFmtId="164" fontId="14" fillId="4" borderId="0" xfId="2" applyNumberFormat="1" applyFont="1" applyFill="1" applyAlignment="1">
      <alignment horizontal="left" indent="1"/>
    </xf>
    <xf numFmtId="164" fontId="13" fillId="4" borderId="0" xfId="2" applyNumberFormat="1" applyFont="1" applyFill="1" applyAlignment="1">
      <alignment horizontal="left" vertical="center" wrapText="1" indent="1"/>
    </xf>
    <xf numFmtId="1" fontId="6" fillId="4" borderId="8" xfId="2" applyNumberFormat="1" applyFont="1" applyFill="1" applyBorder="1" applyAlignment="1">
      <alignment vertical="center"/>
    </xf>
    <xf numFmtId="164" fontId="8" fillId="3" borderId="20" xfId="1" applyNumberFormat="1" applyFont="1" applyFill="1" applyBorder="1" applyAlignment="1">
      <alignment horizontal="center" vertical="center"/>
    </xf>
    <xf numFmtId="164" fontId="9" fillId="6" borderId="19" xfId="2" applyNumberFormat="1" applyFont="1" applyFill="1" applyBorder="1" applyAlignment="1">
      <alignment horizontal="center" vertical="center" wrapText="1"/>
    </xf>
    <xf numFmtId="164" fontId="8" fillId="4" borderId="5" xfId="1" applyNumberFormat="1" applyFont="1" applyFill="1" applyBorder="1" applyAlignment="1">
      <alignment horizontal="center" vertical="center"/>
    </xf>
    <xf numFmtId="164" fontId="8" fillId="4" borderId="19" xfId="1" applyNumberFormat="1" applyFont="1" applyFill="1" applyBorder="1" applyAlignment="1">
      <alignment horizontal="center" vertical="center"/>
    </xf>
    <xf numFmtId="2" fontId="10" fillId="4" borderId="5" xfId="2" applyNumberFormat="1" applyFont="1" applyFill="1" applyBorder="1" applyAlignment="1">
      <alignment horizontal="right" vertical="center"/>
    </xf>
    <xf numFmtId="164" fontId="15" fillId="4" borderId="0" xfId="1" applyNumberFormat="1" applyFont="1" applyFill="1" applyAlignment="1">
      <alignment horizontal="center" vertical="center"/>
    </xf>
    <xf numFmtId="0" fontId="5" fillId="4" borderId="21" xfId="2" applyFont="1" applyFill="1" applyBorder="1"/>
    <xf numFmtId="0" fontId="5" fillId="4" borderId="19" xfId="2" applyFont="1" applyFill="1" applyBorder="1"/>
    <xf numFmtId="2" fontId="8" fillId="4" borderId="22" xfId="2" applyNumberFormat="1" applyFont="1" applyFill="1" applyBorder="1" applyAlignment="1">
      <alignment horizontal="right" vertical="center"/>
    </xf>
    <xf numFmtId="164" fontId="8" fillId="4" borderId="0" xfId="2" applyNumberFormat="1" applyFont="1" applyFill="1" applyAlignment="1">
      <alignment horizontal="center" vertical="center" wrapText="1"/>
    </xf>
    <xf numFmtId="164" fontId="8" fillId="4" borderId="19" xfId="2" applyNumberFormat="1" applyFont="1" applyFill="1" applyBorder="1" applyAlignment="1">
      <alignment horizontal="center" vertical="center"/>
    </xf>
    <xf numFmtId="1" fontId="6" fillId="4" borderId="19" xfId="2" applyNumberFormat="1" applyFont="1" applyFill="1" applyBorder="1" applyAlignment="1">
      <alignment vertical="center"/>
    </xf>
    <xf numFmtId="2" fontId="10" fillId="4" borderId="22" xfId="2" applyNumberFormat="1" applyFont="1" applyFill="1" applyBorder="1" applyAlignment="1">
      <alignment horizontal="right" vertical="center"/>
    </xf>
    <xf numFmtId="164" fontId="8" fillId="4" borderId="21" xfId="1" applyNumberFormat="1" applyFont="1" applyFill="1" applyBorder="1" applyAlignment="1">
      <alignment horizontal="center" vertical="center"/>
    </xf>
    <xf numFmtId="43" fontId="5" fillId="4" borderId="0" xfId="5" applyFont="1" applyFill="1"/>
    <xf numFmtId="165" fontId="12" fillId="4" borderId="0" xfId="2" applyNumberFormat="1" applyFont="1" applyFill="1"/>
    <xf numFmtId="2" fontId="10" fillId="4" borderId="23" xfId="2" applyNumberFormat="1" applyFont="1" applyFill="1" applyBorder="1" applyAlignment="1">
      <alignment horizontal="right" vertical="center"/>
    </xf>
    <xf numFmtId="165" fontId="5" fillId="4" borderId="0" xfId="4" applyNumberFormat="1" applyFont="1" applyFill="1"/>
    <xf numFmtId="2" fontId="8" fillId="4" borderId="23" xfId="2" applyNumberFormat="1" applyFont="1" applyFill="1" applyBorder="1" applyAlignment="1">
      <alignment horizontal="right" vertical="center"/>
    </xf>
    <xf numFmtId="164" fontId="8" fillId="4" borderId="24" xfId="1" applyNumberFormat="1" applyFont="1" applyFill="1" applyBorder="1" applyAlignment="1">
      <alignment horizontal="center" vertical="center"/>
    </xf>
    <xf numFmtId="2" fontId="10" fillId="4" borderId="25" xfId="1" applyNumberFormat="1" applyFont="1" applyFill="1" applyBorder="1" applyAlignment="1">
      <alignment horizontal="center" vertical="center"/>
    </xf>
    <xf numFmtId="2" fontId="10" fillId="4" borderId="26" xfId="2" applyNumberFormat="1" applyFont="1" applyFill="1" applyBorder="1" applyAlignment="1">
      <alignment horizontal="right" vertical="center"/>
    </xf>
    <xf numFmtId="164" fontId="8" fillId="4" borderId="27" xfId="1" applyNumberFormat="1" applyFont="1" applyFill="1" applyBorder="1" applyAlignment="1">
      <alignment horizontal="center" vertical="center"/>
    </xf>
    <xf numFmtId="164" fontId="15" fillId="4" borderId="28" xfId="1" applyNumberFormat="1" applyFont="1" applyFill="1" applyBorder="1" applyAlignment="1">
      <alignment horizontal="center" vertical="center"/>
    </xf>
    <xf numFmtId="2" fontId="15" fillId="4" borderId="29" xfId="1" applyNumberFormat="1" applyFont="1" applyFill="1" applyBorder="1" applyAlignment="1">
      <alignment horizontal="center" vertical="center"/>
    </xf>
    <xf numFmtId="164" fontId="10" fillId="4" borderId="30" xfId="1" applyNumberFormat="1" applyFont="1" applyFill="1" applyBorder="1" applyAlignment="1">
      <alignment horizontal="center" vertical="center"/>
    </xf>
    <xf numFmtId="2" fontId="15" fillId="4" borderId="23" xfId="2" applyNumberFormat="1" applyFont="1" applyFill="1" applyBorder="1" applyAlignment="1">
      <alignment horizontal="right" vertical="center"/>
    </xf>
    <xf numFmtId="164" fontId="15" fillId="3" borderId="31" xfId="1" applyNumberFormat="1" applyFont="1" applyFill="1" applyBorder="1" applyAlignment="1">
      <alignment horizontal="center" vertical="center"/>
    </xf>
    <xf numFmtId="164" fontId="15" fillId="3" borderId="32" xfId="1" applyNumberFormat="1" applyFont="1" applyFill="1" applyBorder="1" applyAlignment="1">
      <alignment horizontal="center" vertical="center"/>
    </xf>
    <xf numFmtId="164" fontId="15" fillId="4" borderId="32" xfId="1" applyNumberFormat="1" applyFont="1" applyFill="1" applyBorder="1" applyAlignment="1">
      <alignment horizontal="center" vertical="center"/>
    </xf>
    <xf numFmtId="164" fontId="15" fillId="4" borderId="32" xfId="2" applyNumberFormat="1" applyFont="1" applyFill="1" applyBorder="1" applyAlignment="1">
      <alignment horizontal="center" vertical="center" wrapText="1"/>
    </xf>
    <xf numFmtId="164" fontId="8" fillId="4" borderId="32" xfId="2" applyNumberFormat="1" applyFont="1" applyFill="1" applyBorder="1" applyAlignment="1">
      <alignment horizontal="center" vertical="center"/>
    </xf>
    <xf numFmtId="164" fontId="15" fillId="4" borderId="32" xfId="2" applyNumberFormat="1" applyFont="1" applyFill="1" applyBorder="1" applyAlignment="1">
      <alignment horizontal="center" vertical="center"/>
    </xf>
    <xf numFmtId="164" fontId="15" fillId="4" borderId="33" xfId="2" applyNumberFormat="1" applyFont="1" applyFill="1" applyBorder="1" applyAlignment="1">
      <alignment horizontal="center" vertical="center"/>
    </xf>
    <xf numFmtId="164" fontId="15" fillId="4" borderId="5" xfId="2" applyNumberFormat="1" applyFont="1" applyFill="1" applyBorder="1" applyAlignment="1">
      <alignment horizontal="center" vertical="center"/>
    </xf>
    <xf numFmtId="164" fontId="15" fillId="4" borderId="0" xfId="2" applyNumberFormat="1" applyFont="1" applyFill="1" applyAlignment="1">
      <alignment horizontal="center" vertical="center"/>
    </xf>
    <xf numFmtId="2" fontId="15" fillId="4" borderId="0" xfId="2" applyNumberFormat="1" applyFont="1" applyFill="1" applyAlignment="1">
      <alignment horizontal="center" vertical="center"/>
    </xf>
    <xf numFmtId="164" fontId="15" fillId="4" borderId="19" xfId="2" applyNumberFormat="1" applyFont="1" applyFill="1" applyBorder="1" applyAlignment="1">
      <alignment horizontal="center" vertical="center"/>
    </xf>
    <xf numFmtId="164" fontId="15" fillId="3" borderId="20" xfId="1" applyNumberFormat="1" applyFont="1" applyFill="1" applyBorder="1" applyAlignment="1">
      <alignment horizontal="center" vertical="center"/>
    </xf>
    <xf numFmtId="164" fontId="15" fillId="3" borderId="0" xfId="1" applyNumberFormat="1" applyFont="1" applyFill="1" applyAlignment="1">
      <alignment horizontal="center" vertical="center"/>
    </xf>
    <xf numFmtId="164" fontId="15" fillId="4" borderId="0" xfId="2" applyNumberFormat="1" applyFont="1" applyFill="1" applyAlignment="1">
      <alignment horizontal="center" vertical="center" wrapText="1"/>
    </xf>
    <xf numFmtId="1" fontId="6" fillId="4" borderId="0" xfId="2" applyNumberFormat="1" applyFont="1" applyFill="1" applyAlignment="1">
      <alignment vertical="center"/>
    </xf>
    <xf numFmtId="164" fontId="15" fillId="4" borderId="15" xfId="2" applyNumberFormat="1" applyFont="1" applyFill="1" applyBorder="1" applyAlignment="1">
      <alignment horizontal="center" vertical="center"/>
    </xf>
    <xf numFmtId="164" fontId="15" fillId="4" borderId="6" xfId="2" applyNumberFormat="1" applyFont="1" applyFill="1" applyBorder="1" applyAlignment="1">
      <alignment horizontal="center" vertical="center"/>
    </xf>
    <xf numFmtId="2" fontId="15" fillId="4" borderId="6" xfId="2" applyNumberFormat="1" applyFont="1" applyFill="1" applyBorder="1" applyAlignment="1">
      <alignment horizontal="center" vertical="center"/>
    </xf>
    <xf numFmtId="164" fontId="15" fillId="4" borderId="34" xfId="2" applyNumberFormat="1" applyFont="1" applyFill="1" applyBorder="1" applyAlignment="1">
      <alignment horizontal="center" vertical="center"/>
    </xf>
    <xf numFmtId="2" fontId="8" fillId="4" borderId="17" xfId="1" applyNumberFormat="1" applyFont="1" applyFill="1" applyBorder="1" applyAlignment="1">
      <alignment horizontal="left" vertical="top" wrapText="1"/>
    </xf>
    <xf numFmtId="0" fontId="5" fillId="4" borderId="36" xfId="2" applyFont="1" applyFill="1" applyBorder="1"/>
    <xf numFmtId="0" fontId="16" fillId="4" borderId="21" xfId="3" applyFont="1" applyFill="1" applyBorder="1" applyAlignment="1">
      <alignment wrapText="1"/>
    </xf>
    <xf numFmtId="0" fontId="16" fillId="4" borderId="0" xfId="3" applyFont="1" applyFill="1" applyAlignment="1">
      <alignment wrapText="1"/>
    </xf>
    <xf numFmtId="0" fontId="16" fillId="4" borderId="19" xfId="3" applyFont="1" applyFill="1" applyBorder="1" applyAlignment="1">
      <alignment wrapText="1"/>
    </xf>
    <xf numFmtId="164" fontId="9" fillId="4" borderId="0" xfId="2" applyNumberFormat="1" applyFont="1" applyFill="1"/>
    <xf numFmtId="0" fontId="5" fillId="3" borderId="18" xfId="2" applyFont="1" applyFill="1" applyBorder="1"/>
    <xf numFmtId="0" fontId="5" fillId="3" borderId="19" xfId="2" applyFont="1" applyFill="1" applyBorder="1"/>
    <xf numFmtId="16" fontId="5" fillId="3" borderId="18" xfId="2" applyNumberFormat="1" applyFont="1" applyFill="1" applyBorder="1"/>
    <xf numFmtId="0" fontId="8" fillId="3" borderId="0" xfId="3" applyFont="1" applyFill="1" applyAlignment="1">
      <alignment vertical="center"/>
    </xf>
    <xf numFmtId="0" fontId="5" fillId="3" borderId="8" xfId="2" applyFont="1" applyFill="1" applyBorder="1"/>
    <xf numFmtId="16" fontId="5" fillId="3" borderId="37" xfId="2" applyNumberFormat="1" applyFont="1" applyFill="1" applyBorder="1"/>
    <xf numFmtId="0" fontId="8" fillId="6" borderId="38" xfId="3" applyFont="1" applyFill="1" applyBorder="1" applyAlignment="1">
      <alignment vertical="center"/>
    </xf>
    <xf numFmtId="0" fontId="5" fillId="3" borderId="38" xfId="2" applyFont="1" applyFill="1" applyBorder="1"/>
    <xf numFmtId="0" fontId="5" fillId="3" borderId="39" xfId="2" applyFont="1" applyFill="1" applyBorder="1"/>
    <xf numFmtId="16" fontId="5" fillId="3" borderId="0" xfId="2" applyNumberFormat="1" applyFont="1" applyFill="1"/>
    <xf numFmtId="2" fontId="8" fillId="3" borderId="4" xfId="2" applyNumberFormat="1" applyFont="1" applyFill="1" applyBorder="1" applyAlignment="1">
      <alignment horizontal="right" wrapText="1"/>
    </xf>
    <xf numFmtId="164" fontId="4" fillId="2" borderId="40" xfId="1" applyNumberFormat="1" applyFont="1" applyFill="1" applyBorder="1" applyAlignment="1">
      <alignment vertical="top" wrapText="1"/>
    </xf>
    <xf numFmtId="164" fontId="4" fillId="2" borderId="38" xfId="1" applyNumberFormat="1" applyFont="1" applyFill="1" applyBorder="1" applyAlignment="1">
      <alignment vertical="top" wrapText="1"/>
    </xf>
    <xf numFmtId="164" fontId="4" fillId="2" borderId="41" xfId="1" applyNumberFormat="1" applyFont="1" applyFill="1" applyBorder="1" applyAlignment="1">
      <alignment vertical="top" wrapText="1"/>
    </xf>
    <xf numFmtId="0" fontId="5" fillId="6" borderId="0" xfId="2" applyFont="1" applyFill="1" applyAlignment="1">
      <alignment vertical="center"/>
    </xf>
    <xf numFmtId="0" fontId="5" fillId="2" borderId="10" xfId="3" applyFont="1" applyFill="1" applyBorder="1" applyAlignment="1">
      <alignment horizontal="centerContinuous" vertical="center" wrapText="1"/>
    </xf>
    <xf numFmtId="0" fontId="5" fillId="2" borderId="5" xfId="2" applyFont="1" applyFill="1" applyBorder="1" applyAlignment="1">
      <alignment vertical="center" wrapText="1"/>
    </xf>
    <xf numFmtId="0" fontId="5" fillId="2" borderId="19" xfId="2" applyFont="1" applyFill="1" applyBorder="1" applyAlignment="1">
      <alignment vertical="center" wrapText="1"/>
    </xf>
    <xf numFmtId="0" fontId="5" fillId="4" borderId="0" xfId="2" applyFont="1" applyFill="1" applyAlignment="1">
      <alignment vertical="center"/>
    </xf>
    <xf numFmtId="0" fontId="5" fillId="2" borderId="11" xfId="3" applyFont="1" applyFill="1" applyBorder="1" applyAlignment="1">
      <alignment horizontal="center" vertical="center" wrapText="1"/>
    </xf>
    <xf numFmtId="0" fontId="8" fillId="3" borderId="18" xfId="3" quotePrefix="1" applyFont="1" applyFill="1" applyBorder="1" applyAlignment="1">
      <alignment horizontal="right"/>
    </xf>
    <xf numFmtId="164" fontId="9" fillId="6" borderId="8" xfId="2" applyNumberFormat="1" applyFont="1" applyFill="1" applyBorder="1" applyAlignment="1">
      <alignment horizontal="center" vertical="center" wrapText="1"/>
    </xf>
    <xf numFmtId="2" fontId="8" fillId="3" borderId="8" xfId="2" applyNumberFormat="1" applyFont="1" applyFill="1" applyBorder="1" applyAlignment="1">
      <alignment horizontal="right" vertical="center" wrapText="1"/>
    </xf>
    <xf numFmtId="164" fontId="8" fillId="6" borderId="44" xfId="2" applyNumberFormat="1" applyFont="1" applyFill="1" applyBorder="1" applyAlignment="1">
      <alignment horizontal="center" vertical="center" wrapText="1"/>
    </xf>
    <xf numFmtId="164" fontId="9" fillId="6" borderId="45" xfId="2" applyNumberFormat="1" applyFont="1" applyFill="1" applyBorder="1" applyAlignment="1">
      <alignment horizontal="center" vertical="center" wrapText="1"/>
    </xf>
    <xf numFmtId="0" fontId="5" fillId="4" borderId="0" xfId="2" applyFont="1" applyFill="1" applyAlignment="1">
      <alignment horizontal="right"/>
    </xf>
    <xf numFmtId="164" fontId="8" fillId="6" borderId="8" xfId="2" applyNumberFormat="1" applyFont="1" applyFill="1" applyBorder="1" applyAlignment="1">
      <alignment horizontal="center" vertical="center" wrapText="1"/>
    </xf>
    <xf numFmtId="164" fontId="8" fillId="3" borderId="8" xfId="2" applyNumberFormat="1" applyFont="1" applyFill="1" applyBorder="1" applyAlignment="1">
      <alignment horizontal="center" vertical="center"/>
    </xf>
    <xf numFmtId="164" fontId="8" fillId="3" borderId="5" xfId="1" applyNumberFormat="1" applyFont="1" applyFill="1" applyBorder="1" applyAlignment="1">
      <alignment horizontal="center" vertical="center"/>
    </xf>
    <xf numFmtId="2" fontId="10" fillId="4" borderId="18" xfId="2" applyNumberFormat="1" applyFont="1" applyFill="1" applyBorder="1" applyAlignment="1">
      <alignment horizontal="right" vertical="center"/>
    </xf>
    <xf numFmtId="164" fontId="8" fillId="6" borderId="21" xfId="2" applyNumberFormat="1" applyFont="1" applyFill="1" applyBorder="1" applyAlignment="1">
      <alignment horizontal="center" vertical="center" wrapText="1"/>
    </xf>
    <xf numFmtId="164" fontId="10" fillId="6" borderId="0" xfId="2" applyNumberFormat="1" applyFont="1" applyFill="1" applyAlignment="1">
      <alignment horizontal="center" vertical="center" wrapText="1"/>
    </xf>
    <xf numFmtId="164" fontId="8" fillId="4" borderId="46" xfId="2" applyNumberFormat="1" applyFont="1" applyFill="1" applyBorder="1" applyAlignment="1">
      <alignment horizontal="center" vertical="center"/>
    </xf>
    <xf numFmtId="164" fontId="8" fillId="4" borderId="8" xfId="2" applyNumberFormat="1" applyFont="1" applyFill="1" applyBorder="1" applyAlignment="1">
      <alignment horizontal="center" vertical="center"/>
    </xf>
    <xf numFmtId="164" fontId="8" fillId="6" borderId="24" xfId="2" applyNumberFormat="1" applyFont="1" applyFill="1" applyBorder="1" applyAlignment="1">
      <alignment horizontal="center" vertical="center" wrapText="1"/>
    </xf>
    <xf numFmtId="2" fontId="10" fillId="4" borderId="47" xfId="2" applyNumberFormat="1" applyFont="1" applyFill="1" applyBorder="1" applyAlignment="1">
      <alignment horizontal="right" vertical="center"/>
    </xf>
    <xf numFmtId="164" fontId="8" fillId="4" borderId="48" xfId="2" applyNumberFormat="1" applyFont="1" applyFill="1" applyBorder="1" applyAlignment="1">
      <alignment horizontal="center" vertical="center" wrapText="1"/>
    </xf>
    <xf numFmtId="164" fontId="8" fillId="4" borderId="48" xfId="1" applyNumberFormat="1" applyFont="1" applyFill="1" applyBorder="1" applyAlignment="1">
      <alignment horizontal="center" vertical="center"/>
    </xf>
    <xf numFmtId="164" fontId="8" fillId="4" borderId="49" xfId="2" applyNumberFormat="1" applyFont="1" applyFill="1" applyBorder="1" applyAlignment="1">
      <alignment horizontal="center" vertical="center"/>
    </xf>
    <xf numFmtId="164" fontId="8" fillId="6" borderId="47" xfId="2" applyNumberFormat="1" applyFont="1" applyFill="1" applyBorder="1" applyAlignment="1">
      <alignment horizontal="center" vertical="center" wrapText="1"/>
    </xf>
    <xf numFmtId="164" fontId="15" fillId="6" borderId="0" xfId="2" applyNumberFormat="1" applyFont="1" applyFill="1" applyAlignment="1">
      <alignment horizontal="center" vertical="center" wrapText="1"/>
    </xf>
    <xf numFmtId="164" fontId="15" fillId="6" borderId="50" xfId="2" applyNumberFormat="1" applyFont="1" applyFill="1" applyBorder="1" applyAlignment="1">
      <alignment horizontal="center" vertical="center" wrapText="1"/>
    </xf>
    <xf numFmtId="164" fontId="15" fillId="4" borderId="51" xfId="2" applyNumberFormat="1" applyFont="1" applyFill="1" applyBorder="1" applyAlignment="1">
      <alignment horizontal="center" vertical="center" wrapText="1"/>
    </xf>
    <xf numFmtId="166" fontId="8" fillId="4" borderId="8" xfId="2" applyNumberFormat="1" applyFont="1" applyFill="1" applyBorder="1" applyAlignment="1">
      <alignment horizontal="center" vertical="center"/>
    </xf>
    <xf numFmtId="164" fontId="15" fillId="6" borderId="5" xfId="2" applyNumberFormat="1" applyFont="1" applyFill="1" applyBorder="1" applyAlignment="1">
      <alignment horizontal="center" vertical="center" wrapText="1"/>
    </xf>
    <xf numFmtId="164" fontId="15" fillId="6" borderId="8" xfId="2" applyNumberFormat="1" applyFont="1" applyFill="1" applyBorder="1" applyAlignment="1">
      <alignment horizontal="center" vertical="center" wrapText="1"/>
    </xf>
    <xf numFmtId="2" fontId="12" fillId="4" borderId="18" xfId="2" applyNumberFormat="1" applyFont="1" applyFill="1" applyBorder="1" applyAlignment="1">
      <alignment horizontal="right" vertical="center"/>
    </xf>
    <xf numFmtId="164" fontId="12" fillId="4" borderId="46" xfId="2" applyNumberFormat="1" applyFont="1" applyFill="1" applyBorder="1" applyAlignment="1">
      <alignment horizontal="center" vertical="center"/>
    </xf>
    <xf numFmtId="164" fontId="12" fillId="4" borderId="0" xfId="2" applyNumberFormat="1" applyFont="1" applyFill="1" applyAlignment="1">
      <alignment horizontal="center" vertical="center"/>
    </xf>
    <xf numFmtId="164" fontId="12" fillId="4" borderId="8" xfId="2" applyNumberFormat="1" applyFont="1" applyFill="1" applyBorder="1" applyAlignment="1">
      <alignment horizontal="center" vertical="center"/>
    </xf>
    <xf numFmtId="2" fontId="12" fillId="4" borderId="52" xfId="2" applyNumberFormat="1" applyFont="1" applyFill="1" applyBorder="1" applyAlignment="1">
      <alignment horizontal="right" vertical="center"/>
    </xf>
    <xf numFmtId="164" fontId="12" fillId="4" borderId="53" xfId="2" applyNumberFormat="1" applyFont="1" applyFill="1" applyBorder="1" applyAlignment="1">
      <alignment horizontal="center" vertical="center"/>
    </xf>
    <xf numFmtId="164" fontId="12" fillId="4" borderId="6" xfId="2" applyNumberFormat="1" applyFont="1" applyFill="1" applyBorder="1" applyAlignment="1">
      <alignment horizontal="center" vertical="center"/>
    </xf>
    <xf numFmtId="164" fontId="12" fillId="4" borderId="16" xfId="2" applyNumberFormat="1" applyFont="1" applyFill="1" applyBorder="1" applyAlignment="1">
      <alignment horizontal="center" vertical="center"/>
    </xf>
    <xf numFmtId="164" fontId="15" fillId="6" borderId="15" xfId="2" applyNumberFormat="1" applyFont="1" applyFill="1" applyBorder="1" applyAlignment="1">
      <alignment horizontal="center" vertical="center" wrapText="1"/>
    </xf>
    <xf numFmtId="164" fontId="15" fillId="6" borderId="6" xfId="2" applyNumberFormat="1" applyFont="1" applyFill="1" applyBorder="1" applyAlignment="1">
      <alignment horizontal="center" vertical="center" wrapText="1"/>
    </xf>
    <xf numFmtId="164" fontId="15" fillId="6" borderId="16" xfId="2" applyNumberFormat="1" applyFont="1" applyFill="1" applyBorder="1" applyAlignment="1">
      <alignment horizontal="center" vertical="center" wrapText="1"/>
    </xf>
    <xf numFmtId="2" fontId="8" fillId="3" borderId="5" xfId="1" applyNumberFormat="1" applyFont="1" applyFill="1" applyBorder="1" applyAlignment="1">
      <alignment vertical="center" wrapText="1"/>
    </xf>
    <xf numFmtId="0" fontId="19" fillId="3" borderId="0" xfId="3" applyFont="1" applyFill="1" applyAlignment="1">
      <alignment horizontal="left" vertical="center"/>
    </xf>
    <xf numFmtId="0" fontId="19" fillId="3" borderId="8" xfId="3" applyFont="1" applyFill="1" applyBorder="1" applyAlignment="1">
      <alignment horizontal="left" vertical="center"/>
    </xf>
    <xf numFmtId="0" fontId="16" fillId="3" borderId="0" xfId="3" applyFont="1" applyFill="1" applyAlignment="1">
      <alignment vertical="center" wrapText="1"/>
    </xf>
    <xf numFmtId="0" fontId="16" fillId="3" borderId="19" xfId="3" applyFont="1" applyFill="1" applyBorder="1" applyAlignment="1">
      <alignment vertical="center" wrapText="1"/>
    </xf>
    <xf numFmtId="0" fontId="19" fillId="3" borderId="0" xfId="3" applyFont="1" applyFill="1" applyAlignment="1">
      <alignment vertical="center"/>
    </xf>
    <xf numFmtId="0" fontId="16" fillId="3" borderId="8" xfId="3" applyFont="1" applyFill="1" applyBorder="1" applyAlignment="1">
      <alignment vertical="center" wrapText="1"/>
    </xf>
    <xf numFmtId="167" fontId="8" fillId="4" borderId="8" xfId="2" applyNumberFormat="1" applyFont="1" applyFill="1" applyBorder="1" applyAlignment="1">
      <alignment horizontal="center" vertical="center"/>
    </xf>
    <xf numFmtId="0" fontId="8" fillId="4" borderId="8" xfId="3" applyFont="1" applyFill="1" applyBorder="1" applyAlignment="1">
      <alignment vertical="center"/>
    </xf>
    <xf numFmtId="0" fontId="9" fillId="3" borderId="8" xfId="2" applyFont="1" applyFill="1" applyBorder="1" applyAlignment="1">
      <alignment horizontal="left" vertical="center"/>
    </xf>
    <xf numFmtId="0" fontId="9" fillId="3" borderId="40" xfId="2" applyFont="1" applyFill="1" applyBorder="1" applyAlignment="1">
      <alignment vertical="center"/>
    </xf>
    <xf numFmtId="0" fontId="16" fillId="6" borderId="38" xfId="3" applyFont="1" applyFill="1" applyBorder="1" applyAlignment="1">
      <alignment vertical="center" wrapText="1"/>
    </xf>
    <xf numFmtId="0" fontId="16" fillId="6" borderId="39" xfId="3" applyFont="1" applyFill="1" applyBorder="1" applyAlignment="1">
      <alignment vertical="center" wrapText="1"/>
    </xf>
    <xf numFmtId="0" fontId="2" fillId="0" borderId="0" xfId="0" applyFont="1"/>
    <xf numFmtId="2" fontId="0" fillId="0" borderId="0" xfId="0" applyNumberFormat="1"/>
    <xf numFmtId="164" fontId="0" fillId="0" borderId="0" xfId="0" applyNumberFormat="1"/>
    <xf numFmtId="1" fontId="0" fillId="0" borderId="0" xfId="0" applyNumberFormat="1"/>
    <xf numFmtId="17" fontId="0" fillId="0" borderId="0" xfId="0" applyNumberFormat="1"/>
    <xf numFmtId="0" fontId="0" fillId="0" borderId="0" xfId="0" quotePrefix="1"/>
    <xf numFmtId="166" fontId="0" fillId="0" borderId="0" xfId="0" applyNumberFormat="1"/>
    <xf numFmtId="0" fontId="25" fillId="7" borderId="54" xfId="16" applyFont="1" applyFill="1" applyBorder="1" applyAlignment="1">
      <alignment horizontal="left" wrapText="1"/>
    </xf>
    <xf numFmtId="168" fontId="0" fillId="0" borderId="0" xfId="0" applyNumberFormat="1"/>
    <xf numFmtId="168" fontId="26" fillId="0" borderId="0" xfId="0" applyNumberFormat="1" applyFont="1"/>
    <xf numFmtId="0" fontId="1" fillId="0" borderId="0" xfId="17"/>
    <xf numFmtId="0" fontId="0" fillId="0" borderId="0" xfId="17" applyFont="1"/>
    <xf numFmtId="0" fontId="1" fillId="0" borderId="0" xfId="17" applyAlignment="1">
      <alignment horizontal="right"/>
    </xf>
    <xf numFmtId="0" fontId="27" fillId="6" borderId="0" xfId="9" applyFont="1" applyFill="1" applyBorder="1" applyAlignment="1" applyProtection="1">
      <alignment horizontal="center" vertical="center" wrapText="1"/>
    </xf>
    <xf numFmtId="0" fontId="28" fillId="6" borderId="55" xfId="0" applyFont="1" applyFill="1" applyBorder="1"/>
    <xf numFmtId="0" fontId="5" fillId="6" borderId="0" xfId="0" applyFont="1" applyFill="1"/>
    <xf numFmtId="0" fontId="29" fillId="6" borderId="0" xfId="0" applyFont="1" applyFill="1"/>
    <xf numFmtId="0" fontId="30" fillId="6" borderId="0" xfId="0" applyFont="1" applyFill="1"/>
    <xf numFmtId="0" fontId="33" fillId="6" borderId="0" xfId="0" applyFont="1" applyFill="1"/>
    <xf numFmtId="0" fontId="30" fillId="6" borderId="0" xfId="0" applyFont="1" applyFill="1" applyAlignment="1">
      <alignment wrapText="1"/>
    </xf>
    <xf numFmtId="0" fontId="9" fillId="2" borderId="5" xfId="0" applyFont="1" applyFill="1" applyBorder="1" applyAlignment="1">
      <alignment wrapText="1"/>
    </xf>
    <xf numFmtId="0" fontId="6" fillId="2" borderId="0" xfId="0" applyFont="1" applyFill="1" applyAlignment="1">
      <alignment horizontal="center" vertical="top" wrapText="1"/>
    </xf>
    <xf numFmtId="0" fontId="6" fillId="2" borderId="0" xfId="0" applyFont="1" applyFill="1" applyAlignment="1">
      <alignment horizontal="center" wrapText="1"/>
    </xf>
    <xf numFmtId="0" fontId="33" fillId="6" borderId="0" xfId="0" applyFont="1" applyFill="1" applyAlignment="1">
      <alignment wrapText="1"/>
    </xf>
    <xf numFmtId="0" fontId="34" fillId="2" borderId="0" xfId="0" applyFont="1" applyFill="1" applyAlignment="1">
      <alignment horizontal="center" wrapText="1"/>
    </xf>
    <xf numFmtId="2" fontId="35" fillId="3" borderId="0" xfId="0" applyNumberFormat="1" applyFont="1" applyFill="1" applyAlignment="1">
      <alignment horizontal="center" wrapText="1"/>
    </xf>
    <xf numFmtId="0" fontId="9" fillId="4" borderId="5" xfId="0" applyFont="1" applyFill="1" applyBorder="1" applyProtection="1">
      <protection locked="0"/>
    </xf>
    <xf numFmtId="164" fontId="9" fillId="4" borderId="0" xfId="0" applyNumberFormat="1" applyFont="1" applyFill="1" applyAlignment="1">
      <alignment horizontal="center"/>
    </xf>
    <xf numFmtId="164" fontId="9" fillId="4" borderId="19" xfId="0" applyNumberFormat="1" applyFont="1" applyFill="1" applyBorder="1" applyAlignment="1">
      <alignment horizontal="center"/>
    </xf>
    <xf numFmtId="164" fontId="29" fillId="6" borderId="0" xfId="0" applyNumberFormat="1" applyFont="1" applyFill="1"/>
    <xf numFmtId="167" fontId="29" fillId="6" borderId="0" xfId="0" applyNumberFormat="1" applyFont="1" applyFill="1"/>
    <xf numFmtId="0" fontId="9" fillId="4" borderId="5" xfId="0" applyFont="1" applyFill="1" applyBorder="1"/>
    <xf numFmtId="0" fontId="36" fillId="6" borderId="8" xfId="0" applyFont="1" applyFill="1" applyBorder="1" applyAlignment="1">
      <alignment wrapText="1"/>
    </xf>
    <xf numFmtId="0" fontId="9" fillId="4" borderId="5" xfId="0" applyFont="1" applyFill="1" applyBorder="1" applyAlignment="1">
      <alignment horizontal="left"/>
    </xf>
    <xf numFmtId="0" fontId="9" fillId="4" borderId="15" xfId="0" applyFont="1" applyFill="1" applyBorder="1" applyAlignment="1">
      <alignment horizontal="left"/>
    </xf>
    <xf numFmtId="164" fontId="9" fillId="4" borderId="10" xfId="0" applyNumberFormat="1" applyFont="1" applyFill="1" applyBorder="1" applyAlignment="1">
      <alignment horizontal="center"/>
    </xf>
    <xf numFmtId="164" fontId="9" fillId="4" borderId="58" xfId="0" applyNumberFormat="1" applyFont="1" applyFill="1" applyBorder="1" applyAlignment="1">
      <alignment horizontal="center"/>
    </xf>
    <xf numFmtId="0" fontId="29" fillId="6" borderId="21" xfId="0" applyFont="1" applyFill="1" applyBorder="1"/>
    <xf numFmtId="0" fontId="9" fillId="4" borderId="59" xfId="0" applyFont="1" applyFill="1" applyBorder="1"/>
    <xf numFmtId="0" fontId="28" fillId="4" borderId="60" xfId="0" applyFont="1" applyFill="1" applyBorder="1" applyProtection="1">
      <protection locked="0"/>
    </xf>
    <xf numFmtId="0" fontId="28" fillId="4" borderId="61" xfId="0" applyFont="1" applyFill="1" applyBorder="1" applyProtection="1">
      <protection locked="0"/>
    </xf>
    <xf numFmtId="0" fontId="28" fillId="4" borderId="62" xfId="0" applyFont="1" applyFill="1" applyBorder="1" applyProtection="1">
      <protection locked="0"/>
    </xf>
    <xf numFmtId="0" fontId="28" fillId="4" borderId="5" xfId="0" applyFont="1" applyFill="1" applyBorder="1" applyProtection="1">
      <protection locked="0"/>
    </xf>
    <xf numFmtId="0" fontId="28" fillId="4" borderId="0" xfId="0" applyFont="1" applyFill="1" applyProtection="1">
      <protection locked="0"/>
    </xf>
    <xf numFmtId="0" fontId="28" fillId="4" borderId="19" xfId="0" applyFont="1" applyFill="1" applyBorder="1" applyProtection="1">
      <protection locked="0"/>
    </xf>
    <xf numFmtId="0" fontId="28" fillId="4" borderId="5" xfId="0" applyFont="1" applyFill="1" applyBorder="1"/>
    <xf numFmtId="0" fontId="28" fillId="4" borderId="0" xfId="0" applyFont="1" applyFill="1"/>
    <xf numFmtId="0" fontId="28" fillId="4" borderId="19" xfId="0" applyFont="1" applyFill="1" applyBorder="1"/>
    <xf numFmtId="0" fontId="28" fillId="4" borderId="40" xfId="0" applyFont="1" applyFill="1" applyBorder="1"/>
    <xf numFmtId="0" fontId="28" fillId="4" borderId="38" xfId="0" applyFont="1" applyFill="1" applyBorder="1"/>
    <xf numFmtId="0" fontId="28" fillId="4" borderId="41" xfId="0" applyFont="1" applyFill="1" applyBorder="1"/>
    <xf numFmtId="0" fontId="29" fillId="6" borderId="0" xfId="0" applyFont="1" applyFill="1" applyProtection="1">
      <protection locked="0"/>
    </xf>
    <xf numFmtId="164" fontId="29" fillId="6" borderId="0" xfId="0" applyNumberFormat="1" applyFont="1" applyFill="1" applyAlignment="1">
      <alignment horizontal="center"/>
    </xf>
    <xf numFmtId="164" fontId="9" fillId="4" borderId="6" xfId="0" applyNumberFormat="1" applyFont="1" applyFill="1" applyBorder="1" applyAlignment="1">
      <alignment horizontal="center"/>
    </xf>
    <xf numFmtId="164" fontId="9" fillId="4" borderId="34" xfId="0" applyNumberFormat="1" applyFont="1" applyFill="1" applyBorder="1" applyAlignment="1">
      <alignment horizontal="center"/>
    </xf>
    <xf numFmtId="0" fontId="37" fillId="0" borderId="0" xfId="13" applyFont="1"/>
    <xf numFmtId="0" fontId="38" fillId="0" borderId="0" xfId="0" applyFont="1" applyAlignment="1">
      <alignment horizontal="left" vertical="center"/>
    </xf>
    <xf numFmtId="0" fontId="39" fillId="4" borderId="0" xfId="0" applyFont="1" applyFill="1" applyAlignment="1">
      <alignment horizontal="center" vertical="center"/>
    </xf>
    <xf numFmtId="0" fontId="37" fillId="4" borderId="0" xfId="13" applyFont="1" applyFill="1"/>
    <xf numFmtId="2" fontId="42" fillId="4" borderId="0" xfId="0" applyNumberFormat="1" applyFont="1" applyFill="1" applyAlignment="1">
      <alignment horizontal="center" wrapText="1"/>
    </xf>
    <xf numFmtId="2" fontId="42" fillId="4" borderId="64" xfId="0" applyNumberFormat="1" applyFont="1" applyFill="1" applyBorder="1" applyAlignment="1">
      <alignment horizontal="center" wrapText="1"/>
    </xf>
    <xf numFmtId="0" fontId="43" fillId="0" borderId="0" xfId="13" applyFont="1"/>
    <xf numFmtId="0" fontId="39" fillId="4" borderId="0" xfId="0" applyFont="1" applyFill="1" applyAlignment="1">
      <alignment horizontal="center" vertical="center" wrapText="1"/>
    </xf>
    <xf numFmtId="0" fontId="43" fillId="4" borderId="0" xfId="13" applyFont="1" applyFill="1" applyAlignment="1">
      <alignment horizontal="center" vertical="center"/>
    </xf>
    <xf numFmtId="169" fontId="44" fillId="8" borderId="65" xfId="13" applyNumberFormat="1" applyFont="1" applyFill="1" applyBorder="1" applyAlignment="1">
      <alignment horizontal="center" vertical="center"/>
    </xf>
    <xf numFmtId="169" fontId="40" fillId="8" borderId="66" xfId="13" applyNumberFormat="1" applyFont="1" applyFill="1" applyBorder="1" applyAlignment="1">
      <alignment horizontal="center" vertical="center"/>
    </xf>
    <xf numFmtId="169" fontId="42" fillId="8" borderId="66" xfId="13" applyNumberFormat="1" applyFont="1" applyFill="1" applyBorder="1" applyAlignment="1">
      <alignment horizontal="center"/>
    </xf>
    <xf numFmtId="169" fontId="42" fillId="8" borderId="67" xfId="13" applyNumberFormat="1" applyFont="1" applyFill="1" applyBorder="1" applyAlignment="1">
      <alignment horizontal="center"/>
    </xf>
    <xf numFmtId="0" fontId="43" fillId="0" borderId="0" xfId="13" applyFont="1" applyAlignment="1">
      <alignment horizontal="center" vertical="center"/>
    </xf>
    <xf numFmtId="0" fontId="46" fillId="0" borderId="0" xfId="0" applyFont="1" applyAlignment="1">
      <alignment horizontal="left" vertical="center"/>
    </xf>
    <xf numFmtId="0" fontId="47" fillId="4" borderId="0" xfId="0" applyFont="1" applyFill="1" applyAlignment="1">
      <alignment horizontal="center" vertical="center"/>
    </xf>
    <xf numFmtId="0" fontId="43" fillId="4" borderId="0" xfId="13" applyFont="1" applyFill="1" applyAlignment="1">
      <alignment horizontal="left" vertical="center"/>
    </xf>
    <xf numFmtId="0" fontId="48" fillId="4" borderId="63" xfId="13" applyFont="1" applyFill="1" applyBorder="1" applyAlignment="1">
      <alignment horizontal="left" vertical="center" indent="1"/>
    </xf>
    <xf numFmtId="0" fontId="40" fillId="4" borderId="0" xfId="13" applyFont="1" applyFill="1" applyAlignment="1">
      <alignment horizontal="left" vertical="center" wrapText="1"/>
    </xf>
    <xf numFmtId="0" fontId="49" fillId="4" borderId="0" xfId="13" applyFont="1" applyFill="1" applyAlignment="1">
      <alignment horizontal="center" vertical="center"/>
    </xf>
    <xf numFmtId="170" fontId="49" fillId="4" borderId="0" xfId="13" applyNumberFormat="1" applyFont="1" applyFill="1" applyAlignment="1">
      <alignment horizontal="center" vertical="center"/>
    </xf>
    <xf numFmtId="170" fontId="49" fillId="4" borderId="64" xfId="13" applyNumberFormat="1" applyFont="1" applyFill="1" applyBorder="1" applyAlignment="1">
      <alignment horizontal="center" vertical="center"/>
    </xf>
    <xf numFmtId="0" fontId="43" fillId="0" borderId="0" xfId="13" applyFont="1" applyAlignment="1">
      <alignment horizontal="left" vertical="center"/>
    </xf>
    <xf numFmtId="0" fontId="50" fillId="4" borderId="0" xfId="13" applyFont="1" applyFill="1" applyAlignment="1">
      <alignment horizontal="left" vertical="center" wrapText="1"/>
    </xf>
    <xf numFmtId="0" fontId="49" fillId="4" borderId="63" xfId="13" applyFont="1" applyFill="1" applyBorder="1" applyAlignment="1">
      <alignment horizontal="center" vertical="center"/>
    </xf>
    <xf numFmtId="0" fontId="49" fillId="4" borderId="0" xfId="13" applyFont="1" applyFill="1" applyAlignment="1">
      <alignment horizontal="left" vertical="center" wrapText="1"/>
    </xf>
    <xf numFmtId="0" fontId="51" fillId="0" borderId="0" xfId="13" applyFont="1" applyAlignment="1">
      <alignment horizontal="center" vertical="center"/>
    </xf>
    <xf numFmtId="0" fontId="52" fillId="4" borderId="0" xfId="13" applyFont="1" applyFill="1" applyAlignment="1">
      <alignment horizontal="center" vertical="center"/>
    </xf>
    <xf numFmtId="0" fontId="51" fillId="4" borderId="0" xfId="13" applyFont="1" applyFill="1" applyAlignment="1">
      <alignment horizontal="left" vertical="center"/>
    </xf>
    <xf numFmtId="0" fontId="49" fillId="4" borderId="68" xfId="13" applyFont="1" applyFill="1" applyBorder="1" applyAlignment="1">
      <alignment horizontal="left" vertical="center"/>
    </xf>
    <xf numFmtId="0" fontId="49" fillId="4" borderId="69" xfId="18" applyFont="1" applyFill="1" applyBorder="1" applyAlignment="1">
      <alignment horizontal="left" vertical="center"/>
    </xf>
    <xf numFmtId="170" fontId="49" fillId="4" borderId="69" xfId="13" applyNumberFormat="1" applyFont="1" applyFill="1" applyBorder="1" applyAlignment="1">
      <alignment horizontal="center" vertical="center"/>
    </xf>
    <xf numFmtId="170" fontId="49" fillId="4" borderId="69" xfId="13" applyNumberFormat="1" applyFont="1" applyFill="1" applyBorder="1" applyAlignment="1">
      <alignment horizontal="left" vertical="center"/>
    </xf>
    <xf numFmtId="170" fontId="49" fillId="4" borderId="70" xfId="13" applyNumberFormat="1" applyFont="1" applyFill="1" applyBorder="1" applyAlignment="1">
      <alignment horizontal="center" vertical="center"/>
    </xf>
    <xf numFmtId="170" fontId="43" fillId="0" borderId="0" xfId="13" applyNumberFormat="1" applyFont="1" applyAlignment="1">
      <alignment horizontal="left" vertical="center"/>
    </xf>
    <xf numFmtId="0" fontId="51" fillId="0" borderId="0" xfId="13" applyFont="1" applyAlignment="1">
      <alignment horizontal="left" vertical="center"/>
    </xf>
    <xf numFmtId="0" fontId="53" fillId="0" borderId="0" xfId="0" applyFont="1" applyAlignment="1">
      <alignment horizontal="left" vertical="center"/>
    </xf>
    <xf numFmtId="0" fontId="50" fillId="0" borderId="0" xfId="18" applyFont="1" applyAlignment="1">
      <alignment vertical="center"/>
    </xf>
    <xf numFmtId="2" fontId="49" fillId="0" borderId="0" xfId="0" applyNumberFormat="1" applyFont="1" applyAlignment="1">
      <alignment vertical="center" wrapText="1"/>
    </xf>
    <xf numFmtId="0" fontId="50" fillId="4" borderId="0" xfId="13" applyFont="1" applyFill="1" applyAlignment="1">
      <alignment horizontal="left" vertical="top"/>
    </xf>
    <xf numFmtId="0" fontId="38" fillId="9" borderId="0" xfId="0" applyFont="1" applyFill="1" applyAlignment="1">
      <alignment horizontal="left" vertical="center"/>
    </xf>
    <xf numFmtId="0" fontId="43" fillId="9" borderId="0" xfId="13" applyFont="1" applyFill="1" applyAlignment="1">
      <alignment horizontal="left" vertical="center"/>
    </xf>
    <xf numFmtId="0" fontId="50" fillId="9" borderId="0" xfId="18" applyFont="1" applyFill="1" applyAlignment="1">
      <alignment vertical="center"/>
    </xf>
    <xf numFmtId="170" fontId="55" fillId="4" borderId="0" xfId="13" applyNumberFormat="1" applyFont="1" applyFill="1" applyAlignment="1">
      <alignment horizontal="center" vertical="center"/>
    </xf>
    <xf numFmtId="0" fontId="56" fillId="0" borderId="0" xfId="13" applyFont="1"/>
    <xf numFmtId="0" fontId="56" fillId="0" borderId="0" xfId="13" applyFont="1" applyAlignment="1">
      <alignment horizontal="center" vertical="center"/>
    </xf>
    <xf numFmtId="170" fontId="50" fillId="4" borderId="0" xfId="13" applyNumberFormat="1" applyFont="1" applyFill="1" applyAlignment="1">
      <alignment horizontal="left" vertical="center"/>
    </xf>
    <xf numFmtId="0" fontId="44" fillId="4" borderId="68" xfId="13" applyFont="1" applyFill="1" applyBorder="1" applyAlignment="1">
      <alignment horizontal="left" vertical="center"/>
    </xf>
    <xf numFmtId="0" fontId="40" fillId="4" borderId="66" xfId="13" applyFont="1" applyFill="1" applyBorder="1" applyAlignment="1">
      <alignment horizontal="left"/>
    </xf>
    <xf numFmtId="0" fontId="44" fillId="4" borderId="66" xfId="13" applyFont="1" applyFill="1" applyBorder="1" applyAlignment="1">
      <alignment horizontal="center"/>
    </xf>
    <xf numFmtId="170" fontId="42" fillId="4" borderId="69" xfId="13" applyNumberFormat="1" applyFont="1" applyFill="1" applyBorder="1" applyAlignment="1">
      <alignment horizontal="center" vertical="center"/>
    </xf>
    <xf numFmtId="170" fontId="42" fillId="4" borderId="64" xfId="13" applyNumberFormat="1" applyFont="1" applyFill="1" applyBorder="1" applyAlignment="1">
      <alignment horizontal="center" vertical="center"/>
    </xf>
    <xf numFmtId="169" fontId="43" fillId="4" borderId="0" xfId="13" applyNumberFormat="1" applyFont="1" applyFill="1" applyAlignment="1">
      <alignment horizontal="center" vertical="center"/>
    </xf>
    <xf numFmtId="0" fontId="44" fillId="4" borderId="71" xfId="13" applyFont="1" applyFill="1" applyBorder="1" applyAlignment="1">
      <alignment horizontal="left" vertical="center"/>
    </xf>
    <xf numFmtId="0" fontId="42" fillId="4" borderId="72" xfId="13" applyFont="1" applyFill="1" applyBorder="1" applyAlignment="1">
      <alignment horizontal="center"/>
    </xf>
    <xf numFmtId="170" fontId="42" fillId="4" borderId="72" xfId="13" applyNumberFormat="1" applyFont="1" applyFill="1" applyBorder="1" applyAlignment="1">
      <alignment horizontal="center" vertical="center"/>
    </xf>
    <xf numFmtId="170" fontId="44" fillId="4" borderId="73" xfId="13" applyNumberFormat="1" applyFont="1" applyFill="1" applyBorder="1" applyAlignment="1">
      <alignment horizontal="center" vertical="center"/>
    </xf>
    <xf numFmtId="0" fontId="44" fillId="4" borderId="65" xfId="13" applyFont="1" applyFill="1" applyBorder="1" applyAlignment="1">
      <alignment horizontal="left" vertical="center"/>
    </xf>
    <xf numFmtId="0" fontId="42" fillId="4" borderId="66" xfId="13" applyFont="1" applyFill="1" applyBorder="1" applyAlignment="1">
      <alignment horizontal="center"/>
    </xf>
    <xf numFmtId="170" fontId="42" fillId="4" borderId="66" xfId="13" applyNumberFormat="1" applyFont="1" applyFill="1" applyBorder="1" applyAlignment="1">
      <alignment horizontal="center" vertical="center"/>
    </xf>
    <xf numFmtId="170" fontId="44" fillId="4" borderId="67" xfId="13" applyNumberFormat="1" applyFont="1" applyFill="1" applyBorder="1" applyAlignment="1">
      <alignment horizontal="center" vertical="center"/>
    </xf>
    <xf numFmtId="0" fontId="37" fillId="0" borderId="0" xfId="13" applyFont="1" applyAlignment="1">
      <alignment horizontal="center" vertical="center"/>
    </xf>
    <xf numFmtId="0" fontId="57" fillId="4" borderId="0" xfId="13" applyFont="1" applyFill="1" applyAlignment="1">
      <alignment horizontal="center" vertical="center"/>
    </xf>
    <xf numFmtId="171" fontId="42" fillId="4" borderId="64" xfId="13" applyNumberFormat="1" applyFont="1" applyFill="1" applyBorder="1" applyAlignment="1">
      <alignment horizontal="center" vertical="center"/>
    </xf>
    <xf numFmtId="171" fontId="42" fillId="4" borderId="70" xfId="13" applyNumberFormat="1" applyFont="1" applyFill="1" applyBorder="1" applyAlignment="1">
      <alignment horizontal="center" vertical="center"/>
    </xf>
    <xf numFmtId="0" fontId="56" fillId="4" borderId="0" xfId="13" applyFont="1" applyFill="1"/>
    <xf numFmtId="0" fontId="44" fillId="4" borderId="0" xfId="13" applyFont="1" applyFill="1" applyAlignment="1">
      <alignment horizontal="center" vertical="center"/>
    </xf>
    <xf numFmtId="0" fontId="40" fillId="4" borderId="0" xfId="13" applyFont="1" applyFill="1" applyAlignment="1">
      <alignment vertical="center"/>
    </xf>
    <xf numFmtId="0" fontId="44" fillId="4" borderId="0" xfId="13" applyFont="1" applyFill="1" applyAlignment="1">
      <alignment horizontal="center"/>
    </xf>
    <xf numFmtId="169" fontId="42" fillId="4" borderId="0" xfId="13" applyNumberFormat="1" applyFont="1" applyFill="1" applyAlignment="1">
      <alignment horizontal="center" vertical="center"/>
    </xf>
    <xf numFmtId="171" fontId="42" fillId="4" borderId="0" xfId="13" applyNumberFormat="1" applyFont="1" applyFill="1" applyAlignment="1">
      <alignment horizontal="center" vertical="center"/>
    </xf>
    <xf numFmtId="0" fontId="57" fillId="4" borderId="0" xfId="13" applyFont="1" applyFill="1" applyAlignment="1">
      <alignment horizontal="center"/>
    </xf>
    <xf numFmtId="0" fontId="44" fillId="0" borderId="0" xfId="13" applyFont="1"/>
    <xf numFmtId="0" fontId="49" fillId="4" borderId="0" xfId="13" applyFont="1" applyFill="1" applyAlignment="1">
      <alignment vertical="center"/>
    </xf>
    <xf numFmtId="0" fontId="5" fillId="0" borderId="0" xfId="2" applyFont="1" applyFill="1" applyAlignment="1">
      <alignment vertical="center"/>
    </xf>
    <xf numFmtId="164" fontId="8" fillId="0" borderId="15" xfId="1" applyNumberFormat="1" applyFont="1" applyFill="1" applyBorder="1" applyAlignment="1">
      <alignment horizontal="center" wrapText="1"/>
    </xf>
    <xf numFmtId="2" fontId="8" fillId="0" borderId="0" xfId="2" applyNumberFormat="1" applyFont="1" applyFill="1" applyAlignment="1">
      <alignment horizontal="center" wrapText="1"/>
    </xf>
    <xf numFmtId="2" fontId="8" fillId="0" borderId="6" xfId="2" applyNumberFormat="1" applyFont="1" applyFill="1" applyBorder="1" applyAlignment="1">
      <alignment horizontal="center" wrapText="1"/>
    </xf>
    <xf numFmtId="2" fontId="9" fillId="0" borderId="43" xfId="2" applyNumberFormat="1" applyFont="1" applyFill="1" applyBorder="1" applyAlignment="1">
      <alignment horizontal="center" wrapText="1"/>
    </xf>
    <xf numFmtId="0" fontId="9" fillId="0" borderId="6" xfId="2" applyFont="1" applyFill="1" applyBorder="1" applyAlignment="1">
      <alignment horizontal="center" wrapText="1"/>
    </xf>
    <xf numFmtId="2" fontId="9" fillId="0" borderId="0" xfId="2" applyNumberFormat="1" applyFont="1" applyFill="1" applyAlignment="1">
      <alignment horizontal="center" wrapText="1"/>
    </xf>
    <xf numFmtId="2" fontId="8" fillId="0" borderId="4" xfId="2" applyNumberFormat="1" applyFont="1" applyFill="1" applyBorder="1" applyAlignment="1">
      <alignment horizontal="right" wrapText="1"/>
    </xf>
    <xf numFmtId="2" fontId="9" fillId="0" borderId="15" xfId="2" applyNumberFormat="1" applyFont="1" applyFill="1" applyBorder="1" applyAlignment="1">
      <alignment horizontal="center" wrapText="1"/>
    </xf>
    <xf numFmtId="2" fontId="9" fillId="0" borderId="34" xfId="2" applyNumberFormat="1" applyFont="1" applyFill="1" applyBorder="1" applyAlignment="1">
      <alignment horizontal="center" wrapText="1"/>
    </xf>
    <xf numFmtId="0" fontId="5" fillId="0" borderId="0" xfId="2" applyFont="1" applyFill="1" applyAlignment="1">
      <alignment horizontal="center"/>
    </xf>
    <xf numFmtId="2" fontId="12" fillId="4" borderId="5" xfId="2" applyNumberFormat="1" applyFont="1" applyFill="1" applyBorder="1" applyAlignment="1">
      <alignment horizontal="right" vertical="center"/>
    </xf>
    <xf numFmtId="164" fontId="12" fillId="4" borderId="0" xfId="2" applyNumberFormat="1" applyFont="1" applyFill="1" applyBorder="1" applyAlignment="1">
      <alignment horizontal="center" vertical="center"/>
    </xf>
    <xf numFmtId="164" fontId="15" fillId="6" borderId="0" xfId="2" applyNumberFormat="1" applyFont="1" applyFill="1" applyBorder="1" applyAlignment="1">
      <alignment horizontal="center" vertical="center" wrapText="1"/>
    </xf>
    <xf numFmtId="0" fontId="59" fillId="0" borderId="0" xfId="19" applyFont="1" applyAlignment="1">
      <alignment horizontal="center" vertical="center" wrapText="1"/>
    </xf>
    <xf numFmtId="0" fontId="10" fillId="0" borderId="0" xfId="0" applyFont="1"/>
    <xf numFmtId="0" fontId="60" fillId="0" borderId="0" xfId="0" applyFont="1"/>
    <xf numFmtId="0" fontId="8" fillId="5" borderId="74" xfId="0" applyFont="1" applyFill="1" applyBorder="1" applyAlignment="1">
      <alignment horizontal="right" vertical="center" wrapText="1"/>
    </xf>
    <xf numFmtId="0" fontId="8" fillId="5" borderId="75" xfId="0" applyFont="1" applyFill="1" applyBorder="1" applyAlignment="1">
      <alignment horizontal="right" vertical="center" wrapText="1"/>
    </xf>
    <xf numFmtId="0" fontId="8" fillId="5" borderId="76" xfId="0" applyFont="1" applyFill="1" applyBorder="1" applyAlignment="1">
      <alignment horizontal="right" vertical="center" wrapText="1"/>
    </xf>
    <xf numFmtId="0" fontId="8" fillId="5" borderId="77" xfId="0" applyFont="1" applyFill="1" applyBorder="1" applyAlignment="1">
      <alignment horizontal="right" vertical="center" wrapText="1"/>
    </xf>
    <xf numFmtId="1" fontId="8" fillId="0" borderId="0" xfId="0" applyNumberFormat="1" applyFont="1" applyAlignment="1">
      <alignment horizontal="right" vertical="center" wrapText="1"/>
    </xf>
    <xf numFmtId="1" fontId="8" fillId="0" borderId="19" xfId="0" applyNumberFormat="1" applyFont="1" applyBorder="1" applyAlignment="1">
      <alignment horizontal="right" vertical="center" wrapText="1"/>
    </xf>
    <xf numFmtId="1" fontId="10" fillId="0" borderId="0" xfId="0" applyNumberFormat="1" applyFont="1"/>
    <xf numFmtId="0" fontId="8" fillId="5" borderId="78" xfId="0" applyFont="1" applyFill="1" applyBorder="1" applyAlignment="1">
      <alignment horizontal="right" vertical="center" wrapText="1"/>
    </xf>
    <xf numFmtId="1" fontId="8" fillId="0" borderId="79" xfId="0" applyNumberFormat="1" applyFont="1" applyBorder="1" applyAlignment="1">
      <alignment horizontal="right" vertical="center" wrapText="1"/>
    </xf>
    <xf numFmtId="1" fontId="8" fillId="0" borderId="80" xfId="0" applyNumberFormat="1" applyFont="1" applyBorder="1" applyAlignment="1">
      <alignment horizontal="right" vertical="center" wrapText="1"/>
    </xf>
    <xf numFmtId="0" fontId="10" fillId="10" borderId="0" xfId="0" applyFont="1" applyFill="1"/>
    <xf numFmtId="0" fontId="8" fillId="10" borderId="0" xfId="0" applyFont="1" applyFill="1" applyAlignment="1">
      <alignment horizontal="right" vertical="center" wrapText="1"/>
    </xf>
    <xf numFmtId="164" fontId="8" fillId="10" borderId="0" xfId="0" applyNumberFormat="1" applyFont="1" applyFill="1" applyAlignment="1">
      <alignment horizontal="right" vertical="center" wrapText="1"/>
    </xf>
    <xf numFmtId="164" fontId="8" fillId="10" borderId="19" xfId="0" applyNumberFormat="1" applyFont="1" applyFill="1" applyBorder="1" applyAlignment="1">
      <alignment horizontal="right" vertical="center" wrapText="1"/>
    </xf>
    <xf numFmtId="164" fontId="8" fillId="5" borderId="77" xfId="0" applyNumberFormat="1" applyFont="1" applyFill="1" applyBorder="1" applyAlignment="1">
      <alignment horizontal="right" vertical="center" wrapText="1"/>
    </xf>
    <xf numFmtId="164" fontId="15" fillId="10" borderId="0" xfId="0" applyNumberFormat="1" applyFont="1" applyFill="1" applyAlignment="1">
      <alignment horizontal="right" vertical="center" wrapText="1"/>
    </xf>
    <xf numFmtId="164" fontId="15" fillId="10" borderId="19" xfId="0" applyNumberFormat="1" applyFont="1" applyFill="1" applyBorder="1" applyAlignment="1">
      <alignment horizontal="right" vertical="center" wrapText="1"/>
    </xf>
    <xf numFmtId="164" fontId="8" fillId="10" borderId="79" xfId="0" applyNumberFormat="1" applyFont="1" applyFill="1" applyBorder="1" applyAlignment="1">
      <alignment horizontal="right" vertical="center" wrapText="1"/>
    </xf>
    <xf numFmtId="164" fontId="15" fillId="10" borderId="79" xfId="0" applyNumberFormat="1" applyFont="1" applyFill="1" applyBorder="1" applyAlignment="1">
      <alignment horizontal="right" vertical="center" wrapText="1"/>
    </xf>
    <xf numFmtId="164" fontId="15" fillId="10" borderId="80" xfId="0" applyNumberFormat="1" applyFont="1" applyFill="1" applyBorder="1" applyAlignment="1">
      <alignment horizontal="right" vertical="center" wrapText="1"/>
    </xf>
    <xf numFmtId="164" fontId="8" fillId="0" borderId="0" xfId="0" applyNumberFormat="1" applyFont="1" applyAlignment="1">
      <alignment horizontal="right" vertical="center" wrapText="1"/>
    </xf>
    <xf numFmtId="164" fontId="8" fillId="0" borderId="19" xfId="0" applyNumberFormat="1" applyFont="1" applyBorder="1" applyAlignment="1">
      <alignment horizontal="right" vertical="center" wrapText="1"/>
    </xf>
    <xf numFmtId="164" fontId="15" fillId="0" borderId="0" xfId="0" applyNumberFormat="1" applyFont="1" applyAlignment="1">
      <alignment horizontal="right" vertical="center" wrapText="1"/>
    </xf>
    <xf numFmtId="164" fontId="15" fillId="0" borderId="19" xfId="0" applyNumberFormat="1" applyFont="1" applyBorder="1" applyAlignment="1">
      <alignment horizontal="right" vertical="center" wrapText="1"/>
    </xf>
    <xf numFmtId="164" fontId="8" fillId="0" borderId="79" xfId="0" applyNumberFormat="1" applyFont="1" applyBorder="1" applyAlignment="1">
      <alignment horizontal="right" vertical="center" wrapText="1"/>
    </xf>
    <xf numFmtId="164" fontId="15" fillId="0" borderId="79" xfId="0" applyNumberFormat="1" applyFont="1" applyBorder="1" applyAlignment="1">
      <alignment horizontal="right" vertical="center" wrapText="1"/>
    </xf>
    <xf numFmtId="164" fontId="15" fillId="0" borderId="80" xfId="0" applyNumberFormat="1" applyFont="1" applyBorder="1" applyAlignment="1">
      <alignment horizontal="right" vertical="center" wrapText="1"/>
    </xf>
    <xf numFmtId="0" fontId="10" fillId="5" borderId="61" xfId="11" applyFont="1" applyFill="1" applyBorder="1"/>
    <xf numFmtId="0" fontId="8" fillId="11" borderId="61" xfId="11" applyFont="1" applyFill="1" applyBorder="1" applyAlignment="1">
      <alignment horizontal="left" vertical="center"/>
    </xf>
    <xf numFmtId="0" fontId="8" fillId="5" borderId="0" xfId="20" applyFont="1" applyFill="1" applyAlignment="1">
      <alignment horizontal="center" vertical="center"/>
    </xf>
    <xf numFmtId="0" fontId="8" fillId="11" borderId="0" xfId="11" applyFont="1" applyFill="1" applyAlignment="1">
      <alignment horizontal="left" vertical="center"/>
    </xf>
    <xf numFmtId="0" fontId="8" fillId="11" borderId="44" xfId="11" applyFont="1" applyFill="1" applyBorder="1" applyAlignment="1">
      <alignment horizontal="center" vertical="center"/>
    </xf>
    <xf numFmtId="0" fontId="8" fillId="11" borderId="0" xfId="11" applyFont="1" applyFill="1" applyAlignment="1">
      <alignment horizontal="right" vertical="center"/>
    </xf>
    <xf numFmtId="0" fontId="8" fillId="11" borderId="84" xfId="11" applyFont="1" applyFill="1" applyBorder="1" applyAlignment="1">
      <alignment horizontal="right" vertical="center"/>
    </xf>
    <xf numFmtId="0" fontId="8" fillId="4" borderId="85" xfId="11" applyFont="1" applyFill="1" applyBorder="1" applyAlignment="1">
      <alignment horizontal="left" vertical="center"/>
    </xf>
    <xf numFmtId="0" fontId="8" fillId="4" borderId="0" xfId="11" applyFont="1" applyFill="1" applyAlignment="1">
      <alignment horizontal="left" vertical="center"/>
    </xf>
    <xf numFmtId="172" fontId="8" fillId="4" borderId="0" xfId="11" applyNumberFormat="1" applyFont="1" applyFill="1" applyAlignment="1">
      <alignment horizontal="right" vertical="center" wrapText="1"/>
    </xf>
    <xf numFmtId="172" fontId="8" fillId="4" borderId="84" xfId="11" applyNumberFormat="1" applyFont="1" applyFill="1" applyBorder="1" applyAlignment="1">
      <alignment horizontal="right" vertical="center" wrapText="1"/>
    </xf>
    <xf numFmtId="0" fontId="61" fillId="4" borderId="85" xfId="11" applyFont="1" applyFill="1" applyBorder="1" applyAlignment="1">
      <alignment horizontal="left" vertical="center"/>
    </xf>
    <xf numFmtId="0" fontId="8" fillId="4" borderId="0" xfId="11" applyFont="1" applyFill="1" applyAlignment="1">
      <alignment horizontal="left" vertical="center" indent="1"/>
    </xf>
    <xf numFmtId="0" fontId="8" fillId="4" borderId="85" xfId="11" applyFont="1" applyFill="1" applyBorder="1" applyAlignment="1">
      <alignment horizontal="left" vertical="center" indent="1"/>
    </xf>
    <xf numFmtId="0" fontId="8" fillId="4" borderId="86" xfId="11" applyFont="1" applyFill="1" applyBorder="1" applyAlignment="1">
      <alignment horizontal="left" vertical="center" indent="1"/>
    </xf>
    <xf numFmtId="0" fontId="8" fillId="4" borderId="86" xfId="11" applyFont="1" applyFill="1" applyBorder="1" applyAlignment="1">
      <alignment horizontal="left" vertical="center"/>
    </xf>
    <xf numFmtId="0" fontId="8" fillId="4" borderId="85" xfId="11" applyFont="1" applyFill="1" applyBorder="1" applyAlignment="1">
      <alignment horizontal="left"/>
    </xf>
    <xf numFmtId="0" fontId="62" fillId="0" borderId="85" xfId="11" applyFont="1" applyBorder="1" applyAlignment="1">
      <alignment vertical="center"/>
    </xf>
    <xf numFmtId="0" fontId="10" fillId="4" borderId="0" xfId="11" applyFont="1" applyFill="1" applyAlignment="1">
      <alignment vertical="center"/>
    </xf>
    <xf numFmtId="0" fontId="8" fillId="0" borderId="0" xfId="11" applyFont="1" applyAlignment="1">
      <alignment horizontal="left" vertical="center"/>
    </xf>
    <xf numFmtId="2" fontId="63" fillId="4" borderId="87" xfId="11" applyNumberFormat="1" applyFont="1" applyFill="1" applyBorder="1" applyAlignment="1">
      <alignment vertical="center"/>
    </xf>
    <xf numFmtId="2" fontId="63" fillId="4" borderId="9" xfId="11" applyNumberFormat="1" applyFont="1" applyFill="1" applyBorder="1" applyAlignment="1">
      <alignment vertical="center"/>
    </xf>
    <xf numFmtId="3" fontId="8" fillId="4" borderId="9" xfId="21" applyNumberFormat="1" applyFont="1" applyFill="1" applyBorder="1" applyAlignment="1">
      <alignment vertical="center"/>
    </xf>
    <xf numFmtId="3" fontId="8" fillId="4" borderId="83" xfId="21" applyNumberFormat="1" applyFont="1" applyFill="1" applyBorder="1" applyAlignment="1">
      <alignment vertical="center"/>
    </xf>
    <xf numFmtId="0" fontId="8" fillId="4" borderId="0" xfId="11" applyFont="1" applyFill="1" applyAlignment="1">
      <alignment horizontal="left"/>
    </xf>
    <xf numFmtId="172" fontId="8" fillId="4" borderId="0" xfId="11" applyNumberFormat="1" applyFont="1" applyFill="1" applyAlignment="1">
      <alignment horizontal="right" wrapText="1"/>
    </xf>
    <xf numFmtId="172" fontId="8" fillId="4" borderId="84" xfId="11" applyNumberFormat="1" applyFont="1" applyFill="1" applyBorder="1" applyAlignment="1">
      <alignment horizontal="right" wrapText="1"/>
    </xf>
    <xf numFmtId="2" fontId="63" fillId="4" borderId="9" xfId="11" applyNumberFormat="1" applyFont="1" applyFill="1" applyBorder="1"/>
    <xf numFmtId="3" fontId="8" fillId="4" borderId="9" xfId="21" applyNumberFormat="1" applyFont="1" applyFill="1" applyBorder="1" applyAlignment="1">
      <alignment horizontal="right" vertical="center"/>
    </xf>
    <xf numFmtId="3" fontId="8" fillId="4" borderId="83" xfId="21" applyNumberFormat="1" applyFont="1" applyFill="1" applyBorder="1" applyAlignment="1">
      <alignment horizontal="right" vertical="center"/>
    </xf>
    <xf numFmtId="0" fontId="64" fillId="4" borderId="87" xfId="11" applyFont="1" applyFill="1" applyBorder="1" applyAlignment="1">
      <alignment horizontal="left"/>
    </xf>
    <xf numFmtId="0" fontId="61" fillId="4" borderId="9" xfId="11" applyFont="1" applyFill="1" applyBorder="1" applyAlignment="1">
      <alignment horizontal="left"/>
    </xf>
    <xf numFmtId="172" fontId="64" fillId="4" borderId="9" xfId="11" applyNumberFormat="1" applyFont="1" applyFill="1" applyBorder="1" applyAlignment="1">
      <alignment horizontal="right" vertical="center" wrapText="1"/>
    </xf>
    <xf numFmtId="172" fontId="64" fillId="4" borderId="83" xfId="11" applyNumberFormat="1" applyFont="1" applyFill="1" applyBorder="1" applyAlignment="1">
      <alignment horizontal="right" vertical="center" wrapText="1"/>
    </xf>
    <xf numFmtId="0" fontId="16" fillId="4" borderId="88" xfId="11" applyFont="1" applyFill="1" applyBorder="1" applyAlignment="1">
      <alignment horizontal="left" vertical="center"/>
    </xf>
    <xf numFmtId="0" fontId="16" fillId="4" borderId="44" xfId="11" applyFont="1" applyFill="1" applyBorder="1" applyAlignment="1">
      <alignment horizontal="left" vertical="center"/>
    </xf>
    <xf numFmtId="0" fontId="16" fillId="4" borderId="89" xfId="11" applyFont="1" applyFill="1" applyBorder="1" applyAlignment="1">
      <alignment horizontal="left" vertical="center"/>
    </xf>
    <xf numFmtId="0" fontId="16" fillId="4" borderId="85" xfId="11" applyFont="1" applyFill="1" applyBorder="1" applyAlignment="1">
      <alignment horizontal="left" vertical="center"/>
    </xf>
    <xf numFmtId="0" fontId="16" fillId="4" borderId="0" xfId="11" applyFont="1" applyFill="1" applyAlignment="1">
      <alignment horizontal="left" vertical="center"/>
    </xf>
    <xf numFmtId="0" fontId="16" fillId="4" borderId="84" xfId="11" applyFont="1" applyFill="1" applyBorder="1" applyAlignment="1">
      <alignment horizontal="left" vertical="center"/>
    </xf>
    <xf numFmtId="0" fontId="16" fillId="4" borderId="90" xfId="11" applyFont="1" applyFill="1" applyBorder="1" applyAlignment="1">
      <alignment horizontal="left" vertical="center"/>
    </xf>
    <xf numFmtId="0" fontId="16" fillId="4" borderId="79" xfId="11" applyFont="1" applyFill="1" applyBorder="1" applyAlignment="1">
      <alignment horizontal="left" vertical="center"/>
    </xf>
    <xf numFmtId="0" fontId="16" fillId="4" borderId="91" xfId="11" applyFont="1" applyFill="1" applyBorder="1" applyAlignment="1">
      <alignment horizontal="left" vertical="center"/>
    </xf>
    <xf numFmtId="0" fontId="10" fillId="0" borderId="92" xfId="0" applyFont="1" applyBorder="1"/>
    <xf numFmtId="0" fontId="67" fillId="11" borderId="0" xfId="11" applyFont="1" applyFill="1" applyAlignment="1">
      <alignment horizontal="right" vertical="center"/>
    </xf>
    <xf numFmtId="0" fontId="67" fillId="11" borderId="44" xfId="11" applyFont="1" applyFill="1" applyBorder="1" applyAlignment="1">
      <alignment horizontal="right" vertical="center"/>
    </xf>
    <xf numFmtId="0" fontId="67" fillId="11" borderId="92" xfId="11" applyFont="1" applyFill="1" applyBorder="1" applyAlignment="1">
      <alignment horizontal="right" vertical="center"/>
    </xf>
    <xf numFmtId="0" fontId="63" fillId="4" borderId="0" xfId="11" applyFont="1" applyFill="1" applyAlignment="1">
      <alignment horizontal="left" vertical="center"/>
    </xf>
    <xf numFmtId="164" fontId="8" fillId="4" borderId="0" xfId="11" applyNumberFormat="1" applyFont="1" applyFill="1" applyAlignment="1">
      <alignment horizontal="right" vertical="center" wrapText="1"/>
    </xf>
    <xf numFmtId="164" fontId="8" fillId="4" borderId="92" xfId="11" applyNumberFormat="1" applyFont="1" applyFill="1" applyBorder="1" applyAlignment="1">
      <alignment horizontal="right" vertical="center" wrapText="1"/>
    </xf>
    <xf numFmtId="0" fontId="8" fillId="4" borderId="10" xfId="11" applyFont="1" applyFill="1" applyBorder="1" applyAlignment="1">
      <alignment horizontal="left" vertical="center" indent="1"/>
    </xf>
    <xf numFmtId="164" fontId="8" fillId="4" borderId="10" xfId="11" applyNumberFormat="1" applyFont="1" applyFill="1" applyBorder="1" applyAlignment="1">
      <alignment horizontal="right" vertical="center" wrapText="1"/>
    </xf>
    <xf numFmtId="164" fontId="8" fillId="4" borderId="95" xfId="11" applyNumberFormat="1" applyFont="1" applyFill="1" applyBorder="1" applyAlignment="1">
      <alignment horizontal="right" vertical="center" wrapText="1"/>
    </xf>
    <xf numFmtId="164" fontId="8" fillId="4" borderId="44" xfId="11" applyNumberFormat="1" applyFont="1" applyFill="1" applyBorder="1" applyAlignment="1">
      <alignment horizontal="right" vertical="center" wrapText="1"/>
    </xf>
    <xf numFmtId="0" fontId="8" fillId="4" borderId="96" xfId="11" applyFont="1" applyFill="1" applyBorder="1" applyAlignment="1">
      <alignment horizontal="left" vertical="center"/>
    </xf>
    <xf numFmtId="164" fontId="8" fillId="4" borderId="96" xfId="11" applyNumberFormat="1" applyFont="1" applyFill="1" applyBorder="1" applyAlignment="1">
      <alignment horizontal="right" vertical="center" wrapText="1"/>
    </xf>
    <xf numFmtId="164" fontId="8" fillId="4" borderId="97" xfId="11" applyNumberFormat="1" applyFont="1" applyFill="1" applyBorder="1" applyAlignment="1">
      <alignment horizontal="right" vertical="center" wrapText="1"/>
    </xf>
    <xf numFmtId="0" fontId="8" fillId="4" borderId="0" xfId="11" applyFont="1" applyFill="1" applyAlignment="1">
      <alignment horizontal="left" shrinkToFit="1"/>
    </xf>
    <xf numFmtId="0" fontId="8" fillId="4" borderId="0" xfId="11" applyFont="1" applyFill="1" applyAlignment="1">
      <alignment horizontal="left" vertical="center" shrinkToFit="1"/>
    </xf>
    <xf numFmtId="0" fontId="8" fillId="4" borderId="10" xfId="11" applyFont="1" applyFill="1" applyBorder="1" applyAlignment="1">
      <alignment horizontal="left" vertical="center"/>
    </xf>
    <xf numFmtId="0" fontId="8" fillId="4" borderId="96" xfId="11" applyFont="1" applyFill="1" applyBorder="1" applyAlignment="1">
      <alignment horizontal="left" shrinkToFit="1"/>
    </xf>
    <xf numFmtId="0" fontId="8" fillId="11" borderId="44" xfId="11" applyFont="1" applyFill="1" applyBorder="1" applyAlignment="1">
      <alignment horizontal="left" vertical="center"/>
    </xf>
    <xf numFmtId="173" fontId="8" fillId="4" borderId="0" xfId="21" applyNumberFormat="1" applyFont="1" applyFill="1" applyBorder="1" applyAlignment="1">
      <alignment horizontal="right" vertical="center" wrapText="1"/>
    </xf>
    <xf numFmtId="173" fontId="8" fillId="4" borderId="92" xfId="21" applyNumberFormat="1" applyFont="1" applyFill="1" applyBorder="1" applyAlignment="1">
      <alignment horizontal="right" vertical="center" wrapText="1"/>
    </xf>
    <xf numFmtId="3" fontId="8" fillId="4" borderId="10" xfId="11" applyNumberFormat="1" applyFont="1" applyFill="1" applyBorder="1" applyAlignment="1">
      <alignment horizontal="right" vertical="center" wrapText="1"/>
    </xf>
    <xf numFmtId="173" fontId="8" fillId="4" borderId="10" xfId="21" applyNumberFormat="1" applyFont="1" applyFill="1" applyBorder="1" applyAlignment="1">
      <alignment horizontal="right" vertical="center" wrapText="1"/>
    </xf>
    <xf numFmtId="3" fontId="8" fillId="4" borderId="95" xfId="11" applyNumberFormat="1" applyFont="1" applyFill="1" applyBorder="1" applyAlignment="1">
      <alignment horizontal="right" vertical="center" wrapText="1"/>
    </xf>
    <xf numFmtId="0" fontId="64" fillId="4" borderId="0" xfId="11" applyFont="1" applyFill="1" applyAlignment="1">
      <alignment horizontal="left" vertical="center"/>
    </xf>
    <xf numFmtId="164" fontId="64" fillId="4" borderId="0" xfId="11" applyNumberFormat="1" applyFont="1" applyFill="1" applyAlignment="1">
      <alignment horizontal="right" vertical="center"/>
    </xf>
    <xf numFmtId="164" fontId="64" fillId="4" borderId="9" xfId="11" applyNumberFormat="1" applyFont="1" applyFill="1" applyBorder="1" applyAlignment="1">
      <alignment horizontal="right" vertical="center"/>
    </xf>
    <xf numFmtId="164" fontId="64" fillId="4" borderId="92" xfId="11" applyNumberFormat="1" applyFont="1" applyFill="1" applyBorder="1" applyAlignment="1">
      <alignment horizontal="right" vertical="center"/>
    </xf>
    <xf numFmtId="164" fontId="16" fillId="4" borderId="44" xfId="11" applyNumberFormat="1" applyFont="1" applyFill="1" applyBorder="1" applyAlignment="1">
      <alignment horizontal="left" vertical="center"/>
    </xf>
    <xf numFmtId="164" fontId="16" fillId="4" borderId="98" xfId="11" applyNumberFormat="1" applyFont="1" applyFill="1" applyBorder="1" applyAlignment="1">
      <alignment horizontal="left" vertical="center"/>
    </xf>
    <xf numFmtId="164" fontId="16" fillId="4" borderId="79" xfId="11" applyNumberFormat="1" applyFont="1" applyFill="1" applyBorder="1" applyAlignment="1">
      <alignment horizontal="left" vertical="center"/>
    </xf>
    <xf numFmtId="164" fontId="10" fillId="0" borderId="0" xfId="0" applyNumberFormat="1" applyFont="1"/>
    <xf numFmtId="164" fontId="8" fillId="2" borderId="5" xfId="1" applyNumberFormat="1" applyFont="1" applyFill="1" applyBorder="1" applyAlignment="1">
      <alignment horizontal="left" vertical="center" wrapText="1"/>
    </xf>
    <xf numFmtId="0" fontId="5" fillId="3" borderId="15" xfId="2" applyFont="1" applyFill="1" applyBorder="1" applyAlignment="1">
      <alignment horizontal="left" vertical="center" wrapText="1"/>
    </xf>
    <xf numFmtId="0" fontId="8" fillId="4" borderId="35" xfId="3" applyFont="1" applyFill="1" applyBorder="1" applyAlignment="1">
      <alignment vertical="center"/>
    </xf>
    <xf numFmtId="0" fontId="8" fillId="4" borderId="14" xfId="3" applyFont="1" applyFill="1" applyBorder="1" applyAlignment="1">
      <alignment vertical="center"/>
    </xf>
    <xf numFmtId="0" fontId="9" fillId="3" borderId="0" xfId="2" applyFont="1" applyFill="1" applyAlignment="1">
      <alignment horizontal="left" vertical="center"/>
    </xf>
    <xf numFmtId="164" fontId="4" fillId="2" borderId="2" xfId="1" applyNumberFormat="1" applyFont="1" applyFill="1" applyBorder="1" applyAlignment="1">
      <alignment horizontal="center" vertical="center" wrapText="1"/>
    </xf>
    <xf numFmtId="164" fontId="4" fillId="2" borderId="3" xfId="1" applyNumberFormat="1" applyFont="1" applyFill="1" applyBorder="1" applyAlignment="1">
      <alignment horizontal="center" vertical="center" wrapText="1"/>
    </xf>
    <xf numFmtId="0" fontId="5" fillId="4" borderId="0" xfId="2" applyFont="1" applyFill="1" applyAlignment="1">
      <alignment horizontal="left" vertical="center"/>
    </xf>
    <xf numFmtId="0" fontId="5" fillId="2" borderId="9" xfId="3" applyFont="1" applyFill="1" applyBorder="1" applyAlignment="1">
      <alignment horizontal="center" vertical="center" wrapText="1"/>
    </xf>
    <xf numFmtId="0" fontId="5" fillId="2" borderId="10" xfId="3" applyFont="1" applyFill="1" applyBorder="1" applyAlignment="1">
      <alignment horizontal="center" vertical="center" wrapText="1"/>
    </xf>
    <xf numFmtId="0" fontId="7" fillId="0" borderId="10" xfId="3" applyBorder="1" applyAlignment="1">
      <alignment horizontal="center" vertical="center" wrapText="1"/>
    </xf>
    <xf numFmtId="0" fontId="5" fillId="2" borderId="11" xfId="3" applyFont="1" applyFill="1" applyBorder="1" applyAlignment="1">
      <alignment horizontal="center" vertical="center" wrapText="1"/>
    </xf>
    <xf numFmtId="0" fontId="5" fillId="2" borderId="12" xfId="3" applyFont="1" applyFill="1" applyBorder="1" applyAlignment="1">
      <alignment horizontal="center" vertical="center" wrapText="1"/>
    </xf>
    <xf numFmtId="0" fontId="5" fillId="2" borderId="13" xfId="2" applyFont="1" applyFill="1" applyBorder="1" applyAlignment="1">
      <alignment horizontal="center" vertical="center" wrapText="1"/>
    </xf>
    <xf numFmtId="0" fontId="5" fillId="2" borderId="11" xfId="2" applyFont="1" applyFill="1" applyBorder="1" applyAlignment="1">
      <alignment horizontal="center" vertical="center" wrapText="1"/>
    </xf>
    <xf numFmtId="0" fontId="5" fillId="2" borderId="12" xfId="2" applyFont="1" applyFill="1" applyBorder="1" applyAlignment="1">
      <alignment horizontal="center" vertical="center" wrapText="1"/>
    </xf>
    <xf numFmtId="0" fontId="5" fillId="2" borderId="42" xfId="2" applyFont="1" applyFill="1" applyBorder="1" applyAlignment="1">
      <alignment horizontal="center" vertical="center" wrapText="1"/>
    </xf>
    <xf numFmtId="0" fontId="8" fillId="4" borderId="0" xfId="3" applyFont="1" applyFill="1" applyAlignment="1">
      <alignment vertical="center"/>
    </xf>
    <xf numFmtId="164" fontId="4" fillId="2" borderId="38" xfId="1" applyNumberFormat="1" applyFont="1" applyFill="1" applyBorder="1" applyAlignment="1">
      <alignment horizontal="center" vertical="top" wrapText="1"/>
    </xf>
    <xf numFmtId="164" fontId="4" fillId="2" borderId="39" xfId="1" applyNumberFormat="1" applyFont="1" applyFill="1" applyBorder="1" applyAlignment="1">
      <alignment horizontal="center" vertical="top" wrapText="1"/>
    </xf>
    <xf numFmtId="0" fontId="36" fillId="6" borderId="8" xfId="0" applyFont="1" applyFill="1" applyBorder="1" applyAlignment="1">
      <alignment horizontal="center" wrapText="1"/>
    </xf>
    <xf numFmtId="0" fontId="5" fillId="2" borderId="57"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31" fillId="2" borderId="1" xfId="0" applyFont="1" applyFill="1" applyBorder="1" applyAlignment="1">
      <alignment horizontal="center" vertical="center"/>
    </xf>
    <xf numFmtId="0" fontId="31" fillId="2" borderId="2" xfId="0" applyFont="1" applyFill="1" applyBorder="1" applyAlignment="1">
      <alignment horizontal="center" vertical="center"/>
    </xf>
    <xf numFmtId="0" fontId="32" fillId="0" borderId="56" xfId="0" applyFont="1" applyBorder="1" applyAlignment="1">
      <alignment vertical="center"/>
    </xf>
    <xf numFmtId="0" fontId="5" fillId="2" borderId="55"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5" fillId="5" borderId="0" xfId="0" applyFont="1" applyFill="1" applyAlignment="1">
      <alignment horizontal="center" vertical="center" wrapText="1"/>
    </xf>
    <xf numFmtId="0" fontId="6" fillId="5" borderId="0" xfId="0" applyFont="1" applyFill="1" applyAlignment="1">
      <alignment horizontal="center" vertical="center" wrapText="1"/>
    </xf>
    <xf numFmtId="0" fontId="8" fillId="11" borderId="81" xfId="11" applyFont="1" applyFill="1" applyBorder="1" applyAlignment="1">
      <alignment horizontal="center" vertical="center"/>
    </xf>
    <xf numFmtId="0" fontId="8" fillId="11" borderId="82" xfId="11" applyFont="1" applyFill="1" applyBorder="1" applyAlignment="1">
      <alignment horizontal="center" vertical="center"/>
    </xf>
    <xf numFmtId="0" fontId="8" fillId="11" borderId="9" xfId="11" applyFont="1" applyFill="1" applyBorder="1" applyAlignment="1">
      <alignment horizontal="center" vertical="center"/>
    </xf>
    <xf numFmtId="0" fontId="8" fillId="11" borderId="83" xfId="11" applyFont="1" applyFill="1" applyBorder="1" applyAlignment="1">
      <alignment horizontal="center" vertical="center"/>
    </xf>
    <xf numFmtId="0" fontId="16" fillId="4" borderId="85" xfId="11" applyFont="1" applyFill="1" applyBorder="1" applyAlignment="1">
      <alignment horizontal="left" vertical="center" wrapText="1"/>
    </xf>
    <xf numFmtId="0" fontId="16" fillId="4" borderId="0" xfId="11" applyFont="1" applyFill="1" applyAlignment="1">
      <alignment horizontal="left" vertical="center" wrapText="1"/>
    </xf>
    <xf numFmtId="0" fontId="16" fillId="4" borderId="84" xfId="11" applyFont="1" applyFill="1" applyBorder="1" applyAlignment="1">
      <alignment horizontal="left" vertical="center" wrapText="1"/>
    </xf>
    <xf numFmtId="0" fontId="8" fillId="11" borderId="93" xfId="11" applyFont="1" applyFill="1" applyBorder="1" applyAlignment="1">
      <alignment horizontal="center" vertical="center"/>
    </xf>
    <xf numFmtId="0" fontId="8" fillId="11" borderId="94" xfId="11" applyFont="1" applyFill="1" applyBorder="1" applyAlignment="1">
      <alignment horizontal="center" vertical="center"/>
    </xf>
    <xf numFmtId="0" fontId="8" fillId="11" borderId="44" xfId="11" applyFont="1" applyFill="1" applyBorder="1" applyAlignment="1">
      <alignment horizontal="center" vertical="center" wrapText="1"/>
    </xf>
    <xf numFmtId="0" fontId="8" fillId="11" borderId="98" xfId="11" applyFont="1" applyFill="1" applyBorder="1" applyAlignment="1">
      <alignment horizontal="center" vertical="center" wrapText="1"/>
    </xf>
    <xf numFmtId="0" fontId="49" fillId="4" borderId="68" xfId="13" applyFont="1" applyFill="1" applyBorder="1" applyAlignment="1">
      <alignment horizontal="left" vertical="center"/>
    </xf>
    <xf numFmtId="0" fontId="49" fillId="4" borderId="69" xfId="13" applyFont="1" applyFill="1" applyBorder="1" applyAlignment="1">
      <alignment horizontal="left" vertical="center"/>
    </xf>
    <xf numFmtId="2" fontId="40" fillId="4" borderId="63" xfId="0" applyNumberFormat="1" applyFont="1" applyFill="1" applyBorder="1" applyAlignment="1">
      <alignment horizontal="left" wrapText="1"/>
    </xf>
    <xf numFmtId="0" fontId="49" fillId="4" borderId="63" xfId="13" applyFont="1" applyFill="1" applyBorder="1" applyAlignment="1">
      <alignment horizontal="left" vertical="center"/>
    </xf>
    <xf numFmtId="0" fontId="49" fillId="4" borderId="63" xfId="13" applyFont="1" applyFill="1" applyBorder="1" applyAlignment="1">
      <alignment horizontal="left" vertical="center" wrapText="1"/>
    </xf>
    <xf numFmtId="0" fontId="49" fillId="4" borderId="0" xfId="13" applyFont="1" applyFill="1" applyAlignment="1">
      <alignment horizontal="left" vertical="center" wrapText="1"/>
    </xf>
    <xf numFmtId="0" fontId="54" fillId="4" borderId="63" xfId="13" applyFont="1" applyFill="1" applyBorder="1" applyAlignment="1">
      <alignment horizontal="left" vertical="center" wrapText="1"/>
    </xf>
  </cellXfs>
  <cellStyles count="22">
    <cellStyle name="%" xfId="1" xr:uid="{CE9D3B54-B52C-4D4F-B51B-549C74011F0D}"/>
    <cellStyle name="Comma 2" xfId="5" xr:uid="{12949448-0D60-4869-87C4-812C6036C078}"/>
    <cellStyle name="Comma 2 2" xfId="21" xr:uid="{4DCE7C17-C47D-4B7D-9E7D-3678CE0456E6}"/>
    <cellStyle name="Hyperlink" xfId="19" builtinId="8"/>
    <cellStyle name="Hyperlink 2" xfId="9" xr:uid="{F64ED48D-ECAC-410D-BC30-1696EE73CB0A}"/>
    <cellStyle name="Hyperlink 3" xfId="10" xr:uid="{7DEA2590-99E1-470D-8DC1-819C1C4FC54F}"/>
    <cellStyle name="Hyperlink 3 2" xfId="6" xr:uid="{7880B204-9A4E-4A12-9747-27E335A75428}"/>
    <cellStyle name="Normal" xfId="0" builtinId="0"/>
    <cellStyle name="Normal 10 4" xfId="7" xr:uid="{91625C9E-45CD-4EF9-ADCC-C01CBF142BA1}"/>
    <cellStyle name="Normal 102" xfId="8" xr:uid="{3AF8DA79-1B5F-4F77-80DE-C097459CFB9E}"/>
    <cellStyle name="Normal 2" xfId="3" xr:uid="{53562528-8AE1-4B8D-9602-D95A3691D9B9}"/>
    <cellStyle name="Normal 2 12 3" xfId="11" xr:uid="{DB1D09F8-B19D-4599-963F-CF1FEE5A28F1}"/>
    <cellStyle name="Normal 2 2" xfId="13" xr:uid="{A1074F05-2D22-431F-90F2-C5DDB5F2DBB6}"/>
    <cellStyle name="Normal 2 5" xfId="17" xr:uid="{D951609A-3FDA-4870-B0BE-B1288C81D8E4}"/>
    <cellStyle name="Normal 24 2 2" xfId="15" xr:uid="{F0E7B72B-2F34-4D10-98BA-D7822A891F48}"/>
    <cellStyle name="Normal 3" xfId="16" xr:uid="{A114F7E7-3CE7-437A-A83A-9779A99590E3}"/>
    <cellStyle name="Normal 45" xfId="14" xr:uid="{94BE9DE9-DE28-4049-921F-8416A44BBBD9}"/>
    <cellStyle name="Normal 49" xfId="12" xr:uid="{592A787A-0A15-4AF8-8E14-2F225688119C}"/>
    <cellStyle name="Normal_Fiscal Tables" xfId="2" xr:uid="{629A32A5-92EE-468E-90A2-12373F1888BA}"/>
    <cellStyle name="Normal_SOBR table1" xfId="20" xr:uid="{348FDF5F-CA6F-462E-9B42-592DF2F37EA2}"/>
    <cellStyle name="Percent 2" xfId="4" xr:uid="{03AD6D7C-CC67-4A1F-B6EE-21C364AE18D9}"/>
    <cellStyle name="Style 1 2" xfId="18" xr:uid="{2950D2ED-0C7D-4CF4-A215-B7139E015149}"/>
  </cellStyles>
  <dxfs count="174">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s>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6.xml"/><Relationship Id="rId13" Type="http://schemas.openxmlformats.org/officeDocument/2006/relationships/worksheet" Target="worksheets/sheet6.xml"/><Relationship Id="rId18" Type="http://schemas.openxmlformats.org/officeDocument/2006/relationships/worksheet" Target="worksheets/sheet11.xml"/><Relationship Id="rId26" Type="http://schemas.openxmlformats.org/officeDocument/2006/relationships/theme" Target="theme/theme1.xml"/><Relationship Id="rId3" Type="http://schemas.openxmlformats.org/officeDocument/2006/relationships/chartsheet" Target="chartsheets/sheet2.xml"/><Relationship Id="rId21" Type="http://schemas.openxmlformats.org/officeDocument/2006/relationships/worksheet" Target="worksheets/sheet14.xml"/><Relationship Id="rId7" Type="http://schemas.openxmlformats.org/officeDocument/2006/relationships/worksheet" Target="worksheets/sheet2.xml"/><Relationship Id="rId12" Type="http://schemas.openxmlformats.org/officeDocument/2006/relationships/worksheet" Target="worksheets/sheet5.xml"/><Relationship Id="rId17" Type="http://schemas.openxmlformats.org/officeDocument/2006/relationships/worksheet" Target="worksheets/sheet10.xml"/><Relationship Id="rId25" Type="http://schemas.openxmlformats.org/officeDocument/2006/relationships/externalLink" Target="externalLinks/externalLink3.xml"/><Relationship Id="rId2" Type="http://schemas.openxmlformats.org/officeDocument/2006/relationships/chartsheet" Target="chartsheets/sheet1.xml"/><Relationship Id="rId16" Type="http://schemas.openxmlformats.org/officeDocument/2006/relationships/worksheet" Target="worksheets/sheet9.xml"/><Relationship Id="rId20" Type="http://schemas.openxmlformats.org/officeDocument/2006/relationships/worksheet" Target="worksheets/sheet13.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4.xml"/><Relationship Id="rId24" Type="http://schemas.openxmlformats.org/officeDocument/2006/relationships/externalLink" Target="externalLinks/externalLink2.xml"/><Relationship Id="rId5" Type="http://schemas.openxmlformats.org/officeDocument/2006/relationships/chartsheet" Target="chartsheets/sheet4.xml"/><Relationship Id="rId15" Type="http://schemas.openxmlformats.org/officeDocument/2006/relationships/worksheet" Target="worksheets/sheet8.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3.xml"/><Relationship Id="rId19" Type="http://schemas.openxmlformats.org/officeDocument/2006/relationships/worksheet" Target="worksheets/sheet12.xml"/><Relationship Id="rId4" Type="http://schemas.openxmlformats.org/officeDocument/2006/relationships/chartsheet" Target="chartsheets/sheet3.xml"/><Relationship Id="rId9" Type="http://schemas.openxmlformats.org/officeDocument/2006/relationships/chartsheet" Target="chartsheets/sheet7.xml"/><Relationship Id="rId14" Type="http://schemas.openxmlformats.org/officeDocument/2006/relationships/worksheet" Target="worksheets/sheet7.xml"/><Relationship Id="rId22" Type="http://schemas.openxmlformats.org/officeDocument/2006/relationships/worksheet" Target="worksheets/sheet15.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729579246180204E-2"/>
          <c:y val="0.14723135453006744"/>
          <c:w val="0.92727042075381971"/>
          <c:h val="0.71306336658629976"/>
        </c:manualLayout>
      </c:layout>
      <c:barChart>
        <c:barDir val="col"/>
        <c:grouping val="stacked"/>
        <c:varyColors val="0"/>
        <c:ser>
          <c:idx val="0"/>
          <c:order val="0"/>
          <c:tx>
            <c:strRef>
              <c:f>'Chart Data'!$A$14</c:f>
              <c:strCache>
                <c:ptCount val="1"/>
                <c:pt idx="0">
                  <c:v>Tax</c:v>
                </c:pt>
              </c:strCache>
            </c:strRef>
          </c:tx>
          <c:spPr>
            <a:solidFill>
              <a:srgbClr val="BD1B21"/>
            </a:solidFill>
            <a:ln w="6350">
              <a:solidFill>
                <a:srgbClr val="495057">
                  <a:lumMod val="100000"/>
                </a:srgbClr>
              </a:solidFill>
              <a:prstDash val="solid"/>
            </a:ln>
          </c:spPr>
          <c:invertIfNegative val="0"/>
          <c:cat>
            <c:strRef>
              <c:f>'Chart Data'!$B$13:$G$13</c:f>
              <c:strCache>
                <c:ptCount val="6"/>
                <c:pt idx="0">
                  <c:v>2025-2026</c:v>
                </c:pt>
                <c:pt idx="1">
                  <c:v>2026-2027</c:v>
                </c:pt>
                <c:pt idx="2">
                  <c:v>2027-2028</c:v>
                </c:pt>
                <c:pt idx="3">
                  <c:v>2028-2029</c:v>
                </c:pt>
                <c:pt idx="4">
                  <c:v>2029-2030</c:v>
                </c:pt>
                <c:pt idx="5">
                  <c:v>2030-2031</c:v>
                </c:pt>
              </c:strCache>
            </c:strRef>
          </c:cat>
          <c:val>
            <c:numRef>
              <c:f>'Chart Data'!$B$14:$G$14</c:f>
              <c:numCache>
                <c:formatCode>0.0</c:formatCode>
                <c:ptCount val="6"/>
                <c:pt idx="0">
                  <c:v>-2.2942364530717432E-3</c:v>
                </c:pt>
                <c:pt idx="1">
                  <c:v>6.018871107814535E-2</c:v>
                </c:pt>
                <c:pt idx="2">
                  <c:v>-8.8174690870113245E-2</c:v>
                </c:pt>
                <c:pt idx="3">
                  <c:v>-0.31665994807021797</c:v>
                </c:pt>
                <c:pt idx="4">
                  <c:v>-0.66065480987262926</c:v>
                </c:pt>
                <c:pt idx="5">
                  <c:v>-0.73443124322162778</c:v>
                </c:pt>
              </c:numCache>
            </c:numRef>
          </c:val>
          <c:extLst>
            <c:ext xmlns:c16="http://schemas.microsoft.com/office/drawing/2014/chart" uri="{C3380CC4-5D6E-409C-BE32-E72D297353CC}">
              <c16:uniqueId val="{00000000-146E-4599-A5E6-C1D44CA8266C}"/>
            </c:ext>
          </c:extLst>
        </c:ser>
        <c:ser>
          <c:idx val="1"/>
          <c:order val="1"/>
          <c:tx>
            <c:strRef>
              <c:f>'Chart Data'!$A$15</c:f>
              <c:strCache>
                <c:ptCount val="1"/>
                <c:pt idx="0">
                  <c:v>Current spending</c:v>
                </c:pt>
              </c:strCache>
            </c:strRef>
          </c:tx>
          <c:spPr>
            <a:solidFill>
              <a:srgbClr val="003469"/>
            </a:solidFill>
            <a:ln w="6350">
              <a:solidFill>
                <a:srgbClr val="495057">
                  <a:lumMod val="100000"/>
                </a:srgbClr>
              </a:solidFill>
              <a:prstDash val="solid"/>
            </a:ln>
          </c:spPr>
          <c:invertIfNegative val="0"/>
          <c:cat>
            <c:strRef>
              <c:f>'Chart Data'!$B$13:$G$13</c:f>
              <c:strCache>
                <c:ptCount val="6"/>
                <c:pt idx="0">
                  <c:v>2025-2026</c:v>
                </c:pt>
                <c:pt idx="1">
                  <c:v>2026-2027</c:v>
                </c:pt>
                <c:pt idx="2">
                  <c:v>2027-2028</c:v>
                </c:pt>
                <c:pt idx="3">
                  <c:v>2028-2029</c:v>
                </c:pt>
                <c:pt idx="4">
                  <c:v>2029-2030</c:v>
                </c:pt>
                <c:pt idx="5">
                  <c:v>2030-2031</c:v>
                </c:pt>
              </c:strCache>
            </c:strRef>
          </c:cat>
          <c:val>
            <c:numRef>
              <c:f>'Chart Data'!$B$15:$G$15</c:f>
              <c:numCache>
                <c:formatCode>0.0</c:formatCode>
                <c:ptCount val="6"/>
                <c:pt idx="0">
                  <c:v>0.13765418718430456</c:v>
                </c:pt>
                <c:pt idx="1">
                  <c:v>0.23411986828821893</c:v>
                </c:pt>
                <c:pt idx="2">
                  <c:v>0.31517112688175425</c:v>
                </c:pt>
                <c:pt idx="3">
                  <c:v>0.21558256483252022</c:v>
                </c:pt>
                <c:pt idx="4">
                  <c:v>7.46268824110983E-2</c:v>
                </c:pt>
                <c:pt idx="5">
                  <c:v>6.9873642393200472E-2</c:v>
                </c:pt>
              </c:numCache>
            </c:numRef>
          </c:val>
          <c:extLst>
            <c:ext xmlns:c16="http://schemas.microsoft.com/office/drawing/2014/chart" uri="{C3380CC4-5D6E-409C-BE32-E72D297353CC}">
              <c16:uniqueId val="{00000001-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3"/>
          <c:order val="2"/>
          <c:tx>
            <c:strRef>
              <c:f>'Chart Data'!$A$16</c:f>
              <c:strCache>
                <c:ptCount val="1"/>
                <c:pt idx="0">
                  <c:v>Total</c:v>
                </c:pt>
              </c:strCache>
            </c:strRef>
          </c:tx>
          <c:spPr>
            <a:ln>
              <a:noFill/>
            </a:ln>
          </c:spPr>
          <c:marker>
            <c:symbol val="diamond"/>
            <c:size val="12"/>
            <c:spPr>
              <a:solidFill>
                <a:sysClr val="window" lastClr="FFFFFF"/>
              </a:solidFill>
              <a:ln w="12700">
                <a:solidFill>
                  <a:srgbClr val="495057"/>
                </a:solidFill>
              </a:ln>
            </c:spPr>
          </c:marker>
          <c:cat>
            <c:strRef>
              <c:f>'Chart Data'!$B$13:$G$13</c:f>
              <c:strCache>
                <c:ptCount val="6"/>
                <c:pt idx="0">
                  <c:v>2025-2026</c:v>
                </c:pt>
                <c:pt idx="1">
                  <c:v>2026-2027</c:v>
                </c:pt>
                <c:pt idx="2">
                  <c:v>2027-2028</c:v>
                </c:pt>
                <c:pt idx="3">
                  <c:v>2028-2029</c:v>
                </c:pt>
                <c:pt idx="4">
                  <c:v>2029-2030</c:v>
                </c:pt>
                <c:pt idx="5">
                  <c:v>2030-2031</c:v>
                </c:pt>
              </c:strCache>
            </c:strRef>
          </c:cat>
          <c:val>
            <c:numRef>
              <c:f>'Chart Data'!$B$16:$G$16</c:f>
              <c:numCache>
                <c:formatCode>0.0</c:formatCode>
                <c:ptCount val="6"/>
                <c:pt idx="0">
                  <c:v>0.13535995073123283</c:v>
                </c:pt>
                <c:pt idx="1">
                  <c:v>0.29430857936636423</c:v>
                </c:pt>
                <c:pt idx="2">
                  <c:v>0.22699643601164105</c:v>
                </c:pt>
                <c:pt idx="3">
                  <c:v>-0.1010773832376977</c:v>
                </c:pt>
                <c:pt idx="4">
                  <c:v>-0.58602792746153098</c:v>
                </c:pt>
                <c:pt idx="5">
                  <c:v>-0.66455760082842741</c:v>
                </c:pt>
              </c:numCache>
            </c:numRef>
          </c:val>
          <c:smooth val="0"/>
          <c:extLst>
            <c:ext xmlns:c16="http://schemas.microsoft.com/office/drawing/2014/chart" uri="{C3380CC4-5D6E-409C-BE32-E72D297353CC}">
              <c16:uniqueId val="{00000003-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At val="0"/>
        <c:auto val="0"/>
        <c:lblAlgn val="ctr"/>
        <c:lblOffset val="100"/>
        <c:noMultiLvlLbl val="0"/>
      </c:catAx>
      <c:valAx>
        <c:axId val="275936000"/>
        <c:scaling>
          <c:orientation val="minMax"/>
        </c:scaling>
        <c:delete val="0"/>
        <c:axPos val="l"/>
        <c:numFmt formatCode="#,##0.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69461737621780328"/>
          <c:y val="7.449494555754789E-2"/>
          <c:w val="0.2495714519155699"/>
          <c:h val="0.1828754079007450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985540381185594E-2"/>
          <c:y val="0.14723135453006744"/>
          <c:w val="0.87871860770319721"/>
          <c:h val="0.71306336658629976"/>
        </c:manualLayout>
      </c:layout>
      <c:lineChart>
        <c:grouping val="standard"/>
        <c:varyColors val="0"/>
        <c:ser>
          <c:idx val="0"/>
          <c:order val="0"/>
          <c:tx>
            <c:strRef>
              <c:f>'Chart Data'!$FC$4</c:f>
              <c:strCache>
                <c:ptCount val="1"/>
                <c:pt idx="0">
                  <c:v>OBR (Nov25)</c:v>
                </c:pt>
              </c:strCache>
            </c:strRef>
          </c:tx>
          <c:spPr>
            <a:ln w="38100">
              <a:solidFill>
                <a:srgbClr val="BD1B21"/>
              </a:solidFill>
            </a:ln>
          </c:spPr>
          <c:marker>
            <c:symbol val="none"/>
          </c:marker>
          <c:cat>
            <c:numRef>
              <c:f>'Chart Data'!$FB$5:$FB$11</c:f>
              <c:numCache>
                <c:formatCode>General</c:formatCode>
                <c:ptCount val="7"/>
                <c:pt idx="0">
                  <c:v>2024</c:v>
                </c:pt>
                <c:pt idx="1">
                  <c:v>2025</c:v>
                </c:pt>
                <c:pt idx="2">
                  <c:v>2026</c:v>
                </c:pt>
                <c:pt idx="3">
                  <c:v>2027</c:v>
                </c:pt>
                <c:pt idx="4">
                  <c:v>2028</c:v>
                </c:pt>
                <c:pt idx="5">
                  <c:v>2029</c:v>
                </c:pt>
                <c:pt idx="6">
                  <c:v>2030</c:v>
                </c:pt>
              </c:numCache>
            </c:numRef>
          </c:cat>
          <c:val>
            <c:numRef>
              <c:f>'Chart Data'!$FC$5:$FC$11</c:f>
              <c:numCache>
                <c:formatCode>0.0</c:formatCode>
                <c:ptCount val="7"/>
                <c:pt idx="0">
                  <c:v>100</c:v>
                </c:pt>
                <c:pt idx="1">
                  <c:v>101.48334280185995</c:v>
                </c:pt>
                <c:pt idx="2">
                  <c:v>102.87515287635117</c:v>
                </c:pt>
                <c:pt idx="3">
                  <c:v>104.46214419260274</c:v>
                </c:pt>
                <c:pt idx="4">
                  <c:v>105.99505946016063</c:v>
                </c:pt>
                <c:pt idx="5">
                  <c:v>107.60945456029529</c:v>
                </c:pt>
                <c:pt idx="6">
                  <c:v>109.27671643217576</c:v>
                </c:pt>
              </c:numCache>
            </c:numRef>
          </c:val>
          <c:smooth val="0"/>
          <c:extLst>
            <c:ext xmlns:c16="http://schemas.microsoft.com/office/drawing/2014/chart" uri="{C3380CC4-5D6E-409C-BE32-E72D297353CC}">
              <c16:uniqueId val="{00000000-E850-417B-95DA-4ED900504230}"/>
            </c:ext>
          </c:extLst>
        </c:ser>
        <c:ser>
          <c:idx val="1"/>
          <c:order val="1"/>
          <c:tx>
            <c:strRef>
              <c:f>'Chart Data'!$FD$4</c:f>
              <c:strCache>
                <c:ptCount val="1"/>
                <c:pt idx="0">
                  <c:v>OBR (Mar25)</c:v>
                </c:pt>
              </c:strCache>
            </c:strRef>
          </c:tx>
          <c:spPr>
            <a:ln w="38100">
              <a:solidFill>
                <a:srgbClr val="003469"/>
              </a:solidFill>
            </a:ln>
          </c:spPr>
          <c:marker>
            <c:symbol val="none"/>
          </c:marker>
          <c:cat>
            <c:numRef>
              <c:f>'Chart Data'!$FB$5:$FB$11</c:f>
              <c:numCache>
                <c:formatCode>General</c:formatCode>
                <c:ptCount val="7"/>
                <c:pt idx="0">
                  <c:v>2024</c:v>
                </c:pt>
                <c:pt idx="1">
                  <c:v>2025</c:v>
                </c:pt>
                <c:pt idx="2">
                  <c:v>2026</c:v>
                </c:pt>
                <c:pt idx="3">
                  <c:v>2027</c:v>
                </c:pt>
                <c:pt idx="4">
                  <c:v>2028</c:v>
                </c:pt>
                <c:pt idx="5">
                  <c:v>2029</c:v>
                </c:pt>
                <c:pt idx="6">
                  <c:v>2030</c:v>
                </c:pt>
              </c:numCache>
            </c:numRef>
          </c:cat>
          <c:val>
            <c:numRef>
              <c:f>'Chart Data'!$FD$5:$FD$11</c:f>
              <c:numCache>
                <c:formatCode>0.0</c:formatCode>
                <c:ptCount val="7"/>
                <c:pt idx="0">
                  <c:v>100</c:v>
                </c:pt>
                <c:pt idx="1">
                  <c:v>100.97159306464106</c:v>
                </c:pt>
                <c:pt idx="2">
                  <c:v>102.85140304800349</c:v>
                </c:pt>
                <c:pt idx="3">
                  <c:v>104.69280952129199</c:v>
                </c:pt>
                <c:pt idx="4">
                  <c:v>106.49627515015574</c:v>
                </c:pt>
                <c:pt idx="5">
                  <c:v>108.41407665893344</c:v>
                </c:pt>
              </c:numCache>
            </c:numRef>
          </c:val>
          <c:smooth val="0"/>
          <c:extLst>
            <c:ext xmlns:c16="http://schemas.microsoft.com/office/drawing/2014/chart" uri="{C3380CC4-5D6E-409C-BE32-E72D297353CC}">
              <c16:uniqueId val="{00000001-E850-417B-95DA-4ED900504230}"/>
            </c:ext>
          </c:extLst>
        </c:ser>
        <c:ser>
          <c:idx val="2"/>
          <c:order val="2"/>
          <c:tx>
            <c:strRef>
              <c:f>'Chart Data'!$FE$4</c:f>
              <c:strCache>
                <c:ptCount val="1"/>
                <c:pt idx="0">
                  <c:v>OE (Nov25)</c:v>
                </c:pt>
              </c:strCache>
            </c:strRef>
          </c:tx>
          <c:spPr>
            <a:ln w="38100">
              <a:solidFill>
                <a:srgbClr val="D1A21E"/>
              </a:solidFill>
            </a:ln>
          </c:spPr>
          <c:marker>
            <c:symbol val="none"/>
          </c:marker>
          <c:cat>
            <c:numRef>
              <c:f>'Chart Data'!$FB$5:$FB$11</c:f>
              <c:numCache>
                <c:formatCode>General</c:formatCode>
                <c:ptCount val="7"/>
                <c:pt idx="0">
                  <c:v>2024</c:v>
                </c:pt>
                <c:pt idx="1">
                  <c:v>2025</c:v>
                </c:pt>
                <c:pt idx="2">
                  <c:v>2026</c:v>
                </c:pt>
                <c:pt idx="3">
                  <c:v>2027</c:v>
                </c:pt>
                <c:pt idx="4">
                  <c:v>2028</c:v>
                </c:pt>
                <c:pt idx="5">
                  <c:v>2029</c:v>
                </c:pt>
                <c:pt idx="6">
                  <c:v>2030</c:v>
                </c:pt>
              </c:numCache>
            </c:numRef>
          </c:cat>
          <c:val>
            <c:numRef>
              <c:f>'Chart Data'!$FE$5:$FE$11</c:f>
              <c:numCache>
                <c:formatCode>0.0</c:formatCode>
                <c:ptCount val="7"/>
                <c:pt idx="0">
                  <c:v>100</c:v>
                </c:pt>
                <c:pt idx="1">
                  <c:v>101.41727405837069</c:v>
                </c:pt>
                <c:pt idx="2">
                  <c:v>102.33452565956721</c:v>
                </c:pt>
                <c:pt idx="3">
                  <c:v>103.63450140581909</c:v>
                </c:pt>
                <c:pt idx="4">
                  <c:v>105.3297306037387</c:v>
                </c:pt>
                <c:pt idx="5">
                  <c:v>107.07961517386344</c:v>
                </c:pt>
                <c:pt idx="6">
                  <c:v>108.77202734385527</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100"/>
        <c:auto val="0"/>
        <c:lblAlgn val="ctr"/>
        <c:lblOffset val="100"/>
        <c:noMultiLvlLbl val="0"/>
      </c:catAx>
      <c:valAx>
        <c:axId val="263608576"/>
        <c:scaling>
          <c:orientation val="minMax"/>
          <c:min val="9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7957449343510024"/>
          <c:y val="9.9099202238063011E-2"/>
          <c:w val="0.67626649976877096"/>
          <c:h val="5.609133523724110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2428350701238"/>
          <c:w val="1"/>
          <c:h val="0.80816959607577732"/>
        </c:manualLayout>
      </c:layout>
      <c:barChart>
        <c:barDir val="col"/>
        <c:grouping val="clustered"/>
        <c:varyColors val="0"/>
        <c:ser>
          <c:idx val="0"/>
          <c:order val="0"/>
          <c:tx>
            <c:strRef>
              <c:f>'Chart Data'!$K$4</c:f>
              <c:strCache>
                <c:ptCount val="1"/>
                <c:pt idx="0">
                  <c:v>Fiscal impulse</c:v>
                </c:pt>
              </c:strCache>
            </c:strRef>
          </c:tx>
          <c:spPr>
            <a:solidFill>
              <a:srgbClr val="BD1B21"/>
            </a:solidFill>
            <a:ln w="6350">
              <a:solidFill>
                <a:srgbClr val="495057"/>
              </a:solidFill>
            </a:ln>
          </c:spPr>
          <c:invertIfNegative val="0"/>
          <c:cat>
            <c:strRef>
              <c:f>'Chart Data'!$J$15:$J$35</c:f>
              <c:strCach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strCache>
            </c:strRef>
          </c:cat>
          <c:val>
            <c:numRef>
              <c:f>'Chart Data'!$K$15:$K$35</c:f>
              <c:numCache>
                <c:formatCode>0.0</c:formatCode>
                <c:ptCount val="21"/>
                <c:pt idx="0">
                  <c:v>-2.1274983787779185</c:v>
                </c:pt>
                <c:pt idx="1">
                  <c:v>-1.3607900634538033</c:v>
                </c:pt>
                <c:pt idx="2">
                  <c:v>0.35827151780745403</c:v>
                </c:pt>
                <c:pt idx="3">
                  <c:v>-0.95900099554575213</c:v>
                </c:pt>
                <c:pt idx="4">
                  <c:v>0.36972494414796664</c:v>
                </c:pt>
                <c:pt idx="5">
                  <c:v>-0.49176889534344426</c:v>
                </c:pt>
                <c:pt idx="6">
                  <c:v>-1.4453521965713167</c:v>
                </c:pt>
                <c:pt idx="7">
                  <c:v>8.6068041941076867E-2</c:v>
                </c:pt>
                <c:pt idx="8">
                  <c:v>-0.23073280055220813</c:v>
                </c:pt>
                <c:pt idx="9">
                  <c:v>0.92709237206650286</c:v>
                </c:pt>
                <c:pt idx="10">
                  <c:v>12.139104944745805</c:v>
                </c:pt>
                <c:pt idx="11">
                  <c:v>-9.8878906422773696</c:v>
                </c:pt>
                <c:pt idx="12">
                  <c:v>-1.7832894580607843</c:v>
                </c:pt>
                <c:pt idx="13">
                  <c:v>2.3723999382080141E-2</c:v>
                </c:pt>
                <c:pt idx="14">
                  <c:v>1.0008782633364799E-2</c:v>
                </c:pt>
                <c:pt idx="15">
                  <c:v>-0.92512687770830859</c:v>
                </c:pt>
                <c:pt idx="16">
                  <c:v>-0.81235491323712083</c:v>
                </c:pt>
                <c:pt idx="17">
                  <c:v>-0.42520510761352504</c:v>
                </c:pt>
                <c:pt idx="18">
                  <c:v>-0.513778910473353</c:v>
                </c:pt>
                <c:pt idx="19">
                  <c:v>-0.7068015473029241</c:v>
                </c:pt>
                <c:pt idx="20">
                  <c:v>-4.4477867640504876E-2</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max val="2"/>
          <c:min val="-2"/>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451821701686859E-2"/>
          <c:y val="0.14723135453006744"/>
          <c:w val="0.92954817829831315"/>
          <c:h val="0.62263508249407951"/>
        </c:manualLayout>
      </c:layout>
      <c:barChart>
        <c:barDir val="col"/>
        <c:grouping val="clustered"/>
        <c:varyColors val="0"/>
        <c:ser>
          <c:idx val="0"/>
          <c:order val="0"/>
          <c:tx>
            <c:strRef>
              <c:f>'Chart Data'!$N$4</c:f>
              <c:strCache>
                <c:ptCount val="1"/>
                <c:pt idx="0">
                  <c:v>Headroom</c:v>
                </c:pt>
              </c:strCache>
            </c:strRef>
          </c:tx>
          <c:spPr>
            <a:solidFill>
              <a:srgbClr val="BD1B21"/>
            </a:solidFill>
            <a:ln w="6350">
              <a:solidFill>
                <a:srgbClr val="495057"/>
              </a:solidFill>
            </a:ln>
          </c:spPr>
          <c:invertIfNegative val="0"/>
          <c:dPt>
            <c:idx val="0"/>
            <c:invertIfNegative val="0"/>
            <c:bubble3D val="0"/>
            <c:spPr>
              <a:solidFill>
                <a:srgbClr val="002060"/>
              </a:solidFill>
              <a:ln w="6350">
                <a:solidFill>
                  <a:srgbClr val="495057"/>
                </a:solidFill>
              </a:ln>
            </c:spPr>
            <c:extLst>
              <c:ext xmlns:c16="http://schemas.microsoft.com/office/drawing/2014/chart" uri="{C3380CC4-5D6E-409C-BE32-E72D297353CC}">
                <c16:uniqueId val="{0000000B-5EF8-47E7-A43C-72CD80F526B3}"/>
              </c:ext>
            </c:extLst>
          </c:dPt>
          <c:dPt>
            <c:idx val="1"/>
            <c:invertIfNegative val="0"/>
            <c:bubble3D val="0"/>
            <c:spPr>
              <a:solidFill>
                <a:srgbClr val="002060"/>
              </a:solidFill>
              <a:ln w="6350">
                <a:solidFill>
                  <a:srgbClr val="495057"/>
                </a:solidFill>
              </a:ln>
            </c:spPr>
            <c:extLst>
              <c:ext xmlns:c16="http://schemas.microsoft.com/office/drawing/2014/chart" uri="{C3380CC4-5D6E-409C-BE32-E72D297353CC}">
                <c16:uniqueId val="{0000000C-5EF8-47E7-A43C-72CD80F526B3}"/>
              </c:ext>
            </c:extLst>
          </c:dPt>
          <c:dPt>
            <c:idx val="2"/>
            <c:invertIfNegative val="0"/>
            <c:bubble3D val="0"/>
            <c:spPr>
              <a:solidFill>
                <a:srgbClr val="002060"/>
              </a:solidFill>
              <a:ln w="6350">
                <a:solidFill>
                  <a:srgbClr val="495057"/>
                </a:solidFill>
              </a:ln>
            </c:spPr>
            <c:extLst>
              <c:ext xmlns:c16="http://schemas.microsoft.com/office/drawing/2014/chart" uri="{C3380CC4-5D6E-409C-BE32-E72D297353CC}">
                <c16:uniqueId val="{0000000D-5EF8-47E7-A43C-72CD80F526B3}"/>
              </c:ext>
            </c:extLst>
          </c:dPt>
          <c:cat>
            <c:strRef>
              <c:f>'Chart Data'!$M$5:$M$11</c:f>
              <c:strCache>
                <c:ptCount val="7"/>
                <c:pt idx="0">
                  <c:v>2010-2019</c:v>
                </c:pt>
                <c:pt idx="1">
                  <c:v>Sunak</c:v>
                </c:pt>
                <c:pt idx="2">
                  <c:v>Hunt</c:v>
                </c:pt>
                <c:pt idx="4">
                  <c:v>Budget (Oct24)</c:v>
                </c:pt>
                <c:pt idx="5">
                  <c:v>Spring forecast (Mar25)</c:v>
                </c:pt>
                <c:pt idx="6">
                  <c:v>Budget (Nov25)</c:v>
                </c:pt>
              </c:strCache>
            </c:strRef>
          </c:cat>
          <c:val>
            <c:numRef>
              <c:f>'Chart Data'!$N$5:$N$11</c:f>
              <c:numCache>
                <c:formatCode>0</c:formatCode>
                <c:ptCount val="7"/>
                <c:pt idx="0">
                  <c:v>33.984635860083756</c:v>
                </c:pt>
                <c:pt idx="1">
                  <c:v>26.014548705536924</c:v>
                </c:pt>
                <c:pt idx="2">
                  <c:v>9.9622057572901745</c:v>
                </c:pt>
                <c:pt idx="4">
                  <c:v>9.9293594982254874</c:v>
                </c:pt>
                <c:pt idx="5">
                  <c:v>9.9316225162350893</c:v>
                </c:pt>
                <c:pt idx="6">
                  <c:v>21.699458764085982</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985540381185594E-2"/>
          <c:y val="0.14723135453006744"/>
          <c:w val="0.87329300204860516"/>
          <c:h val="0.71306336658629976"/>
        </c:manualLayout>
      </c:layout>
      <c:lineChart>
        <c:grouping val="standard"/>
        <c:varyColors val="0"/>
        <c:ser>
          <c:idx val="4"/>
          <c:order val="0"/>
          <c:tx>
            <c:strRef>
              <c:f>'Chart Data'!$AD$4</c:f>
              <c:strCache>
                <c:ptCount val="1"/>
                <c:pt idx="0">
                  <c:v>Budget (Mar24)</c:v>
                </c:pt>
              </c:strCache>
            </c:strRef>
          </c:tx>
          <c:spPr>
            <a:ln w="38100">
              <a:solidFill>
                <a:srgbClr val="BD1B21"/>
              </a:solidFill>
            </a:ln>
          </c:spPr>
          <c:marker>
            <c:symbol val="none"/>
          </c:marker>
          <c:cat>
            <c:strRef>
              <c:f>'Chart Data'!$Y$9:$Y$16</c:f>
              <c:strCache>
                <c:ptCount val="8"/>
                <c:pt idx="0">
                  <c:v>23-24</c:v>
                </c:pt>
                <c:pt idx="1">
                  <c:v>24-25</c:v>
                </c:pt>
                <c:pt idx="2">
                  <c:v>25-26</c:v>
                </c:pt>
                <c:pt idx="3">
                  <c:v>26-27</c:v>
                </c:pt>
                <c:pt idx="4">
                  <c:v>27-28</c:v>
                </c:pt>
                <c:pt idx="5">
                  <c:v>28-29</c:v>
                </c:pt>
                <c:pt idx="6">
                  <c:v>29-30</c:v>
                </c:pt>
                <c:pt idx="7">
                  <c:v>30-31</c:v>
                </c:pt>
              </c:strCache>
            </c:strRef>
          </c:cat>
          <c:val>
            <c:numRef>
              <c:f>'Chart Data'!$AD$9:$AD$16</c:f>
              <c:numCache>
                <c:formatCode>0.000</c:formatCode>
                <c:ptCount val="8"/>
                <c:pt idx="0">
                  <c:v>99.838845878010105</c:v>
                </c:pt>
                <c:pt idx="1">
                  <c:v>100</c:v>
                </c:pt>
                <c:pt idx="2">
                  <c:v>100.33198831128627</c:v>
                </c:pt>
                <c:pt idx="3">
                  <c:v>100.8229944080484</c:v>
                </c:pt>
                <c:pt idx="4">
                  <c:v>101.44433434998834</c:v>
                </c:pt>
                <c:pt idx="5">
                  <c:v>102.03400806191149</c:v>
                </c:pt>
              </c:numCache>
            </c:numRef>
          </c:val>
          <c:smooth val="0"/>
          <c:extLst>
            <c:ext xmlns:c16="http://schemas.microsoft.com/office/drawing/2014/chart" uri="{C3380CC4-5D6E-409C-BE32-E72D297353CC}">
              <c16:uniqueId val="{00000004-E850-417B-95DA-4ED900504230}"/>
            </c:ext>
          </c:extLst>
        </c:ser>
        <c:ser>
          <c:idx val="5"/>
          <c:order val="1"/>
          <c:tx>
            <c:strRef>
              <c:f>'Chart Data'!$AE$4</c:f>
              <c:strCache>
                <c:ptCount val="1"/>
                <c:pt idx="0">
                  <c:v>Budget (Oct24)</c:v>
                </c:pt>
              </c:strCache>
            </c:strRef>
          </c:tx>
          <c:spPr>
            <a:ln w="38100">
              <a:solidFill>
                <a:srgbClr val="002060"/>
              </a:solidFill>
            </a:ln>
          </c:spPr>
          <c:marker>
            <c:symbol val="none"/>
          </c:marker>
          <c:cat>
            <c:strRef>
              <c:f>'Chart Data'!$Y$9:$Y$16</c:f>
              <c:strCache>
                <c:ptCount val="8"/>
                <c:pt idx="0">
                  <c:v>23-24</c:v>
                </c:pt>
                <c:pt idx="1">
                  <c:v>24-25</c:v>
                </c:pt>
                <c:pt idx="2">
                  <c:v>25-26</c:v>
                </c:pt>
                <c:pt idx="3">
                  <c:v>26-27</c:v>
                </c:pt>
                <c:pt idx="4">
                  <c:v>27-28</c:v>
                </c:pt>
                <c:pt idx="5">
                  <c:v>28-29</c:v>
                </c:pt>
                <c:pt idx="6">
                  <c:v>29-30</c:v>
                </c:pt>
                <c:pt idx="7">
                  <c:v>30-31</c:v>
                </c:pt>
              </c:strCache>
            </c:strRef>
          </c:cat>
          <c:val>
            <c:numRef>
              <c:f>'Chart Data'!$AE$9:$AE$16</c:f>
              <c:numCache>
                <c:formatCode>0.000</c:formatCode>
                <c:ptCount val="8"/>
                <c:pt idx="1">
                  <c:v>100</c:v>
                </c:pt>
                <c:pt idx="2">
                  <c:v>102.49457273834042</c:v>
                </c:pt>
                <c:pt idx="3">
                  <c:v>103.35737741496065</c:v>
                </c:pt>
                <c:pt idx="4">
                  <c:v>104.27074405293591</c:v>
                </c:pt>
                <c:pt idx="5">
                  <c:v>105.20127828089392</c:v>
                </c:pt>
                <c:pt idx="6">
                  <c:v>106.25128451184511</c:v>
                </c:pt>
              </c:numCache>
            </c:numRef>
          </c:val>
          <c:smooth val="0"/>
          <c:extLst>
            <c:ext xmlns:c16="http://schemas.microsoft.com/office/drawing/2014/chart" uri="{C3380CC4-5D6E-409C-BE32-E72D297353CC}">
              <c16:uniqueId val="{00000005-E850-417B-95DA-4ED900504230}"/>
            </c:ext>
          </c:extLst>
        </c:ser>
        <c:ser>
          <c:idx val="6"/>
          <c:order val="2"/>
          <c:tx>
            <c:strRef>
              <c:f>'Chart Data'!$AF$4</c:f>
              <c:strCache>
                <c:ptCount val="1"/>
                <c:pt idx="0">
                  <c:v>Spring forecast (Mar25)</c:v>
                </c:pt>
              </c:strCache>
            </c:strRef>
          </c:tx>
          <c:spPr>
            <a:ln w="38100">
              <a:solidFill>
                <a:srgbClr val="D1A21E"/>
              </a:solidFill>
            </a:ln>
          </c:spPr>
          <c:marker>
            <c:symbol val="none"/>
          </c:marker>
          <c:cat>
            <c:strRef>
              <c:f>'Chart Data'!$Y$9:$Y$16</c:f>
              <c:strCache>
                <c:ptCount val="8"/>
                <c:pt idx="0">
                  <c:v>23-24</c:v>
                </c:pt>
                <c:pt idx="1">
                  <c:v>24-25</c:v>
                </c:pt>
                <c:pt idx="2">
                  <c:v>25-26</c:v>
                </c:pt>
                <c:pt idx="3">
                  <c:v>26-27</c:v>
                </c:pt>
                <c:pt idx="4">
                  <c:v>27-28</c:v>
                </c:pt>
                <c:pt idx="5">
                  <c:v>28-29</c:v>
                </c:pt>
                <c:pt idx="6">
                  <c:v>29-30</c:v>
                </c:pt>
                <c:pt idx="7">
                  <c:v>30-31</c:v>
                </c:pt>
              </c:strCache>
            </c:strRef>
          </c:cat>
          <c:val>
            <c:numRef>
              <c:f>'Chart Data'!$AF$9:$AF$16</c:f>
              <c:numCache>
                <c:formatCode>0.000</c:formatCode>
                <c:ptCount val="8"/>
                <c:pt idx="1">
                  <c:v>100</c:v>
                </c:pt>
                <c:pt idx="2">
                  <c:v>103.33923760552035</c:v>
                </c:pt>
                <c:pt idx="3">
                  <c:v>104.70413614299791</c:v>
                </c:pt>
                <c:pt idx="4">
                  <c:v>105.31285331293516</c:v>
                </c:pt>
                <c:pt idx="5">
                  <c:v>105.91120198967587</c:v>
                </c:pt>
                <c:pt idx="6">
                  <c:v>106.59254812423757</c:v>
                </c:pt>
              </c:numCache>
            </c:numRef>
          </c:val>
          <c:smooth val="0"/>
          <c:extLst>
            <c:ext xmlns:c16="http://schemas.microsoft.com/office/drawing/2014/chart" uri="{C3380CC4-5D6E-409C-BE32-E72D297353CC}">
              <c16:uniqueId val="{00000006-E850-417B-95DA-4ED900504230}"/>
            </c:ext>
          </c:extLst>
        </c:ser>
        <c:ser>
          <c:idx val="7"/>
          <c:order val="3"/>
          <c:tx>
            <c:strRef>
              <c:f>'Chart Data'!$AG$4</c:f>
              <c:strCache>
                <c:ptCount val="1"/>
                <c:pt idx="0">
                  <c:v>Budget (Nov25)</c:v>
                </c:pt>
              </c:strCache>
            </c:strRef>
          </c:tx>
          <c:spPr>
            <a:ln w="38100">
              <a:solidFill>
                <a:srgbClr val="7B7C77"/>
              </a:solidFill>
            </a:ln>
          </c:spPr>
          <c:marker>
            <c:symbol val="none"/>
          </c:marker>
          <c:cat>
            <c:strRef>
              <c:f>'Chart Data'!$Y$9:$Y$16</c:f>
              <c:strCache>
                <c:ptCount val="8"/>
                <c:pt idx="0">
                  <c:v>23-24</c:v>
                </c:pt>
                <c:pt idx="1">
                  <c:v>24-25</c:v>
                </c:pt>
                <c:pt idx="2">
                  <c:v>25-26</c:v>
                </c:pt>
                <c:pt idx="3">
                  <c:v>26-27</c:v>
                </c:pt>
                <c:pt idx="4">
                  <c:v>27-28</c:v>
                </c:pt>
                <c:pt idx="5">
                  <c:v>28-29</c:v>
                </c:pt>
                <c:pt idx="6">
                  <c:v>29-30</c:v>
                </c:pt>
                <c:pt idx="7">
                  <c:v>30-31</c:v>
                </c:pt>
              </c:strCache>
            </c:strRef>
          </c:cat>
          <c:val>
            <c:numRef>
              <c:f>'Chart Data'!$AG$9:$AG$16</c:f>
              <c:numCache>
                <c:formatCode>0.000</c:formatCode>
                <c:ptCount val="8"/>
                <c:pt idx="2">
                  <c:v>0</c:v>
                </c:pt>
                <c:pt idx="3">
                  <c:v>0</c:v>
                </c:pt>
                <c:pt idx="4">
                  <c:v>0</c:v>
                </c:pt>
                <c:pt idx="5">
                  <c:v>0</c:v>
                </c:pt>
                <c:pt idx="6">
                  <c:v>0</c:v>
                </c:pt>
                <c:pt idx="7">
                  <c:v>0</c:v>
                </c:pt>
              </c:numCache>
            </c:numRef>
          </c:val>
          <c:smooth val="0"/>
          <c:extLst>
            <c:ext xmlns:c16="http://schemas.microsoft.com/office/drawing/2014/chart" uri="{C3380CC4-5D6E-409C-BE32-E72D297353CC}">
              <c16:uniqueId val="{00000007-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9"/>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9.8646102529469093E-2"/>
          <c:y val="0.13497588991432413"/>
          <c:w val="0.36121076448706135"/>
          <c:h val="0.2188686101433640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6851839787039041E-2"/>
          <c:y val="0.14723135453006744"/>
          <c:w val="0.87480011473043628"/>
          <c:h val="0.71306336658629976"/>
        </c:manualLayout>
      </c:layout>
      <c:lineChart>
        <c:grouping val="standard"/>
        <c:varyColors val="0"/>
        <c:ser>
          <c:idx val="0"/>
          <c:order val="0"/>
          <c:tx>
            <c:strRef>
              <c:f>'Chart Data'!$Q$4</c:f>
              <c:strCache>
                <c:ptCount val="1"/>
                <c:pt idx="0">
                  <c:v>Revenues</c:v>
                </c:pt>
              </c:strCache>
            </c:strRef>
          </c:tx>
          <c:spPr>
            <a:ln w="38100">
              <a:solidFill>
                <a:srgbClr val="BD1B21"/>
              </a:solidFill>
            </a:ln>
          </c:spPr>
          <c:marker>
            <c:symbol val="none"/>
          </c:marker>
          <c:cat>
            <c:strRef>
              <c:f>'Chart Data'!$P$81:$P$87</c:f>
              <c:strCache>
                <c:ptCount val="7"/>
                <c:pt idx="0">
                  <c:v>2024-25</c:v>
                </c:pt>
                <c:pt idx="1">
                  <c:v>2025-26</c:v>
                </c:pt>
                <c:pt idx="2">
                  <c:v>2026-27</c:v>
                </c:pt>
                <c:pt idx="3">
                  <c:v>2027-28</c:v>
                </c:pt>
                <c:pt idx="4">
                  <c:v>2028-29</c:v>
                </c:pt>
                <c:pt idx="5">
                  <c:v>2029-30</c:v>
                </c:pt>
                <c:pt idx="6">
                  <c:v>2030-31</c:v>
                </c:pt>
              </c:strCache>
            </c:strRef>
          </c:cat>
          <c:val>
            <c:numRef>
              <c:f>'Chart Data'!$Q$81:$Q$87</c:f>
              <c:numCache>
                <c:formatCode>0.0</c:formatCode>
                <c:ptCount val="7"/>
                <c:pt idx="0">
                  <c:v>38.902213940190336</c:v>
                </c:pt>
                <c:pt idx="1">
                  <c:v>40.471753403663143</c:v>
                </c:pt>
                <c:pt idx="2">
                  <c:v>41.193637835164196</c:v>
                </c:pt>
                <c:pt idx="3">
                  <c:v>41.80872585519365</c:v>
                </c:pt>
                <c:pt idx="4">
                  <c:v>41.928353728387982</c:v>
                </c:pt>
                <c:pt idx="5">
                  <c:v>42.331509565108846</c:v>
                </c:pt>
                <c:pt idx="6">
                  <c:v>42.433163330478479</c:v>
                </c:pt>
              </c:numCache>
            </c:numRef>
          </c:val>
          <c:smooth val="0"/>
          <c:extLst>
            <c:ext xmlns:c16="http://schemas.microsoft.com/office/drawing/2014/chart" uri="{C3380CC4-5D6E-409C-BE32-E72D297353CC}">
              <c16:uniqueId val="{00000000-E850-417B-95DA-4ED900504230}"/>
            </c:ext>
          </c:extLst>
        </c:ser>
        <c:ser>
          <c:idx val="1"/>
          <c:order val="1"/>
          <c:tx>
            <c:strRef>
              <c:f>'Chart Data'!$R$4</c:f>
              <c:strCache>
                <c:ptCount val="1"/>
                <c:pt idx="0">
                  <c:v>Spending</c:v>
                </c:pt>
              </c:strCache>
            </c:strRef>
          </c:tx>
          <c:spPr>
            <a:ln w="38100">
              <a:solidFill>
                <a:srgbClr val="003469"/>
              </a:solidFill>
            </a:ln>
          </c:spPr>
          <c:marker>
            <c:symbol val="none"/>
          </c:marker>
          <c:cat>
            <c:strRef>
              <c:f>'Chart Data'!$P$81:$P$87</c:f>
              <c:strCache>
                <c:ptCount val="7"/>
                <c:pt idx="0">
                  <c:v>2024-25</c:v>
                </c:pt>
                <c:pt idx="1">
                  <c:v>2025-26</c:v>
                </c:pt>
                <c:pt idx="2">
                  <c:v>2026-27</c:v>
                </c:pt>
                <c:pt idx="3">
                  <c:v>2027-28</c:v>
                </c:pt>
                <c:pt idx="4">
                  <c:v>2028-29</c:v>
                </c:pt>
                <c:pt idx="5">
                  <c:v>2029-30</c:v>
                </c:pt>
                <c:pt idx="6">
                  <c:v>2030-31</c:v>
                </c:pt>
              </c:strCache>
            </c:strRef>
          </c:cat>
          <c:val>
            <c:numRef>
              <c:f>'Chart Data'!$R$81:$R$87</c:f>
              <c:numCache>
                <c:formatCode>0.0</c:formatCode>
                <c:ptCount val="7"/>
                <c:pt idx="0">
                  <c:v>44.008646933290684</c:v>
                </c:pt>
                <c:pt idx="1">
                  <c:v>45.01576379248592</c:v>
                </c:pt>
                <c:pt idx="2">
                  <c:v>44.73542537292964</c:v>
                </c:pt>
                <c:pt idx="3">
                  <c:v>44.813096082542323</c:v>
                </c:pt>
                <c:pt idx="4">
                  <c:v>44.494141660839134</c:v>
                </c:pt>
                <c:pt idx="5">
                  <c:v>44.268372436637733</c:v>
                </c:pt>
                <c:pt idx="6">
                  <c:v>44.284247772244136</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3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9641607417557675"/>
          <c:y val="9.721095551825977E-2"/>
          <c:w val="0.42192592624238001"/>
          <c:h val="5.609133523724110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4236691928011272E-2"/>
          <c:y val="0.14723135453006744"/>
          <c:w val="0.88015416220021347"/>
          <c:h val="0.71306336658629976"/>
        </c:manualLayout>
      </c:layout>
      <c:lineChart>
        <c:grouping val="standard"/>
        <c:varyColors val="0"/>
        <c:ser>
          <c:idx val="0"/>
          <c:order val="0"/>
          <c:tx>
            <c:strRef>
              <c:f>'Chart Data'!$U$4</c:f>
              <c:strCache>
                <c:ptCount val="1"/>
                <c:pt idx="0">
                  <c:v>OE November forecast</c:v>
                </c:pt>
              </c:strCache>
            </c:strRef>
          </c:tx>
          <c:spPr>
            <a:ln w="38100">
              <a:solidFill>
                <a:srgbClr val="BD1B21"/>
              </a:solidFill>
            </a:ln>
          </c:spPr>
          <c:marker>
            <c:symbol val="none"/>
          </c:marker>
          <c:cat>
            <c:numRef>
              <c:f>'Chart Data'!$T$5:$T$52</c:f>
              <c:numCache>
                <c:formatCode>mmm\-yy</c:formatCode>
                <c:ptCount val="48"/>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pt idx="33">
                  <c:v>46296</c:v>
                </c:pt>
                <c:pt idx="34">
                  <c:v>46327</c:v>
                </c:pt>
                <c:pt idx="35">
                  <c:v>46357</c:v>
                </c:pt>
                <c:pt idx="36">
                  <c:v>46388</c:v>
                </c:pt>
                <c:pt idx="37">
                  <c:v>46419</c:v>
                </c:pt>
                <c:pt idx="38">
                  <c:v>46447</c:v>
                </c:pt>
                <c:pt idx="39">
                  <c:v>46478</c:v>
                </c:pt>
                <c:pt idx="40">
                  <c:v>46508</c:v>
                </c:pt>
                <c:pt idx="41">
                  <c:v>46539</c:v>
                </c:pt>
                <c:pt idx="42">
                  <c:v>46569</c:v>
                </c:pt>
                <c:pt idx="43">
                  <c:v>46600</c:v>
                </c:pt>
                <c:pt idx="44">
                  <c:v>46631</c:v>
                </c:pt>
                <c:pt idx="45">
                  <c:v>46661</c:v>
                </c:pt>
                <c:pt idx="46">
                  <c:v>46692</c:v>
                </c:pt>
                <c:pt idx="47">
                  <c:v>46722</c:v>
                </c:pt>
              </c:numCache>
            </c:numRef>
          </c:cat>
          <c:val>
            <c:numRef>
              <c:f>'Chart Data'!$U$5:$U$52</c:f>
              <c:numCache>
                <c:formatCode>0.0</c:formatCode>
                <c:ptCount val="48"/>
                <c:pt idx="0">
                  <c:v>3.9811146171913947</c:v>
                </c:pt>
                <c:pt idx="1">
                  <c:v>3.4114721796515868</c:v>
                </c:pt>
                <c:pt idx="2">
                  <c:v>3.228059284550322</c:v>
                </c:pt>
                <c:pt idx="3">
                  <c:v>2.3330700994410813</c:v>
                </c:pt>
                <c:pt idx="4">
                  <c:v>1.9899777622079284</c:v>
                </c:pt>
                <c:pt idx="5">
                  <c:v>1.9753105200307042</c:v>
                </c:pt>
                <c:pt idx="6">
                  <c:v>2.2344448264008276</c:v>
                </c:pt>
                <c:pt idx="7">
                  <c:v>2.2162837086778353</c:v>
                </c:pt>
                <c:pt idx="8">
                  <c:v>1.6803412198761913</c:v>
                </c:pt>
                <c:pt idx="9">
                  <c:v>2.2809914851064983</c:v>
                </c:pt>
                <c:pt idx="10">
                  <c:v>2.622126709546091</c:v>
                </c:pt>
                <c:pt idx="11">
                  <c:v>2.5029869481707712</c:v>
                </c:pt>
                <c:pt idx="12">
                  <c:v>2.9829405009088816</c:v>
                </c:pt>
                <c:pt idx="13">
                  <c:v>2.8361876677630349</c:v>
                </c:pt>
                <c:pt idx="14">
                  <c:v>2.5941516951063726</c:v>
                </c:pt>
                <c:pt idx="15">
                  <c:v>3.5273315751618295</c:v>
                </c:pt>
                <c:pt idx="16">
                  <c:v>3.3579498360974069</c:v>
                </c:pt>
                <c:pt idx="17">
                  <c:v>3.5764898933393185</c:v>
                </c:pt>
                <c:pt idx="18">
                  <c:v>3.829485167750124</c:v>
                </c:pt>
                <c:pt idx="19">
                  <c:v>3.7882568506669934</c:v>
                </c:pt>
                <c:pt idx="20">
                  <c:v>3.7827366538762508</c:v>
                </c:pt>
                <c:pt idx="21">
                  <c:v>3.5588638299448361</c:v>
                </c:pt>
                <c:pt idx="22">
                  <c:v>3.6037818476268857</c:v>
                </c:pt>
                <c:pt idx="23">
                  <c:v>3.7805447784993618</c:v>
                </c:pt>
                <c:pt idx="24">
                  <c:v>3.4316192719967775</c:v>
                </c:pt>
                <c:pt idx="25">
                  <c:v>3.3669557382900006</c:v>
                </c:pt>
                <c:pt idx="26">
                  <c:v>3.2806248298073104</c:v>
                </c:pt>
                <c:pt idx="27">
                  <c:v>2.5536970222363342</c:v>
                </c:pt>
                <c:pt idx="28">
                  <c:v>2.6503863794968607</c:v>
                </c:pt>
                <c:pt idx="29">
                  <c:v>2.4798138715470985</c:v>
                </c:pt>
                <c:pt idx="30">
                  <c:v>2.5334630359208798</c:v>
                </c:pt>
                <c:pt idx="31">
                  <c:v>2.6664215543082959</c:v>
                </c:pt>
                <c:pt idx="32">
                  <c:v>2.7912075457314556</c:v>
                </c:pt>
                <c:pt idx="33">
                  <c:v>2.6235579039030066</c:v>
                </c:pt>
                <c:pt idx="34">
                  <c:v>2.6035080347746264</c:v>
                </c:pt>
                <c:pt idx="35">
                  <c:v>2.5849020290279912</c:v>
                </c:pt>
                <c:pt idx="36">
                  <c:v>2.6289960340827978</c:v>
                </c:pt>
                <c:pt idx="37">
                  <c:v>2.6314639675161677</c:v>
                </c:pt>
                <c:pt idx="38">
                  <c:v>2.6234877447325333</c:v>
                </c:pt>
                <c:pt idx="39">
                  <c:v>2.5896898059093232</c:v>
                </c:pt>
                <c:pt idx="40">
                  <c:v>2.5814426422992698</c:v>
                </c:pt>
                <c:pt idx="41">
                  <c:v>2.5781021002269533</c:v>
                </c:pt>
                <c:pt idx="42">
                  <c:v>2.5555800382946359</c:v>
                </c:pt>
                <c:pt idx="43">
                  <c:v>2.560352534885757</c:v>
                </c:pt>
                <c:pt idx="44">
                  <c:v>2.4905830391854789</c:v>
                </c:pt>
                <c:pt idx="45">
                  <c:v>2.451930548723924</c:v>
                </c:pt>
                <c:pt idx="46">
                  <c:v>2.4296934539914217</c:v>
                </c:pt>
                <c:pt idx="47">
                  <c:v>2.4603515185425806</c:v>
                </c:pt>
              </c:numCache>
            </c:numRef>
          </c:val>
          <c:smooth val="0"/>
          <c:extLst>
            <c:ext xmlns:c16="http://schemas.microsoft.com/office/drawing/2014/chart" uri="{C3380CC4-5D6E-409C-BE32-E72D297353CC}">
              <c16:uniqueId val="{00000000-E850-417B-95DA-4ED900504230}"/>
            </c:ext>
          </c:extLst>
        </c:ser>
        <c:ser>
          <c:idx val="1"/>
          <c:order val="1"/>
          <c:tx>
            <c:strRef>
              <c:f>'Chart Data'!$V$4</c:f>
              <c:strCache>
                <c:ptCount val="1"/>
                <c:pt idx="0">
                  <c:v>OE post-Budget forecast</c:v>
                </c:pt>
              </c:strCache>
            </c:strRef>
          </c:tx>
          <c:spPr>
            <a:ln w="38100">
              <a:solidFill>
                <a:srgbClr val="003469"/>
              </a:solidFill>
            </a:ln>
          </c:spPr>
          <c:marker>
            <c:symbol val="none"/>
          </c:marker>
          <c:cat>
            <c:numRef>
              <c:f>'Chart Data'!$T$5:$T$52</c:f>
              <c:numCache>
                <c:formatCode>mmm\-yy</c:formatCode>
                <c:ptCount val="48"/>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pt idx="33">
                  <c:v>46296</c:v>
                </c:pt>
                <c:pt idx="34">
                  <c:v>46327</c:v>
                </c:pt>
                <c:pt idx="35">
                  <c:v>46357</c:v>
                </c:pt>
                <c:pt idx="36">
                  <c:v>46388</c:v>
                </c:pt>
                <c:pt idx="37">
                  <c:v>46419</c:v>
                </c:pt>
                <c:pt idx="38">
                  <c:v>46447</c:v>
                </c:pt>
                <c:pt idx="39">
                  <c:v>46478</c:v>
                </c:pt>
                <c:pt idx="40">
                  <c:v>46508</c:v>
                </c:pt>
                <c:pt idx="41">
                  <c:v>46539</c:v>
                </c:pt>
                <c:pt idx="42">
                  <c:v>46569</c:v>
                </c:pt>
                <c:pt idx="43">
                  <c:v>46600</c:v>
                </c:pt>
                <c:pt idx="44">
                  <c:v>46631</c:v>
                </c:pt>
                <c:pt idx="45">
                  <c:v>46661</c:v>
                </c:pt>
                <c:pt idx="46">
                  <c:v>46692</c:v>
                </c:pt>
                <c:pt idx="47">
                  <c:v>46722</c:v>
                </c:pt>
              </c:numCache>
            </c:numRef>
          </c:cat>
          <c:val>
            <c:numRef>
              <c:f>'Chart Data'!$V$5:$V$52</c:f>
              <c:numCache>
                <c:formatCode>0.0</c:formatCode>
                <c:ptCount val="48"/>
                <c:pt idx="0">
                  <c:v>3.9811146171913947</c:v>
                </c:pt>
                <c:pt idx="1">
                  <c:v>3.4114721796515868</c:v>
                </c:pt>
                <c:pt idx="2">
                  <c:v>3.228059284550322</c:v>
                </c:pt>
                <c:pt idx="3">
                  <c:v>2.3330700994410813</c:v>
                </c:pt>
                <c:pt idx="4">
                  <c:v>1.9899777622079284</c:v>
                </c:pt>
                <c:pt idx="5">
                  <c:v>1.9753105200307042</c:v>
                </c:pt>
                <c:pt idx="6">
                  <c:v>2.2344448264008276</c:v>
                </c:pt>
                <c:pt idx="7">
                  <c:v>2.2162837086778353</c:v>
                </c:pt>
                <c:pt idx="8">
                  <c:v>1.6803412198761913</c:v>
                </c:pt>
                <c:pt idx="9">
                  <c:v>2.2809914851064983</c:v>
                </c:pt>
                <c:pt idx="10">
                  <c:v>2.622126709546091</c:v>
                </c:pt>
                <c:pt idx="11">
                  <c:v>2.5029869481707712</c:v>
                </c:pt>
                <c:pt idx="12">
                  <c:v>2.9829405009088816</c:v>
                </c:pt>
                <c:pt idx="13">
                  <c:v>2.8361876677630349</c:v>
                </c:pt>
                <c:pt idx="14">
                  <c:v>2.5941516951063726</c:v>
                </c:pt>
                <c:pt idx="15">
                  <c:v>3.5273315751618295</c:v>
                </c:pt>
                <c:pt idx="16">
                  <c:v>3.3579498360974069</c:v>
                </c:pt>
                <c:pt idx="17">
                  <c:v>3.5764898933393185</c:v>
                </c:pt>
                <c:pt idx="18">
                  <c:v>3.829485167750124</c:v>
                </c:pt>
                <c:pt idx="19">
                  <c:v>3.7882568506669934</c:v>
                </c:pt>
                <c:pt idx="20">
                  <c:v>3.7827366538762508</c:v>
                </c:pt>
                <c:pt idx="21">
                  <c:v>3.5588638299448361</c:v>
                </c:pt>
                <c:pt idx="22">
                  <c:v>3.611174783633686</c:v>
                </c:pt>
                <c:pt idx="23">
                  <c:v>3.76720899643741</c:v>
                </c:pt>
                <c:pt idx="24">
                  <c:v>3.523051208570549</c:v>
                </c:pt>
                <c:pt idx="25">
                  <c:v>3.4571592489492042</c:v>
                </c:pt>
                <c:pt idx="26">
                  <c:v>3.3697047913779032</c:v>
                </c:pt>
                <c:pt idx="27">
                  <c:v>2.4878201299924241</c:v>
                </c:pt>
                <c:pt idx="28">
                  <c:v>2.583818844809227</c:v>
                </c:pt>
                <c:pt idx="29">
                  <c:v>2.4126662846983837</c:v>
                </c:pt>
                <c:pt idx="30">
                  <c:v>2.4565987303899917</c:v>
                </c:pt>
                <c:pt idx="31">
                  <c:v>2.5889283748285141</c:v>
                </c:pt>
                <c:pt idx="32">
                  <c:v>2.7384587653383363</c:v>
                </c:pt>
                <c:pt idx="33">
                  <c:v>2.5612301773084489</c:v>
                </c:pt>
                <c:pt idx="34">
                  <c:v>2.5329938405497021</c:v>
                </c:pt>
                <c:pt idx="35">
                  <c:v>2.5341350595351697</c:v>
                </c:pt>
                <c:pt idx="36">
                  <c:v>2.4979030357763943</c:v>
                </c:pt>
                <c:pt idx="37">
                  <c:v>2.5012822213585695</c:v>
                </c:pt>
                <c:pt idx="38">
                  <c:v>2.4941755007657385</c:v>
                </c:pt>
                <c:pt idx="39">
                  <c:v>2.6381523327803302</c:v>
                </c:pt>
                <c:pt idx="40">
                  <c:v>2.6302194609837404</c:v>
                </c:pt>
                <c:pt idx="41">
                  <c:v>2.6272636544307337</c:v>
                </c:pt>
                <c:pt idx="42">
                  <c:v>2.6376911410214365</c:v>
                </c:pt>
                <c:pt idx="43">
                  <c:v>2.6423798750502048</c:v>
                </c:pt>
                <c:pt idx="44">
                  <c:v>2.5473666459103095</c:v>
                </c:pt>
                <c:pt idx="45">
                  <c:v>2.5413085346328135</c:v>
                </c:pt>
                <c:pt idx="46">
                  <c:v>2.5193708333763665</c:v>
                </c:pt>
                <c:pt idx="47">
                  <c:v>2.5498435298940247</c:v>
                </c:pt>
              </c:numCache>
            </c:numRef>
          </c:val>
          <c:smooth val="0"/>
          <c:extLst>
            <c:ext xmlns:c16="http://schemas.microsoft.com/office/drawing/2014/chart" uri="{C3380CC4-5D6E-409C-BE32-E72D297353CC}">
              <c16:uniqueId val="{00000001-E850-417B-95DA-4ED900504230}"/>
            </c:ext>
          </c:extLst>
        </c:ser>
        <c:ser>
          <c:idx val="2"/>
          <c:order val="2"/>
          <c:tx>
            <c:strRef>
              <c:f>'Chart Data'!$W$4</c:f>
              <c:strCache>
                <c:ptCount val="1"/>
                <c:pt idx="0">
                  <c:v>2% LINE</c:v>
                </c:pt>
              </c:strCache>
            </c:strRef>
          </c:tx>
          <c:spPr>
            <a:ln w="19050">
              <a:solidFill>
                <a:srgbClr val="495057"/>
              </a:solidFill>
              <a:prstDash val="dash"/>
            </a:ln>
          </c:spPr>
          <c:marker>
            <c:symbol val="none"/>
          </c:marker>
          <c:cat>
            <c:numRef>
              <c:f>'Chart Data'!$T$5:$T$52</c:f>
              <c:numCache>
                <c:formatCode>mmm\-yy</c:formatCode>
                <c:ptCount val="48"/>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pt idx="33">
                  <c:v>46296</c:v>
                </c:pt>
                <c:pt idx="34">
                  <c:v>46327</c:v>
                </c:pt>
                <c:pt idx="35">
                  <c:v>46357</c:v>
                </c:pt>
                <c:pt idx="36">
                  <c:v>46388</c:v>
                </c:pt>
                <c:pt idx="37">
                  <c:v>46419</c:v>
                </c:pt>
                <c:pt idx="38">
                  <c:v>46447</c:v>
                </c:pt>
                <c:pt idx="39">
                  <c:v>46478</c:v>
                </c:pt>
                <c:pt idx="40">
                  <c:v>46508</c:v>
                </c:pt>
                <c:pt idx="41">
                  <c:v>46539</c:v>
                </c:pt>
                <c:pt idx="42">
                  <c:v>46569</c:v>
                </c:pt>
                <c:pt idx="43">
                  <c:v>46600</c:v>
                </c:pt>
                <c:pt idx="44">
                  <c:v>46631</c:v>
                </c:pt>
                <c:pt idx="45">
                  <c:v>46661</c:v>
                </c:pt>
                <c:pt idx="46">
                  <c:v>46692</c:v>
                </c:pt>
                <c:pt idx="47">
                  <c:v>46722</c:v>
                </c:pt>
              </c:numCache>
            </c:numRef>
          </c:cat>
          <c:val>
            <c:numRef>
              <c:f>'Chart Data'!$W$5:$W$52</c:f>
              <c:numCache>
                <c:formatCode>General</c:formatCode>
                <c:ptCount val="48"/>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6"/>
        <c:tickMarkSkip val="3"/>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2"/>
        <c:delete val="1"/>
      </c:legendEntry>
      <c:layout>
        <c:manualLayout>
          <c:xMode val="edge"/>
          <c:yMode val="edge"/>
          <c:x val="0.15617698439568756"/>
          <c:y val="7.6440241600424397E-2"/>
          <c:w val="0.72551265268564513"/>
          <c:h val="5.609133523724110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A881C4C-8372-4DE6-8428-FFD560A1426D}">
  <sheetPr codeName="Chart2"/>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26DAA57-E32C-49A7-B786-FB14674B436F}">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DBD7BAE-2312-44AC-91B1-CB8D1657C81C}">
  <sheetPr codeName="Chart3"/>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5535193-4D8C-4D3C-A990-CCA788A5CF61}">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207BB2E-75AF-4016-8C9B-18907D6E0CFF}">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7188D01-4F11-4BF2-A2D0-1C41B3F99032}">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5CAFBE6-8586-4539-ADAD-D12E05A8FB92}">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244866C3-4961-A8D7-2C11-353E03544D7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98C9C0B5-1945-9960-EE7D-FFBB70E4920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Budget policy decisions</a:t>
          </a:r>
        </a:p>
      </cdr:txBody>
    </cdr:sp>
  </cdr:relSizeAnchor>
  <cdr:relSizeAnchor xmlns:cdr="http://schemas.openxmlformats.org/drawingml/2006/chartDrawing">
    <cdr:from>
      <cdr:x>0</cdr:x>
      <cdr:y>0.93925</cdr:y>
    </cdr:from>
    <cdr:to>
      <cdr:x>1</cdr:x>
      <cdr:y>1</cdr:y>
    </cdr:to>
    <cdr:sp macro="" textlink="">
      <cdr:nvSpPr>
        <cdr:cNvPr id="3" name="Rectangle 2">
          <a:extLst xmlns:a="http://schemas.openxmlformats.org/drawingml/2006/main">
            <a:ext uri="{FF2B5EF4-FFF2-40B4-BE49-F238E27FC236}">
              <a16:creationId xmlns:a16="http://schemas.microsoft.com/office/drawing/2014/main" id="{ED325529-1D9B-7B35-77D4-398486A959D0}"/>
            </a:ext>
          </a:extLst>
        </cdr:cNvPr>
        <cdr:cNvSpPr/>
      </cdr:nvSpPr>
      <cdr:spPr>
        <a:xfrm xmlns:a="http://schemas.openxmlformats.org/drawingml/2006/main">
          <a:off x="50800" y="5909725"/>
          <a:ext cx="86732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HM Treasury</a:t>
          </a:r>
        </a:p>
      </cdr:txBody>
    </cdr:sp>
  </cdr:relSizeAnchor>
  <cdr:relSizeAnchor xmlns:cdr="http://schemas.openxmlformats.org/drawingml/2006/chartDrawing">
    <cdr:from>
      <cdr:x>0</cdr:x>
      <cdr:y>0.07553</cdr:y>
    </cdr:from>
    <cdr:to>
      <cdr:x>0.21361</cdr:x>
      <cdr:y>0.12651</cdr:y>
    </cdr:to>
    <cdr:sp macro="" textlink="">
      <cdr:nvSpPr>
        <cdr:cNvPr id="6" name="TextBox 5">
          <a:extLst xmlns:a="http://schemas.openxmlformats.org/drawingml/2006/main">
            <a:ext uri="{FF2B5EF4-FFF2-40B4-BE49-F238E27FC236}">
              <a16:creationId xmlns:a16="http://schemas.microsoft.com/office/drawing/2014/main" id="{2C3030F1-713E-E18B-1A9C-098B061680A4}"/>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of GDP</a:t>
          </a:r>
        </a:p>
      </cdr:txBody>
    </cdr:sp>
  </cdr:relSizeAnchor>
  <cdr:relSizeAnchor xmlns:cdr="http://schemas.openxmlformats.org/drawingml/2006/chartDrawing">
    <cdr:from>
      <cdr:x>0.05576</cdr:x>
      <cdr:y>0.14351</cdr:y>
    </cdr:from>
    <cdr:to>
      <cdr:x>0.20647</cdr:x>
      <cdr:y>0.26058</cdr:y>
    </cdr:to>
    <cdr:sp macro="" textlink="">
      <cdr:nvSpPr>
        <cdr:cNvPr id="8" name="TextBox 1">
          <a:extLst xmlns:a="http://schemas.openxmlformats.org/drawingml/2006/main">
            <a:ext uri="{FF2B5EF4-FFF2-40B4-BE49-F238E27FC236}">
              <a16:creationId xmlns:a16="http://schemas.microsoft.com/office/drawing/2014/main" id="{4E6D8349-5ED9-5F85-A630-9E4405722B81}"/>
            </a:ext>
          </a:extLst>
        </cdr:cNvPr>
        <cdr:cNvSpPr txBox="1"/>
      </cdr:nvSpPr>
      <cdr:spPr>
        <a:xfrm xmlns:a="http://schemas.openxmlformats.org/drawingml/2006/main">
          <a:off x="469900" y="965200"/>
          <a:ext cx="1270000" cy="7874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kern="1200">
              <a:solidFill>
                <a:srgbClr val="495057"/>
              </a:solidFill>
              <a:latin typeface="Segoe UI" panose="020B0502040204020203" pitchFamily="34" charset="0"/>
            </a:rPr>
            <a:t>Looser policy</a:t>
          </a:r>
        </a:p>
      </cdr:txBody>
    </cdr:sp>
  </cdr:relSizeAnchor>
  <cdr:relSizeAnchor xmlns:cdr="http://schemas.openxmlformats.org/drawingml/2006/chartDrawing">
    <cdr:from>
      <cdr:x>0.19819</cdr:x>
      <cdr:y>0.15625</cdr:y>
    </cdr:from>
    <cdr:to>
      <cdr:x>0.19819</cdr:x>
      <cdr:y>0.23654</cdr:y>
    </cdr:to>
    <cdr:cxnSp macro="">
      <cdr:nvCxnSpPr>
        <cdr:cNvPr id="9" name="Straight Arrow Connector 8">
          <a:extLst xmlns:a="http://schemas.openxmlformats.org/drawingml/2006/main">
            <a:ext uri="{FF2B5EF4-FFF2-40B4-BE49-F238E27FC236}">
              <a16:creationId xmlns:a16="http://schemas.microsoft.com/office/drawing/2014/main" id="{D97D9F02-2334-5FCD-AD56-3A285963C1A1}"/>
            </a:ext>
          </a:extLst>
        </cdr:cNvPr>
        <cdr:cNvCxnSpPr/>
      </cdr:nvCxnSpPr>
      <cdr:spPr>
        <a:xfrm xmlns:a="http://schemas.openxmlformats.org/drawingml/2006/main" flipH="1" flipV="1">
          <a:off x="1670050" y="1050925"/>
          <a:ext cx="0" cy="540000"/>
        </a:xfrm>
        <a:prstGeom xmlns:a="http://schemas.openxmlformats.org/drawingml/2006/main" prst="straightConnector1">
          <a:avLst/>
        </a:prstGeom>
        <a:ln xmlns:a="http://schemas.openxmlformats.org/drawingml/2006/main" w="12700">
          <a:solidFill>
            <a:srgbClr val="495057"/>
          </a:solidFill>
          <a:tailEnd type="triangle" w="lg"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0.05802</cdr:x>
      <cdr:y>0.7383</cdr:y>
    </cdr:from>
    <cdr:to>
      <cdr:x>0.20874</cdr:x>
      <cdr:y>0.85538</cdr:y>
    </cdr:to>
    <cdr:sp macro="" textlink="">
      <cdr:nvSpPr>
        <cdr:cNvPr id="10" name="TextBox 1">
          <a:extLst xmlns:a="http://schemas.openxmlformats.org/drawingml/2006/main">
            <a:ext uri="{FF2B5EF4-FFF2-40B4-BE49-F238E27FC236}">
              <a16:creationId xmlns:a16="http://schemas.microsoft.com/office/drawing/2014/main" id="{90E648B5-3FE3-651D-FDAA-2DDFEE8E4FF9}"/>
            </a:ext>
          </a:extLst>
        </cdr:cNvPr>
        <cdr:cNvSpPr txBox="1"/>
      </cdr:nvSpPr>
      <cdr:spPr>
        <a:xfrm xmlns:a="http://schemas.openxmlformats.org/drawingml/2006/main">
          <a:off x="488950" y="4965700"/>
          <a:ext cx="1270000" cy="7874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kern="1200">
              <a:solidFill>
                <a:srgbClr val="495057"/>
              </a:solidFill>
              <a:latin typeface="Segoe UI" panose="020B0502040204020203" pitchFamily="34" charset="0"/>
            </a:rPr>
            <a:t>Tighter policy</a:t>
          </a:r>
        </a:p>
      </cdr:txBody>
    </cdr:sp>
  </cdr:relSizeAnchor>
  <cdr:relSizeAnchor xmlns:cdr="http://schemas.openxmlformats.org/drawingml/2006/chartDrawing">
    <cdr:from>
      <cdr:x>0.18914</cdr:x>
      <cdr:y>0.7525</cdr:y>
    </cdr:from>
    <cdr:to>
      <cdr:x>0.18914</cdr:x>
      <cdr:y>0.83279</cdr:y>
    </cdr:to>
    <cdr:cxnSp macro="">
      <cdr:nvCxnSpPr>
        <cdr:cNvPr id="11" name="Straight Arrow Connector 10">
          <a:extLst xmlns:a="http://schemas.openxmlformats.org/drawingml/2006/main">
            <a:ext uri="{FF2B5EF4-FFF2-40B4-BE49-F238E27FC236}">
              <a16:creationId xmlns:a16="http://schemas.microsoft.com/office/drawing/2014/main" id="{40A79F94-BCCD-1D08-D110-DD2C52B64AEF}"/>
            </a:ext>
          </a:extLst>
        </cdr:cNvPr>
        <cdr:cNvCxnSpPr/>
      </cdr:nvCxnSpPr>
      <cdr:spPr>
        <a:xfrm xmlns:a="http://schemas.openxmlformats.org/drawingml/2006/main" flipH="1">
          <a:off x="1593850" y="5061200"/>
          <a:ext cx="0" cy="540000"/>
        </a:xfrm>
        <a:prstGeom xmlns:a="http://schemas.openxmlformats.org/drawingml/2006/main" prst="straightConnector1">
          <a:avLst/>
        </a:prstGeom>
        <a:ln xmlns:a="http://schemas.openxmlformats.org/drawingml/2006/main" w="12700">
          <a:solidFill>
            <a:srgbClr val="495057"/>
          </a:solidFill>
          <a:tailEnd type="triangle" w="lg"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E1FDF13A-211B-EC1F-8D86-A3704B8D3CC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A2E01812-F15B-2635-716B-A25CF0F20FB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GDP forecasts</a:t>
          </a:r>
        </a:p>
      </cdr:txBody>
    </cdr:sp>
  </cdr:relSizeAnchor>
  <cdr:relSizeAnchor xmlns:cdr="http://schemas.openxmlformats.org/drawingml/2006/chartDrawing">
    <cdr:from>
      <cdr:x>0</cdr:x>
      <cdr:y>0.93925</cdr:y>
    </cdr:from>
    <cdr:to>
      <cdr:x>1</cdr:x>
      <cdr:y>1</cdr:y>
    </cdr:to>
    <cdr:sp macro="" textlink="">
      <cdr:nvSpPr>
        <cdr:cNvPr id="3" name="Rectangle 2">
          <a:extLst xmlns:a="http://schemas.openxmlformats.org/drawingml/2006/main">
            <a:ext uri="{FF2B5EF4-FFF2-40B4-BE49-F238E27FC236}">
              <a16:creationId xmlns:a16="http://schemas.microsoft.com/office/drawing/2014/main" id="{639C86B7-4637-C17A-58A2-D086BDF6DA8C}"/>
            </a:ext>
          </a:extLst>
        </cdr:cNvPr>
        <cdr:cNvSpPr/>
      </cdr:nvSpPr>
      <cdr:spPr>
        <a:xfrm xmlns:a="http://schemas.openxmlformats.org/drawingml/2006/main">
          <a:off x="50800" y="5909725"/>
          <a:ext cx="86732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Office for Budget Responsibility</a:t>
          </a:r>
        </a:p>
      </cdr:txBody>
    </cdr:sp>
  </cdr:relSizeAnchor>
  <cdr:relSizeAnchor xmlns:cdr="http://schemas.openxmlformats.org/drawingml/2006/chartDrawing">
    <cdr:from>
      <cdr:x>0</cdr:x>
      <cdr:y>0.07553</cdr:y>
    </cdr:from>
    <cdr:to>
      <cdr:x>0.29905</cdr:x>
      <cdr:y>0.12651</cdr:y>
    </cdr:to>
    <cdr:sp macro="" textlink="">
      <cdr:nvSpPr>
        <cdr:cNvPr id="6" name="TextBox 5">
          <a:extLst xmlns:a="http://schemas.openxmlformats.org/drawingml/2006/main">
            <a:ext uri="{FF2B5EF4-FFF2-40B4-BE49-F238E27FC236}">
              <a16:creationId xmlns:a16="http://schemas.microsoft.com/office/drawing/2014/main" id="{DF86BE31-9A9B-8683-DA66-4FA3729604FD}"/>
            </a:ext>
          </a:extLst>
        </cdr:cNvPr>
        <cdr:cNvSpPr txBox="1"/>
      </cdr:nvSpPr>
      <cdr:spPr>
        <a:xfrm xmlns:a="http://schemas.openxmlformats.org/drawingml/2006/main">
          <a:off x="0" y="508000"/>
          <a:ext cx="25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2024 = 100</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0B2A16E2-599F-88E1-E783-39759426115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D27C857B-302C-E963-3C18-B126A62A9268}"/>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OBR's estimates of fiscal impulse</a:t>
          </a:r>
        </a:p>
      </cdr:txBody>
    </cdr:sp>
  </cdr:relSizeAnchor>
  <cdr:relSizeAnchor xmlns:cdr="http://schemas.openxmlformats.org/drawingml/2006/chartDrawing">
    <cdr:from>
      <cdr:x>0</cdr:x>
      <cdr:y>0.93925</cdr:y>
    </cdr:from>
    <cdr:to>
      <cdr:x>1</cdr:x>
      <cdr:y>1</cdr:y>
    </cdr:to>
    <cdr:sp macro="" textlink="">
      <cdr:nvSpPr>
        <cdr:cNvPr id="4" name="Rectangle 3">
          <a:extLst xmlns:a="http://schemas.openxmlformats.org/drawingml/2006/main">
            <a:ext uri="{FF2B5EF4-FFF2-40B4-BE49-F238E27FC236}">
              <a16:creationId xmlns:a16="http://schemas.microsoft.com/office/drawing/2014/main" id="{B71C44E8-9F3A-DE97-78BA-F92DBBB1B14E}"/>
            </a:ext>
          </a:extLst>
        </cdr:cNvPr>
        <cdr:cNvSpPr/>
      </cdr:nvSpPr>
      <cdr:spPr>
        <a:xfrm xmlns:a="http://schemas.openxmlformats.org/drawingml/2006/main">
          <a:off x="50800" y="5909725"/>
          <a:ext cx="86732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 Oxford Economics calculations using data from Office for Budget Responsibility</a:t>
          </a:r>
        </a:p>
      </cdr:txBody>
    </cdr:sp>
  </cdr:relSizeAnchor>
  <cdr:relSizeAnchor xmlns:cdr="http://schemas.openxmlformats.org/drawingml/2006/chartDrawing">
    <cdr:from>
      <cdr:x>0.72644</cdr:x>
      <cdr:y>0.16097</cdr:y>
    </cdr:from>
    <cdr:to>
      <cdr:x>0.72644</cdr:x>
      <cdr:y>0.8675</cdr:y>
    </cdr:to>
    <cdr:cxnSp macro="">
      <cdr:nvCxnSpPr>
        <cdr:cNvPr id="5" name="Straight Connector 4">
          <a:extLst xmlns:a="http://schemas.openxmlformats.org/drawingml/2006/main">
            <a:ext uri="{FF2B5EF4-FFF2-40B4-BE49-F238E27FC236}">
              <a16:creationId xmlns:a16="http://schemas.microsoft.com/office/drawing/2014/main" id="{27A0AAC8-0998-5B8D-CD9F-4556C58CFA62}"/>
            </a:ext>
          </a:extLst>
        </cdr:cNvPr>
        <cdr:cNvCxnSpPr/>
      </cdr:nvCxnSpPr>
      <cdr:spPr>
        <a:xfrm xmlns:a="http://schemas.openxmlformats.org/drawingml/2006/main">
          <a:off x="6123633" y="1084030"/>
          <a:ext cx="0" cy="4757897"/>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0.8323</cdr:x>
      <cdr:y>0.31345</cdr:y>
    </cdr:from>
    <cdr:to>
      <cdr:x>0.98301</cdr:x>
      <cdr:y>0.39276</cdr:y>
    </cdr:to>
    <cdr:sp macro="" textlink="">
      <cdr:nvSpPr>
        <cdr:cNvPr id="6" name="TextBox 5">
          <a:extLst xmlns:a="http://schemas.openxmlformats.org/drawingml/2006/main">
            <a:ext uri="{FF2B5EF4-FFF2-40B4-BE49-F238E27FC236}">
              <a16:creationId xmlns:a16="http://schemas.microsoft.com/office/drawing/2014/main" id="{612905E9-BDE1-8C09-556A-C849E1E4B5D8}"/>
            </a:ext>
          </a:extLst>
        </cdr:cNvPr>
        <cdr:cNvSpPr txBox="1"/>
      </cdr:nvSpPr>
      <cdr:spPr>
        <a:xfrm xmlns:a="http://schemas.openxmlformats.org/drawingml/2006/main">
          <a:off x="7013575" y="21082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0.07553</cdr:y>
    </cdr:from>
    <cdr:to>
      <cdr:x>0.29905</cdr:x>
      <cdr:y>0.12651</cdr:y>
    </cdr:to>
    <cdr:sp macro="" textlink="">
      <cdr:nvSpPr>
        <cdr:cNvPr id="7" name="TextBox 6">
          <a:extLst xmlns:a="http://schemas.openxmlformats.org/drawingml/2006/main">
            <a:ext uri="{FF2B5EF4-FFF2-40B4-BE49-F238E27FC236}">
              <a16:creationId xmlns:a16="http://schemas.microsoft.com/office/drawing/2014/main" id="{8FCD1B48-4A7F-1A4D-9C33-13400670E4CB}"/>
            </a:ext>
          </a:extLst>
        </cdr:cNvPr>
        <cdr:cNvSpPr txBox="1"/>
      </cdr:nvSpPr>
      <cdr:spPr>
        <a:xfrm xmlns:a="http://schemas.openxmlformats.org/drawingml/2006/main">
          <a:off x="0" y="508000"/>
          <a:ext cx="25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of potential GDP</a:t>
          </a:r>
        </a:p>
      </cdr:txBody>
    </cdr:sp>
  </cdr:relSizeAnchor>
  <cdr:relSizeAnchor xmlns:cdr="http://schemas.openxmlformats.org/drawingml/2006/chartDrawing">
    <cdr:from>
      <cdr:x>0.84361</cdr:x>
      <cdr:y>0.11802</cdr:y>
    </cdr:from>
    <cdr:to>
      <cdr:x>0.99432</cdr:x>
      <cdr:y>0.23509</cdr:y>
    </cdr:to>
    <cdr:sp macro="" textlink="">
      <cdr:nvSpPr>
        <cdr:cNvPr id="8" name="TextBox 1">
          <a:extLst xmlns:a="http://schemas.openxmlformats.org/drawingml/2006/main">
            <a:ext uri="{FF2B5EF4-FFF2-40B4-BE49-F238E27FC236}">
              <a16:creationId xmlns:a16="http://schemas.microsoft.com/office/drawing/2014/main" id="{EBECCD40-2CD6-4750-EFD6-30097543AB67}"/>
            </a:ext>
          </a:extLst>
        </cdr:cNvPr>
        <cdr:cNvSpPr txBox="1"/>
      </cdr:nvSpPr>
      <cdr:spPr>
        <a:xfrm xmlns:a="http://schemas.openxmlformats.org/drawingml/2006/main">
          <a:off x="7108825" y="793750"/>
          <a:ext cx="1270000" cy="7874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kern="1200">
              <a:solidFill>
                <a:srgbClr val="495057"/>
              </a:solidFill>
              <a:latin typeface="Segoe UI" panose="020B0502040204020203" pitchFamily="34" charset="0"/>
            </a:rPr>
            <a:t>Looser policy</a:t>
          </a:r>
        </a:p>
      </cdr:txBody>
    </cdr:sp>
  </cdr:relSizeAnchor>
  <cdr:relSizeAnchor xmlns:cdr="http://schemas.openxmlformats.org/drawingml/2006/chartDrawing">
    <cdr:from>
      <cdr:x>0.84929</cdr:x>
      <cdr:y>0.75813</cdr:y>
    </cdr:from>
    <cdr:to>
      <cdr:x>1</cdr:x>
      <cdr:y>0.8752</cdr:y>
    </cdr:to>
    <cdr:sp macro="" textlink="">
      <cdr:nvSpPr>
        <cdr:cNvPr id="9" name="TextBox 1">
          <a:extLst xmlns:a="http://schemas.openxmlformats.org/drawingml/2006/main">
            <a:ext uri="{FF2B5EF4-FFF2-40B4-BE49-F238E27FC236}">
              <a16:creationId xmlns:a16="http://schemas.microsoft.com/office/drawing/2014/main" id="{53AEC0E4-3A67-6DFA-A840-85C0894794B3}"/>
            </a:ext>
          </a:extLst>
        </cdr:cNvPr>
        <cdr:cNvSpPr txBox="1"/>
      </cdr:nvSpPr>
      <cdr:spPr>
        <a:xfrm xmlns:a="http://schemas.openxmlformats.org/drawingml/2006/main">
          <a:off x="7156709" y="5099050"/>
          <a:ext cx="1270000" cy="7874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kern="1200">
              <a:solidFill>
                <a:srgbClr val="495057"/>
              </a:solidFill>
              <a:latin typeface="Segoe UI" panose="020B0502040204020203" pitchFamily="34" charset="0"/>
            </a:rPr>
            <a:t>Tighter policy</a:t>
          </a:r>
        </a:p>
      </cdr:txBody>
    </cdr:sp>
  </cdr:relSizeAnchor>
  <cdr:relSizeAnchor xmlns:cdr="http://schemas.openxmlformats.org/drawingml/2006/chartDrawing">
    <cdr:from>
      <cdr:x>0.98</cdr:x>
      <cdr:y>0.13029</cdr:y>
    </cdr:from>
    <cdr:to>
      <cdr:x>0.98</cdr:x>
      <cdr:y>0.21058</cdr:y>
    </cdr:to>
    <cdr:cxnSp macro="">
      <cdr:nvCxnSpPr>
        <cdr:cNvPr id="11" name="Straight Arrow Connector 10">
          <a:extLst xmlns:a="http://schemas.openxmlformats.org/drawingml/2006/main">
            <a:ext uri="{FF2B5EF4-FFF2-40B4-BE49-F238E27FC236}">
              <a16:creationId xmlns:a16="http://schemas.microsoft.com/office/drawing/2014/main" id="{4377946E-6673-41F2-D5E9-06038A45C043}"/>
            </a:ext>
          </a:extLst>
        </cdr:cNvPr>
        <cdr:cNvCxnSpPr/>
      </cdr:nvCxnSpPr>
      <cdr:spPr>
        <a:xfrm xmlns:a="http://schemas.openxmlformats.org/drawingml/2006/main" flipH="1" flipV="1">
          <a:off x="8258175" y="876300"/>
          <a:ext cx="0" cy="540000"/>
        </a:xfrm>
        <a:prstGeom xmlns:a="http://schemas.openxmlformats.org/drawingml/2006/main" prst="straightConnector1">
          <a:avLst/>
        </a:prstGeom>
        <a:ln xmlns:a="http://schemas.openxmlformats.org/drawingml/2006/main" w="12700">
          <a:solidFill>
            <a:srgbClr val="495057"/>
          </a:solidFill>
          <a:tailEnd type="triangle" w="lg"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0.98</cdr:x>
      <cdr:y>0.77044</cdr:y>
    </cdr:from>
    <cdr:to>
      <cdr:x>0.98</cdr:x>
      <cdr:y>0.85073</cdr:y>
    </cdr:to>
    <cdr:cxnSp macro="">
      <cdr:nvCxnSpPr>
        <cdr:cNvPr id="12" name="Straight Arrow Connector 11">
          <a:extLst xmlns:a="http://schemas.openxmlformats.org/drawingml/2006/main">
            <a:ext uri="{FF2B5EF4-FFF2-40B4-BE49-F238E27FC236}">
              <a16:creationId xmlns:a16="http://schemas.microsoft.com/office/drawing/2014/main" id="{BDCF8B00-608B-D0E6-6A7B-259DDDA0C094}"/>
            </a:ext>
          </a:extLst>
        </cdr:cNvPr>
        <cdr:cNvCxnSpPr/>
      </cdr:nvCxnSpPr>
      <cdr:spPr>
        <a:xfrm xmlns:a="http://schemas.openxmlformats.org/drawingml/2006/main" flipH="1">
          <a:off x="8258175" y="5181850"/>
          <a:ext cx="0" cy="540000"/>
        </a:xfrm>
        <a:prstGeom xmlns:a="http://schemas.openxmlformats.org/drawingml/2006/main" prst="straightConnector1">
          <a:avLst/>
        </a:prstGeom>
        <a:ln xmlns:a="http://schemas.openxmlformats.org/drawingml/2006/main" w="12700">
          <a:solidFill>
            <a:srgbClr val="495057"/>
          </a:solidFill>
          <a:tailEnd type="triangle" w="lg"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0.55876</cdr:x>
      <cdr:y>0.14209</cdr:y>
    </cdr:from>
    <cdr:to>
      <cdr:x>0.55876</cdr:x>
      <cdr:y>0.22238</cdr:y>
    </cdr:to>
    <cdr:cxnSp macro="">
      <cdr:nvCxnSpPr>
        <cdr:cNvPr id="16" name="Straight Arrow Connector 15">
          <a:extLst xmlns:a="http://schemas.openxmlformats.org/drawingml/2006/main">
            <a:ext uri="{FF2B5EF4-FFF2-40B4-BE49-F238E27FC236}">
              <a16:creationId xmlns:a16="http://schemas.microsoft.com/office/drawing/2014/main" id="{19864B43-5D35-61AD-3B78-B52766FA5B8D}"/>
            </a:ext>
          </a:extLst>
        </cdr:cNvPr>
        <cdr:cNvCxnSpPr/>
      </cdr:nvCxnSpPr>
      <cdr:spPr>
        <a:xfrm xmlns:a="http://schemas.openxmlformats.org/drawingml/2006/main" flipH="1" flipV="1">
          <a:off x="4708525" y="955675"/>
          <a:ext cx="0" cy="540000"/>
        </a:xfrm>
        <a:prstGeom xmlns:a="http://schemas.openxmlformats.org/drawingml/2006/main" prst="straightConnector1">
          <a:avLst/>
        </a:prstGeom>
        <a:ln xmlns:a="http://schemas.openxmlformats.org/drawingml/2006/main" w="12700">
          <a:solidFill>
            <a:srgbClr val="495057"/>
          </a:solidFill>
          <a:tailEnd type="triangle" w="lg"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0.54859</cdr:x>
      <cdr:y>0.77799</cdr:y>
    </cdr:from>
    <cdr:to>
      <cdr:x>0.54859</cdr:x>
      <cdr:y>0.85828</cdr:y>
    </cdr:to>
    <cdr:cxnSp macro="">
      <cdr:nvCxnSpPr>
        <cdr:cNvPr id="17" name="Straight Arrow Connector 16">
          <a:extLst xmlns:a="http://schemas.openxmlformats.org/drawingml/2006/main">
            <a:ext uri="{FF2B5EF4-FFF2-40B4-BE49-F238E27FC236}">
              <a16:creationId xmlns:a16="http://schemas.microsoft.com/office/drawing/2014/main" id="{8A28F165-071E-EE66-261A-82CA30290FB7}"/>
            </a:ext>
          </a:extLst>
        </cdr:cNvPr>
        <cdr:cNvCxnSpPr/>
      </cdr:nvCxnSpPr>
      <cdr:spPr>
        <a:xfrm xmlns:a="http://schemas.openxmlformats.org/drawingml/2006/main" flipH="1">
          <a:off x="4622800" y="5232650"/>
          <a:ext cx="0" cy="540000"/>
        </a:xfrm>
        <a:prstGeom xmlns:a="http://schemas.openxmlformats.org/drawingml/2006/main" prst="straightConnector1">
          <a:avLst/>
        </a:prstGeom>
        <a:ln xmlns:a="http://schemas.openxmlformats.org/drawingml/2006/main" w="12700">
          <a:solidFill>
            <a:srgbClr val="495057"/>
          </a:solidFill>
          <a:tailEnd type="triangle" w="lg"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7.xml><?xml version="1.0" encoding="utf-8"?>
<xdr:wsDr xmlns:xdr="http://schemas.openxmlformats.org/drawingml/2006/spreadsheetDrawing" xmlns:a="http://schemas.openxmlformats.org/drawingml/2006/main">
  <xdr:absoluteAnchor>
    <xdr:pos x="0" y="0"/>
    <xdr:ext cx="8426709" cy="6725816"/>
    <xdr:graphicFrame macro="">
      <xdr:nvGraphicFramePr>
        <xdr:cNvPr id="2" name="Chart 1">
          <a:extLst>
            <a:ext uri="{FF2B5EF4-FFF2-40B4-BE49-F238E27FC236}">
              <a16:creationId xmlns:a16="http://schemas.microsoft.com/office/drawing/2014/main" id="{103E55F0-7EE3-323E-7448-BF67AE51668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E0A6D0C8-44BC-54F8-AA44-7603EBCE495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Headroom against main fiscal rule across fiscal events</a:t>
          </a:r>
        </a:p>
      </cdr:txBody>
    </cdr:sp>
  </cdr:relSizeAnchor>
  <cdr:relSizeAnchor xmlns:cdr="http://schemas.openxmlformats.org/drawingml/2006/chartDrawing">
    <cdr:from>
      <cdr:x>0</cdr:x>
      <cdr:y>0.93925</cdr:y>
    </cdr:from>
    <cdr:to>
      <cdr:x>1</cdr:x>
      <cdr:y>1</cdr:y>
    </cdr:to>
    <cdr:sp macro="" textlink="">
      <cdr:nvSpPr>
        <cdr:cNvPr id="4" name="Rectangle 3">
          <a:extLst xmlns:a="http://schemas.openxmlformats.org/drawingml/2006/main">
            <a:ext uri="{FF2B5EF4-FFF2-40B4-BE49-F238E27FC236}">
              <a16:creationId xmlns:a16="http://schemas.microsoft.com/office/drawing/2014/main" id="{81367B48-756A-52D2-DBD8-11D4DC73B71C}"/>
            </a:ext>
          </a:extLst>
        </cdr:cNvPr>
        <cdr:cNvSpPr/>
      </cdr:nvSpPr>
      <cdr:spPr>
        <a:xfrm xmlns:a="http://schemas.openxmlformats.org/drawingml/2006/main">
          <a:off x="50800" y="5909725"/>
          <a:ext cx="86732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calculations using data from Office for Budget Responsibility</a:t>
          </a:r>
        </a:p>
      </cdr:txBody>
    </cdr:sp>
  </cdr:relSizeAnchor>
  <cdr:relSizeAnchor xmlns:cdr="http://schemas.openxmlformats.org/drawingml/2006/chartDrawing">
    <cdr:from>
      <cdr:x>0</cdr:x>
      <cdr:y>0.07553</cdr:y>
    </cdr:from>
    <cdr:to>
      <cdr:x>0.21361</cdr:x>
      <cdr:y>0.12651</cdr:y>
    </cdr:to>
    <cdr:sp macro="" textlink="">
      <cdr:nvSpPr>
        <cdr:cNvPr id="7" name="TextBox 6">
          <a:extLst xmlns:a="http://schemas.openxmlformats.org/drawingml/2006/main">
            <a:ext uri="{FF2B5EF4-FFF2-40B4-BE49-F238E27FC236}">
              <a16:creationId xmlns:a16="http://schemas.microsoft.com/office/drawing/2014/main" id="{7E3A304D-FBF8-1CC7-8342-000469D612DD}"/>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£bn </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F30D765E-0377-414A-452B-F194EA80AF6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378C0D5F-1C4C-F3C7-3140-0C2493C103B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Real government departmental resource spending</a:t>
          </a:r>
        </a:p>
      </cdr:txBody>
    </cdr:sp>
  </cdr:relSizeAnchor>
  <cdr:relSizeAnchor xmlns:cdr="http://schemas.openxmlformats.org/drawingml/2006/chartDrawing">
    <cdr:from>
      <cdr:x>0</cdr:x>
      <cdr:y>0.93925</cdr:y>
    </cdr:from>
    <cdr:to>
      <cdr:x>1</cdr:x>
      <cdr:y>1</cdr:y>
    </cdr:to>
    <cdr:sp macro="" textlink="">
      <cdr:nvSpPr>
        <cdr:cNvPr id="3" name="Rectangle 2">
          <a:extLst xmlns:a="http://schemas.openxmlformats.org/drawingml/2006/main">
            <a:ext uri="{FF2B5EF4-FFF2-40B4-BE49-F238E27FC236}">
              <a16:creationId xmlns:a16="http://schemas.microsoft.com/office/drawing/2014/main" id="{5F5D912D-9FFA-5D5C-08E2-D66278A162F9}"/>
            </a:ext>
          </a:extLst>
        </cdr:cNvPr>
        <cdr:cNvSpPr/>
      </cdr:nvSpPr>
      <cdr:spPr>
        <a:xfrm xmlns:a="http://schemas.openxmlformats.org/drawingml/2006/main">
          <a:off x="50800" y="5909725"/>
          <a:ext cx="86732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cdr:x>
      <cdr:y>0.07553</cdr:y>
    </cdr:from>
    <cdr:to>
      <cdr:x>0.29905</cdr:x>
      <cdr:y>0.12651</cdr:y>
    </cdr:to>
    <cdr:sp macro="" textlink="">
      <cdr:nvSpPr>
        <cdr:cNvPr id="6" name="TextBox 5">
          <a:extLst xmlns:a="http://schemas.openxmlformats.org/drawingml/2006/main">
            <a:ext uri="{FF2B5EF4-FFF2-40B4-BE49-F238E27FC236}">
              <a16:creationId xmlns:a16="http://schemas.microsoft.com/office/drawing/2014/main" id="{08DAF0A6-1B83-EE09-B2BA-8B3E1AEF00CE}"/>
            </a:ext>
          </a:extLst>
        </cdr:cNvPr>
        <cdr:cNvSpPr txBox="1"/>
      </cdr:nvSpPr>
      <cdr:spPr>
        <a:xfrm xmlns:a="http://schemas.openxmlformats.org/drawingml/2006/main">
          <a:off x="0" y="508000"/>
          <a:ext cx="25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2024-2025=100</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AD0C776-A323-1C86-DBA7-1DB1741B2CD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4F1622B0-AE04-D4EC-7D22-3F8A4DA6A5C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Government</a:t>
          </a:r>
          <a:r>
            <a:rPr lang="en-GB" sz="2400" b="0" kern="1200" baseline="0">
              <a:solidFill>
                <a:srgbClr val="495057"/>
              </a:solidFill>
              <a:latin typeface="Segoe UI" panose="020B0502040204020203" pitchFamily="34" charset="0"/>
              <a:cs typeface="Segoe UI" panose="020B0502040204020203" pitchFamily="34" charset="0"/>
            </a:rPr>
            <a:t> revenues &amp; spending</a:t>
          </a:r>
          <a:endParaRPr lang="en-GB" sz="2400" b="0" kern="120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0.93925</cdr:y>
    </cdr:from>
    <cdr:to>
      <cdr:x>1</cdr:x>
      <cdr:y>1</cdr:y>
    </cdr:to>
    <cdr:sp macro="" textlink="">
      <cdr:nvSpPr>
        <cdr:cNvPr id="3" name="Rectangle 2">
          <a:extLst xmlns:a="http://schemas.openxmlformats.org/drawingml/2006/main">
            <a:ext uri="{FF2B5EF4-FFF2-40B4-BE49-F238E27FC236}">
              <a16:creationId xmlns:a16="http://schemas.microsoft.com/office/drawing/2014/main" id="{758EB6F6-4BAE-349F-574E-CF82E77AAEAA}"/>
            </a:ext>
          </a:extLst>
        </cdr:cNvPr>
        <cdr:cNvSpPr/>
      </cdr:nvSpPr>
      <cdr:spPr>
        <a:xfrm xmlns:a="http://schemas.openxmlformats.org/drawingml/2006/main">
          <a:off x="50800" y="5909725"/>
          <a:ext cx="86732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Office for Budget Responsibility</a:t>
          </a:r>
        </a:p>
      </cdr:txBody>
    </cdr:sp>
  </cdr:relSizeAnchor>
  <cdr:relSizeAnchor xmlns:cdr="http://schemas.openxmlformats.org/drawingml/2006/chartDrawing">
    <cdr:from>
      <cdr:x>0</cdr:x>
      <cdr:y>0.07553</cdr:y>
    </cdr:from>
    <cdr:to>
      <cdr:x>0.21361</cdr:x>
      <cdr:y>0.12651</cdr:y>
    </cdr:to>
    <cdr:sp macro="" textlink="">
      <cdr:nvSpPr>
        <cdr:cNvPr id="6" name="TextBox 5">
          <a:extLst xmlns:a="http://schemas.openxmlformats.org/drawingml/2006/main">
            <a:ext uri="{FF2B5EF4-FFF2-40B4-BE49-F238E27FC236}">
              <a16:creationId xmlns:a16="http://schemas.microsoft.com/office/drawing/2014/main" id="{78BB3798-0A7E-1869-4667-A0821AC1E002}"/>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of GDP</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31B68C75-631E-313E-A66D-BCD9F326D8A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41171744-6B7B-882F-554E-59F99669C118}"/>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CPI inflation forecasts</a:t>
          </a:r>
        </a:p>
      </cdr:txBody>
    </cdr:sp>
  </cdr:relSizeAnchor>
  <cdr:relSizeAnchor xmlns:cdr="http://schemas.openxmlformats.org/drawingml/2006/chartDrawing">
    <cdr:from>
      <cdr:x>0</cdr:x>
      <cdr:y>0.93925</cdr:y>
    </cdr:from>
    <cdr:to>
      <cdr:x>1</cdr:x>
      <cdr:y>1</cdr:y>
    </cdr:to>
    <cdr:sp macro="" textlink="">
      <cdr:nvSpPr>
        <cdr:cNvPr id="3" name="Rectangle 2">
          <a:extLst xmlns:a="http://schemas.openxmlformats.org/drawingml/2006/main">
            <a:ext uri="{FF2B5EF4-FFF2-40B4-BE49-F238E27FC236}">
              <a16:creationId xmlns:a16="http://schemas.microsoft.com/office/drawing/2014/main" id="{76B81288-C14D-31C3-FE48-F0DFC015B61E}"/>
            </a:ext>
          </a:extLst>
        </cdr:cNvPr>
        <cdr:cNvSpPr/>
      </cdr:nvSpPr>
      <cdr:spPr>
        <a:xfrm xmlns:a="http://schemas.openxmlformats.org/drawingml/2006/main">
          <a:off x="50800" y="5909725"/>
          <a:ext cx="86732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0.46645</cdr:x>
      <cdr:y>0.1369</cdr:y>
    </cdr:from>
    <cdr:to>
      <cdr:x>0.46645</cdr:x>
      <cdr:y>0.85949</cdr:y>
    </cdr:to>
    <cdr:cxnSp macro="">
      <cdr:nvCxnSpPr>
        <cdr:cNvPr id="4" name="Straight Connector 3">
          <a:extLst xmlns:a="http://schemas.openxmlformats.org/drawingml/2006/main">
            <a:ext uri="{FF2B5EF4-FFF2-40B4-BE49-F238E27FC236}">
              <a16:creationId xmlns:a16="http://schemas.microsoft.com/office/drawing/2014/main" id="{9EC6DF70-CB11-E769-CDB3-79404E8D17BE}"/>
            </a:ext>
          </a:extLst>
        </cdr:cNvPr>
        <cdr:cNvCxnSpPr/>
      </cdr:nvCxnSpPr>
      <cdr:spPr>
        <a:xfrm xmlns:a="http://schemas.openxmlformats.org/drawingml/2006/main">
          <a:off x="3930650" y="920750"/>
          <a:ext cx="0" cy="4860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0.6718</cdr:x>
      <cdr:y>0.20865</cdr:y>
    </cdr:from>
    <cdr:to>
      <cdr:x>0.82251</cdr:x>
      <cdr:y>0.28796</cdr:y>
    </cdr:to>
    <cdr:sp macro="" textlink="">
      <cdr:nvSpPr>
        <cdr:cNvPr id="5" name="TextBox 4">
          <a:extLst xmlns:a="http://schemas.openxmlformats.org/drawingml/2006/main">
            <a:ext uri="{FF2B5EF4-FFF2-40B4-BE49-F238E27FC236}">
              <a16:creationId xmlns:a16="http://schemas.microsoft.com/office/drawing/2014/main" id="{E90D82B3-D726-F25A-0C8D-3A9D092524AF}"/>
            </a:ext>
          </a:extLst>
        </cdr:cNvPr>
        <cdr:cNvSpPr txBox="1"/>
      </cdr:nvSpPr>
      <cdr:spPr>
        <a:xfrm xmlns:a="http://schemas.openxmlformats.org/drawingml/2006/main">
          <a:off x="5661025" y="140335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0.07553</cdr:y>
    </cdr:from>
    <cdr:to>
      <cdr:x>0.21361</cdr:x>
      <cdr:y>0.12651</cdr:y>
    </cdr:to>
    <cdr:sp macro="" textlink="">
      <cdr:nvSpPr>
        <cdr:cNvPr id="6" name="TextBox 5">
          <a:extLst xmlns:a="http://schemas.openxmlformats.org/drawingml/2006/main">
            <a:ext uri="{FF2B5EF4-FFF2-40B4-BE49-F238E27FC236}">
              <a16:creationId xmlns:a16="http://schemas.microsoft.com/office/drawing/2014/main" id="{BF61E18F-A5E1-12D3-8C39-7852CD4D5D89}"/>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15.xml><?xml version="1.0" encoding="utf-8"?>
<xdr:wsDr xmlns:xdr="http://schemas.openxmlformats.org/drawingml/2006/spreadsheetDrawing" xmlns:a="http://schemas.openxmlformats.org/drawingml/2006/main">
  <xdr:twoCellAnchor editAs="oneCell">
    <xdr:from>
      <xdr:col>1</xdr:col>
      <xdr:colOff>0</xdr:colOff>
      <xdr:row>2</xdr:row>
      <xdr:rowOff>76200</xdr:rowOff>
    </xdr:from>
    <xdr:to>
      <xdr:col>9</xdr:col>
      <xdr:colOff>620062</xdr:colOff>
      <xdr:row>23</xdr:row>
      <xdr:rowOff>48096</xdr:rowOff>
    </xdr:to>
    <xdr:pic>
      <xdr:nvPicPr>
        <xdr:cNvPr id="2" name="Picture 1">
          <a:extLst>
            <a:ext uri="{FF2B5EF4-FFF2-40B4-BE49-F238E27FC236}">
              <a16:creationId xmlns:a16="http://schemas.microsoft.com/office/drawing/2014/main" id="{786E6DD7-C48E-4B5E-A89F-EAC9395FBD56}"/>
            </a:ext>
          </a:extLst>
        </xdr:cNvPr>
        <xdr:cNvPicPr>
          <a:picLocks noChangeAspect="1"/>
        </xdr:cNvPicPr>
      </xdr:nvPicPr>
      <xdr:blipFill>
        <a:blip xmlns:r="http://schemas.openxmlformats.org/officeDocument/2006/relationships" r:embed="rId1"/>
        <a:stretch>
          <a:fillRect/>
        </a:stretch>
      </xdr:blipFill>
      <xdr:spPr>
        <a:xfrm>
          <a:off x="676275" y="800100"/>
          <a:ext cx="6030262" cy="337232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xdr:row>
      <xdr:rowOff>123825</xdr:rowOff>
    </xdr:from>
    <xdr:to>
      <xdr:col>9</xdr:col>
      <xdr:colOff>439062</xdr:colOff>
      <xdr:row>22</xdr:row>
      <xdr:rowOff>152856</xdr:rowOff>
    </xdr:to>
    <xdr:pic>
      <xdr:nvPicPr>
        <xdr:cNvPr id="2" name="Picture 1">
          <a:extLst>
            <a:ext uri="{FF2B5EF4-FFF2-40B4-BE49-F238E27FC236}">
              <a16:creationId xmlns:a16="http://schemas.microsoft.com/office/drawing/2014/main" id="{CF3C6A34-A035-4876-9109-68281707683A}"/>
            </a:ext>
          </a:extLst>
        </xdr:cNvPr>
        <xdr:cNvPicPr>
          <a:picLocks noChangeAspect="1"/>
        </xdr:cNvPicPr>
      </xdr:nvPicPr>
      <xdr:blipFill>
        <a:blip xmlns:r="http://schemas.openxmlformats.org/officeDocument/2006/relationships" r:embed="rId1"/>
        <a:stretch>
          <a:fillRect/>
        </a:stretch>
      </xdr:blipFill>
      <xdr:spPr>
        <a:xfrm>
          <a:off x="666750" y="847725"/>
          <a:ext cx="5773062" cy="326753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xdr:row>
      <xdr:rowOff>64378</xdr:rowOff>
    </xdr:from>
    <xdr:to>
      <xdr:col>9</xdr:col>
      <xdr:colOff>24000</xdr:colOff>
      <xdr:row>24</xdr:row>
      <xdr:rowOff>36337</xdr:rowOff>
    </xdr:to>
    <xdr:pic>
      <xdr:nvPicPr>
        <xdr:cNvPr id="2" name="Picture 1">
          <a:extLst>
            <a:ext uri="{FF2B5EF4-FFF2-40B4-BE49-F238E27FC236}">
              <a16:creationId xmlns:a16="http://schemas.microsoft.com/office/drawing/2014/main" id="{8D778178-8085-4FB2-AD2F-5E42AB39032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6914"/>
        <a:stretch>
          <a:fillRect/>
        </a:stretch>
      </xdr:blipFill>
      <xdr:spPr>
        <a:xfrm>
          <a:off x="676275" y="788278"/>
          <a:ext cx="5434200" cy="35343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UK%20Team\Inflation%20Model\20251127%20Inflation%20Forecast.xlsx" TargetMode="External"/><Relationship Id="rId1" Type="http://schemas.openxmlformats.org/officeDocument/2006/relationships/externalLinkPath" Target="/UK%20Team/Inflation%20Model/20251127%20Inflation%20Forecas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UK%20Research%20Briefing\20250326%20RB%20UK%20Spring%20Statement%20reaction%20-%20Charts.xlsx" TargetMode="External"/><Relationship Id="rId1" Type="http://schemas.openxmlformats.org/officeDocument/2006/relationships/externalLinkPath" Target="20250326%20RB%20UK%20Spring%20Statement%20reaction%20-%20Chart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Z:\UK%20Team\Inflation%20Model\20251127%20Inflation%20Forecast%20(macro%20forecast).xlsx" TargetMode="External"/><Relationship Id="rId1" Type="http://schemas.openxmlformats.org/officeDocument/2006/relationships/externalLinkPath" Target="/UK%20Team/Inflation%20Model/20251127%20Inflation%20Forecast%20(macro%20foreca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lation Forecast Table"/>
      <sheetName val="CHARTS&gt;&gt;"/>
      <sheetName val="RPI new vs old"/>
      <sheetName val="CPI new vs old"/>
      <sheetName val="Conts to RPI fcst chart"/>
      <sheetName val="Conts to CPI fcst chart"/>
      <sheetName val="Conts to CPI fcst chart (2)"/>
      <sheetName val="Conts to CPI fcst chart (3)"/>
      <sheetName val="Conts to CPI goods"/>
      <sheetName val="Conts to CPI fcst, FD, EN, FU"/>
      <sheetName val="Conts to CPI fcst, EN &amp; FU"/>
      <sheetName val="Core inflation chart"/>
      <sheetName val="Non-tax petrol chart"/>
      <sheetName val="Seasonality checks"/>
      <sheetName val="RPI FORECASTS&gt;&gt;"/>
      <sheetName val="RPI Forecast"/>
      <sheetName val="MIPS"/>
      <sheetName val="CPI FORECASTS&gt;&gt;"/>
      <sheetName val="CPI Forecast"/>
      <sheetName val="CPI core erratics"/>
      <sheetName val="CPI core stable"/>
      <sheetName val="CPI food"/>
      <sheetName val="CPI fuel"/>
      <sheetName val="CPI energy"/>
      <sheetName val="PC"/>
      <sheetName val="Contributions"/>
      <sheetName val="DATA&gt;&gt;"/>
      <sheetName val="Output for GEM"/>
      <sheetName val="Hist avg"/>
      <sheetName val="Previous forecast"/>
      <sheetName val="HAVERA"/>
      <sheetName val="HAVERQ"/>
      <sheetName val="HAVERM"/>
      <sheetName val="HAVERW (Fuel prices)"/>
      <sheetName val="$template-default"/>
      <sheetName val="GMW"/>
      <sheetName val="MACRO MODEL DAT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ow r="342">
          <cell r="A342">
            <v>45292</v>
          </cell>
        </row>
        <row r="343">
          <cell r="A343">
            <v>45323</v>
          </cell>
        </row>
        <row r="344">
          <cell r="A344">
            <v>45352</v>
          </cell>
        </row>
        <row r="345">
          <cell r="A345">
            <v>45383</v>
          </cell>
        </row>
        <row r="346">
          <cell r="A346">
            <v>45413</v>
          </cell>
        </row>
        <row r="347">
          <cell r="A347">
            <v>45444</v>
          </cell>
        </row>
        <row r="348">
          <cell r="A348">
            <v>45474</v>
          </cell>
        </row>
        <row r="349">
          <cell r="A349">
            <v>45505</v>
          </cell>
        </row>
        <row r="350">
          <cell r="A350">
            <v>45536</v>
          </cell>
        </row>
        <row r="351">
          <cell r="A351">
            <v>45566</v>
          </cell>
        </row>
        <row r="352">
          <cell r="A352">
            <v>45597</v>
          </cell>
        </row>
        <row r="353">
          <cell r="A353">
            <v>45627</v>
          </cell>
        </row>
        <row r="354">
          <cell r="A354">
            <v>45658</v>
          </cell>
        </row>
        <row r="355">
          <cell r="A355">
            <v>45689</v>
          </cell>
        </row>
        <row r="356">
          <cell r="A356">
            <v>45717</v>
          </cell>
        </row>
        <row r="357">
          <cell r="A357">
            <v>45748</v>
          </cell>
        </row>
        <row r="358">
          <cell r="A358">
            <v>45778</v>
          </cell>
        </row>
        <row r="359">
          <cell r="A359">
            <v>45809</v>
          </cell>
        </row>
        <row r="360">
          <cell r="A360">
            <v>45839</v>
          </cell>
        </row>
        <row r="361">
          <cell r="A361">
            <v>45870</v>
          </cell>
        </row>
        <row r="362">
          <cell r="A362">
            <v>45901</v>
          </cell>
        </row>
        <row r="363">
          <cell r="A363">
            <v>45931</v>
          </cell>
        </row>
        <row r="364">
          <cell r="A364">
            <v>45962</v>
          </cell>
        </row>
        <row r="365">
          <cell r="A365">
            <v>45992</v>
          </cell>
        </row>
        <row r="366">
          <cell r="A366">
            <v>46023</v>
          </cell>
        </row>
        <row r="367">
          <cell r="A367">
            <v>46054</v>
          </cell>
        </row>
        <row r="368">
          <cell r="A368">
            <v>46082</v>
          </cell>
        </row>
        <row r="369">
          <cell r="A369">
            <v>46113</v>
          </cell>
        </row>
        <row r="370">
          <cell r="A370">
            <v>46143</v>
          </cell>
        </row>
        <row r="371">
          <cell r="A371">
            <v>46174</v>
          </cell>
        </row>
        <row r="372">
          <cell r="A372">
            <v>46204</v>
          </cell>
        </row>
        <row r="373">
          <cell r="A373">
            <v>46235</v>
          </cell>
        </row>
        <row r="374">
          <cell r="A374">
            <v>46266</v>
          </cell>
        </row>
        <row r="375">
          <cell r="A375">
            <v>46296</v>
          </cell>
        </row>
        <row r="376">
          <cell r="A376">
            <v>46327</v>
          </cell>
        </row>
        <row r="377">
          <cell r="A377">
            <v>46357</v>
          </cell>
        </row>
        <row r="378">
          <cell r="A378">
            <v>46388</v>
          </cell>
        </row>
        <row r="379">
          <cell r="A379">
            <v>46419</v>
          </cell>
        </row>
        <row r="380">
          <cell r="A380">
            <v>46447</v>
          </cell>
        </row>
        <row r="381">
          <cell r="A381">
            <v>46478</v>
          </cell>
        </row>
        <row r="382">
          <cell r="A382">
            <v>46508</v>
          </cell>
        </row>
        <row r="383">
          <cell r="A383">
            <v>46539</v>
          </cell>
        </row>
        <row r="384">
          <cell r="A384">
            <v>46569</v>
          </cell>
        </row>
        <row r="385">
          <cell r="A385">
            <v>46600</v>
          </cell>
        </row>
        <row r="386">
          <cell r="A386">
            <v>46631</v>
          </cell>
        </row>
        <row r="387">
          <cell r="A387">
            <v>46661</v>
          </cell>
        </row>
        <row r="388">
          <cell r="A388">
            <v>46692</v>
          </cell>
        </row>
        <row r="389">
          <cell r="A389">
            <v>46722</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 - Changes to PSNB"/>
      <sheetName val="Chart - Real current DEL"/>
      <sheetName val="Chart - Real capital DEL"/>
      <sheetName val="Chart - Real DEL per head index"/>
      <sheetName val="Chart - Real DEL index"/>
      <sheetName val="Chart - Real current DEL index"/>
      <sheetName val="Chart - Real capital DEL index"/>
      <sheetName val="Chart - fin mkt assump"/>
      <sheetName val="Chart Data"/>
      <sheetName val="OBR_MAR25_C1.4"/>
      <sheetName val="OBR_MAR25_TA.7"/>
      <sheetName val="OBR_MAR25_1.2"/>
      <sheetName val="OBR_OCT24_TA.7"/>
      <sheetName val="OBR_OCT24_1.2"/>
      <sheetName val="OBR_MAR24_C1.5"/>
      <sheetName val="OBR_MAR24_T3.8"/>
      <sheetName val="OBR_MAR24_T4.12"/>
      <sheetName val="OBR_MAR24_TA.7"/>
      <sheetName val="OBR_MAR24_C4.10"/>
      <sheetName val="OBR_MAR24_1.1"/>
      <sheetName val="OBR_MAR24_1.2"/>
      <sheetName val="OBR - Nov23 - T4.13"/>
      <sheetName val="OBR_NOV23_T3.2"/>
      <sheetName val="OBR_NOV23_T3.A"/>
      <sheetName val="OBR_NOV23_TA.7"/>
      <sheetName val="OBR_NOV23_T4.7"/>
      <sheetName val="OBR_NOV23_T4.8"/>
      <sheetName val="OBR_NOV23_1.1"/>
      <sheetName val="OBR_NOV23_1.2"/>
      <sheetName val="OBR_MAR23_T4.7"/>
      <sheetName val="OBR_MAR23_T4.8"/>
      <sheetName val="OBR_MAR23_TA.7"/>
      <sheetName val="OBR_MAR23_1.1"/>
      <sheetName val="OBR_MAR23_1.2"/>
      <sheetName val="OBR_NOV22_T.4"/>
      <sheetName val="OBR_NOV22_TA.8"/>
      <sheetName val="OBR_NOV22_1.1"/>
      <sheetName val="OBR_NOV22_1.2"/>
      <sheetName val="OBR_MAR22_T3.16"/>
      <sheetName val="OBR_MAR22_1.1"/>
      <sheetName val="OBR_MAR22_1.2"/>
      <sheetName val="OBR RR Oct23 - Debt interest"/>
      <sheetName val="HAVERD"/>
      <sheetName val="$template-default"/>
      <sheetName val="Data"/>
      <sheetName val="GM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CJ5">
            <v>321.42631599999999</v>
          </cell>
          <cell r="CR5">
            <v>57.891052999999999</v>
          </cell>
          <cell r="DH5">
            <v>100.74871125117286</v>
          </cell>
          <cell r="DI5">
            <v>100.88484132881088</v>
          </cell>
          <cell r="DJ5">
            <v>100.88484132881088</v>
          </cell>
          <cell r="DK5">
            <v>100.73409318654167</v>
          </cell>
          <cell r="DL5">
            <v>100.73409318654167</v>
          </cell>
          <cell r="DM5">
            <v>100.73409318654167</v>
          </cell>
          <cell r="DN5">
            <v>90.938576996689974</v>
          </cell>
        </row>
        <row r="6">
          <cell r="CJ6">
            <v>434.51770399999998</v>
          </cell>
          <cell r="CR6">
            <v>72.625962000000001</v>
          </cell>
          <cell r="DH6">
            <v>106.49165624937993</v>
          </cell>
          <cell r="DI6">
            <v>107.24961215485887</v>
          </cell>
          <cell r="DJ6">
            <v>107.10119491334555</v>
          </cell>
          <cell r="DK6">
            <v>106.10166146785119</v>
          </cell>
          <cell r="DL6">
            <v>106.10166146785119</v>
          </cell>
          <cell r="DM6">
            <v>106.10166146785119</v>
          </cell>
          <cell r="DN6">
            <v>95.705742472120065</v>
          </cell>
        </row>
        <row r="7">
          <cell r="CJ7">
            <v>405.02778150003741</v>
          </cell>
          <cell r="CK7">
            <v>413.760448</v>
          </cell>
          <cell r="CL7">
            <v>413.760448</v>
          </cell>
          <cell r="CR7">
            <v>69.206219996000016</v>
          </cell>
          <cell r="CS7">
            <v>76.989229000000009</v>
          </cell>
          <cell r="CT7">
            <v>76.989229000000009</v>
          </cell>
          <cell r="DH7">
            <v>105.54997912145841</v>
          </cell>
          <cell r="DI7">
            <v>106.87363811608601</v>
          </cell>
          <cell r="DJ7">
            <v>106.46840121611554</v>
          </cell>
          <cell r="DK7">
            <v>105.39628718255358</v>
          </cell>
          <cell r="DL7">
            <v>105.37331415390152</v>
          </cell>
          <cell r="DM7">
            <v>105.37331415390152</v>
          </cell>
          <cell r="DN7">
            <v>95.279996023524248</v>
          </cell>
        </row>
        <row r="8">
          <cell r="CJ8">
            <v>406.97511250458422</v>
          </cell>
          <cell r="CK8">
            <v>415.47497423494411</v>
          </cell>
          <cell r="CL8">
            <v>415.4747566071901</v>
          </cell>
          <cell r="CM8">
            <v>411.53610400000002</v>
          </cell>
          <cell r="CN8">
            <v>407.45770389400002</v>
          </cell>
          <cell r="CR8">
            <v>85.991646950056989</v>
          </cell>
          <cell r="CS8">
            <v>88.814115999999999</v>
          </cell>
          <cell r="CT8">
            <v>86.314610307133165</v>
          </cell>
          <cell r="CU8">
            <v>89.791732999999994</v>
          </cell>
          <cell r="CV8">
            <v>89.791732999999994</v>
          </cell>
          <cell r="DH8">
            <v>109.81968989789657</v>
          </cell>
          <cell r="DI8">
            <v>112.04169718278756</v>
          </cell>
          <cell r="DJ8">
            <v>112.4468857537517</v>
          </cell>
          <cell r="DK8">
            <v>112.41702934027273</v>
          </cell>
          <cell r="DL8">
            <v>112.52776262297391</v>
          </cell>
          <cell r="DM8">
            <v>112.45602107028047</v>
          </cell>
          <cell r="DN8">
            <v>102.01805941820301</v>
          </cell>
        </row>
        <row r="9">
          <cell r="CJ9">
            <v>408.01899650695265</v>
          </cell>
          <cell r="CK9">
            <v>419.68700688438969</v>
          </cell>
          <cell r="CL9">
            <v>421.68739664522008</v>
          </cell>
          <cell r="CM9">
            <v>426.51629477390128</v>
          </cell>
          <cell r="CN9">
            <v>422.94448746678228</v>
          </cell>
          <cell r="CO9">
            <v>422.7261649964953</v>
          </cell>
          <cell r="CP9">
            <v>422.7261649964953</v>
          </cell>
          <cell r="CR9">
            <v>94.646378500647913</v>
          </cell>
          <cell r="CS9">
            <v>94.447102944360509</v>
          </cell>
          <cell r="CT9">
            <v>96.111650871276524</v>
          </cell>
          <cell r="CU9">
            <v>96.000287999999955</v>
          </cell>
          <cell r="CV9">
            <v>95.583785992908247</v>
          </cell>
          <cell r="CW9">
            <v>96.583303000000015</v>
          </cell>
          <cell r="CX9">
            <v>96.583303000000015</v>
          </cell>
          <cell r="DH9">
            <v>112.46645971333807</v>
          </cell>
          <cell r="DI9">
            <v>115.66461821664116</v>
          </cell>
          <cell r="DJ9">
            <v>115.3158280394689</v>
          </cell>
          <cell r="DK9">
            <v>119.26147906868488</v>
          </cell>
          <cell r="DL9">
            <v>119.90479827294106</v>
          </cell>
          <cell r="DM9">
            <v>119.4627818882861</v>
          </cell>
          <cell r="DN9">
            <v>108.27113066027256</v>
          </cell>
        </row>
        <row r="10">
          <cell r="CJ10">
            <v>419.09821051639335</v>
          </cell>
          <cell r="CK10">
            <v>422.00137328095701</v>
          </cell>
          <cell r="CL10">
            <v>426.65635023829606</v>
          </cell>
          <cell r="CM10">
            <v>435.4519784752199</v>
          </cell>
          <cell r="CN10">
            <v>430.19537877771137</v>
          </cell>
          <cell r="CO10">
            <v>453.35018602664388</v>
          </cell>
          <cell r="CP10">
            <v>450.71792051038807</v>
          </cell>
          <cell r="CR10">
            <v>94.861871876042841</v>
          </cell>
          <cell r="CS10">
            <v>94.722329242949357</v>
          </cell>
          <cell r="CT10">
            <v>96.888973191647366</v>
          </cell>
          <cell r="CU10">
            <v>99.196272696154978</v>
          </cell>
          <cell r="CV10">
            <v>99.200029696154957</v>
          </cell>
          <cell r="CW10">
            <v>99.010882999999993</v>
          </cell>
          <cell r="CX10">
            <v>102.88599074343576</v>
          </cell>
          <cell r="DH10">
            <v>114.55079918480422</v>
          </cell>
          <cell r="DI10">
            <v>117.18826047217301</v>
          </cell>
          <cell r="DJ10">
            <v>117.12548157538384</v>
          </cell>
          <cell r="DK10">
            <v>121.25702295089151</v>
          </cell>
          <cell r="DL10">
            <v>120.85462475777646</v>
          </cell>
          <cell r="DM10">
            <v>122.28430134953447</v>
          </cell>
          <cell r="DN10">
            <v>112.35484282673282</v>
          </cell>
        </row>
        <row r="11">
          <cell r="CJ11">
            <v>435.39390625973334</v>
          </cell>
          <cell r="CK11">
            <v>430.32555692311388</v>
          </cell>
          <cell r="CL11">
            <v>435.84565989751616</v>
          </cell>
          <cell r="CM11">
            <v>445.26190231649491</v>
          </cell>
          <cell r="CN11">
            <v>440.0353514465599</v>
          </cell>
          <cell r="CO11">
            <v>478.58426368628301</v>
          </cell>
          <cell r="CP11">
            <v>480.97181038752069</v>
          </cell>
          <cell r="CR11">
            <v>99.260826692141549</v>
          </cell>
          <cell r="CS11">
            <v>95.604873065570359</v>
          </cell>
          <cell r="CT11">
            <v>97.078752417547562</v>
          </cell>
          <cell r="CU11">
            <v>97.22172541754756</v>
          </cell>
          <cell r="CV11">
            <v>98.062828015251441</v>
          </cell>
          <cell r="CW11">
            <v>111.26259223573577</v>
          </cell>
          <cell r="CX11">
            <v>111.30299172685187</v>
          </cell>
          <cell r="DH11">
            <v>116.78782390355576</v>
          </cell>
          <cell r="DI11">
            <v>117.80966887025519</v>
          </cell>
          <cell r="DJ11">
            <v>118.25343555545436</v>
          </cell>
          <cell r="DK11">
            <v>123.33389493053026</v>
          </cell>
          <cell r="DL11">
            <v>122.48522028011057</v>
          </cell>
          <cell r="DM11">
            <v>125.20810953631025</v>
          </cell>
          <cell r="DN11">
            <v>115.33984025500253</v>
          </cell>
        </row>
        <row r="12">
          <cell r="CJ12">
            <v>451.57824723492359</v>
          </cell>
          <cell r="CK12">
            <v>439.94670740392792</v>
          </cell>
          <cell r="CL12">
            <v>446.15051145272446</v>
          </cell>
          <cell r="CM12">
            <v>456.91761233802708</v>
          </cell>
          <cell r="CN12">
            <v>452.28089150009794</v>
          </cell>
          <cell r="CO12">
            <v>494.72672388169832</v>
          </cell>
          <cell r="CP12">
            <v>498.02064089213201</v>
          </cell>
          <cell r="CR12">
            <v>102.94317084509956</v>
          </cell>
          <cell r="CS12">
            <v>96.017646115378568</v>
          </cell>
          <cell r="CT12">
            <v>97.479446993063704</v>
          </cell>
          <cell r="CU12">
            <v>97.509019993063717</v>
          </cell>
          <cell r="CV12">
            <v>98.348124035993933</v>
          </cell>
          <cell r="CW12">
            <v>117.20222425711972</v>
          </cell>
          <cell r="CX12">
            <v>117.97671280055171</v>
          </cell>
          <cell r="DH12">
            <v>119.12451839485712</v>
          </cell>
          <cell r="DI12">
            <v>119.24481544866812</v>
          </cell>
          <cell r="DJ12">
            <v>119.67032032823461</v>
          </cell>
          <cell r="DK12">
            <v>125.33788897256979</v>
          </cell>
          <cell r="DL12">
            <v>124.62088433491962</v>
          </cell>
          <cell r="DM12">
            <v>127.67487616434683</v>
          </cell>
          <cell r="DN12">
            <v>117.25061326274593</v>
          </cell>
        </row>
        <row r="13">
          <cell r="CK13">
            <v>452.6674664823604</v>
          </cell>
          <cell r="CL13">
            <v>458.91765656056157</v>
          </cell>
          <cell r="CM13">
            <v>469.94190104306637</v>
          </cell>
          <cell r="CN13">
            <v>465.55777213391832</v>
          </cell>
          <cell r="CO13">
            <v>511.02829693379431</v>
          </cell>
          <cell r="CP13">
            <v>513.28712672763731</v>
          </cell>
          <cell r="CS13">
            <v>96.197898874063284</v>
          </cell>
          <cell r="CT13">
            <v>97.627422690126338</v>
          </cell>
          <cell r="CU13">
            <v>97.597215690126333</v>
          </cell>
          <cell r="CV13">
            <v>98.339716566884476</v>
          </cell>
          <cell r="CW13">
            <v>120.65951678799135</v>
          </cell>
          <cell r="CX13">
            <v>124.06217766811831</v>
          </cell>
          <cell r="DI13">
            <v>121.38683851682637</v>
          </cell>
          <cell r="DJ13">
            <v>121.64754674902991</v>
          </cell>
          <cell r="DK13">
            <v>127.56163789163919</v>
          </cell>
          <cell r="DL13">
            <v>126.95476227687618</v>
          </cell>
          <cell r="DM13">
            <v>130.17424372532074</v>
          </cell>
          <cell r="DN13">
            <v>119.63868806012528</v>
          </cell>
        </row>
        <row r="14">
          <cell r="CM14">
            <v>483.64675452966623</v>
          </cell>
          <cell r="CN14">
            <v>479.15889214608609</v>
          </cell>
          <cell r="CO14">
            <v>527.78205195720921</v>
          </cell>
          <cell r="CP14">
            <v>528.28901278040109</v>
          </cell>
          <cell r="CU14">
            <v>97.357557247573965</v>
          </cell>
          <cell r="CV14">
            <v>97.358047001706282</v>
          </cell>
          <cell r="CW14">
            <v>121.43724722060598</v>
          </cell>
          <cell r="CX14">
            <v>125.33802740642426</v>
          </cell>
          <cell r="DK14">
            <v>129.96073972250761</v>
          </cell>
          <cell r="DL14">
            <v>129.40842927053825</v>
          </cell>
          <cell r="DM14">
            <v>132.7397318112335</v>
          </cell>
          <cell r="DN14">
            <v>121.96833050261979</v>
          </cell>
        </row>
        <row r="15">
          <cell r="CO15">
            <v>545.60317035329479</v>
          </cell>
          <cell r="CP15">
            <v>543.72063451449003</v>
          </cell>
          <cell r="CW15">
            <v>122.5534637093546</v>
          </cell>
          <cell r="CX15">
            <v>126.92864323392651</v>
          </cell>
          <cell r="DM15">
            <v>135.35815987854556</v>
          </cell>
          <cell r="DN15">
            <v>124.2626979535588</v>
          </cell>
        </row>
      </sheetData>
      <sheetData sheetId="9" refreshError="1"/>
      <sheetData sheetId="10"/>
      <sheetData sheetId="11"/>
      <sheetData sheetId="12"/>
      <sheetData sheetId="13"/>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refreshError="1"/>
      <sheetData sheetId="24"/>
      <sheetData sheetId="25" refreshError="1"/>
      <sheetData sheetId="26" refreshError="1"/>
      <sheetData sheetId="27" refreshError="1"/>
      <sheetData sheetId="28"/>
      <sheetData sheetId="29" refreshError="1"/>
      <sheetData sheetId="30" refreshError="1"/>
      <sheetData sheetId="31"/>
      <sheetData sheetId="32" refreshError="1"/>
      <sheetData sheetId="33"/>
      <sheetData sheetId="34" refreshError="1"/>
      <sheetData sheetId="35"/>
      <sheetData sheetId="36" refreshError="1"/>
      <sheetData sheetId="37"/>
      <sheetData sheetId="38"/>
      <sheetData sheetId="39" refreshError="1"/>
      <sheetData sheetId="40"/>
      <sheetData sheetId="41" refreshError="1"/>
      <sheetData sheetId="42" refreshError="1"/>
      <sheetData sheetId="43" refreshError="1"/>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lation Forecast Table"/>
      <sheetName val="CHARTS&gt;&gt;"/>
      <sheetName val="RPI new vs old"/>
      <sheetName val="CPI new vs old"/>
      <sheetName val="Conts to RPI fcst chart"/>
      <sheetName val="Conts to CPI fcst chart"/>
      <sheetName val="Conts to CPI fcst chart (2)"/>
      <sheetName val="Conts to CPI fcst chart (3)"/>
      <sheetName val="Conts to CPI goods"/>
      <sheetName val="Conts to CPI fcst, FD, EN, FU"/>
      <sheetName val="Conts to CPI fcst, EN &amp; FU"/>
      <sheetName val="Core inflation chart"/>
      <sheetName val="Non-tax petrol chart"/>
      <sheetName val="Seasonality checks"/>
      <sheetName val="RPI FORECASTS&gt;&gt;"/>
      <sheetName val="RPI Forecast"/>
      <sheetName val="MIPS"/>
      <sheetName val="CPI FORECASTS&gt;&gt;"/>
      <sheetName val="CPI Forecast"/>
      <sheetName val="CPI core erratics"/>
      <sheetName val="CPI core stable"/>
      <sheetName val="CPI food"/>
      <sheetName val="CPI fuel"/>
      <sheetName val="CPI energy"/>
      <sheetName val="PC"/>
      <sheetName val="Contributions"/>
      <sheetName val="DATA&gt;&gt;"/>
      <sheetName val="Output for GEM"/>
      <sheetName val="Hist avg"/>
      <sheetName val="Previous forecast"/>
      <sheetName val="HAVERA"/>
      <sheetName val="HAVERQ"/>
      <sheetName val="HAVERM"/>
      <sheetName val="HAVERW (Fuel prices)"/>
      <sheetName val="$template-default"/>
      <sheetName val="GMW"/>
      <sheetName val="MACRO MODEL DATA"/>
    </sheetNames>
    <sheetDataSet>
      <sheetData sheetId="0"/>
      <sheetData sheetId="1"/>
      <sheetData sheetId="13"/>
      <sheetData sheetId="14"/>
      <sheetData sheetId="15"/>
      <sheetData sheetId="16"/>
      <sheetData sheetId="17"/>
      <sheetData sheetId="18">
        <row r="342">
          <cell r="D342">
            <v>3.9811146171913947</v>
          </cell>
          <cell r="F342">
            <v>3.9811146171913947</v>
          </cell>
        </row>
        <row r="343">
          <cell r="D343">
            <v>3.4114721796515868</v>
          </cell>
          <cell r="F343">
            <v>3.4114721796515868</v>
          </cell>
        </row>
        <row r="344">
          <cell r="D344">
            <v>3.228059284550322</v>
          </cell>
          <cell r="F344">
            <v>3.228059284550322</v>
          </cell>
        </row>
        <row r="345">
          <cell r="D345">
            <v>2.3330700994410813</v>
          </cell>
          <cell r="F345">
            <v>2.3330700994410813</v>
          </cell>
        </row>
        <row r="346">
          <cell r="D346">
            <v>1.9899777622079284</v>
          </cell>
          <cell r="F346">
            <v>1.9899777622079284</v>
          </cell>
        </row>
        <row r="347">
          <cell r="D347">
            <v>1.9753105200307042</v>
          </cell>
          <cell r="F347">
            <v>1.9753105200307042</v>
          </cell>
        </row>
        <row r="348">
          <cell r="D348">
            <v>2.2344448264008276</v>
          </cell>
          <cell r="F348">
            <v>2.2344448264008276</v>
          </cell>
        </row>
        <row r="349">
          <cell r="D349">
            <v>2.2162837086778353</v>
          </cell>
          <cell r="F349">
            <v>2.2162837086778353</v>
          </cell>
        </row>
        <row r="350">
          <cell r="D350">
            <v>1.6803412198761913</v>
          </cell>
          <cell r="F350">
            <v>1.6803412198761913</v>
          </cell>
        </row>
        <row r="351">
          <cell r="D351">
            <v>2.2809914851064983</v>
          </cell>
          <cell r="F351">
            <v>2.2809914851064983</v>
          </cell>
        </row>
        <row r="352">
          <cell r="D352">
            <v>2.622126709546091</v>
          </cell>
          <cell r="F352">
            <v>2.622126709546091</v>
          </cell>
        </row>
        <row r="353">
          <cell r="D353">
            <v>2.5029869481707712</v>
          </cell>
          <cell r="F353">
            <v>2.5029869481707712</v>
          </cell>
        </row>
        <row r="354">
          <cell r="D354">
            <v>2.9829405009088816</v>
          </cell>
          <cell r="F354">
            <v>2.9829405009088816</v>
          </cell>
        </row>
        <row r="355">
          <cell r="D355">
            <v>2.8361876677630349</v>
          </cell>
          <cell r="F355">
            <v>2.8361876677630349</v>
          </cell>
        </row>
        <row r="356">
          <cell r="D356">
            <v>2.5941516951063726</v>
          </cell>
          <cell r="F356">
            <v>2.5941516951063726</v>
          </cell>
        </row>
        <row r="357">
          <cell r="D357">
            <v>3.5273315751618295</v>
          </cell>
          <cell r="F357">
            <v>3.5273315751618295</v>
          </cell>
        </row>
        <row r="358">
          <cell r="D358">
            <v>3.3579498360974069</v>
          </cell>
          <cell r="F358">
            <v>3.3579498360974069</v>
          </cell>
        </row>
        <row r="359">
          <cell r="D359">
            <v>3.5764898933393185</v>
          </cell>
          <cell r="F359">
            <v>3.5764898933393185</v>
          </cell>
        </row>
        <row r="360">
          <cell r="D360">
            <v>3.829485167750124</v>
          </cell>
          <cell r="F360">
            <v>3.829485167750124</v>
          </cell>
        </row>
        <row r="361">
          <cell r="D361">
            <v>3.7882568506669934</v>
          </cell>
          <cell r="F361">
            <v>3.7882568506669934</v>
          </cell>
        </row>
        <row r="362">
          <cell r="D362">
            <v>3.7827366538762508</v>
          </cell>
          <cell r="F362">
            <v>3.7827366538762508</v>
          </cell>
        </row>
        <row r="363">
          <cell r="D363">
            <v>3.5588638299448361</v>
          </cell>
          <cell r="F363">
            <v>3.5588638299448361</v>
          </cell>
        </row>
        <row r="364">
          <cell r="D364">
            <v>3.611174783633686</v>
          </cell>
          <cell r="F364">
            <v>3.6037818476268857</v>
          </cell>
        </row>
        <row r="365">
          <cell r="D365">
            <v>3.76720899643741</v>
          </cell>
          <cell r="F365">
            <v>3.7805447784993618</v>
          </cell>
        </row>
        <row r="366">
          <cell r="D366">
            <v>3.523051208570549</v>
          </cell>
          <cell r="F366">
            <v>3.4316192719967775</v>
          </cell>
        </row>
        <row r="367">
          <cell r="D367">
            <v>3.4571592489492042</v>
          </cell>
          <cell r="F367">
            <v>3.3669557382900006</v>
          </cell>
        </row>
        <row r="368">
          <cell r="D368">
            <v>3.3697047913779032</v>
          </cell>
          <cell r="F368">
            <v>3.2806248298073104</v>
          </cell>
        </row>
        <row r="369">
          <cell r="D369">
            <v>2.4878201299924241</v>
          </cell>
          <cell r="F369">
            <v>2.5536970222363342</v>
          </cell>
        </row>
        <row r="370">
          <cell r="D370">
            <v>2.583818844809227</v>
          </cell>
          <cell r="F370">
            <v>2.6503863794968607</v>
          </cell>
        </row>
        <row r="371">
          <cell r="D371">
            <v>2.4126662846983837</v>
          </cell>
          <cell r="F371">
            <v>2.4798138715470985</v>
          </cell>
        </row>
        <row r="372">
          <cell r="D372">
            <v>2.4565987303899917</v>
          </cell>
          <cell r="F372">
            <v>2.5334630359208798</v>
          </cell>
        </row>
        <row r="373">
          <cell r="D373">
            <v>2.5889283748285141</v>
          </cell>
          <cell r="F373">
            <v>2.6664215543082959</v>
          </cell>
        </row>
        <row r="374">
          <cell r="D374">
            <v>2.7384587653383363</v>
          </cell>
          <cell r="F374">
            <v>2.7912075457314556</v>
          </cell>
        </row>
        <row r="375">
          <cell r="D375">
            <v>2.5612301773084489</v>
          </cell>
          <cell r="F375">
            <v>2.6235579039030066</v>
          </cell>
        </row>
        <row r="376">
          <cell r="D376">
            <v>2.5329938405497021</v>
          </cell>
          <cell r="F376">
            <v>2.6035080347746264</v>
          </cell>
        </row>
        <row r="377">
          <cell r="D377">
            <v>2.5341350595351697</v>
          </cell>
          <cell r="F377">
            <v>2.5849020290279912</v>
          </cell>
        </row>
        <row r="378">
          <cell r="D378">
            <v>2.4979030357763943</v>
          </cell>
          <cell r="F378">
            <v>2.6289960340827978</v>
          </cell>
        </row>
        <row r="379">
          <cell r="D379">
            <v>2.5012822213585695</v>
          </cell>
          <cell r="F379">
            <v>2.6314639675161677</v>
          </cell>
        </row>
        <row r="380">
          <cell r="D380">
            <v>2.4941755007657385</v>
          </cell>
          <cell r="F380">
            <v>2.6234877447325333</v>
          </cell>
        </row>
        <row r="381">
          <cell r="D381">
            <v>2.6381523327803302</v>
          </cell>
          <cell r="F381">
            <v>2.5896898059093232</v>
          </cell>
        </row>
        <row r="382">
          <cell r="D382">
            <v>2.6302194609837404</v>
          </cell>
          <cell r="F382">
            <v>2.5814426422992698</v>
          </cell>
        </row>
        <row r="383">
          <cell r="D383">
            <v>2.6272636544307337</v>
          </cell>
          <cell r="F383">
            <v>2.5781021002269533</v>
          </cell>
        </row>
        <row r="384">
          <cell r="D384">
            <v>2.6376911410214365</v>
          </cell>
          <cell r="F384">
            <v>2.5555800382946359</v>
          </cell>
        </row>
        <row r="385">
          <cell r="D385">
            <v>2.6423798750502048</v>
          </cell>
          <cell r="F385">
            <v>2.560352534885757</v>
          </cell>
        </row>
        <row r="386">
          <cell r="D386">
            <v>2.5473666459103095</v>
          </cell>
          <cell r="F386">
            <v>2.4905830391854789</v>
          </cell>
        </row>
        <row r="387">
          <cell r="D387">
            <v>2.5413085346328135</v>
          </cell>
          <cell r="F387">
            <v>2.451930548723924</v>
          </cell>
        </row>
        <row r="388">
          <cell r="D388">
            <v>2.5193708333763665</v>
          </cell>
          <cell r="F388">
            <v>2.4296934539914217</v>
          </cell>
        </row>
        <row r="389">
          <cell r="D389">
            <v>2.5498435298940247</v>
          </cell>
          <cell r="F389">
            <v>2.4603515185425806</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5.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E4623-0948-446D-8837-9988B7DD66B0}">
  <sheetPr codeName="Sheet1">
    <tabColor rgb="FFC00000"/>
  </sheetPr>
  <dimension ref="A1"/>
  <sheetViews>
    <sheetView workbookViewId="0">
      <selection activeCell="M31" sqref="M31"/>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A34CC-1C2B-4AF1-ABE9-220CF8F1BCB5}">
  <sheetPr codeName="Sheet4">
    <tabColor rgb="FFC00000"/>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1EC4-F079-4796-BF24-5E4E02017D49}">
  <sheetPr codeName="Sheet5"/>
  <dimension ref="A1:FG87"/>
  <sheetViews>
    <sheetView tabSelected="1" workbookViewId="0">
      <pane ySplit="4" topLeftCell="A5" activePane="bottomLeft" state="frozen"/>
      <selection pane="bottomLeft" activeCell="V11" sqref="V11"/>
    </sheetView>
  </sheetViews>
  <sheetFormatPr defaultRowHeight="15"/>
  <cols>
    <col min="1" max="1" width="16.7109375" customWidth="1"/>
    <col min="8" max="8" width="2.7109375" customWidth="1"/>
    <col min="12" max="12" width="2.7109375" customWidth="1"/>
    <col min="13" max="14" width="9.140625" customWidth="1"/>
    <col min="15" max="15" width="2.7109375" customWidth="1"/>
    <col min="16" max="18" width="9.140625" customWidth="1"/>
    <col min="19" max="19" width="2.7109375" customWidth="1"/>
    <col min="20" max="23" width="9.140625" customWidth="1"/>
    <col min="24" max="24" width="2.7109375" customWidth="1"/>
    <col min="34" max="34" width="2.7109375" customWidth="1"/>
    <col min="43" max="43" width="2.7109375" customWidth="1"/>
    <col min="52" max="52" width="2.7109375" customWidth="1"/>
    <col min="61" max="61" width="2.7109375" customWidth="1"/>
    <col min="70" max="70" width="2.7109375" customWidth="1"/>
    <col min="79" max="79" width="2.7109375" customWidth="1"/>
    <col min="82" max="82" width="2.7109375" customWidth="1"/>
    <col min="93" max="93" width="2.7109375" customWidth="1"/>
    <col min="103" max="103" width="2.7109375" customWidth="1"/>
    <col min="112" max="112" width="2.7109375" customWidth="1"/>
    <col min="121" max="121" width="2.85546875" customWidth="1"/>
    <col min="130" max="130" width="2.7109375" customWidth="1"/>
    <col min="139" max="139" width="2.7109375" customWidth="1"/>
    <col min="148" max="148" width="2.7109375" customWidth="1"/>
    <col min="157" max="157" width="2.7109375" customWidth="1"/>
  </cols>
  <sheetData>
    <row r="1" spans="1:163">
      <c r="A1" s="226" t="s">
        <v>163</v>
      </c>
      <c r="I1" s="226" t="s">
        <v>161</v>
      </c>
      <c r="M1" s="226" t="s">
        <v>895</v>
      </c>
      <c r="P1" s="226" t="s">
        <v>908</v>
      </c>
      <c r="T1" s="226" t="s">
        <v>990</v>
      </c>
      <c r="Z1" s="226" t="s">
        <v>183</v>
      </c>
      <c r="CF1" s="226" t="s">
        <v>183</v>
      </c>
      <c r="FB1" s="226" t="s">
        <v>617</v>
      </c>
    </row>
    <row r="2" spans="1:163">
      <c r="A2" s="226"/>
      <c r="I2" s="226"/>
      <c r="Z2" t="s">
        <v>184</v>
      </c>
      <c r="AI2" t="s">
        <v>597</v>
      </c>
      <c r="AR2" t="s">
        <v>185</v>
      </c>
      <c r="BA2" t="s">
        <v>186</v>
      </c>
      <c r="BJ2" t="s">
        <v>187</v>
      </c>
      <c r="BS2" t="s">
        <v>188</v>
      </c>
      <c r="CF2" t="s">
        <v>595</v>
      </c>
      <c r="CP2" t="s">
        <v>596</v>
      </c>
      <c r="CZ2" t="s">
        <v>594</v>
      </c>
      <c r="DI2" t="s">
        <v>593</v>
      </c>
      <c r="DR2" t="s">
        <v>182</v>
      </c>
      <c r="EA2" t="s">
        <v>189</v>
      </c>
      <c r="EJ2" t="s">
        <v>592</v>
      </c>
      <c r="ES2" t="s">
        <v>190</v>
      </c>
    </row>
    <row r="3" spans="1:163">
      <c r="A3" s="226"/>
      <c r="I3" s="226"/>
      <c r="Z3" s="230">
        <v>44621</v>
      </c>
      <c r="AA3" s="230">
        <v>44866</v>
      </c>
      <c r="AB3" s="230">
        <v>44986</v>
      </c>
      <c r="AC3" s="230">
        <v>45231</v>
      </c>
      <c r="AD3" s="230">
        <v>45352</v>
      </c>
      <c r="AE3" s="230">
        <v>45566</v>
      </c>
      <c r="AF3" s="230">
        <v>45717</v>
      </c>
      <c r="AG3" s="230">
        <v>45962</v>
      </c>
      <c r="AI3" s="230">
        <f t="shared" ref="AI3:AO4" si="0">Z3</f>
        <v>44621</v>
      </c>
      <c r="AJ3" s="230">
        <f t="shared" si="0"/>
        <v>44866</v>
      </c>
      <c r="AK3" s="230">
        <f t="shared" si="0"/>
        <v>44986</v>
      </c>
      <c r="AL3" s="230">
        <f t="shared" si="0"/>
        <v>45231</v>
      </c>
      <c r="AM3" s="230">
        <f t="shared" si="0"/>
        <v>45352</v>
      </c>
      <c r="AN3" s="230">
        <f t="shared" si="0"/>
        <v>45566</v>
      </c>
      <c r="AO3" s="230">
        <f t="shared" si="0"/>
        <v>45717</v>
      </c>
      <c r="AP3" s="230">
        <v>45962</v>
      </c>
      <c r="AR3" s="230">
        <f t="shared" ref="AR3:AX4" si="1">Z3</f>
        <v>44621</v>
      </c>
      <c r="AS3" s="230">
        <f t="shared" si="1"/>
        <v>44866</v>
      </c>
      <c r="AT3" s="230">
        <f t="shared" si="1"/>
        <v>44986</v>
      </c>
      <c r="AU3" s="230">
        <f t="shared" si="1"/>
        <v>45231</v>
      </c>
      <c r="AV3" s="230">
        <f t="shared" si="1"/>
        <v>45352</v>
      </c>
      <c r="AW3" s="230">
        <f t="shared" si="1"/>
        <v>45566</v>
      </c>
      <c r="AX3" s="230">
        <f t="shared" si="1"/>
        <v>45717</v>
      </c>
      <c r="AY3" s="230">
        <v>45962</v>
      </c>
      <c r="BA3" s="230">
        <f t="shared" ref="BA3:BG4" si="2">Z3</f>
        <v>44621</v>
      </c>
      <c r="BB3" s="230">
        <f t="shared" si="2"/>
        <v>44866</v>
      </c>
      <c r="BC3" s="230">
        <f t="shared" si="2"/>
        <v>44986</v>
      </c>
      <c r="BD3" s="230">
        <f t="shared" si="2"/>
        <v>45231</v>
      </c>
      <c r="BE3" s="230">
        <f t="shared" si="2"/>
        <v>45352</v>
      </c>
      <c r="BF3" s="230">
        <f t="shared" si="2"/>
        <v>45566</v>
      </c>
      <c r="BG3" s="230">
        <f t="shared" si="2"/>
        <v>45717</v>
      </c>
      <c r="BH3" s="230">
        <v>45962</v>
      </c>
      <c r="BJ3" s="230">
        <f t="shared" ref="BJ3:BP4" si="3">Z3</f>
        <v>44621</v>
      </c>
      <c r="BK3" s="230">
        <f t="shared" si="3"/>
        <v>44866</v>
      </c>
      <c r="BL3" s="230">
        <f t="shared" si="3"/>
        <v>44986</v>
      </c>
      <c r="BM3" s="230">
        <f t="shared" si="3"/>
        <v>45231</v>
      </c>
      <c r="BN3" s="230">
        <f t="shared" si="3"/>
        <v>45352</v>
      </c>
      <c r="BO3" s="230">
        <f t="shared" si="3"/>
        <v>45566</v>
      </c>
      <c r="BP3" s="230">
        <f t="shared" si="3"/>
        <v>45717</v>
      </c>
      <c r="BQ3" s="230">
        <v>45962</v>
      </c>
      <c r="BS3" s="230">
        <f t="shared" ref="BS3:BY4" si="4">Z3</f>
        <v>44621</v>
      </c>
      <c r="BT3" s="230">
        <f t="shared" si="4"/>
        <v>44866</v>
      </c>
      <c r="BU3" s="230">
        <f t="shared" si="4"/>
        <v>44986</v>
      </c>
      <c r="BV3" s="230">
        <f t="shared" si="4"/>
        <v>45231</v>
      </c>
      <c r="BW3" s="230">
        <f t="shared" si="4"/>
        <v>45352</v>
      </c>
      <c r="BX3" s="230">
        <f t="shared" si="4"/>
        <v>45566</v>
      </c>
      <c r="BY3" s="230">
        <f t="shared" si="4"/>
        <v>45717</v>
      </c>
      <c r="BZ3" s="230">
        <v>45962</v>
      </c>
      <c r="CF3" s="230">
        <f t="shared" ref="CF3:CL4" si="5">Z3</f>
        <v>44621</v>
      </c>
      <c r="CG3" s="230">
        <f t="shared" si="5"/>
        <v>44866</v>
      </c>
      <c r="CH3" s="230">
        <f t="shared" si="5"/>
        <v>44986</v>
      </c>
      <c r="CI3" s="230">
        <f t="shared" si="5"/>
        <v>45231</v>
      </c>
      <c r="CJ3" s="230">
        <f t="shared" si="5"/>
        <v>45352</v>
      </c>
      <c r="CK3" s="230">
        <f t="shared" si="5"/>
        <v>45566</v>
      </c>
      <c r="CL3" s="230">
        <f t="shared" si="5"/>
        <v>45717</v>
      </c>
      <c r="CM3" s="230">
        <v>45962</v>
      </c>
      <c r="CP3" s="230">
        <f t="shared" ref="CP3:CV4" si="6">Z3</f>
        <v>44621</v>
      </c>
      <c r="CQ3" s="230">
        <f t="shared" si="6"/>
        <v>44866</v>
      </c>
      <c r="CR3" s="230">
        <f t="shared" si="6"/>
        <v>44986</v>
      </c>
      <c r="CS3" s="230">
        <f t="shared" si="6"/>
        <v>45231</v>
      </c>
      <c r="CT3" s="230">
        <f t="shared" si="6"/>
        <v>45352</v>
      </c>
      <c r="CU3" s="230">
        <f t="shared" si="6"/>
        <v>45566</v>
      </c>
      <c r="CV3" s="230">
        <f t="shared" si="6"/>
        <v>45717</v>
      </c>
      <c r="CW3" s="230">
        <v>45962</v>
      </c>
      <c r="CZ3" s="230">
        <f t="shared" ref="CZ3:DF4" si="7">Z3</f>
        <v>44621</v>
      </c>
      <c r="DA3" s="230">
        <f t="shared" si="7"/>
        <v>44866</v>
      </c>
      <c r="DB3" s="230">
        <f t="shared" si="7"/>
        <v>44986</v>
      </c>
      <c r="DC3" s="230">
        <f t="shared" si="7"/>
        <v>45231</v>
      </c>
      <c r="DD3" s="230">
        <f t="shared" si="7"/>
        <v>45352</v>
      </c>
      <c r="DE3" s="230">
        <f t="shared" si="7"/>
        <v>45566</v>
      </c>
      <c r="DF3" s="230">
        <f t="shared" si="7"/>
        <v>45717</v>
      </c>
      <c r="DG3" s="230">
        <v>45962</v>
      </c>
      <c r="DI3" s="230">
        <f t="shared" ref="DI3:DO4" si="8">Z3</f>
        <v>44621</v>
      </c>
      <c r="DJ3" s="230">
        <f t="shared" si="8"/>
        <v>44866</v>
      </c>
      <c r="DK3" s="230">
        <f t="shared" si="8"/>
        <v>44986</v>
      </c>
      <c r="DL3" s="230">
        <f t="shared" si="8"/>
        <v>45231</v>
      </c>
      <c r="DM3" s="230">
        <f t="shared" si="8"/>
        <v>45352</v>
      </c>
      <c r="DN3" s="230">
        <f t="shared" si="8"/>
        <v>45566</v>
      </c>
      <c r="DO3" s="230">
        <f t="shared" si="8"/>
        <v>45717</v>
      </c>
      <c r="DP3" s="230">
        <v>45962</v>
      </c>
      <c r="DR3" s="230">
        <f t="shared" ref="DR3:DX4" si="9">Z3</f>
        <v>44621</v>
      </c>
      <c r="DS3" s="230">
        <f t="shared" si="9"/>
        <v>44866</v>
      </c>
      <c r="DT3" s="230">
        <f t="shared" si="9"/>
        <v>44986</v>
      </c>
      <c r="DU3" s="230">
        <f t="shared" si="9"/>
        <v>45231</v>
      </c>
      <c r="DV3" s="230">
        <f t="shared" si="9"/>
        <v>45352</v>
      </c>
      <c r="DW3" s="230">
        <f t="shared" si="9"/>
        <v>45566</v>
      </c>
      <c r="DX3" s="230">
        <f t="shared" si="9"/>
        <v>45717</v>
      </c>
      <c r="DY3" s="230">
        <v>45962</v>
      </c>
      <c r="EA3" s="230">
        <f t="shared" ref="EA3:EG4" si="10">Z3</f>
        <v>44621</v>
      </c>
      <c r="EB3" s="230">
        <f t="shared" si="10"/>
        <v>44866</v>
      </c>
      <c r="EC3" s="230">
        <f t="shared" si="10"/>
        <v>44986</v>
      </c>
      <c r="ED3" s="230">
        <f t="shared" si="10"/>
        <v>45231</v>
      </c>
      <c r="EE3" s="230">
        <f t="shared" si="10"/>
        <v>45352</v>
      </c>
      <c r="EF3" s="230">
        <f t="shared" si="10"/>
        <v>45566</v>
      </c>
      <c r="EG3" s="230">
        <f t="shared" si="10"/>
        <v>45717</v>
      </c>
      <c r="EH3" s="230">
        <v>45962</v>
      </c>
      <c r="EJ3" s="230">
        <f t="shared" ref="EJ3:EP4" si="11">Z3</f>
        <v>44621</v>
      </c>
      <c r="EK3" s="230">
        <f t="shared" si="11"/>
        <v>44866</v>
      </c>
      <c r="EL3" s="230">
        <f t="shared" si="11"/>
        <v>44986</v>
      </c>
      <c r="EM3" s="230">
        <f t="shared" si="11"/>
        <v>45231</v>
      </c>
      <c r="EN3" s="230">
        <f t="shared" si="11"/>
        <v>45352</v>
      </c>
      <c r="EO3" s="230">
        <f t="shared" si="11"/>
        <v>45566</v>
      </c>
      <c r="EP3" s="230">
        <f t="shared" si="11"/>
        <v>45717</v>
      </c>
      <c r="EQ3" s="230">
        <v>45962</v>
      </c>
      <c r="ES3" s="230">
        <f t="shared" ref="ES3:EY4" si="12">Z3</f>
        <v>44621</v>
      </c>
      <c r="ET3" s="230">
        <f t="shared" si="12"/>
        <v>44866</v>
      </c>
      <c r="EU3" s="230">
        <f t="shared" si="12"/>
        <v>44986</v>
      </c>
      <c r="EV3" s="230">
        <f t="shared" si="12"/>
        <v>45231</v>
      </c>
      <c r="EW3" s="230">
        <f t="shared" si="12"/>
        <v>45352</v>
      </c>
      <c r="EX3" s="230">
        <f t="shared" si="12"/>
        <v>45566</v>
      </c>
      <c r="EY3" s="230">
        <f t="shared" si="12"/>
        <v>45717</v>
      </c>
      <c r="EZ3" s="230">
        <v>45962</v>
      </c>
    </row>
    <row r="4" spans="1:163">
      <c r="B4" t="s">
        <v>164</v>
      </c>
      <c r="C4" t="s">
        <v>165</v>
      </c>
      <c r="D4" t="s">
        <v>166</v>
      </c>
      <c r="E4" t="s">
        <v>167</v>
      </c>
      <c r="F4" t="s">
        <v>168</v>
      </c>
      <c r="G4" t="s">
        <v>175</v>
      </c>
      <c r="K4" t="s">
        <v>162</v>
      </c>
      <c r="N4" t="s">
        <v>895</v>
      </c>
      <c r="Q4" t="s">
        <v>989</v>
      </c>
      <c r="R4" t="s">
        <v>860</v>
      </c>
      <c r="U4" t="s">
        <v>992</v>
      </c>
      <c r="V4" t="s">
        <v>993</v>
      </c>
      <c r="W4" t="s">
        <v>991</v>
      </c>
      <c r="Z4" t="s">
        <v>191</v>
      </c>
      <c r="AA4" t="s">
        <v>192</v>
      </c>
      <c r="AB4" t="s">
        <v>193</v>
      </c>
      <c r="AC4" t="s">
        <v>194</v>
      </c>
      <c r="AD4" t="s">
        <v>195</v>
      </c>
      <c r="AE4" t="s">
        <v>196</v>
      </c>
      <c r="AF4" t="s">
        <v>197</v>
      </c>
      <c r="AG4" t="s">
        <v>591</v>
      </c>
      <c r="AI4" t="str">
        <f t="shared" si="0"/>
        <v>Spring Statement (Mar22)</v>
      </c>
      <c r="AJ4" t="str">
        <f t="shared" si="0"/>
        <v>AS22</v>
      </c>
      <c r="AK4" t="str">
        <f t="shared" si="0"/>
        <v>Budget (Mar23)</v>
      </c>
      <c r="AL4" t="str">
        <f t="shared" si="0"/>
        <v>AS23</v>
      </c>
      <c r="AM4" t="str">
        <f t="shared" si="0"/>
        <v>Budget (Mar24)</v>
      </c>
      <c r="AN4" t="str">
        <f t="shared" si="0"/>
        <v>Budget (Oct24)</v>
      </c>
      <c r="AO4" t="str">
        <f t="shared" si="0"/>
        <v>Spring forecast (Mar25)</v>
      </c>
      <c r="AP4" t="s">
        <v>591</v>
      </c>
      <c r="AR4" t="str">
        <f t="shared" si="1"/>
        <v>Spring Statement (Mar22)</v>
      </c>
      <c r="AS4" t="str">
        <f t="shared" si="1"/>
        <v>AS22</v>
      </c>
      <c r="AT4" t="str">
        <f t="shared" si="1"/>
        <v>Budget (Mar23)</v>
      </c>
      <c r="AU4" t="str">
        <f t="shared" si="1"/>
        <v>AS23</v>
      </c>
      <c r="AV4" t="str">
        <f t="shared" si="1"/>
        <v>Budget (Mar24)</v>
      </c>
      <c r="AW4" t="str">
        <f t="shared" si="1"/>
        <v>Budget (Oct24)</v>
      </c>
      <c r="AX4" t="str">
        <f t="shared" si="1"/>
        <v>Spring forecast (Mar25)</v>
      </c>
      <c r="AY4" t="s">
        <v>591</v>
      </c>
      <c r="BA4" t="str">
        <f t="shared" si="2"/>
        <v>Spring Statement (Mar22)</v>
      </c>
      <c r="BB4" t="str">
        <f t="shared" si="2"/>
        <v>AS22</v>
      </c>
      <c r="BC4" t="str">
        <f t="shared" si="2"/>
        <v>Budget (Mar23)</v>
      </c>
      <c r="BD4" t="str">
        <f t="shared" si="2"/>
        <v>AS23</v>
      </c>
      <c r="BE4" t="str">
        <f t="shared" si="2"/>
        <v>Budget (Mar24)</v>
      </c>
      <c r="BF4" t="str">
        <f t="shared" si="2"/>
        <v>Budget (Oct24)</v>
      </c>
      <c r="BG4" t="str">
        <f t="shared" si="2"/>
        <v>Spring forecast (Mar25)</v>
      </c>
      <c r="BH4" t="s">
        <v>591</v>
      </c>
      <c r="BJ4" t="str">
        <f t="shared" si="3"/>
        <v>Spring Statement (Mar22)</v>
      </c>
      <c r="BK4" t="str">
        <f t="shared" si="3"/>
        <v>AS22</v>
      </c>
      <c r="BL4" t="str">
        <f t="shared" si="3"/>
        <v>Budget (Mar23)</v>
      </c>
      <c r="BM4" t="str">
        <f t="shared" si="3"/>
        <v>AS23</v>
      </c>
      <c r="BN4" t="str">
        <f t="shared" si="3"/>
        <v>Budget (Mar24)</v>
      </c>
      <c r="BO4" t="str">
        <f t="shared" si="3"/>
        <v>Budget (Oct24)</v>
      </c>
      <c r="BP4" t="str">
        <f t="shared" si="3"/>
        <v>Spring forecast (Mar25)</v>
      </c>
      <c r="BQ4" t="s">
        <v>591</v>
      </c>
      <c r="BS4" t="str">
        <f t="shared" si="4"/>
        <v>Spring Statement (Mar22)</v>
      </c>
      <c r="BT4" t="str">
        <f t="shared" si="4"/>
        <v>AS22</v>
      </c>
      <c r="BU4" t="str">
        <f t="shared" si="4"/>
        <v>Budget (Mar23)</v>
      </c>
      <c r="BV4" t="str">
        <f t="shared" si="4"/>
        <v>AS23</v>
      </c>
      <c r="BW4" t="str">
        <f t="shared" si="4"/>
        <v>Budget (Mar24)</v>
      </c>
      <c r="BX4" t="str">
        <f t="shared" si="4"/>
        <v>Budget (Oct24)</v>
      </c>
      <c r="BY4" t="str">
        <f t="shared" si="4"/>
        <v>Spring forecast (Mar25)</v>
      </c>
      <c r="BZ4" t="s">
        <v>591</v>
      </c>
      <c r="CC4" t="s">
        <v>198</v>
      </c>
      <c r="CF4" t="str">
        <f t="shared" si="5"/>
        <v>Spring Statement (Mar22)</v>
      </c>
      <c r="CG4" t="str">
        <f t="shared" si="5"/>
        <v>AS22</v>
      </c>
      <c r="CH4" t="str">
        <f t="shared" si="5"/>
        <v>Budget (Mar23)</v>
      </c>
      <c r="CI4" t="str">
        <f t="shared" si="5"/>
        <v>AS23</v>
      </c>
      <c r="CJ4" t="str">
        <f t="shared" si="5"/>
        <v>Budget (Mar24)</v>
      </c>
      <c r="CK4" t="str">
        <f t="shared" si="5"/>
        <v>Budget (Oct24)</v>
      </c>
      <c r="CL4" t="str">
        <f t="shared" si="5"/>
        <v>Spring forecast (Mar25)</v>
      </c>
      <c r="CM4" t="s">
        <v>591</v>
      </c>
      <c r="CN4" s="230" t="s">
        <v>199</v>
      </c>
      <c r="CP4" t="str">
        <f t="shared" si="6"/>
        <v>Spring Statement (Mar22)</v>
      </c>
      <c r="CQ4" t="str">
        <f t="shared" si="6"/>
        <v>AS22</v>
      </c>
      <c r="CR4" t="str">
        <f t="shared" si="6"/>
        <v>Budget (Mar23)</v>
      </c>
      <c r="CS4" t="str">
        <f t="shared" si="6"/>
        <v>AS23</v>
      </c>
      <c r="CT4" t="str">
        <f t="shared" si="6"/>
        <v>Budget (Mar24)</v>
      </c>
      <c r="CU4" t="str">
        <f t="shared" si="6"/>
        <v>Budget (Oct24)</v>
      </c>
      <c r="CV4" t="str">
        <f t="shared" si="6"/>
        <v>Spring forecast (Mar25)</v>
      </c>
      <c r="CW4" t="s">
        <v>591</v>
      </c>
      <c r="CX4" s="230" t="s">
        <v>199</v>
      </c>
      <c r="CZ4" t="str">
        <f t="shared" si="7"/>
        <v>Spring Statement (Mar22)</v>
      </c>
      <c r="DA4" t="str">
        <f t="shared" si="7"/>
        <v>AS22</v>
      </c>
      <c r="DB4" t="str">
        <f t="shared" si="7"/>
        <v>Budget (Mar23)</v>
      </c>
      <c r="DC4" t="str">
        <f t="shared" si="7"/>
        <v>AS23</v>
      </c>
      <c r="DD4" t="str">
        <f t="shared" si="7"/>
        <v>Budget (Mar24)</v>
      </c>
      <c r="DE4" t="str">
        <f t="shared" si="7"/>
        <v>Budget (Oct24)</v>
      </c>
      <c r="DF4" t="str">
        <f t="shared" si="7"/>
        <v>Spring forecast (Mar25)</v>
      </c>
      <c r="DG4" t="s">
        <v>591</v>
      </c>
      <c r="DI4" t="str">
        <f t="shared" si="8"/>
        <v>Spring Statement (Mar22)</v>
      </c>
      <c r="DJ4" t="str">
        <f t="shared" si="8"/>
        <v>AS22</v>
      </c>
      <c r="DK4" t="str">
        <f t="shared" si="8"/>
        <v>Budget (Mar23)</v>
      </c>
      <c r="DL4" t="str">
        <f t="shared" si="8"/>
        <v>AS23</v>
      </c>
      <c r="DM4" t="str">
        <f t="shared" si="8"/>
        <v>Budget (Mar24)</v>
      </c>
      <c r="DN4" t="str">
        <f t="shared" si="8"/>
        <v>Budget (Oct24)</v>
      </c>
      <c r="DO4" t="str">
        <f t="shared" si="8"/>
        <v>Spring forecast (Mar25)</v>
      </c>
      <c r="DP4" t="s">
        <v>591</v>
      </c>
      <c r="DR4" t="str">
        <f t="shared" si="9"/>
        <v>Spring Statement (Mar22)</v>
      </c>
      <c r="DS4" t="str">
        <f t="shared" si="9"/>
        <v>AS22</v>
      </c>
      <c r="DT4" t="str">
        <f t="shared" si="9"/>
        <v>Budget (Mar23)</v>
      </c>
      <c r="DU4" t="str">
        <f t="shared" si="9"/>
        <v>AS23</v>
      </c>
      <c r="DV4" t="str">
        <f t="shared" si="9"/>
        <v>Budget (Mar24)</v>
      </c>
      <c r="DW4" t="str">
        <f t="shared" si="9"/>
        <v>Budget (Oct24)</v>
      </c>
      <c r="DX4" t="str">
        <f t="shared" si="9"/>
        <v>Spring forecast (Mar25)</v>
      </c>
      <c r="DY4" t="s">
        <v>591</v>
      </c>
      <c r="EA4" t="str">
        <f t="shared" si="10"/>
        <v>Spring Statement (Mar22)</v>
      </c>
      <c r="EB4" t="str">
        <f t="shared" si="10"/>
        <v>AS22</v>
      </c>
      <c r="EC4" t="str">
        <f t="shared" si="10"/>
        <v>Budget (Mar23)</v>
      </c>
      <c r="ED4" t="str">
        <f t="shared" si="10"/>
        <v>AS23</v>
      </c>
      <c r="EE4" t="str">
        <f t="shared" si="10"/>
        <v>Budget (Mar24)</v>
      </c>
      <c r="EF4" t="str">
        <f t="shared" si="10"/>
        <v>Budget (Oct24)</v>
      </c>
      <c r="EG4" t="str">
        <f t="shared" si="10"/>
        <v>Spring forecast (Mar25)</v>
      </c>
      <c r="EH4" t="s">
        <v>591</v>
      </c>
      <c r="EJ4" t="str">
        <f t="shared" si="11"/>
        <v>Spring Statement (Mar22)</v>
      </c>
      <c r="EK4" t="str">
        <f t="shared" si="11"/>
        <v>AS22</v>
      </c>
      <c r="EL4" t="str">
        <f t="shared" si="11"/>
        <v>Budget (Mar23)</v>
      </c>
      <c r="EM4" t="str">
        <f t="shared" si="11"/>
        <v>AS23</v>
      </c>
      <c r="EN4" t="str">
        <f t="shared" si="11"/>
        <v>Budget (Mar24)</v>
      </c>
      <c r="EO4" t="str">
        <f t="shared" si="11"/>
        <v>Budget (Oct24)</v>
      </c>
      <c r="EP4" t="str">
        <f t="shared" si="11"/>
        <v>Spring forecast (Mar25)</v>
      </c>
      <c r="EQ4" t="s">
        <v>591</v>
      </c>
      <c r="ES4" t="str">
        <f t="shared" si="12"/>
        <v>Spring Statement (Mar22)</v>
      </c>
      <c r="ET4" t="str">
        <f t="shared" si="12"/>
        <v>AS22</v>
      </c>
      <c r="EU4" t="str">
        <f t="shared" si="12"/>
        <v>Budget (Mar23)</v>
      </c>
      <c r="EV4" t="str">
        <f t="shared" si="12"/>
        <v>AS23</v>
      </c>
      <c r="EW4" t="str">
        <f t="shared" si="12"/>
        <v>Budget (Mar24)</v>
      </c>
      <c r="EX4" t="str">
        <f t="shared" si="12"/>
        <v>Budget (Oct24)</v>
      </c>
      <c r="EY4" t="str">
        <f t="shared" si="12"/>
        <v>Spring forecast (Mar25)</v>
      </c>
      <c r="EZ4" t="s">
        <v>591</v>
      </c>
      <c r="FC4" t="s">
        <v>619</v>
      </c>
      <c r="FD4" t="s">
        <v>620</v>
      </c>
      <c r="FE4" t="s">
        <v>618</v>
      </c>
    </row>
    <row r="5" spans="1:163">
      <c r="A5" t="s">
        <v>169</v>
      </c>
      <c r="B5" s="229">
        <f>PresentationalScorecardRounded!I108</f>
        <v>70</v>
      </c>
      <c r="C5" s="229">
        <f>PresentationalScorecardRounded!J108</f>
        <v>-1905</v>
      </c>
      <c r="D5" s="229">
        <f>PresentationalScorecardRounded!K108</f>
        <v>2890</v>
      </c>
      <c r="E5" s="229">
        <f>PresentationalScorecardRounded!L108</f>
        <v>10730</v>
      </c>
      <c r="F5" s="229">
        <f>PresentationalScorecardRounded!M108</f>
        <v>23150</v>
      </c>
      <c r="G5" s="229">
        <f>PresentationalScorecardRounded!N108</f>
        <v>26645</v>
      </c>
      <c r="I5" s="227" t="str">
        <f>'Aggregates (per cent of GDP)'!B57</f>
        <v>2000-01</v>
      </c>
      <c r="J5" t="str">
        <f>LEFT(I5,4)</f>
        <v>2000</v>
      </c>
      <c r="K5" s="228">
        <f>-('Aggregates (per cent of GDP)'!M57-'Aggregates (per cent of GDP)'!M56)</f>
        <v>-1.4043284241536114E-2</v>
      </c>
      <c r="M5" t="s">
        <v>896</v>
      </c>
      <c r="N5" s="229">
        <f>AVERAGE(OBR_NOV25_C7.3!C27:C45)</f>
        <v>33.984635860083756</v>
      </c>
      <c r="P5" t="str">
        <f>'Aggregates (per cent of GDP)'!B5</f>
        <v>1948-49</v>
      </c>
      <c r="Q5" s="228">
        <f>'Aggregates (per cent of GDP)'!C5</f>
        <v>42.940919037199123</v>
      </c>
      <c r="R5" s="228">
        <f>'Aggregates (per cent of GDP)'!D5</f>
        <v>38.599562363238512</v>
      </c>
      <c r="T5" s="230">
        <f>'[1]CPI Forecast'!A342</f>
        <v>45292</v>
      </c>
      <c r="U5" s="228">
        <f>'[3]CPI Forecast'!F342</f>
        <v>3.9811146171913947</v>
      </c>
      <c r="V5" s="228">
        <f>'[3]CPI Forecast'!D342</f>
        <v>3.9811146171913947</v>
      </c>
      <c r="W5">
        <v>2</v>
      </c>
      <c r="Y5" s="231" t="s">
        <v>200</v>
      </c>
      <c r="Z5" s="232">
        <f t="shared" ref="Z5:AF15" si="13">100*(AR5/AR$10)</f>
        <v>90.992340404612577</v>
      </c>
      <c r="AI5" s="232">
        <f t="shared" ref="AI5:AI12" si="14">100*(BA5/BA$11)</f>
        <v>70.963366568902444</v>
      </c>
      <c r="AR5" s="232">
        <f t="shared" ref="AR5:AR12" si="15">100*(BJ5/EJ5)</f>
        <v>5.5851589418077614</v>
      </c>
      <c r="BA5" s="232">
        <f t="shared" ref="BA5:BA12" si="16">100*(BS5/EJ5)</f>
        <v>1.0059248923277864</v>
      </c>
      <c r="BJ5" s="232">
        <f t="shared" ref="BJ5:BJ12" si="17">DR5/($CC5/1000)</f>
        <v>4.8181184194747564</v>
      </c>
      <c r="BK5" s="232"/>
      <c r="BL5" s="232"/>
      <c r="BM5" s="232"/>
      <c r="BN5" s="232"/>
      <c r="BO5" s="232"/>
      <c r="BP5" s="232"/>
      <c r="BS5" s="232">
        <f t="shared" ref="BS5:BS12" si="18">EA5/($CC5/1000)</f>
        <v>0.86777570751888711</v>
      </c>
      <c r="BT5" s="232"/>
      <c r="BU5" s="232"/>
      <c r="BV5" s="232"/>
      <c r="BW5" s="232"/>
      <c r="BX5" s="232"/>
      <c r="BY5" s="232"/>
      <c r="CB5">
        <v>202001</v>
      </c>
      <c r="CC5" s="229">
        <f>VLOOKUP(CB5,DataQ!$C$7:$E$358,3,FALSE)</f>
        <v>66712</v>
      </c>
      <c r="CE5" t="str">
        <f>Y5</f>
        <v>19-20</v>
      </c>
      <c r="CF5" s="232">
        <f t="shared" ref="CF5:CF12" si="19">100*(CZ5/CZ$11)</f>
        <v>85.577018412289718</v>
      </c>
      <c r="CN5">
        <v>100</v>
      </c>
      <c r="CP5" s="232">
        <f t="shared" ref="CP5:CP12" si="20">100*(DI5/DI$11)</f>
        <v>67.606994272881821</v>
      </c>
      <c r="CX5">
        <v>100</v>
      </c>
      <c r="CZ5" s="232">
        <f t="shared" ref="CZ5:CZ12" si="21">100*(DR5/EJ5)</f>
        <v>372.59712332587941</v>
      </c>
      <c r="DI5" s="232">
        <f t="shared" ref="DI5:DI12" si="22">100*(EA5/EJ5)</f>
        <v>67.107261416971284</v>
      </c>
      <c r="DR5" s="232">
        <f>'[2]Chart Data'!CJ5</f>
        <v>321.42631599999999</v>
      </c>
      <c r="DS5" s="232"/>
      <c r="DT5" s="232"/>
      <c r="DU5" s="232"/>
      <c r="DV5" s="232"/>
      <c r="DW5" s="232"/>
      <c r="DX5" s="232"/>
      <c r="EA5" s="232">
        <f>'[2]Chart Data'!CR5</f>
        <v>57.891052999999999</v>
      </c>
      <c r="EB5" s="232"/>
      <c r="EC5" s="232"/>
      <c r="ED5" s="232"/>
      <c r="EE5" s="232"/>
      <c r="EF5" s="232"/>
      <c r="EG5" s="232"/>
      <c r="EJ5" s="228">
        <f t="shared" ref="EJ5:EQ12" si="23">100*(ES5/ES$11)</f>
        <v>86.266451316339172</v>
      </c>
      <c r="EK5" s="228">
        <f t="shared" si="23"/>
        <v>85.633753406026656</v>
      </c>
      <c r="EL5" s="228">
        <f t="shared" si="23"/>
        <v>85.312397779345218</v>
      </c>
      <c r="EM5" s="228">
        <f t="shared" si="23"/>
        <v>81.675919862323099</v>
      </c>
      <c r="EN5" s="228">
        <f t="shared" si="23"/>
        <v>82.241835346479846</v>
      </c>
      <c r="EO5" s="228">
        <f t="shared" si="23"/>
        <v>80.45332970811198</v>
      </c>
      <c r="EP5" s="228">
        <f t="shared" si="23"/>
        <v>78.844028911116666</v>
      </c>
      <c r="EQ5" s="228" t="e">
        <f t="shared" si="23"/>
        <v>#DIV/0!</v>
      </c>
      <c r="ES5" s="228">
        <f>'[2]Chart Data'!DH5</f>
        <v>100.74871125117286</v>
      </c>
      <c r="ET5" s="228">
        <f>'[2]Chart Data'!DI5</f>
        <v>100.88484132881088</v>
      </c>
      <c r="EU5" s="228">
        <f>'[2]Chart Data'!DJ5</f>
        <v>100.88484132881088</v>
      </c>
      <c r="EV5" s="228">
        <f>'[2]Chart Data'!DK5</f>
        <v>100.73409318654167</v>
      </c>
      <c r="EW5" s="228">
        <f>'[2]Chart Data'!DL5</f>
        <v>100.73409318654167</v>
      </c>
      <c r="EX5" s="228">
        <f>'[2]Chart Data'!DM5</f>
        <v>100.73409318654167</v>
      </c>
      <c r="EY5" s="228">
        <f>'[2]Chart Data'!DN5</f>
        <v>90.938576996689974</v>
      </c>
      <c r="FB5">
        <v>2024</v>
      </c>
      <c r="FC5" s="228">
        <f>100*(OBR_NOV25_ST1.1!R114/OBR_NOV25_ST1.1!$R$114)</f>
        <v>100</v>
      </c>
      <c r="FD5" s="228">
        <f>100*(OBR_MAR25_ST1.1!R110/OBR_MAR25_ST1.1!$R$110)</f>
        <v>100</v>
      </c>
      <c r="FE5" s="228">
        <f>100*(FG5/$FG$5)</f>
        <v>100</v>
      </c>
      <c r="FG5">
        <f>SUMIF(DataQ!A:A,'Chart Data'!FB5,DataQ!F:F)</f>
        <v>2783075</v>
      </c>
    </row>
    <row r="6" spans="1:163">
      <c r="A6" t="s">
        <v>860</v>
      </c>
      <c r="B6" s="229">
        <f>PresentationalScorecardRounded!I107</f>
        <v>-4200</v>
      </c>
      <c r="C6" s="229">
        <f>PresentationalScorecardRounded!J107</f>
        <v>-7410</v>
      </c>
      <c r="D6" s="229">
        <f>PresentationalScorecardRounded!K107</f>
        <v>-10330</v>
      </c>
      <c r="E6" s="229">
        <f>PresentationalScorecardRounded!L107</f>
        <v>-7305</v>
      </c>
      <c r="F6" s="229">
        <f>PresentationalScorecardRounded!M107</f>
        <v>-2615</v>
      </c>
      <c r="G6" s="229">
        <f>PresentationalScorecardRounded!N107</f>
        <v>-2535</v>
      </c>
      <c r="I6" s="227" t="str">
        <f>'Aggregates (per cent of GDP)'!B58</f>
        <v>2001-02</v>
      </c>
      <c r="J6" t="str">
        <f t="shared" ref="J6:J34" si="24">LEFT(I6,4)</f>
        <v>2001</v>
      </c>
      <c r="K6" s="228">
        <f>-('Aggregates (per cent of GDP)'!M58-'Aggregates (per cent of GDP)'!M57)</f>
        <v>1.951105647347775</v>
      </c>
      <c r="M6" t="s">
        <v>897</v>
      </c>
      <c r="N6" s="229">
        <f>AVERAGE(OBR_NOV25_C7.3!C46:C48)</f>
        <v>26.014548705536924</v>
      </c>
      <c r="P6" t="str">
        <f>OBR_NOV25_C4.1!B30</f>
        <v>1949-50</v>
      </c>
      <c r="Q6" s="228">
        <f>'Aggregates (per cent of GDP)'!C6</f>
        <v>43.298545484427642</v>
      </c>
      <c r="R6" s="228">
        <f>'Aggregates (per cent of GDP)'!D6</f>
        <v>38.474813049552139</v>
      </c>
      <c r="T6" s="230">
        <f>'[1]CPI Forecast'!A343</f>
        <v>45323</v>
      </c>
      <c r="U6" s="228">
        <f>'[3]CPI Forecast'!F343</f>
        <v>3.4114721796515868</v>
      </c>
      <c r="V6" s="228">
        <f>'[3]CPI Forecast'!D343</f>
        <v>3.4114721796515868</v>
      </c>
      <c r="W6">
        <v>2</v>
      </c>
      <c r="Y6" s="231" t="s">
        <v>201</v>
      </c>
      <c r="Z6" s="232">
        <f t="shared" si="13"/>
        <v>116.01457733093498</v>
      </c>
      <c r="AI6" s="232">
        <f t="shared" si="14"/>
        <v>83.96462268458103</v>
      </c>
      <c r="AR6" s="232">
        <f t="shared" si="15"/>
        <v>7.1210373431286449</v>
      </c>
      <c r="BA6" s="232">
        <f t="shared" si="16"/>
        <v>1.1902212101411682</v>
      </c>
      <c r="BJ6" s="232">
        <f t="shared" si="17"/>
        <v>6.4932373558881329</v>
      </c>
      <c r="BK6" s="232"/>
      <c r="BL6" s="232"/>
      <c r="BM6" s="232"/>
      <c r="BN6" s="232"/>
      <c r="BO6" s="232"/>
      <c r="BP6" s="232"/>
      <c r="BS6" s="232">
        <f t="shared" si="18"/>
        <v>1.0852897479770169</v>
      </c>
      <c r="BT6" s="232"/>
      <c r="BU6" s="232"/>
      <c r="BV6" s="232"/>
      <c r="BW6" s="232"/>
      <c r="BX6" s="232"/>
      <c r="BY6" s="232"/>
      <c r="CB6">
        <f>+CB5+100</f>
        <v>202101</v>
      </c>
      <c r="CC6" s="229">
        <f>VLOOKUP(CB6,DataQ!$C$7:$E$358,3,FALSE)</f>
        <v>66918.5</v>
      </c>
      <c r="CE6" t="str">
        <f t="shared" ref="CE6:CE16" si="25">Y6</f>
        <v>20-21</v>
      </c>
      <c r="CF6" s="232">
        <f t="shared" si="19"/>
        <v>109.44781968580924</v>
      </c>
      <c r="CN6">
        <v>100</v>
      </c>
      <c r="CP6" s="232">
        <f t="shared" si="20"/>
        <v>80.240937643870595</v>
      </c>
      <c r="CX6">
        <v>100</v>
      </c>
      <c r="CZ6" s="232">
        <f t="shared" si="21"/>
        <v>476.52913744615415</v>
      </c>
      <c r="DI6" s="232">
        <f t="shared" si="22"/>
        <v>79.647818050831759</v>
      </c>
      <c r="DR6" s="232">
        <f>'[2]Chart Data'!CJ6</f>
        <v>434.51770399999998</v>
      </c>
      <c r="DS6" s="232"/>
      <c r="DT6" s="232"/>
      <c r="DU6" s="232"/>
      <c r="DV6" s="232"/>
      <c r="DW6" s="232"/>
      <c r="DX6" s="232"/>
      <c r="EA6" s="232">
        <f>'[2]Chart Data'!CR6</f>
        <v>72.625962000000001</v>
      </c>
      <c r="EB6" s="232"/>
      <c r="EC6" s="232"/>
      <c r="ED6" s="232"/>
      <c r="EE6" s="232"/>
      <c r="EF6" s="232"/>
      <c r="EG6" s="232"/>
      <c r="EJ6" s="228">
        <f t="shared" si="23"/>
        <v>91.183868908561493</v>
      </c>
      <c r="EK6" s="228">
        <f t="shared" si="23"/>
        <v>91.036341230169995</v>
      </c>
      <c r="EL6" s="228">
        <f t="shared" si="23"/>
        <v>90.569203685520819</v>
      </c>
      <c r="EM6" s="228">
        <f t="shared" si="23"/>
        <v>86.027982435497236</v>
      </c>
      <c r="EN6" s="228">
        <f t="shared" si="23"/>
        <v>86.624052457274487</v>
      </c>
      <c r="EO6" s="228">
        <f t="shared" si="23"/>
        <v>84.740247145958065</v>
      </c>
      <c r="EP6" s="228">
        <f t="shared" si="23"/>
        <v>82.977176195602624</v>
      </c>
      <c r="EQ6" s="228" t="e">
        <f t="shared" si="23"/>
        <v>#DIV/0!</v>
      </c>
      <c r="ES6" s="228">
        <f>'[2]Chart Data'!DH6</f>
        <v>106.49165624937993</v>
      </c>
      <c r="ET6" s="228">
        <f>'[2]Chart Data'!DI6</f>
        <v>107.24961215485887</v>
      </c>
      <c r="EU6" s="228">
        <f>'[2]Chart Data'!DJ6</f>
        <v>107.10119491334555</v>
      </c>
      <c r="EV6" s="228">
        <f>'[2]Chart Data'!DK6</f>
        <v>106.10166146785119</v>
      </c>
      <c r="EW6" s="228">
        <f>'[2]Chart Data'!DL6</f>
        <v>106.10166146785119</v>
      </c>
      <c r="EX6" s="228">
        <f>'[2]Chart Data'!DM6</f>
        <v>106.10166146785119</v>
      </c>
      <c r="EY6" s="228">
        <f>'[2]Chart Data'!DN6</f>
        <v>95.705742472120065</v>
      </c>
      <c r="FB6">
        <v>2025</v>
      </c>
      <c r="FC6" s="228">
        <f>100*(OBR_NOV25_ST1.1!R115/OBR_NOV25_ST1.1!$R$114)</f>
        <v>101.48334280185995</v>
      </c>
      <c r="FD6" s="228">
        <f>100*(OBR_MAR25_ST1.1!R111/OBR_MAR25_ST1.1!$R$110)</f>
        <v>100.97159306464106</v>
      </c>
      <c r="FE6" s="228">
        <f t="shared" ref="FE6:FE11" si="26">100*(FG6/$FG$5)</f>
        <v>101.41727405837069</v>
      </c>
      <c r="FG6">
        <f>SUMIF(DataQ!A:A,'Chart Data'!FB6,DataQ!F:F)</f>
        <v>2822518.8</v>
      </c>
    </row>
    <row r="7" spans="1:163">
      <c r="A7" t="s">
        <v>171</v>
      </c>
      <c r="B7" s="229">
        <f t="shared" ref="B7:G7" si="27">SUM(B5:B6)</f>
        <v>-4130</v>
      </c>
      <c r="C7" s="229">
        <f t="shared" si="27"/>
        <v>-9315</v>
      </c>
      <c r="D7" s="229">
        <f t="shared" si="27"/>
        <v>-7440</v>
      </c>
      <c r="E7" s="229">
        <f t="shared" si="27"/>
        <v>3425</v>
      </c>
      <c r="F7" s="229">
        <f t="shared" si="27"/>
        <v>20535</v>
      </c>
      <c r="G7" s="229">
        <f t="shared" si="27"/>
        <v>24110</v>
      </c>
      <c r="I7" s="227" t="str">
        <f>'Aggregates (per cent of GDP)'!B59</f>
        <v>2002-03</v>
      </c>
      <c r="J7" t="str">
        <f t="shared" si="24"/>
        <v>2002</v>
      </c>
      <c r="K7" s="228">
        <f>-('Aggregates (per cent of GDP)'!M59-'Aggregates (per cent of GDP)'!M58)</f>
        <v>2.0209110564186203</v>
      </c>
      <c r="M7" t="s">
        <v>898</v>
      </c>
      <c r="N7" s="229">
        <f>AVERAGE(OBR_NOV25_C7.3!C50:C52)</f>
        <v>9.9622057572901745</v>
      </c>
      <c r="P7" t="str">
        <f>OBR_NOV25_C4.1!B31</f>
        <v>1950-51</v>
      </c>
      <c r="Q7" s="228">
        <f>'Aggregates (per cent of GDP)'!C7</f>
        <v>42.8414442700157</v>
      </c>
      <c r="R7" s="228">
        <f>'Aggregates (per cent of GDP)'!D7</f>
        <v>39.183673469387756</v>
      </c>
      <c r="T7" s="230">
        <f>'[1]CPI Forecast'!A344</f>
        <v>45352</v>
      </c>
      <c r="U7" s="228">
        <f>'[3]CPI Forecast'!F344</f>
        <v>3.228059284550322</v>
      </c>
      <c r="V7" s="228">
        <f>'[3]CPI Forecast'!D344</f>
        <v>3.228059284550322</v>
      </c>
      <c r="W7">
        <v>2</v>
      </c>
      <c r="Y7" s="231" t="s">
        <v>202</v>
      </c>
      <c r="Z7" s="232">
        <f t="shared" si="13"/>
        <v>108.21143626235154</v>
      </c>
      <c r="AA7" s="232">
        <f t="shared" si="13"/>
        <v>110.92075223752984</v>
      </c>
      <c r="AB7" s="232">
        <f t="shared" si="13"/>
        <v>110.06914663855187</v>
      </c>
      <c r="AI7" s="232">
        <f t="shared" si="14"/>
        <v>80.063179631863321</v>
      </c>
      <c r="AJ7" s="232">
        <f t="shared" ref="AJ7:AK13" si="28">100*(BB7/BB$11)</f>
        <v>92.12690068829852</v>
      </c>
      <c r="AK7" s="232">
        <f t="shared" si="28"/>
        <v>91.41658559685392</v>
      </c>
      <c r="AR7" s="232">
        <f t="shared" si="15"/>
        <v>6.6420763347669238</v>
      </c>
      <c r="AS7" s="232">
        <f t="shared" ref="AS7:AT13" si="29">100*(BK7/EK7)</f>
        <v>6.7598794292269782</v>
      </c>
      <c r="AT7" s="232">
        <f t="shared" si="29"/>
        <v>6.8111687849793769</v>
      </c>
      <c r="BA7" s="232">
        <f t="shared" si="16"/>
        <v>1.1349172008687576</v>
      </c>
      <c r="BB7" s="232">
        <f t="shared" ref="BB7:BC13" si="30">100*(BT7/EK7)</f>
        <v>1.2578242021556039</v>
      </c>
      <c r="BC7" s="232">
        <f t="shared" si="30"/>
        <v>1.2673677145294204</v>
      </c>
      <c r="BJ7" s="232">
        <f t="shared" si="17"/>
        <v>6.0029461550437944</v>
      </c>
      <c r="BK7" s="232">
        <f t="shared" ref="BK7:BL13" si="31">DS7/($CC7/1000)</f>
        <v>6.1323736392402708</v>
      </c>
      <c r="BL7" s="232">
        <f t="shared" si="31"/>
        <v>6.1323736392402708</v>
      </c>
      <c r="BM7" s="232"/>
      <c r="BN7" s="232"/>
      <c r="BO7" s="232"/>
      <c r="BP7" s="232"/>
      <c r="BS7" s="232">
        <f t="shared" si="18"/>
        <v>1.0257104110031645</v>
      </c>
      <c r="BT7" s="232">
        <f t="shared" ref="BT7:BU13" si="32">EB7/($CC7/1000)</f>
        <v>1.1410629525058729</v>
      </c>
      <c r="BU7" s="232">
        <f t="shared" si="32"/>
        <v>1.1410629525058729</v>
      </c>
      <c r="BV7" s="232"/>
      <c r="BW7" s="232"/>
      <c r="BX7" s="232"/>
      <c r="BY7" s="232"/>
      <c r="CB7">
        <f t="shared" ref="CB7:CB16" si="33">+CB6+100</f>
        <v>202201</v>
      </c>
      <c r="CC7" s="229">
        <f>VLOOKUP(CB7,DataQ!$C$7:$E$358,3,FALSE)</f>
        <v>67471.5</v>
      </c>
      <c r="CE7" t="str">
        <f t="shared" si="25"/>
        <v>21-22</v>
      </c>
      <c r="CF7" s="232">
        <f t="shared" si="19"/>
        <v>102.92997834330808</v>
      </c>
      <c r="CG7" s="232">
        <f t="shared" ref="CG7:CH13" si="34">100*(DA7/DA$11)</f>
        <v>105.98933704292615</v>
      </c>
      <c r="CH7" s="232">
        <f t="shared" si="34"/>
        <v>105.44094319622137</v>
      </c>
      <c r="CN7">
        <v>100</v>
      </c>
      <c r="CP7" s="232">
        <f t="shared" si="20"/>
        <v>77.144799686096874</v>
      </c>
      <c r="CQ7" s="232">
        <f t="shared" ref="CQ7:CR13" si="35">100*(DJ7/DJ$11)</f>
        <v>88.768786500595851</v>
      </c>
      <c r="CR7" s="232">
        <f t="shared" si="35"/>
        <v>88.084363077800674</v>
      </c>
      <c r="CX7">
        <v>100</v>
      </c>
      <c r="CZ7" s="232">
        <f t="shared" si="21"/>
        <v>448.15085342122654</v>
      </c>
      <c r="DA7" s="232">
        <f t="shared" ref="DA7:DB13" si="36">100*(DS7/EK7)</f>
        <v>456.09920490908814</v>
      </c>
      <c r="DB7" s="232">
        <f t="shared" si="36"/>
        <v>459.55977467573615</v>
      </c>
      <c r="DI7" s="232">
        <f t="shared" si="22"/>
        <v>76.574565918416383</v>
      </c>
      <c r="DJ7" s="232">
        <f t="shared" ref="DJ7:DK13" si="37">100*(EB7/EK7)</f>
        <v>84.867285655741824</v>
      </c>
      <c r="DK7" s="232">
        <f t="shared" si="37"/>
        <v>85.511200750871794</v>
      </c>
      <c r="DR7" s="232">
        <f>'[2]Chart Data'!CJ7</f>
        <v>405.02778150003741</v>
      </c>
      <c r="DS7" s="232">
        <f>'[2]Chart Data'!CK7</f>
        <v>413.760448</v>
      </c>
      <c r="DT7" s="232">
        <f>'[2]Chart Data'!CL7</f>
        <v>413.760448</v>
      </c>
      <c r="DU7" s="232"/>
      <c r="DV7" s="232"/>
      <c r="DW7" s="232"/>
      <c r="DX7" s="232"/>
      <c r="EA7" s="232">
        <f>'[2]Chart Data'!CR7</f>
        <v>69.206219996000016</v>
      </c>
      <c r="EB7" s="232">
        <f>'[2]Chart Data'!CS7</f>
        <v>76.989229000000009</v>
      </c>
      <c r="EC7" s="232">
        <f>'[2]Chart Data'!CT7</f>
        <v>76.989229000000009</v>
      </c>
      <c r="ED7" s="232"/>
      <c r="EE7" s="232"/>
      <c r="EF7" s="232"/>
      <c r="EG7" s="232"/>
      <c r="EJ7" s="228">
        <f t="shared" si="23"/>
        <v>90.377554434632117</v>
      </c>
      <c r="EK7" s="228">
        <f t="shared" si="23"/>
        <v>90.717204403474611</v>
      </c>
      <c r="EL7" s="228">
        <f t="shared" si="23"/>
        <v>90.034087141753872</v>
      </c>
      <c r="EM7" s="228">
        <f t="shared" si="23"/>
        <v>85.456059943553768</v>
      </c>
      <c r="EN7" s="228">
        <f t="shared" si="23"/>
        <v>86.029411477502379</v>
      </c>
      <c r="EO7" s="228">
        <f t="shared" si="23"/>
        <v>84.158537768948065</v>
      </c>
      <c r="EP7" s="228">
        <f t="shared" si="23"/>
        <v>82.608052701366347</v>
      </c>
      <c r="EQ7" s="228" t="e">
        <f t="shared" si="23"/>
        <v>#DIV/0!</v>
      </c>
      <c r="ES7" s="228">
        <f>'[2]Chart Data'!DH7</f>
        <v>105.54997912145841</v>
      </c>
      <c r="ET7" s="228">
        <f>'[2]Chart Data'!DI7</f>
        <v>106.87363811608601</v>
      </c>
      <c r="EU7" s="228">
        <f>'[2]Chart Data'!DJ7</f>
        <v>106.46840121611554</v>
      </c>
      <c r="EV7" s="228">
        <f>'[2]Chart Data'!DK7</f>
        <v>105.39628718255358</v>
      </c>
      <c r="EW7" s="228">
        <f>'[2]Chart Data'!DL7</f>
        <v>105.37331415390152</v>
      </c>
      <c r="EX7" s="228">
        <f>'[2]Chart Data'!DM7</f>
        <v>105.37331415390152</v>
      </c>
      <c r="EY7" s="228">
        <f>'[2]Chart Data'!DN7</f>
        <v>95.279996023524248</v>
      </c>
      <c r="FB7">
        <v>2026</v>
      </c>
      <c r="FC7" s="228">
        <f>100*(OBR_NOV25_ST1.1!R116/OBR_NOV25_ST1.1!$R$114)</f>
        <v>102.87515287635117</v>
      </c>
      <c r="FD7" s="228">
        <f>100*(OBR_MAR25_ST1.1!R112/OBR_MAR25_ST1.1!$R$110)</f>
        <v>102.85140304800349</v>
      </c>
      <c r="FE7" s="228">
        <f t="shared" si="26"/>
        <v>102.33452565956721</v>
      </c>
      <c r="FG7">
        <f>SUMIF(DataQ!A:A,'Chart Data'!FB7,DataQ!F:F)</f>
        <v>2848046.6</v>
      </c>
    </row>
    <row r="8" spans="1:163">
      <c r="I8" s="227" t="str">
        <f>'Aggregates (per cent of GDP)'!B60</f>
        <v>2003-04</v>
      </c>
      <c r="J8" t="str">
        <f t="shared" si="24"/>
        <v>2003</v>
      </c>
      <c r="K8" s="228">
        <f>-('Aggregates (per cent of GDP)'!M60-'Aggregates (per cent of GDP)'!M59)</f>
        <v>0.43914094477649046</v>
      </c>
      <c r="P8" t="str">
        <f>OBR_NOV25_C4.1!B32</f>
        <v>1951-52</v>
      </c>
      <c r="Q8" s="228">
        <f>'Aggregates (per cent of GDP)'!C8</f>
        <v>41.131231210235612</v>
      </c>
      <c r="R8" s="228">
        <f>'Aggregates (per cent of GDP)'!D8</f>
        <v>40.648814933929941</v>
      </c>
      <c r="T8" s="230">
        <f>'[1]CPI Forecast'!A345</f>
        <v>45383</v>
      </c>
      <c r="U8" s="228">
        <f>'[3]CPI Forecast'!F345</f>
        <v>2.3330700994410813</v>
      </c>
      <c r="V8" s="228">
        <f>'[3]CPI Forecast'!D345</f>
        <v>2.3330700994410813</v>
      </c>
      <c r="W8">
        <v>2</v>
      </c>
      <c r="Y8" s="231" t="s">
        <v>203</v>
      </c>
      <c r="Z8" s="232">
        <f t="shared" si="13"/>
        <v>103.23133548621233</v>
      </c>
      <c r="AA8" s="232">
        <f t="shared" si="13"/>
        <v>104.94869052222083</v>
      </c>
      <c r="AB8" s="232">
        <f t="shared" si="13"/>
        <v>103.37415571388509</v>
      </c>
      <c r="AC8" s="232">
        <f t="shared" si="13"/>
        <v>103.89246730868666</v>
      </c>
      <c r="AD8" s="232">
        <f t="shared" si="13"/>
        <v>103.67211842229422</v>
      </c>
      <c r="AE8" s="232"/>
      <c r="AF8" s="232"/>
      <c r="AG8" s="232"/>
      <c r="AI8" s="232">
        <f t="shared" si="14"/>
        <v>94.449424769330008</v>
      </c>
      <c r="AJ8" s="232">
        <f t="shared" si="28"/>
        <v>100.13982077299414</v>
      </c>
      <c r="AK8" s="232">
        <f t="shared" si="28"/>
        <v>95.858371697094071</v>
      </c>
      <c r="AL8" s="232">
        <f t="shared" ref="AL8:AM14" si="38">100*(BD8/BD$11)</f>
        <v>103.87880775542556</v>
      </c>
      <c r="AM8" s="232">
        <f t="shared" si="38"/>
        <v>102.1785013616153</v>
      </c>
      <c r="AN8" s="232"/>
      <c r="AO8" s="232"/>
      <c r="AP8" s="232"/>
      <c r="AR8" s="232">
        <f t="shared" si="15"/>
        <v>6.336395062505157</v>
      </c>
      <c r="AS8" s="232">
        <f t="shared" si="29"/>
        <v>6.3959221324630624</v>
      </c>
      <c r="AT8" s="232">
        <f t="shared" si="29"/>
        <v>6.3968772728306034</v>
      </c>
      <c r="AU8" s="232">
        <f t="shared" ref="AU8:AV14" si="39">100*(BM8/EM8)</f>
        <v>6.6102110478323439</v>
      </c>
      <c r="AV8" s="232">
        <f t="shared" si="39"/>
        <v>6.4932717489691205</v>
      </c>
      <c r="AW8" s="232"/>
      <c r="AX8" s="232"/>
      <c r="AY8" s="232"/>
      <c r="AZ8" s="232"/>
      <c r="BA8" s="232">
        <f t="shared" si="16"/>
        <v>1.3388461122297501</v>
      </c>
      <c r="BB8" s="232">
        <f t="shared" si="30"/>
        <v>1.3672259592663698</v>
      </c>
      <c r="BC8" s="232">
        <f t="shared" si="30"/>
        <v>1.3289470905423837</v>
      </c>
      <c r="BD8" s="232">
        <f t="shared" ref="BD8:BE14" si="40">100*(BV8/EM8)</f>
        <v>1.4422605932057226</v>
      </c>
      <c r="BE8" s="232">
        <f t="shared" si="40"/>
        <v>1.4309267381812873</v>
      </c>
      <c r="BF8" s="232"/>
      <c r="BG8" s="232"/>
      <c r="BH8" s="232"/>
      <c r="BI8" s="232"/>
      <c r="BJ8" s="232">
        <f t="shared" si="17"/>
        <v>5.9583346754497821</v>
      </c>
      <c r="BK8" s="232">
        <f t="shared" si="31"/>
        <v>6.082777225690398</v>
      </c>
      <c r="BL8" s="232">
        <f t="shared" si="31"/>
        <v>6.0827740395029553</v>
      </c>
      <c r="BM8" s="232">
        <f t="shared" ref="BM8:BN14" si="41">DU8/($CC8/1000)</f>
        <v>6.0251100456052766</v>
      </c>
      <c r="BN8" s="232">
        <f t="shared" si="41"/>
        <v>5.9654000731148482</v>
      </c>
      <c r="BO8" s="232"/>
      <c r="BP8" s="232"/>
      <c r="BQ8" s="232"/>
      <c r="BS8" s="232">
        <f t="shared" si="18"/>
        <v>1.2589639908651384</v>
      </c>
      <c r="BT8" s="232">
        <f t="shared" si="32"/>
        <v>1.3002864567701509</v>
      </c>
      <c r="BU8" s="232">
        <f t="shared" si="32"/>
        <v>1.2636923482271503</v>
      </c>
      <c r="BV8" s="232">
        <f t="shared" ref="BV8:BW14" si="42">ED8/($CC8/1000)</f>
        <v>1.3145992957901131</v>
      </c>
      <c r="BW8" s="232">
        <f t="shared" si="42"/>
        <v>1.3145992957901131</v>
      </c>
      <c r="BX8" s="232"/>
      <c r="BY8" s="232"/>
      <c r="BZ8" s="232"/>
      <c r="CB8">
        <f t="shared" si="33"/>
        <v>202301</v>
      </c>
      <c r="CC8" s="229">
        <f>VLOOKUP(CB8,DataQ!$C$7:$E$358,3,FALSE)</f>
        <v>68303.5</v>
      </c>
      <c r="CE8" t="str">
        <f t="shared" si="25"/>
        <v>22-23</v>
      </c>
      <c r="CF8" s="232">
        <f t="shared" si="19"/>
        <v>99.403770684295324</v>
      </c>
      <c r="CG8" s="232">
        <f t="shared" si="34"/>
        <v>101.51938697258112</v>
      </c>
      <c r="CH8" s="232">
        <f t="shared" si="34"/>
        <v>100.24858499394573</v>
      </c>
      <c r="CI8" s="232">
        <f t="shared" ref="CI8:CJ14" si="43">100*(DC8/DC$11)</f>
        <v>101.40111874756515</v>
      </c>
      <c r="CJ8" s="232">
        <f t="shared" si="43"/>
        <v>100.79035364947828</v>
      </c>
      <c r="CK8" s="232"/>
      <c r="CL8" s="232"/>
      <c r="CM8" s="232"/>
      <c r="CN8">
        <v>100</v>
      </c>
      <c r="CP8" s="232">
        <f t="shared" si="20"/>
        <v>92.128867423511636</v>
      </c>
      <c r="CQ8" s="232">
        <f t="shared" si="35"/>
        <v>97.679454314741605</v>
      </c>
      <c r="CR8" s="232">
        <f t="shared" si="35"/>
        <v>93.503197495206152</v>
      </c>
      <c r="CS8" s="232">
        <f t="shared" ref="CS8:CT14" si="44">100*(DL8/DL$11)</f>
        <v>101.32657696100375</v>
      </c>
      <c r="CT8" s="232">
        <f t="shared" si="44"/>
        <v>99.66804592476646</v>
      </c>
      <c r="CU8" s="232"/>
      <c r="CV8" s="232"/>
      <c r="CW8" s="232"/>
      <c r="CX8">
        <v>100</v>
      </c>
      <c r="CZ8" s="232">
        <f t="shared" si="21"/>
        <v>432.79796015182103</v>
      </c>
      <c r="DA8" s="232">
        <f t="shared" si="36"/>
        <v>436.86386737469081</v>
      </c>
      <c r="DB8" s="232">
        <f t="shared" si="36"/>
        <v>436.92910680478514</v>
      </c>
      <c r="DC8" s="232">
        <f t="shared" ref="DC8:DD14" si="45">100*(DU8/EM8)</f>
        <v>451.50055030561651</v>
      </c>
      <c r="DD8" s="232">
        <f t="shared" si="45"/>
        <v>443.51318690571236</v>
      </c>
      <c r="DE8" s="232"/>
      <c r="DF8" s="232"/>
      <c r="DG8" s="232"/>
      <c r="DI8" s="232">
        <f t="shared" si="22"/>
        <v>91.447875426684746</v>
      </c>
      <c r="DJ8" s="232">
        <f t="shared" si="37"/>
        <v>93.386318308750489</v>
      </c>
      <c r="DK8" s="232">
        <f t="shared" si="37"/>
        <v>90.771737598861705</v>
      </c>
      <c r="DL8" s="232">
        <f t="shared" ref="DL8:DM14" si="46">100*(ED8/EM8)</f>
        <v>98.511446428027085</v>
      </c>
      <c r="DM8" s="232">
        <f t="shared" si="46"/>
        <v>97.737304461365554</v>
      </c>
      <c r="DN8" s="232"/>
      <c r="DO8" s="232"/>
      <c r="DP8" s="232"/>
      <c r="DR8" s="232">
        <f>'[2]Chart Data'!CJ8</f>
        <v>406.97511250458422</v>
      </c>
      <c r="DS8" s="232">
        <f>'[2]Chart Data'!CK8</f>
        <v>415.47497423494411</v>
      </c>
      <c r="DT8" s="232">
        <f>'[2]Chart Data'!CL8</f>
        <v>415.4747566071901</v>
      </c>
      <c r="DU8" s="232">
        <f>'[2]Chart Data'!CM8</f>
        <v>411.53610400000002</v>
      </c>
      <c r="DV8" s="232">
        <f>'[2]Chart Data'!CN8</f>
        <v>407.45770389400002</v>
      </c>
      <c r="DW8" s="232"/>
      <c r="DX8" s="232"/>
      <c r="DY8" s="232"/>
      <c r="EA8" s="232">
        <f>'[2]Chart Data'!CR8</f>
        <v>85.991646950056989</v>
      </c>
      <c r="EB8" s="232">
        <f>'[2]Chart Data'!CS8</f>
        <v>88.814115999999999</v>
      </c>
      <c r="EC8" s="232">
        <f>'[2]Chart Data'!CT8</f>
        <v>86.314610307133165</v>
      </c>
      <c r="ED8" s="232">
        <f>'[2]Chart Data'!CU8</f>
        <v>89.791732999999994</v>
      </c>
      <c r="EE8" s="232">
        <f>'[2]Chart Data'!CV8</f>
        <v>89.791732999999994</v>
      </c>
      <c r="EF8" s="232"/>
      <c r="EG8" s="232"/>
      <c r="EH8" s="232"/>
      <c r="EJ8" s="228">
        <f t="shared" si="23"/>
        <v>94.033509853378604</v>
      </c>
      <c r="EK8" s="228">
        <f t="shared" si="23"/>
        <v>95.103991257440896</v>
      </c>
      <c r="EL8" s="228">
        <f t="shared" si="23"/>
        <v>95.089741135698574</v>
      </c>
      <c r="EM8" s="228">
        <f t="shared" si="23"/>
        <v>91.148527664348379</v>
      </c>
      <c r="EN8" s="228">
        <f t="shared" si="23"/>
        <v>91.870482304424144</v>
      </c>
      <c r="EO8" s="228">
        <f t="shared" si="23"/>
        <v>89.815285516844511</v>
      </c>
      <c r="EP8" s="228">
        <f t="shared" si="23"/>
        <v>88.449974607779353</v>
      </c>
      <c r="EQ8" s="228" t="e">
        <f t="shared" si="23"/>
        <v>#DIV/0!</v>
      </c>
      <c r="ES8" s="228">
        <f>'[2]Chart Data'!DH8</f>
        <v>109.81968989789657</v>
      </c>
      <c r="ET8" s="228">
        <f>'[2]Chart Data'!DI8</f>
        <v>112.04169718278756</v>
      </c>
      <c r="EU8" s="228">
        <f>'[2]Chart Data'!DJ8</f>
        <v>112.4468857537517</v>
      </c>
      <c r="EV8" s="228">
        <f>'[2]Chart Data'!DK8</f>
        <v>112.41702934027273</v>
      </c>
      <c r="EW8" s="228">
        <f>'[2]Chart Data'!DL8</f>
        <v>112.52776262297391</v>
      </c>
      <c r="EX8" s="228">
        <f>'[2]Chart Data'!DM8</f>
        <v>112.45602107028047</v>
      </c>
      <c r="EY8" s="228">
        <f>'[2]Chart Data'!DN8</f>
        <v>102.01805941820301</v>
      </c>
      <c r="EZ8" s="232"/>
      <c r="FB8">
        <v>2027</v>
      </c>
      <c r="FC8" s="228">
        <f>100*(OBR_NOV25_ST1.1!R117/OBR_NOV25_ST1.1!$R$114)</f>
        <v>104.46214419260274</v>
      </c>
      <c r="FD8" s="228">
        <f>100*(OBR_MAR25_ST1.1!R113/OBR_MAR25_ST1.1!$R$110)</f>
        <v>104.69280952129199</v>
      </c>
      <c r="FE8" s="228">
        <f t="shared" si="26"/>
        <v>103.63450140581909</v>
      </c>
      <c r="FG8">
        <f>SUMIF(DataQ!A:A,'Chart Data'!FB8,DataQ!F:F)</f>
        <v>2884225.9</v>
      </c>
    </row>
    <row r="9" spans="1:163">
      <c r="A9" t="s">
        <v>172</v>
      </c>
      <c r="B9">
        <f>PresentationalScorecardRounded!I106</f>
        <v>-4125</v>
      </c>
      <c r="C9">
        <f>PresentationalScorecardRounded!J106</f>
        <v>-9315</v>
      </c>
      <c r="D9">
        <f>PresentationalScorecardRounded!K106</f>
        <v>-7445</v>
      </c>
      <c r="E9">
        <f>PresentationalScorecardRounded!L106</f>
        <v>3425</v>
      </c>
      <c r="F9">
        <f>PresentationalScorecardRounded!M106</f>
        <v>20535</v>
      </c>
      <c r="G9">
        <f>PresentationalScorecardRounded!N106</f>
        <v>24110</v>
      </c>
      <c r="I9" s="227" t="str">
        <f>'Aggregates (per cent of GDP)'!B61</f>
        <v>2004-05</v>
      </c>
      <c r="J9" t="str">
        <f t="shared" si="24"/>
        <v>2004</v>
      </c>
      <c r="K9" s="228">
        <f>-('Aggregates (per cent of GDP)'!M61-'Aggregates (per cent of GDP)'!M60)</f>
        <v>0.49799100583875155</v>
      </c>
      <c r="M9" t="s">
        <v>196</v>
      </c>
      <c r="N9" s="229">
        <f>OBR_NOV25_C7.3!C53</f>
        <v>9.9293594982254874</v>
      </c>
      <c r="P9" t="str">
        <f>OBR_NOV25_C4.1!B33</f>
        <v>1952-53</v>
      </c>
      <c r="Q9" s="228">
        <f>'Aggregates (per cent of GDP)'!C9</f>
        <v>39.926622039134919</v>
      </c>
      <c r="R9" s="228">
        <f>'Aggregates (per cent of GDP)'!D9</f>
        <v>41.271884654994849</v>
      </c>
      <c r="T9" s="230">
        <f>'[1]CPI Forecast'!A346</f>
        <v>45413</v>
      </c>
      <c r="U9" s="228">
        <f>'[3]CPI Forecast'!F346</f>
        <v>1.9899777622079284</v>
      </c>
      <c r="V9" s="228">
        <f>'[3]CPI Forecast'!D346</f>
        <v>1.9899777622079284</v>
      </c>
      <c r="W9">
        <v>2</v>
      </c>
      <c r="Y9" s="231" t="s">
        <v>204</v>
      </c>
      <c r="Z9" s="232">
        <f t="shared" si="13"/>
        <v>99.906763116905623</v>
      </c>
      <c r="AA9" s="232">
        <f t="shared" si="13"/>
        <v>101.51972935539642</v>
      </c>
      <c r="AB9" s="232">
        <f t="shared" si="13"/>
        <v>101.1416623283865</v>
      </c>
      <c r="AC9" s="232">
        <f t="shared" si="13"/>
        <v>100.33611527753941</v>
      </c>
      <c r="AD9" s="232">
        <f t="shared" si="13"/>
        <v>99.838845878010105</v>
      </c>
      <c r="AE9" s="232"/>
      <c r="AF9" s="232"/>
      <c r="AG9" s="232"/>
      <c r="AI9" s="232">
        <f t="shared" si="14"/>
        <v>100.35011225359352</v>
      </c>
      <c r="AJ9" s="232">
        <f t="shared" si="28"/>
        <v>101.97793792867252</v>
      </c>
      <c r="AK9" s="232">
        <f t="shared" si="28"/>
        <v>102.89491273225725</v>
      </c>
      <c r="AL9" s="232">
        <f t="shared" si="38"/>
        <v>103.49245159609859</v>
      </c>
      <c r="AM9" s="232">
        <f t="shared" si="38"/>
        <v>100.91230988512507</v>
      </c>
      <c r="AN9" s="232">
        <f t="shared" ref="AN9:AO15" si="47">100*(BF9/BF$11)</f>
        <v>92.20828011836025</v>
      </c>
      <c r="AO9" s="232">
        <f t="shared" si="47"/>
        <v>93.686949137474073</v>
      </c>
      <c r="AP9" s="232"/>
      <c r="AR9" s="232">
        <f t="shared" si="15"/>
        <v>6.1323310169651322</v>
      </c>
      <c r="AS9" s="232">
        <f t="shared" si="29"/>
        <v>6.186949838391369</v>
      </c>
      <c r="AT9" s="232">
        <f t="shared" si="29"/>
        <v>6.2587287568807675</v>
      </c>
      <c r="AU9" s="232">
        <f t="shared" si="39"/>
        <v>6.3839363419249118</v>
      </c>
      <c r="AV9" s="232">
        <f t="shared" si="39"/>
        <v>6.2531832787353876</v>
      </c>
      <c r="AW9" s="232">
        <f t="shared" ref="AW9:AX15" si="48">100*(BO9/EO9)</f>
        <v>6.4125332274211813</v>
      </c>
      <c r="AX9" s="232">
        <f t="shared" si="48"/>
        <v>6.5177315271153944</v>
      </c>
      <c r="AY9" s="232"/>
      <c r="BA9" s="232">
        <f t="shared" si="16"/>
        <v>1.4224899514281681</v>
      </c>
      <c r="BB9" s="232">
        <f t="shared" si="30"/>
        <v>1.3923220845841222</v>
      </c>
      <c r="BC9" s="232">
        <f t="shared" si="30"/>
        <v>1.4264992455665826</v>
      </c>
      <c r="BD9" s="232">
        <f t="shared" si="40"/>
        <v>1.4368963974127604</v>
      </c>
      <c r="BE9" s="232">
        <f t="shared" si="40"/>
        <v>1.4131947572339942</v>
      </c>
      <c r="BF9" s="232">
        <f t="shared" ref="BF9:BG15" si="49">100*(BX9/EO9)</f>
        <v>1.4651178256418615</v>
      </c>
      <c r="BG9" s="232">
        <f t="shared" si="49"/>
        <v>1.489153241700234</v>
      </c>
      <c r="BH9" s="232"/>
      <c r="BJ9" s="232">
        <f t="shared" si="17"/>
        <v>5.9054234954998952</v>
      </c>
      <c r="BK9" s="232">
        <f t="shared" si="31"/>
        <v>6.0742993155439233</v>
      </c>
      <c r="BL9" s="232">
        <f t="shared" si="31"/>
        <v>6.1032517633340939</v>
      </c>
      <c r="BM9" s="232">
        <f t="shared" si="41"/>
        <v>6.1731423535042094</v>
      </c>
      <c r="BN9" s="232">
        <f t="shared" si="41"/>
        <v>6.1214461457946765</v>
      </c>
      <c r="BO9" s="232">
        <f t="shared" ref="BO9:BP15" si="50">DW9/($CC9/1000)</f>
        <v>6.1182862766300889</v>
      </c>
      <c r="BP9" s="232">
        <f t="shared" si="50"/>
        <v>6.1182862766300889</v>
      </c>
      <c r="BQ9" s="232"/>
      <c r="BS9" s="232">
        <f t="shared" si="18"/>
        <v>1.3698552080826418</v>
      </c>
      <c r="BT9" s="232">
        <f t="shared" si="32"/>
        <v>1.3669710125862236</v>
      </c>
      <c r="BU9" s="232">
        <f t="shared" si="32"/>
        <v>1.3910626860650293</v>
      </c>
      <c r="BV9" s="232">
        <f t="shared" si="42"/>
        <v>1.3894508863150346</v>
      </c>
      <c r="BW9" s="232">
        <f t="shared" si="42"/>
        <v>1.3834226847860396</v>
      </c>
      <c r="BX9" s="232">
        <f t="shared" ref="BX9:BY15" si="51">EF9/($CC9/1000)</f>
        <v>1.3978890975471201</v>
      </c>
      <c r="BY9" s="232">
        <f t="shared" si="51"/>
        <v>1.3978890975471201</v>
      </c>
      <c r="BZ9" s="232"/>
      <c r="CB9">
        <f t="shared" si="33"/>
        <v>202401</v>
      </c>
      <c r="CC9" s="229">
        <f>VLOOKUP(CB9,DataQ!$C$7:$E$358,3,FALSE)</f>
        <v>69092.25</v>
      </c>
      <c r="CE9" t="str">
        <f t="shared" si="25"/>
        <v>23-24</v>
      </c>
      <c r="CF9" s="232">
        <f t="shared" si="19"/>
        <v>97.313384871802484</v>
      </c>
      <c r="CG9" s="232">
        <f t="shared" si="34"/>
        <v>99.336485619879667</v>
      </c>
      <c r="CH9" s="232">
        <f t="shared" si="34"/>
        <v>99.216234493255186</v>
      </c>
      <c r="CI9" s="232">
        <f t="shared" si="43"/>
        <v>99.060917501726593</v>
      </c>
      <c r="CJ9" s="232">
        <f t="shared" si="43"/>
        <v>98.184498352213623</v>
      </c>
      <c r="CK9" s="232"/>
      <c r="CL9" s="232"/>
      <c r="CM9" s="232"/>
      <c r="CN9">
        <v>100</v>
      </c>
      <c r="CP9" s="232">
        <f t="shared" si="20"/>
        <v>99.014923229874626</v>
      </c>
      <c r="CQ9" s="232">
        <f t="shared" si="35"/>
        <v>100.62109018504705</v>
      </c>
      <c r="CR9" s="232">
        <f t="shared" si="35"/>
        <v>101.52586435760831</v>
      </c>
      <c r="CS9" s="232">
        <f t="shared" si="44"/>
        <v>102.11545278358436</v>
      </c>
      <c r="CT9" s="232">
        <f t="shared" si="44"/>
        <v>99.569640649476938</v>
      </c>
      <c r="CU9" s="232">
        <f t="shared" ref="CU9:CV15" si="52">100*(DN9/DN$11)</f>
        <v>90.981420668528173</v>
      </c>
      <c r="CV9" s="232">
        <f t="shared" si="52"/>
        <v>92.440415542793559</v>
      </c>
      <c r="CW9" s="232"/>
      <c r="CX9">
        <v>100</v>
      </c>
      <c r="CZ9" s="232">
        <f t="shared" si="21"/>
        <v>423.69654770690914</v>
      </c>
      <c r="DA9" s="232">
        <f t="shared" si="36"/>
        <v>427.47028497159613</v>
      </c>
      <c r="DB9" s="232">
        <f t="shared" si="36"/>
        <v>432.42965195259512</v>
      </c>
      <c r="DC9" s="232">
        <f t="shared" si="45"/>
        <v>441.08052572036149</v>
      </c>
      <c r="DD9" s="232">
        <f t="shared" si="45"/>
        <v>432.04650239020503</v>
      </c>
      <c r="DE9" s="232">
        <f t="shared" ref="DE9:DF15" si="53">100*(DW9/EO9)</f>
        <v>443.0563488822911</v>
      </c>
      <c r="DF9" s="232">
        <f t="shared" si="53"/>
        <v>450.32473610433863</v>
      </c>
      <c r="DG9" s="232"/>
      <c r="DI9" s="232">
        <f t="shared" si="22"/>
        <v>98.283031346562865</v>
      </c>
      <c r="DJ9" s="232">
        <f t="shared" si="37"/>
        <v>96.198665548607323</v>
      </c>
      <c r="DK9" s="232">
        <f t="shared" si="37"/>
        <v>98.56004249949774</v>
      </c>
      <c r="DL9" s="232">
        <f t="shared" si="46"/>
        <v>99.278405114141805</v>
      </c>
      <c r="DM9" s="232">
        <f t="shared" si="46"/>
        <v>97.640805465500463</v>
      </c>
      <c r="DN9" s="232">
        <f t="shared" ref="DN9:DO15" si="54">100*(EF9/EO9)</f>
        <v>101.22828708870391</v>
      </c>
      <c r="DO9" s="232">
        <f t="shared" si="54"/>
        <v>102.888948063863</v>
      </c>
      <c r="DP9" s="232"/>
      <c r="DR9" s="232">
        <f>'[2]Chart Data'!CJ9</f>
        <v>408.01899650695265</v>
      </c>
      <c r="DS9" s="232">
        <f>'[2]Chart Data'!CK9</f>
        <v>419.68700688438969</v>
      </c>
      <c r="DT9" s="232">
        <f>'[2]Chart Data'!CL9</f>
        <v>421.68739664522008</v>
      </c>
      <c r="DU9" s="232">
        <f>'[2]Chart Data'!CM9</f>
        <v>426.51629477390128</v>
      </c>
      <c r="DV9" s="232">
        <f>'[2]Chart Data'!CN9</f>
        <v>422.94448746678228</v>
      </c>
      <c r="DW9" s="232">
        <f>'[2]Chart Data'!CO9</f>
        <v>422.7261649964953</v>
      </c>
      <c r="DX9" s="232">
        <f>'[2]Chart Data'!CP9</f>
        <v>422.7261649964953</v>
      </c>
      <c r="DY9" s="232"/>
      <c r="EA9" s="232">
        <f>'[2]Chart Data'!CR9</f>
        <v>94.646378500647913</v>
      </c>
      <c r="EB9" s="232">
        <f>'[2]Chart Data'!CS9</f>
        <v>94.447102944360509</v>
      </c>
      <c r="EC9" s="232">
        <f>'[2]Chart Data'!CT9</f>
        <v>96.111650871276524</v>
      </c>
      <c r="ED9" s="232">
        <f>'[2]Chart Data'!CU9</f>
        <v>96.000287999999955</v>
      </c>
      <c r="EE9" s="232">
        <f>'[2]Chart Data'!CV9</f>
        <v>95.583785992908247</v>
      </c>
      <c r="EF9" s="232">
        <f>'[2]Chart Data'!CW9</f>
        <v>96.583303000000015</v>
      </c>
      <c r="EG9" s="232">
        <f>'[2]Chart Data'!CX9</f>
        <v>96.583303000000015</v>
      </c>
      <c r="EH9" s="232"/>
      <c r="EJ9" s="228">
        <f t="shared" si="23"/>
        <v>96.299816157387852</v>
      </c>
      <c r="EK9" s="228">
        <f t="shared" si="23"/>
        <v>98.179223594986581</v>
      </c>
      <c r="EL9" s="228">
        <f t="shared" si="23"/>
        <v>97.515837487353267</v>
      </c>
      <c r="EM9" s="228">
        <f t="shared" si="23"/>
        <v>96.698056228468872</v>
      </c>
      <c r="EN9" s="228">
        <f t="shared" si="23"/>
        <v>97.893278877836565</v>
      </c>
      <c r="EO9" s="228">
        <f t="shared" si="23"/>
        <v>95.411377370602338</v>
      </c>
      <c r="EP9" s="228">
        <f t="shared" si="23"/>
        <v>93.871406810429164</v>
      </c>
      <c r="EQ9" s="228" t="e">
        <f t="shared" si="23"/>
        <v>#DIV/0!</v>
      </c>
      <c r="ES9" s="228">
        <f>'[2]Chart Data'!DH9</f>
        <v>112.46645971333807</v>
      </c>
      <c r="ET9" s="228">
        <f>'[2]Chart Data'!DI9</f>
        <v>115.66461821664116</v>
      </c>
      <c r="EU9" s="228">
        <f>'[2]Chart Data'!DJ9</f>
        <v>115.3158280394689</v>
      </c>
      <c r="EV9" s="228">
        <f>'[2]Chart Data'!DK9</f>
        <v>119.26147906868488</v>
      </c>
      <c r="EW9" s="228">
        <f>'[2]Chart Data'!DL9</f>
        <v>119.90479827294106</v>
      </c>
      <c r="EX9" s="228">
        <f>'[2]Chart Data'!DM9</f>
        <v>119.4627818882861</v>
      </c>
      <c r="EY9" s="228">
        <f>'[2]Chart Data'!DN9</f>
        <v>108.27113066027256</v>
      </c>
      <c r="EZ9" s="232"/>
      <c r="FB9">
        <v>2028</v>
      </c>
      <c r="FC9" s="228">
        <f>100*(OBR_NOV25_ST1.1!R118/OBR_NOV25_ST1.1!$R$114)</f>
        <v>105.99505946016063</v>
      </c>
      <c r="FD9" s="228">
        <f>100*(OBR_MAR25_ST1.1!R114/OBR_MAR25_ST1.1!$R$110)</f>
        <v>106.49627515015574</v>
      </c>
      <c r="FE9" s="228">
        <f t="shared" si="26"/>
        <v>105.3297306037387</v>
      </c>
      <c r="FG9">
        <f>SUMIF(DataQ!A:A,'Chart Data'!FB9,DataQ!F:F)</f>
        <v>2931405.4000000004</v>
      </c>
    </row>
    <row r="10" spans="1:163">
      <c r="I10" s="227" t="str">
        <f>'Aggregates (per cent of GDP)'!B62</f>
        <v>2005-06</v>
      </c>
      <c r="J10" t="str">
        <f t="shared" si="24"/>
        <v>2005</v>
      </c>
      <c r="K10" s="228">
        <f>-('Aggregates (per cent of GDP)'!M62-'Aggregates (per cent of GDP)'!M61)</f>
        <v>-0.69891444101999989</v>
      </c>
      <c r="M10" t="s">
        <v>197</v>
      </c>
      <c r="N10" s="229">
        <f>OBR_NOV25_C7.3!C54</f>
        <v>9.9316225162350893</v>
      </c>
      <c r="P10" t="str">
        <f>OBR_NOV25_C4.1!B34</f>
        <v>1953-54</v>
      </c>
      <c r="Q10" s="228">
        <f>'Aggregates (per cent of GDP)'!C10</f>
        <v>37.998201977824394</v>
      </c>
      <c r="R10" s="228">
        <f>'Aggregates (per cent of GDP)'!D10</f>
        <v>40.503446209169915</v>
      </c>
      <c r="T10" s="230">
        <f>'[1]CPI Forecast'!A347</f>
        <v>45444</v>
      </c>
      <c r="U10" s="228">
        <f>'[3]CPI Forecast'!F347</f>
        <v>1.9753105200307042</v>
      </c>
      <c r="V10" s="228">
        <f>'[3]CPI Forecast'!D347</f>
        <v>1.9753105200307042</v>
      </c>
      <c r="W10">
        <v>2</v>
      </c>
      <c r="Y10" s="231" t="s">
        <v>176</v>
      </c>
      <c r="Z10" s="232">
        <f t="shared" si="13"/>
        <v>100</v>
      </c>
      <c r="AA10" s="232">
        <f t="shared" si="13"/>
        <v>100</v>
      </c>
      <c r="AB10" s="232">
        <f t="shared" si="13"/>
        <v>100</v>
      </c>
      <c r="AC10" s="232">
        <f t="shared" si="13"/>
        <v>100</v>
      </c>
      <c r="AD10" s="232">
        <f t="shared" si="13"/>
        <v>100</v>
      </c>
      <c r="AE10" s="232">
        <f t="shared" si="13"/>
        <v>100</v>
      </c>
      <c r="AF10" s="232">
        <f t="shared" si="13"/>
        <v>100</v>
      </c>
      <c r="AG10" s="232"/>
      <c r="AI10" s="232">
        <f t="shared" si="14"/>
        <v>98.011094778693703</v>
      </c>
      <c r="AJ10" s="232">
        <f t="shared" si="28"/>
        <v>100.19156547108339</v>
      </c>
      <c r="AK10" s="232">
        <f t="shared" si="28"/>
        <v>101.36185255006305</v>
      </c>
      <c r="AL10" s="232">
        <f t="shared" si="38"/>
        <v>104.39256534367287</v>
      </c>
      <c r="AM10" s="232">
        <f t="shared" si="38"/>
        <v>103.13113490332016</v>
      </c>
      <c r="AN10" s="232">
        <f t="shared" si="47"/>
        <v>91.655283787117341</v>
      </c>
      <c r="AO10" s="232">
        <f t="shared" si="47"/>
        <v>95.455058950507819</v>
      </c>
      <c r="AP10" s="232" t="e">
        <f t="shared" ref="AP10:AP16" si="55">100*(BH10/BH$11)</f>
        <v>#DIV/0!</v>
      </c>
      <c r="AR10" s="232">
        <f t="shared" si="15"/>
        <v>6.1380539471481042</v>
      </c>
      <c r="AS10" s="232">
        <f t="shared" si="29"/>
        <v>6.0943324786971509</v>
      </c>
      <c r="AT10" s="232">
        <f t="shared" si="29"/>
        <v>6.1880817585931522</v>
      </c>
      <c r="AU10" s="232">
        <f t="shared" si="39"/>
        <v>6.3625508365221499</v>
      </c>
      <c r="AV10" s="232">
        <f t="shared" si="39"/>
        <v>6.2632768074822822</v>
      </c>
      <c r="AW10" s="232">
        <f t="shared" si="48"/>
        <v>6.6682366134011266</v>
      </c>
      <c r="AX10" s="232">
        <f t="shared" si="48"/>
        <v>6.6467267752078136</v>
      </c>
      <c r="AY10" s="232" t="e">
        <f>100*(BQ10/EQ10)</f>
        <v>#DIV/0!</v>
      </c>
      <c r="BA10" s="232">
        <f t="shared" si="16"/>
        <v>1.3893337468207267</v>
      </c>
      <c r="BB10" s="232">
        <f t="shared" si="30"/>
        <v>1.367932438406595</v>
      </c>
      <c r="BC10" s="232">
        <f t="shared" si="30"/>
        <v>1.4052454329607178</v>
      </c>
      <c r="BD10" s="232">
        <f t="shared" si="40"/>
        <v>1.4493936393004958</v>
      </c>
      <c r="BE10" s="232">
        <f t="shared" si="40"/>
        <v>1.4442675954883402</v>
      </c>
      <c r="BF10" s="232">
        <f t="shared" si="49"/>
        <v>1.4563311442139188</v>
      </c>
      <c r="BG10" s="232">
        <f t="shared" si="49"/>
        <v>1.5172573318003142</v>
      </c>
      <c r="BH10" s="232" t="e">
        <f t="shared" ref="BH10:BH16" si="56">100*(BZ10/EQ10)</f>
        <v>#DIV/0!</v>
      </c>
      <c r="BI10" s="232"/>
      <c r="BJ10" s="232">
        <f t="shared" si="17"/>
        <v>6.0204819439558879</v>
      </c>
      <c r="BK10" s="232">
        <f t="shared" si="31"/>
        <v>6.0621868202016831</v>
      </c>
      <c r="BL10" s="232">
        <f t="shared" si="31"/>
        <v>6.1290570764279249</v>
      </c>
      <c r="BM10" s="232">
        <f t="shared" si="41"/>
        <v>6.255409133433611</v>
      </c>
      <c r="BN10" s="232">
        <f t="shared" si="41"/>
        <v>6.1798963710993133</v>
      </c>
      <c r="BO10" s="232">
        <f t="shared" si="50"/>
        <v>6.512522699391698</v>
      </c>
      <c r="BP10" s="232">
        <f t="shared" si="50"/>
        <v>6.4747093501225876</v>
      </c>
      <c r="BQ10" s="232">
        <f>DY10/($CC10/1000)</f>
        <v>0</v>
      </c>
      <c r="BS10" s="232">
        <f t="shared" si="18"/>
        <v>1.362721606698994</v>
      </c>
      <c r="BT10" s="232">
        <f t="shared" si="32"/>
        <v>1.3607170314422392</v>
      </c>
      <c r="BU10" s="232">
        <f t="shared" si="32"/>
        <v>1.3918415756297344</v>
      </c>
      <c r="BV10" s="232">
        <f t="shared" si="42"/>
        <v>1.4249866825703499</v>
      </c>
      <c r="BW10" s="232">
        <f t="shared" si="42"/>
        <v>1.4250406530958633</v>
      </c>
      <c r="BX10" s="232">
        <f t="shared" si="51"/>
        <v>1.42232349935866</v>
      </c>
      <c r="BY10" s="232">
        <f t="shared" si="51"/>
        <v>1.4779906809758099</v>
      </c>
      <c r="BZ10" s="232">
        <f>EH10/($CC10/1000)</f>
        <v>0</v>
      </c>
      <c r="CB10">
        <f t="shared" si="33"/>
        <v>202501</v>
      </c>
      <c r="CC10" s="229">
        <f>VLOOKUP(CB10,DataQ!$C$7:$E$358,3,FALSE)</f>
        <v>69612.070000000007</v>
      </c>
      <c r="CE10" t="str">
        <f t="shared" si="25"/>
        <v>24-25</v>
      </c>
      <c r="CF10" s="232">
        <f t="shared" si="19"/>
        <v>98.137028306904128</v>
      </c>
      <c r="CG10" s="232">
        <f t="shared" si="34"/>
        <v>98.585615538083943</v>
      </c>
      <c r="CH10" s="232">
        <f t="shared" si="34"/>
        <v>98.834339808775155</v>
      </c>
      <c r="CI10" s="232">
        <f t="shared" si="43"/>
        <v>99.471868557870707</v>
      </c>
      <c r="CJ10" s="232">
        <f t="shared" si="43"/>
        <v>99.082871891665064</v>
      </c>
      <c r="CK10" s="232">
        <f t="shared" ref="CK10:CL15" si="57">100*(DE10/DE$11)</f>
        <v>96.992272652935256</v>
      </c>
      <c r="CL10" s="232">
        <f t="shared" si="57"/>
        <v>96.199486030968757</v>
      </c>
      <c r="CM10" s="232"/>
      <c r="CN10">
        <v>100</v>
      </c>
      <c r="CP10" s="232">
        <f t="shared" si="20"/>
        <v>97.434608656854522</v>
      </c>
      <c r="CQ10" s="232">
        <f t="shared" si="35"/>
        <v>99.602254157401603</v>
      </c>
      <c r="CR10" s="232">
        <f t="shared" si="35"/>
        <v>100.76565778853157</v>
      </c>
      <c r="CS10" s="232">
        <f t="shared" si="44"/>
        <v>103.7785443975779</v>
      </c>
      <c r="CT10" s="232">
        <f t="shared" si="44"/>
        <v>102.52453349624953</v>
      </c>
      <c r="CU10" s="232">
        <f t="shared" si="52"/>
        <v>91.116181563886272</v>
      </c>
      <c r="CV10" s="232">
        <f t="shared" si="52"/>
        <v>94.893607036634592</v>
      </c>
      <c r="CW10" s="232" t="e">
        <f t="shared" ref="CW10:CW16" si="58">100*(DP10/DP$11)</f>
        <v>#DIV/0!</v>
      </c>
      <c r="CX10">
        <v>100</v>
      </c>
      <c r="CZ10" s="232">
        <f t="shared" si="21"/>
        <v>427.28264103265008</v>
      </c>
      <c r="DA10" s="232">
        <f t="shared" si="36"/>
        <v>424.23909911033962</v>
      </c>
      <c r="DB10" s="232">
        <f t="shared" si="36"/>
        <v>430.76518054490958</v>
      </c>
      <c r="DC10" s="232">
        <f t="shared" si="45"/>
        <v>442.91033421053845</v>
      </c>
      <c r="DD10" s="232">
        <f t="shared" si="45"/>
        <v>435.99966355183312</v>
      </c>
      <c r="DE10" s="232">
        <f t="shared" si="53"/>
        <v>464.18975390864216</v>
      </c>
      <c r="DF10" s="232">
        <f t="shared" si="53"/>
        <v>462.69240954664053</v>
      </c>
      <c r="DG10" s="232"/>
      <c r="DI10" s="232">
        <f t="shared" si="22"/>
        <v>96.714398037046706</v>
      </c>
      <c r="DJ10" s="232">
        <f t="shared" si="37"/>
        <v>95.224608657630583</v>
      </c>
      <c r="DK10" s="232">
        <f t="shared" si="37"/>
        <v>97.822043446441796</v>
      </c>
      <c r="DL10" s="232">
        <f t="shared" si="46"/>
        <v>100.89529147654088</v>
      </c>
      <c r="DM10" s="232">
        <f t="shared" si="46"/>
        <v>100.53845695586602</v>
      </c>
      <c r="DN10" s="232">
        <f t="shared" si="54"/>
        <v>101.37822555419942</v>
      </c>
      <c r="DO10" s="232">
        <f t="shared" si="54"/>
        <v>105.61942358929673</v>
      </c>
      <c r="DP10" s="232" t="e">
        <f t="shared" ref="DP10:DP16" si="59">100*(EH10/EQ10)</f>
        <v>#DIV/0!</v>
      </c>
      <c r="DR10" s="232">
        <f>'[2]Chart Data'!CJ10</f>
        <v>419.09821051639335</v>
      </c>
      <c r="DS10" s="232">
        <f>'[2]Chart Data'!CK10</f>
        <v>422.00137328095701</v>
      </c>
      <c r="DT10" s="232">
        <f>'[2]Chart Data'!CL10</f>
        <v>426.65635023829606</v>
      </c>
      <c r="DU10" s="232">
        <f>'[2]Chart Data'!CM10</f>
        <v>435.4519784752199</v>
      </c>
      <c r="DV10" s="232">
        <f>'[2]Chart Data'!CN10</f>
        <v>430.19537877771137</v>
      </c>
      <c r="DW10" s="232">
        <f>'[2]Chart Data'!CO10</f>
        <v>453.35018602664388</v>
      </c>
      <c r="DX10" s="232">
        <f>'[2]Chart Data'!CP10</f>
        <v>450.71792051038807</v>
      </c>
      <c r="DY10" s="232"/>
      <c r="EA10" s="232">
        <f>'[2]Chart Data'!CR10</f>
        <v>94.861871876042841</v>
      </c>
      <c r="EB10" s="232">
        <f>'[2]Chart Data'!CS10</f>
        <v>94.722329242949357</v>
      </c>
      <c r="EC10" s="232">
        <f>'[2]Chart Data'!CT10</f>
        <v>96.888973191647366</v>
      </c>
      <c r="ED10" s="232">
        <f>'[2]Chart Data'!CU10</f>
        <v>99.196272696154978</v>
      </c>
      <c r="EE10" s="232">
        <f>'[2]Chart Data'!CV10</f>
        <v>99.200029696154957</v>
      </c>
      <c r="EF10" s="232">
        <f>'[2]Chart Data'!CW10</f>
        <v>99.010882999999993</v>
      </c>
      <c r="EG10" s="232">
        <f>'[2]Chart Data'!CX10</f>
        <v>102.88599074343576</v>
      </c>
      <c r="EH10" s="232"/>
      <c r="EJ10" s="228">
        <f t="shared" si="23"/>
        <v>98.084539428871537</v>
      </c>
      <c r="EK10" s="228">
        <f t="shared" si="23"/>
        <v>99.472531920307375</v>
      </c>
      <c r="EL10" s="228">
        <f t="shared" si="23"/>
        <v>99.046155424768557</v>
      </c>
      <c r="EM10" s="228">
        <f t="shared" si="23"/>
        <v>98.316057414055905</v>
      </c>
      <c r="EN10" s="228">
        <f t="shared" si="23"/>
        <v>98.668740996991218</v>
      </c>
      <c r="EO10" s="228">
        <f t="shared" si="23"/>
        <v>97.664841201098184</v>
      </c>
      <c r="EP10" s="228">
        <f t="shared" si="23"/>
        <v>97.411997951730953</v>
      </c>
      <c r="EQ10" s="228" t="e">
        <f t="shared" si="23"/>
        <v>#DIV/0!</v>
      </c>
      <c r="ES10" s="228">
        <f>'[2]Chart Data'!DH10</f>
        <v>114.55079918480422</v>
      </c>
      <c r="ET10" s="228">
        <f>'[2]Chart Data'!DI10</f>
        <v>117.18826047217301</v>
      </c>
      <c r="EU10" s="228">
        <f>'[2]Chart Data'!DJ10</f>
        <v>117.12548157538384</v>
      </c>
      <c r="EV10" s="228">
        <f>'[2]Chart Data'!DK10</f>
        <v>121.25702295089151</v>
      </c>
      <c r="EW10" s="228">
        <f>'[2]Chart Data'!DL10</f>
        <v>120.85462475777646</v>
      </c>
      <c r="EX10" s="228">
        <f>'[2]Chart Data'!DM10</f>
        <v>122.28430134953447</v>
      </c>
      <c r="EY10" s="228">
        <f>'[2]Chart Data'!DN10</f>
        <v>112.35484282673282</v>
      </c>
      <c r="EZ10" s="232"/>
      <c r="FB10">
        <v>2029</v>
      </c>
      <c r="FC10" s="228">
        <f>100*(OBR_NOV25_ST1.1!R119/OBR_NOV25_ST1.1!$R$114)</f>
        <v>107.60945456029529</v>
      </c>
      <c r="FD10" s="228">
        <f>100*(OBR_MAR25_ST1.1!R115/OBR_MAR25_ST1.1!$R$110)</f>
        <v>108.41407665893344</v>
      </c>
      <c r="FE10" s="228">
        <f t="shared" si="26"/>
        <v>107.07961517386344</v>
      </c>
      <c r="FG10">
        <f>SUMIF(DataQ!A:A,'Chart Data'!FB10,DataQ!F:F)</f>
        <v>2980106</v>
      </c>
    </row>
    <row r="11" spans="1:163">
      <c r="A11" t="s">
        <v>173</v>
      </c>
      <c r="B11" s="229">
        <v>3051.1240420000004</v>
      </c>
      <c r="C11" s="229">
        <v>3165.0453480000001</v>
      </c>
      <c r="D11" s="229">
        <v>3277.5844990000001</v>
      </c>
      <c r="E11" s="229">
        <v>3388.4929450000004</v>
      </c>
      <c r="F11" s="229">
        <v>3504.0992140000003</v>
      </c>
      <c r="G11" s="229">
        <v>3627.9774650000004</v>
      </c>
      <c r="I11" s="227" t="str">
        <f>'Aggregates (per cent of GDP)'!B63</f>
        <v>2006-07</v>
      </c>
      <c r="J11" t="str">
        <f t="shared" si="24"/>
        <v>2006</v>
      </c>
      <c r="K11" s="228">
        <f>-('Aggregates (per cent of GDP)'!M63-'Aggregates (per cent of GDP)'!M62)</f>
        <v>-0.7221608166039436</v>
      </c>
      <c r="M11" t="s">
        <v>591</v>
      </c>
      <c r="N11" s="229">
        <f>OBR_NOV25_C7.3!C55</f>
        <v>21.699458764085982</v>
      </c>
      <c r="P11" t="str">
        <f>OBR_NOV25_C4.1!B35</f>
        <v>1954-55</v>
      </c>
      <c r="Q11" s="228">
        <f>'Aggregates (per cent of GDP)'!C11</f>
        <v>37.463780467018928</v>
      </c>
      <c r="R11" s="228">
        <f>'Aggregates (per cent of GDP)'!D11</f>
        <v>38.923924777001304</v>
      </c>
      <c r="T11" s="230">
        <f>'[1]CPI Forecast'!A348</f>
        <v>45474</v>
      </c>
      <c r="U11" s="228">
        <f>'[3]CPI Forecast'!F348</f>
        <v>2.2344448264008276</v>
      </c>
      <c r="V11" s="228">
        <f>'[3]CPI Forecast'!D348</f>
        <v>2.2344448264008276</v>
      </c>
      <c r="W11">
        <v>2</v>
      </c>
      <c r="Y11" s="231" t="s">
        <v>177</v>
      </c>
      <c r="Z11" s="232">
        <f t="shared" si="13"/>
        <v>101.29898689609939</v>
      </c>
      <c r="AA11" s="232">
        <f t="shared" si="13"/>
        <v>100.83805320100583</v>
      </c>
      <c r="AB11" s="232">
        <f t="shared" si="13"/>
        <v>100.58428643037864</v>
      </c>
      <c r="AC11" s="232">
        <f t="shared" si="13"/>
        <v>99.939628043677885</v>
      </c>
      <c r="AD11" s="232">
        <f t="shared" si="13"/>
        <v>100.33198831128627</v>
      </c>
      <c r="AE11" s="232">
        <f t="shared" si="13"/>
        <v>102.49457273834042</v>
      </c>
      <c r="AF11" s="232">
        <f t="shared" si="13"/>
        <v>103.33923760552035</v>
      </c>
      <c r="AG11" s="232" t="e">
        <f t="shared" ref="AG11:AG16" si="60">100*(AY11/AY$11)</f>
        <v>#DIV/0!</v>
      </c>
      <c r="AI11" s="232">
        <f t="shared" si="14"/>
        <v>100</v>
      </c>
      <c r="AJ11" s="232">
        <f t="shared" si="28"/>
        <v>100</v>
      </c>
      <c r="AK11" s="232">
        <f t="shared" si="28"/>
        <v>100</v>
      </c>
      <c r="AL11" s="232">
        <f t="shared" si="38"/>
        <v>100</v>
      </c>
      <c r="AM11" s="232">
        <f t="shared" si="38"/>
        <v>100</v>
      </c>
      <c r="AN11" s="232">
        <f t="shared" si="47"/>
        <v>100</v>
      </c>
      <c r="AO11" s="232">
        <f t="shared" si="47"/>
        <v>100</v>
      </c>
      <c r="AP11" s="232" t="e">
        <f t="shared" si="55"/>
        <v>#DIV/0!</v>
      </c>
      <c r="AR11" s="232">
        <f t="shared" si="15"/>
        <v>6.2177864635970694</v>
      </c>
      <c r="AS11" s="232">
        <f t="shared" si="29"/>
        <v>6.1454062271148109</v>
      </c>
      <c r="AT11" s="232">
        <f t="shared" si="29"/>
        <v>6.2242378806093486</v>
      </c>
      <c r="AU11" s="232">
        <f t="shared" si="39"/>
        <v>6.3587096401101526</v>
      </c>
      <c r="AV11" s="232">
        <f t="shared" si="39"/>
        <v>6.2840701543866269</v>
      </c>
      <c r="AW11" s="232">
        <f t="shared" si="48"/>
        <v>6.8345806260870656</v>
      </c>
      <c r="AX11" s="232">
        <f t="shared" si="48"/>
        <v>6.8686767752217426</v>
      </c>
      <c r="AY11" s="232" t="e">
        <f t="shared" ref="AY11:AY16" si="61">100*(BQ11/EQ11)</f>
        <v>#DIV/0!</v>
      </c>
      <c r="BA11" s="232">
        <f t="shared" si="16"/>
        <v>1.4175270156483848</v>
      </c>
      <c r="BB11" s="232">
        <f t="shared" si="30"/>
        <v>1.3653169625355324</v>
      </c>
      <c r="BC11" s="232">
        <f t="shared" si="30"/>
        <v>1.3863651833579711</v>
      </c>
      <c r="BD11" s="232">
        <f t="shared" si="40"/>
        <v>1.3884069565001278</v>
      </c>
      <c r="BE11" s="232">
        <f t="shared" si="40"/>
        <v>1.4004185999138501</v>
      </c>
      <c r="BF11" s="232">
        <f t="shared" si="49"/>
        <v>1.5889221919779972</v>
      </c>
      <c r="BG11" s="232">
        <f t="shared" si="49"/>
        <v>1.5894991302524804</v>
      </c>
      <c r="BH11" s="232" t="e">
        <f t="shared" si="56"/>
        <v>#DIV/0!</v>
      </c>
      <c r="BJ11" s="232">
        <f t="shared" si="17"/>
        <v>6.2177864635970694</v>
      </c>
      <c r="BK11" s="232">
        <f t="shared" si="31"/>
        <v>6.1454062271148109</v>
      </c>
      <c r="BL11" s="232">
        <f t="shared" si="31"/>
        <v>6.2242378806093486</v>
      </c>
      <c r="BM11" s="232">
        <f t="shared" si="41"/>
        <v>6.3587096401101526</v>
      </c>
      <c r="BN11" s="232">
        <f t="shared" si="41"/>
        <v>6.2840701543866269</v>
      </c>
      <c r="BO11" s="232">
        <f t="shared" si="50"/>
        <v>6.8345806260870647</v>
      </c>
      <c r="BP11" s="232">
        <f t="shared" si="50"/>
        <v>6.8686767752217417</v>
      </c>
      <c r="BQ11" s="232">
        <f t="shared" ref="BQ11:BQ16" si="62">DY11/($CC11/1000)</f>
        <v>0</v>
      </c>
      <c r="BS11" s="232">
        <f t="shared" si="18"/>
        <v>1.4175270156483848</v>
      </c>
      <c r="BT11" s="232">
        <f t="shared" si="32"/>
        <v>1.3653169625355324</v>
      </c>
      <c r="BU11" s="232">
        <f t="shared" si="32"/>
        <v>1.3863651833579711</v>
      </c>
      <c r="BV11" s="232">
        <f t="shared" si="42"/>
        <v>1.3884069565001278</v>
      </c>
      <c r="BW11" s="232">
        <f t="shared" si="42"/>
        <v>1.4004185999138501</v>
      </c>
      <c r="BX11" s="232">
        <f t="shared" si="51"/>
        <v>1.5889221919779974</v>
      </c>
      <c r="BY11" s="232">
        <f t="shared" si="51"/>
        <v>1.5894991302524806</v>
      </c>
      <c r="BZ11" s="232">
        <f t="shared" ref="BZ11:BZ16" si="63">EH11/($CC11/1000)</f>
        <v>0</v>
      </c>
      <c r="CB11">
        <f t="shared" si="33"/>
        <v>202601</v>
      </c>
      <c r="CC11" s="229">
        <f>VLOOKUP(CB11,DataQ!$C$7:$E$358,3,FALSE)</f>
        <v>70023.94</v>
      </c>
      <c r="CE11" t="str">
        <f t="shared" si="25"/>
        <v>25-26</v>
      </c>
      <c r="CF11" s="232">
        <f t="shared" si="19"/>
        <v>100</v>
      </c>
      <c r="CG11" s="232">
        <f t="shared" si="34"/>
        <v>100</v>
      </c>
      <c r="CH11" s="232">
        <f t="shared" si="34"/>
        <v>100</v>
      </c>
      <c r="CI11" s="232">
        <f t="shared" si="43"/>
        <v>100</v>
      </c>
      <c r="CJ11" s="232">
        <f t="shared" si="43"/>
        <v>100</v>
      </c>
      <c r="CK11" s="232">
        <f t="shared" si="57"/>
        <v>100</v>
      </c>
      <c r="CL11" s="232">
        <f t="shared" si="57"/>
        <v>100</v>
      </c>
      <c r="CM11" s="232" t="e">
        <f t="shared" ref="CM11:CM16" si="64">100*(DG11/DG$11)</f>
        <v>#DIV/0!</v>
      </c>
      <c r="CN11">
        <v>100</v>
      </c>
      <c r="CP11" s="232">
        <f t="shared" si="20"/>
        <v>100</v>
      </c>
      <c r="CQ11" s="232">
        <f t="shared" si="35"/>
        <v>100</v>
      </c>
      <c r="CR11" s="232">
        <f t="shared" si="35"/>
        <v>100</v>
      </c>
      <c r="CS11" s="232">
        <f t="shared" si="44"/>
        <v>100</v>
      </c>
      <c r="CT11" s="232">
        <f t="shared" si="44"/>
        <v>100</v>
      </c>
      <c r="CU11" s="232">
        <f t="shared" si="52"/>
        <v>100</v>
      </c>
      <c r="CV11" s="232">
        <f t="shared" si="52"/>
        <v>100</v>
      </c>
      <c r="CW11" s="232" t="e">
        <f t="shared" si="58"/>
        <v>#DIV/0!</v>
      </c>
      <c r="CX11">
        <v>100</v>
      </c>
      <c r="CZ11" s="232">
        <f t="shared" si="21"/>
        <v>435.39390625973328</v>
      </c>
      <c r="DA11" s="232">
        <f t="shared" si="36"/>
        <v>430.32555692311388</v>
      </c>
      <c r="DB11" s="232">
        <f t="shared" si="36"/>
        <v>435.84565989751616</v>
      </c>
      <c r="DC11" s="232">
        <f t="shared" si="45"/>
        <v>445.26190231649491</v>
      </c>
      <c r="DD11" s="232">
        <f t="shared" si="45"/>
        <v>440.0353514465599</v>
      </c>
      <c r="DE11" s="232">
        <f t="shared" si="53"/>
        <v>478.58426368628295</v>
      </c>
      <c r="DF11" s="232">
        <f t="shared" si="53"/>
        <v>480.97181038752075</v>
      </c>
      <c r="DG11" s="232"/>
      <c r="DI11" s="232">
        <f t="shared" si="22"/>
        <v>99.260826692141549</v>
      </c>
      <c r="DJ11" s="232">
        <f t="shared" si="37"/>
        <v>95.604873065570359</v>
      </c>
      <c r="DK11" s="232">
        <f t="shared" si="37"/>
        <v>97.078752417547562</v>
      </c>
      <c r="DL11" s="232">
        <f t="shared" si="46"/>
        <v>97.22172541754756</v>
      </c>
      <c r="DM11" s="232">
        <f t="shared" si="46"/>
        <v>98.062828015251441</v>
      </c>
      <c r="DN11" s="232">
        <f t="shared" si="54"/>
        <v>111.26259223573575</v>
      </c>
      <c r="DO11" s="232">
        <f t="shared" si="54"/>
        <v>111.30299172685187</v>
      </c>
      <c r="DP11" s="232" t="e">
        <f t="shared" si="59"/>
        <v>#DIV/0!</v>
      </c>
      <c r="DR11" s="232">
        <f>'[2]Chart Data'!CJ11</f>
        <v>435.39390625973334</v>
      </c>
      <c r="DS11" s="232">
        <f>'[2]Chart Data'!CK11</f>
        <v>430.32555692311388</v>
      </c>
      <c r="DT11" s="232">
        <f>'[2]Chart Data'!CL11</f>
        <v>435.84565989751616</v>
      </c>
      <c r="DU11" s="232">
        <f>'[2]Chart Data'!CM11</f>
        <v>445.26190231649491</v>
      </c>
      <c r="DV11" s="232">
        <f>'[2]Chart Data'!CN11</f>
        <v>440.0353514465599</v>
      </c>
      <c r="DW11" s="232">
        <f>'[2]Chart Data'!CO11</f>
        <v>478.58426368628301</v>
      </c>
      <c r="DX11" s="232">
        <f>'[2]Chart Data'!CP11</f>
        <v>480.97181038752069</v>
      </c>
      <c r="DY11" s="232"/>
      <c r="EA11" s="232">
        <f>'[2]Chart Data'!CR11</f>
        <v>99.260826692141549</v>
      </c>
      <c r="EB11" s="232">
        <f>'[2]Chart Data'!CS11</f>
        <v>95.604873065570359</v>
      </c>
      <c r="EC11" s="232">
        <f>'[2]Chart Data'!CT11</f>
        <v>97.078752417547562</v>
      </c>
      <c r="ED11" s="232">
        <f>'[2]Chart Data'!CU11</f>
        <v>97.22172541754756</v>
      </c>
      <c r="EE11" s="232">
        <f>'[2]Chart Data'!CV11</f>
        <v>98.062828015251441</v>
      </c>
      <c r="EF11" s="232">
        <f>'[2]Chart Data'!CW11</f>
        <v>111.26259223573577</v>
      </c>
      <c r="EG11" s="232">
        <f>'[2]Chart Data'!CX11</f>
        <v>111.30299172685187</v>
      </c>
      <c r="EH11" s="232"/>
      <c r="EJ11" s="228">
        <f t="shared" si="23"/>
        <v>100</v>
      </c>
      <c r="EK11" s="228">
        <f t="shared" si="23"/>
        <v>100</v>
      </c>
      <c r="EL11" s="228">
        <f t="shared" si="23"/>
        <v>100</v>
      </c>
      <c r="EM11" s="228">
        <f t="shared" si="23"/>
        <v>100</v>
      </c>
      <c r="EN11" s="228">
        <f t="shared" si="23"/>
        <v>100</v>
      </c>
      <c r="EO11" s="228">
        <f t="shared" si="23"/>
        <v>100</v>
      </c>
      <c r="EP11" s="228">
        <f t="shared" si="23"/>
        <v>100</v>
      </c>
      <c r="EQ11" s="228" t="e">
        <f t="shared" si="23"/>
        <v>#DIV/0!</v>
      </c>
      <c r="ES11" s="228">
        <f>'[2]Chart Data'!DH11</f>
        <v>116.78782390355576</v>
      </c>
      <c r="ET11" s="228">
        <f>'[2]Chart Data'!DI11</f>
        <v>117.80966887025519</v>
      </c>
      <c r="EU11" s="228">
        <f>'[2]Chart Data'!DJ11</f>
        <v>118.25343555545436</v>
      </c>
      <c r="EV11" s="228">
        <f>'[2]Chart Data'!DK11</f>
        <v>123.33389493053026</v>
      </c>
      <c r="EW11" s="228">
        <f>'[2]Chart Data'!DL11</f>
        <v>122.48522028011057</v>
      </c>
      <c r="EX11" s="228">
        <f>'[2]Chart Data'!DM11</f>
        <v>125.20810953631025</v>
      </c>
      <c r="EY11" s="228">
        <f>'[2]Chart Data'!DN11</f>
        <v>115.33984025500253</v>
      </c>
      <c r="EZ11" s="232"/>
      <c r="FB11">
        <v>2030</v>
      </c>
      <c r="FC11" s="228">
        <f>100*(OBR_NOV25_ST1.1!R120/OBR_NOV25_ST1.1!$R$114)</f>
        <v>109.27671643217576</v>
      </c>
      <c r="FD11" s="228"/>
      <c r="FE11" s="228">
        <f t="shared" si="26"/>
        <v>108.77202734385527</v>
      </c>
      <c r="FG11">
        <f>SUMIF(DataQ!A:A,'Chart Data'!FB11,DataQ!F:F)</f>
        <v>3027207.1</v>
      </c>
    </row>
    <row r="12" spans="1:163">
      <c r="I12" s="227" t="str">
        <f>'Aggregates (per cent of GDP)'!B64</f>
        <v>2007-08</v>
      </c>
      <c r="J12" t="str">
        <f t="shared" si="24"/>
        <v>2007</v>
      </c>
      <c r="K12" s="228">
        <f>-('Aggregates (per cent of GDP)'!M64-'Aggregates (per cent of GDP)'!M63)</f>
        <v>0.4997265020435161</v>
      </c>
      <c r="P12" t="str">
        <f>OBR_NOV25_C4.1!B36</f>
        <v>1955-56</v>
      </c>
      <c r="Q12" s="228">
        <f>'Aggregates (per cent of GDP)'!C12</f>
        <v>35.964240102171132</v>
      </c>
      <c r="R12" s="228">
        <f>'Aggregates (per cent of GDP)'!D12</f>
        <v>35.770114942528735</v>
      </c>
      <c r="T12" s="230">
        <f>'[1]CPI Forecast'!A349</f>
        <v>45505</v>
      </c>
      <c r="U12" s="228">
        <f>'[3]CPI Forecast'!F349</f>
        <v>2.2162837086778353</v>
      </c>
      <c r="V12" s="228">
        <f>'[3]CPI Forecast'!D349</f>
        <v>2.2162837086778353</v>
      </c>
      <c r="W12">
        <v>2</v>
      </c>
      <c r="Y12" s="231" t="s">
        <v>178</v>
      </c>
      <c r="Z12" s="232">
        <f t="shared" si="13"/>
        <v>102.46105426166029</v>
      </c>
      <c r="AA12" s="232">
        <f t="shared" si="13"/>
        <v>101.31539848550372</v>
      </c>
      <c r="AB12" s="232">
        <f t="shared" si="13"/>
        <v>101.20751574820915</v>
      </c>
      <c r="AC12" s="232">
        <f t="shared" si="13"/>
        <v>100.38453318371201</v>
      </c>
      <c r="AD12" s="232">
        <f t="shared" si="13"/>
        <v>100.8229944080484</v>
      </c>
      <c r="AE12" s="232">
        <f t="shared" si="13"/>
        <v>103.35737741496065</v>
      </c>
      <c r="AF12" s="232">
        <f t="shared" si="13"/>
        <v>104.70413614299791</v>
      </c>
      <c r="AG12" s="232" t="e">
        <f t="shared" si="60"/>
        <v>#DIV/0!</v>
      </c>
      <c r="AI12" s="232">
        <f t="shared" si="14"/>
        <v>101.13994296739848</v>
      </c>
      <c r="AJ12" s="232">
        <f t="shared" si="28"/>
        <v>98.700442080179769</v>
      </c>
      <c r="AK12" s="232">
        <f t="shared" si="28"/>
        <v>98.701289413961973</v>
      </c>
      <c r="AL12" s="232">
        <f t="shared" si="38"/>
        <v>98.17212259010256</v>
      </c>
      <c r="AM12" s="232">
        <f t="shared" si="38"/>
        <v>98.053063734749728</v>
      </c>
      <c r="AN12" s="232">
        <f t="shared" si="47"/>
        <v>102.75911028221702</v>
      </c>
      <c r="AO12" s="232">
        <f t="shared" si="47"/>
        <v>103.71947707480732</v>
      </c>
      <c r="AP12" s="232" t="e">
        <f t="shared" si="55"/>
        <v>#DIV/0!</v>
      </c>
      <c r="AR12" s="232">
        <f t="shared" si="15"/>
        <v>6.289114785397401</v>
      </c>
      <c r="AS12" s="232">
        <f t="shared" si="29"/>
        <v>6.1744972358234946</v>
      </c>
      <c r="AT12" s="232">
        <f t="shared" si="29"/>
        <v>6.2628038203402223</v>
      </c>
      <c r="AU12" s="232">
        <f t="shared" si="39"/>
        <v>6.3870169558191234</v>
      </c>
      <c r="AV12" s="232">
        <f t="shared" si="39"/>
        <v>6.3148232253684542</v>
      </c>
      <c r="AW12" s="232">
        <f t="shared" si="48"/>
        <v>6.8921144834355932</v>
      </c>
      <c r="AX12" s="232">
        <f t="shared" si="48"/>
        <v>6.9593978517666839</v>
      </c>
      <c r="AY12" s="232" t="e">
        <f t="shared" si="61"/>
        <v>#DIV/0!</v>
      </c>
      <c r="BA12" s="232">
        <f t="shared" si="16"/>
        <v>1.4336860151742421</v>
      </c>
      <c r="BB12" s="232">
        <f t="shared" si="30"/>
        <v>1.3475738778182529</v>
      </c>
      <c r="BC12" s="232">
        <f t="shared" si="30"/>
        <v>1.3683603119605556</v>
      </c>
      <c r="BD12" s="232">
        <f t="shared" si="40"/>
        <v>1.3630285793848174</v>
      </c>
      <c r="BE12" s="232">
        <f t="shared" si="40"/>
        <v>1.3731533423268172</v>
      </c>
      <c r="BF12" s="232">
        <f t="shared" si="49"/>
        <v>1.6327623075532902</v>
      </c>
      <c r="BG12" s="232">
        <f t="shared" si="49"/>
        <v>1.6486201860064831</v>
      </c>
      <c r="BH12" s="232" t="e">
        <f t="shared" si="56"/>
        <v>#DIV/0!</v>
      </c>
      <c r="BJ12" s="232">
        <f t="shared" si="17"/>
        <v>6.4149475938444169</v>
      </c>
      <c r="BK12" s="232">
        <f t="shared" si="31"/>
        <v>6.2497143947068725</v>
      </c>
      <c r="BL12" s="232">
        <f t="shared" si="31"/>
        <v>6.337843258528796</v>
      </c>
      <c r="BM12" s="232">
        <f t="shared" si="41"/>
        <v>6.4907965691450178</v>
      </c>
      <c r="BN12" s="232">
        <f t="shared" si="41"/>
        <v>6.4249290891130846</v>
      </c>
      <c r="BO12" s="232">
        <f t="shared" si="50"/>
        <v>7.0278983241732913</v>
      </c>
      <c r="BP12" s="232">
        <f t="shared" si="50"/>
        <v>7.0746904474205659</v>
      </c>
      <c r="BQ12" s="232">
        <f t="shared" si="62"/>
        <v>0</v>
      </c>
      <c r="BS12" s="232">
        <f t="shared" si="18"/>
        <v>1.462371250517611</v>
      </c>
      <c r="BT12" s="232">
        <f t="shared" si="32"/>
        <v>1.3639898991724884</v>
      </c>
      <c r="BU12" s="232">
        <f t="shared" si="32"/>
        <v>1.3847556824678637</v>
      </c>
      <c r="BV12" s="232">
        <f t="shared" si="42"/>
        <v>1.3851757851773154</v>
      </c>
      <c r="BW12" s="232">
        <f t="shared" si="42"/>
        <v>1.3970957757750468</v>
      </c>
      <c r="BX12" s="232">
        <f t="shared" si="51"/>
        <v>1.6649299010638405</v>
      </c>
      <c r="BY12" s="232">
        <f t="shared" si="51"/>
        <v>1.6759319886280017</v>
      </c>
      <c r="BZ12" s="232">
        <f t="shared" si="63"/>
        <v>0</v>
      </c>
      <c r="CB12">
        <f t="shared" si="33"/>
        <v>202701</v>
      </c>
      <c r="CC12" s="229">
        <f>VLOOKUP(CB12,DataQ!$C$7:$E$358,3,FALSE)</f>
        <v>70394.69</v>
      </c>
      <c r="CE12" t="str">
        <f t="shared" si="25"/>
        <v>26-27</v>
      </c>
      <c r="CF12" s="232">
        <f t="shared" si="19"/>
        <v>101.68270141759007</v>
      </c>
      <c r="CG12" s="232">
        <f t="shared" si="34"/>
        <v>101.00534626143781</v>
      </c>
      <c r="CH12" s="232">
        <f t="shared" si="34"/>
        <v>101.15235140056926</v>
      </c>
      <c r="CI12" s="232">
        <f t="shared" si="43"/>
        <v>100.97699270710203</v>
      </c>
      <c r="CJ12" s="232">
        <f t="shared" si="43"/>
        <v>101.02143427642277</v>
      </c>
      <c r="CK12" s="232">
        <f t="shared" si="57"/>
        <v>101.37572405096707</v>
      </c>
      <c r="CL12" s="232">
        <f t="shared" si="57"/>
        <v>101.85724896581023</v>
      </c>
      <c r="CM12" s="232" t="e">
        <f t="shared" si="64"/>
        <v>#DIV/0!</v>
      </c>
      <c r="CN12">
        <v>100</v>
      </c>
      <c r="CP12" s="232">
        <f t="shared" si="20"/>
        <v>101.67544031095217</v>
      </c>
      <c r="CQ12" s="232">
        <f t="shared" si="35"/>
        <v>99.223023198883283</v>
      </c>
      <c r="CR12" s="232">
        <f t="shared" si="35"/>
        <v>99.223875018974013</v>
      </c>
      <c r="CS12" s="232">
        <f t="shared" si="44"/>
        <v>98.6919064590234</v>
      </c>
      <c r="CT12" s="232">
        <f t="shared" si="44"/>
        <v>98.572217232534314</v>
      </c>
      <c r="CU12" s="232">
        <f t="shared" si="52"/>
        <v>103.3031804978766</v>
      </c>
      <c r="CV12" s="232">
        <f t="shared" si="52"/>
        <v>104.26863206559311</v>
      </c>
      <c r="CW12" s="232" t="e">
        <f t="shared" si="58"/>
        <v>#DIV/0!</v>
      </c>
      <c r="CX12">
        <v>100</v>
      </c>
      <c r="CZ12" s="232">
        <f t="shared" si="21"/>
        <v>442.72028569246658</v>
      </c>
      <c r="DA12" s="232">
        <f t="shared" si="36"/>
        <v>434.65181882165177</v>
      </c>
      <c r="DB12" s="232">
        <f t="shared" si="36"/>
        <v>440.86813346366557</v>
      </c>
      <c r="DC12" s="232">
        <f t="shared" si="45"/>
        <v>449.61207862963084</v>
      </c>
      <c r="DD12" s="232">
        <f t="shared" si="45"/>
        <v>444.53002335461241</v>
      </c>
      <c r="DE12" s="232">
        <f t="shared" si="53"/>
        <v>485.16826250595875</v>
      </c>
      <c r="DF12" s="232">
        <f t="shared" si="53"/>
        <v>489.9046543617817</v>
      </c>
      <c r="DG12" s="232"/>
      <c r="DI12" s="232">
        <f t="shared" si="22"/>
        <v>100.92388259552605</v>
      </c>
      <c r="DJ12" s="232">
        <f t="shared" si="37"/>
        <v>94.862045381113788</v>
      </c>
      <c r="DK12" s="232">
        <f t="shared" si="37"/>
        <v>96.325299968766615</v>
      </c>
      <c r="DL12" s="232">
        <f t="shared" si="46"/>
        <v>95.949974306934621</v>
      </c>
      <c r="DM12" s="232">
        <f t="shared" si="46"/>
        <v>96.662703855560167</v>
      </c>
      <c r="DN12" s="232">
        <f t="shared" si="54"/>
        <v>114.93779648389852</v>
      </c>
      <c r="DO12" s="232">
        <f t="shared" si="54"/>
        <v>116.05410692166873</v>
      </c>
      <c r="DP12" s="232" t="e">
        <f t="shared" si="59"/>
        <v>#DIV/0!</v>
      </c>
      <c r="DR12" s="232">
        <f>'[2]Chart Data'!CJ12</f>
        <v>451.57824723492359</v>
      </c>
      <c r="DS12" s="232">
        <f>'[2]Chart Data'!CK12</f>
        <v>439.94670740392792</v>
      </c>
      <c r="DT12" s="232">
        <f>'[2]Chart Data'!CL12</f>
        <v>446.15051145272446</v>
      </c>
      <c r="DU12" s="232">
        <f>'[2]Chart Data'!CM12</f>
        <v>456.91761233802708</v>
      </c>
      <c r="DV12" s="232">
        <f>'[2]Chart Data'!CN12</f>
        <v>452.28089150009794</v>
      </c>
      <c r="DW12" s="232">
        <f>'[2]Chart Data'!CO12</f>
        <v>494.72672388169832</v>
      </c>
      <c r="DX12" s="232">
        <f>'[2]Chart Data'!CP12</f>
        <v>498.02064089213201</v>
      </c>
      <c r="DY12" s="232"/>
      <c r="EA12" s="232">
        <f>'[2]Chart Data'!CR12</f>
        <v>102.94317084509956</v>
      </c>
      <c r="EB12" s="232">
        <f>'[2]Chart Data'!CS12</f>
        <v>96.017646115378568</v>
      </c>
      <c r="EC12" s="232">
        <f>'[2]Chart Data'!CT12</f>
        <v>97.479446993063704</v>
      </c>
      <c r="ED12" s="232">
        <f>'[2]Chart Data'!CU12</f>
        <v>97.509019993063717</v>
      </c>
      <c r="EE12" s="232">
        <f>'[2]Chart Data'!CV12</f>
        <v>98.348124035993933</v>
      </c>
      <c r="EF12" s="232">
        <f>'[2]Chart Data'!CW12</f>
        <v>117.20222425711972</v>
      </c>
      <c r="EG12" s="232">
        <f>'[2]Chart Data'!CX12</f>
        <v>117.97671280055171</v>
      </c>
      <c r="EH12" s="232"/>
      <c r="EJ12" s="228">
        <f t="shared" si="23"/>
        <v>102.00080317724817</v>
      </c>
      <c r="EK12" s="228">
        <f t="shared" si="23"/>
        <v>101.21819082608022</v>
      </c>
      <c r="EL12" s="228">
        <f t="shared" si="23"/>
        <v>101.19817641333204</v>
      </c>
      <c r="EM12" s="228">
        <f t="shared" si="23"/>
        <v>101.62485263533461</v>
      </c>
      <c r="EN12" s="228">
        <f t="shared" si="23"/>
        <v>101.74360959626397</v>
      </c>
      <c r="EO12" s="228">
        <f t="shared" si="23"/>
        <v>101.97013327425188</v>
      </c>
      <c r="EP12" s="228">
        <f t="shared" si="23"/>
        <v>101.65664613677193</v>
      </c>
      <c r="EQ12" s="228" t="e">
        <f t="shared" si="23"/>
        <v>#DIV/0!</v>
      </c>
      <c r="ES12" s="228">
        <f>'[2]Chart Data'!DH12</f>
        <v>119.12451839485712</v>
      </c>
      <c r="ET12" s="228">
        <f>'[2]Chart Data'!DI12</f>
        <v>119.24481544866812</v>
      </c>
      <c r="EU12" s="228">
        <f>'[2]Chart Data'!DJ12</f>
        <v>119.67032032823461</v>
      </c>
      <c r="EV12" s="228">
        <f>'[2]Chart Data'!DK12</f>
        <v>125.33788897256979</v>
      </c>
      <c r="EW12" s="228">
        <f>'[2]Chart Data'!DL12</f>
        <v>124.62088433491962</v>
      </c>
      <c r="EX12" s="228">
        <f>'[2]Chart Data'!DM12</f>
        <v>127.67487616434683</v>
      </c>
      <c r="EY12" s="228">
        <f>'[2]Chart Data'!DN12</f>
        <v>117.25061326274593</v>
      </c>
      <c r="EZ12" s="232"/>
    </row>
    <row r="13" spans="1:163">
      <c r="A13" t="s">
        <v>174</v>
      </c>
      <c r="B13" t="str">
        <f>B4</f>
        <v>2025-2026</v>
      </c>
      <c r="C13" t="str">
        <f t="shared" ref="C13:G13" si="65">C4</f>
        <v>2026-2027</v>
      </c>
      <c r="D13" t="str">
        <f t="shared" si="65"/>
        <v>2027-2028</v>
      </c>
      <c r="E13" t="str">
        <f t="shared" si="65"/>
        <v>2028-2029</v>
      </c>
      <c r="F13" t="str">
        <f t="shared" si="65"/>
        <v>2029-2030</v>
      </c>
      <c r="G13" t="str">
        <f t="shared" si="65"/>
        <v>2030-2031</v>
      </c>
      <c r="I13" s="227" t="str">
        <f>'Aggregates (per cent of GDP)'!B65</f>
        <v>2008-09</v>
      </c>
      <c r="J13" t="str">
        <f t="shared" si="24"/>
        <v>2008</v>
      </c>
      <c r="K13" s="228">
        <f>-('Aggregates (per cent of GDP)'!M65-'Aggregates (per cent of GDP)'!M64)</f>
        <v>3.5950980243317243</v>
      </c>
      <c r="P13" t="str">
        <f>OBR_NOV25_C4.1!B37</f>
        <v>1956-57</v>
      </c>
      <c r="Q13" s="228">
        <f>'Aggregates (per cent of GDP)'!C13</f>
        <v>35.569835569835568</v>
      </c>
      <c r="R13" s="228">
        <f>'Aggregates (per cent of GDP)'!D13</f>
        <v>35.957285957285954</v>
      </c>
      <c r="T13" s="230">
        <f>'[1]CPI Forecast'!A350</f>
        <v>45536</v>
      </c>
      <c r="U13" s="228">
        <f>'[3]CPI Forecast'!F350</f>
        <v>1.6803412198761913</v>
      </c>
      <c r="V13" s="228">
        <f>'[3]CPI Forecast'!D350</f>
        <v>1.6803412198761913</v>
      </c>
      <c r="W13">
        <v>2</v>
      </c>
      <c r="Y13" s="231" t="s">
        <v>179</v>
      </c>
      <c r="AA13" s="232">
        <f t="shared" si="13"/>
        <v>101.97262618474554</v>
      </c>
      <c r="AB13" s="232">
        <f t="shared" si="13"/>
        <v>101.97888670612359</v>
      </c>
      <c r="AC13" s="232">
        <f t="shared" si="13"/>
        <v>101.01744838962227</v>
      </c>
      <c r="AD13" s="232">
        <f t="shared" si="13"/>
        <v>101.44433434998834</v>
      </c>
      <c r="AE13" s="232">
        <f t="shared" si="13"/>
        <v>104.27074405293591</v>
      </c>
      <c r="AF13" s="232">
        <f t="shared" si="13"/>
        <v>105.31285331293516</v>
      </c>
      <c r="AG13" s="232" t="e">
        <f t="shared" si="60"/>
        <v>#DIV/0!</v>
      </c>
      <c r="AJ13" s="232">
        <f t="shared" si="28"/>
        <v>96.730306922025733</v>
      </c>
      <c r="AK13" s="232">
        <f t="shared" si="28"/>
        <v>96.833520972164706</v>
      </c>
      <c r="AL13" s="232">
        <f t="shared" si="38"/>
        <v>96.140004345976607</v>
      </c>
      <c r="AM13" s="232">
        <f t="shared" si="38"/>
        <v>95.835608201654551</v>
      </c>
      <c r="AN13" s="232">
        <f t="shared" si="47"/>
        <v>103.32073252517256</v>
      </c>
      <c r="AO13" s="232">
        <f t="shared" si="47"/>
        <v>106.44075331043008</v>
      </c>
      <c r="AP13" s="232" t="e">
        <f t="shared" si="55"/>
        <v>#DIV/0!</v>
      </c>
      <c r="AS13" s="232">
        <f t="shared" si="29"/>
        <v>6.2145508769573823</v>
      </c>
      <c r="AT13" s="232">
        <f t="shared" si="29"/>
        <v>6.31053688587801</v>
      </c>
      <c r="AU13" s="232">
        <f t="shared" si="39"/>
        <v>6.427286507547243</v>
      </c>
      <c r="AV13" s="232">
        <f t="shared" si="39"/>
        <v>6.3537394658476023</v>
      </c>
      <c r="AW13" s="232">
        <f t="shared" si="48"/>
        <v>6.9530199320036497</v>
      </c>
      <c r="AX13" s="232">
        <f t="shared" si="48"/>
        <v>6.9998576188861907</v>
      </c>
      <c r="AY13" s="232" t="e">
        <f t="shared" si="61"/>
        <v>#DIV/0!</v>
      </c>
      <c r="BB13" s="232">
        <f t="shared" si="30"/>
        <v>1.3206752883190995</v>
      </c>
      <c r="BC13" s="232">
        <f t="shared" si="30"/>
        <v>1.3424662205777305</v>
      </c>
      <c r="BD13" s="232">
        <f t="shared" si="40"/>
        <v>1.3348145083190643</v>
      </c>
      <c r="BE13" s="232">
        <f t="shared" si="40"/>
        <v>1.3420996825965337</v>
      </c>
      <c r="BF13" s="232">
        <f t="shared" si="49"/>
        <v>1.6416860480066953</v>
      </c>
      <c r="BG13" s="232">
        <f t="shared" si="49"/>
        <v>1.6918748481034744</v>
      </c>
      <c r="BH13" s="232" t="e">
        <f t="shared" si="56"/>
        <v>#DIV/0!</v>
      </c>
      <c r="BJ13" s="232"/>
      <c r="BK13" s="232">
        <f t="shared" si="31"/>
        <v>6.4032493342003693</v>
      </c>
      <c r="BL13" s="232">
        <f t="shared" si="31"/>
        <v>6.4916619735443701</v>
      </c>
      <c r="BM13" s="232">
        <f t="shared" si="41"/>
        <v>6.6476064391168963</v>
      </c>
      <c r="BN13" s="232">
        <f t="shared" si="41"/>
        <v>6.5855903398891318</v>
      </c>
      <c r="BO13" s="232">
        <f t="shared" si="50"/>
        <v>7.2287978359195391</v>
      </c>
      <c r="BP13" s="232">
        <f t="shared" si="50"/>
        <v>7.260750320788607</v>
      </c>
      <c r="BQ13" s="232">
        <f t="shared" si="62"/>
        <v>0</v>
      </c>
      <c r="BS13" s="232"/>
      <c r="BT13" s="232">
        <f t="shared" si="32"/>
        <v>1.3607762375846018</v>
      </c>
      <c r="BU13" s="232">
        <f t="shared" si="32"/>
        <v>1.3809976983724979</v>
      </c>
      <c r="BV13" s="232">
        <f t="shared" si="42"/>
        <v>1.3805704024721732</v>
      </c>
      <c r="BW13" s="232">
        <f t="shared" si="42"/>
        <v>1.3910735170027821</v>
      </c>
      <c r="BX13" s="232">
        <f t="shared" si="51"/>
        <v>1.7068003065065671</v>
      </c>
      <c r="BY13" s="232">
        <f t="shared" si="51"/>
        <v>1.7549329593444127</v>
      </c>
      <c r="BZ13" s="232">
        <f t="shared" si="63"/>
        <v>0</v>
      </c>
      <c r="CB13">
        <f t="shared" si="33"/>
        <v>202801</v>
      </c>
      <c r="CC13" s="229">
        <f>VLOOKUP(CB13,DataQ!$C$7:$E$358,3,FALSE)</f>
        <v>70693.399999999994</v>
      </c>
      <c r="CE13" t="str">
        <f t="shared" si="25"/>
        <v>27-28</v>
      </c>
      <c r="CG13" s="232">
        <f t="shared" si="34"/>
        <v>102.09194501631553</v>
      </c>
      <c r="CH13" s="232">
        <f t="shared" si="34"/>
        <v>102.35579915904786</v>
      </c>
      <c r="CI13" s="232">
        <f t="shared" si="43"/>
        <v>102.04482656808879</v>
      </c>
      <c r="CJ13" s="232">
        <f t="shared" si="43"/>
        <v>102.07530919467503</v>
      </c>
      <c r="CK13" s="232">
        <f t="shared" si="57"/>
        <v>102.70555397603118</v>
      </c>
      <c r="CL13" s="232">
        <f t="shared" si="57"/>
        <v>102.88414495566207</v>
      </c>
      <c r="CM13" s="232" t="e">
        <f t="shared" si="64"/>
        <v>#DIV/0!</v>
      </c>
      <c r="CN13">
        <v>100</v>
      </c>
      <c r="CQ13" s="232">
        <f t="shared" si="35"/>
        <v>97.655091663815739</v>
      </c>
      <c r="CR13" s="232">
        <f t="shared" si="35"/>
        <v>97.759292486164412</v>
      </c>
      <c r="CS13" s="232">
        <f t="shared" si="44"/>
        <v>97.059145532683004</v>
      </c>
      <c r="CT13" s="232">
        <f t="shared" si="44"/>
        <v>96.751839225882549</v>
      </c>
      <c r="CU13" s="232">
        <f t="shared" si="52"/>
        <v>104.30852466592188</v>
      </c>
      <c r="CV13" s="232">
        <f t="shared" si="52"/>
        <v>107.45837423709031</v>
      </c>
      <c r="CW13" s="232" t="e">
        <f t="shared" si="58"/>
        <v>#DIV/0!</v>
      </c>
      <c r="CX13">
        <v>100</v>
      </c>
      <c r="DA13" s="232">
        <f t="shared" si="36"/>
        <v>439.32773096509902</v>
      </c>
      <c r="DB13" s="232">
        <f t="shared" si="36"/>
        <v>446.11330828812845</v>
      </c>
      <c r="DC13" s="232">
        <f t="shared" si="45"/>
        <v>454.36673599264014</v>
      </c>
      <c r="DD13" s="232">
        <f t="shared" si="45"/>
        <v>449.16744555495092</v>
      </c>
      <c r="DE13" s="232">
        <f t="shared" si="53"/>
        <v>491.53261926110679</v>
      </c>
      <c r="DF13" s="232">
        <f t="shared" si="53"/>
        <v>494.84373459496902</v>
      </c>
      <c r="DG13" s="232"/>
      <c r="DJ13" s="232">
        <f t="shared" si="37"/>
        <v>93.363026427257424</v>
      </c>
      <c r="DK13" s="232">
        <f t="shared" si="37"/>
        <v>94.903501517789721</v>
      </c>
      <c r="DL13" s="232">
        <f t="shared" si="46"/>
        <v>94.362575962402943</v>
      </c>
      <c r="DM13" s="232">
        <f t="shared" si="46"/>
        <v>94.877589701669791</v>
      </c>
      <c r="DN13" s="232">
        <f t="shared" si="54"/>
        <v>116.05636846615653</v>
      </c>
      <c r="DO13" s="232">
        <f t="shared" si="54"/>
        <v>119.60438538691815</v>
      </c>
      <c r="DP13" s="232" t="e">
        <f t="shared" si="59"/>
        <v>#DIV/0!</v>
      </c>
      <c r="DR13" s="232"/>
      <c r="DS13" s="232">
        <f>'[2]Chart Data'!CK13</f>
        <v>452.6674664823604</v>
      </c>
      <c r="DT13" s="232">
        <f>'[2]Chart Data'!CL13</f>
        <v>458.91765656056157</v>
      </c>
      <c r="DU13" s="232">
        <f>'[2]Chart Data'!CM13</f>
        <v>469.94190104306637</v>
      </c>
      <c r="DV13" s="232">
        <f>'[2]Chart Data'!CN13</f>
        <v>465.55777213391832</v>
      </c>
      <c r="DW13" s="232">
        <f>'[2]Chart Data'!CO13</f>
        <v>511.02829693379431</v>
      </c>
      <c r="DX13" s="232">
        <f>'[2]Chart Data'!CP13</f>
        <v>513.28712672763731</v>
      </c>
      <c r="DY13" s="232"/>
      <c r="EA13" s="232"/>
      <c r="EB13" s="232">
        <f>'[2]Chart Data'!CS13</f>
        <v>96.197898874063284</v>
      </c>
      <c r="EC13" s="232">
        <f>'[2]Chart Data'!CT13</f>
        <v>97.627422690126338</v>
      </c>
      <c r="ED13" s="232">
        <f>'[2]Chart Data'!CU13</f>
        <v>97.597215690126333</v>
      </c>
      <c r="EE13" s="232">
        <f>'[2]Chart Data'!CV13</f>
        <v>98.339716566884476</v>
      </c>
      <c r="EF13" s="232">
        <f>'[2]Chart Data'!CW13</f>
        <v>120.65951678799135</v>
      </c>
      <c r="EG13" s="232">
        <f>'[2]Chart Data'!CX13</f>
        <v>124.06217766811831</v>
      </c>
      <c r="EH13" s="232"/>
      <c r="EK13" s="228">
        <f t="shared" ref="EK13:EQ13" si="66">100*(ET13/ET$11)</f>
        <v>103.03639733552833</v>
      </c>
      <c r="EL13" s="228">
        <f t="shared" si="66"/>
        <v>102.87020091858888</v>
      </c>
      <c r="EM13" s="228">
        <f t="shared" si="66"/>
        <v>103.42788408935782</v>
      </c>
      <c r="EN13" s="228">
        <f t="shared" si="66"/>
        <v>103.64904597186847</v>
      </c>
      <c r="EO13" s="228">
        <f t="shared" si="66"/>
        <v>103.96630394580816</v>
      </c>
      <c r="EP13" s="228">
        <f t="shared" si="66"/>
        <v>103.72711440870606</v>
      </c>
      <c r="EQ13" s="228" t="e">
        <f t="shared" si="66"/>
        <v>#DIV/0!</v>
      </c>
      <c r="ET13" s="228">
        <f>'[2]Chart Data'!DI13</f>
        <v>121.38683851682637</v>
      </c>
      <c r="EU13" s="228">
        <f>'[2]Chart Data'!DJ13</f>
        <v>121.64754674902991</v>
      </c>
      <c r="EV13" s="228">
        <f>'[2]Chart Data'!DK13</f>
        <v>127.56163789163919</v>
      </c>
      <c r="EW13" s="228">
        <f>'[2]Chart Data'!DL13</f>
        <v>126.95476227687618</v>
      </c>
      <c r="EX13" s="228">
        <f>'[2]Chart Data'!DM13</f>
        <v>130.17424372532074</v>
      </c>
      <c r="EY13" s="228">
        <f>'[2]Chart Data'!DN13</f>
        <v>119.63868806012528</v>
      </c>
      <c r="EZ13" s="232"/>
    </row>
    <row r="14" spans="1:163">
      <c r="A14" t="s">
        <v>169</v>
      </c>
      <c r="B14" s="228">
        <f t="shared" ref="B14:G16" si="67">-100*((B5/1000)/B$11)</f>
        <v>-2.2942364530717432E-3</v>
      </c>
      <c r="C14" s="228">
        <f t="shared" si="67"/>
        <v>6.018871107814535E-2</v>
      </c>
      <c r="D14" s="228">
        <f t="shared" si="67"/>
        <v>-8.8174690870113245E-2</v>
      </c>
      <c r="E14" s="228">
        <f t="shared" si="67"/>
        <v>-0.31665994807021797</v>
      </c>
      <c r="F14" s="228">
        <f t="shared" si="67"/>
        <v>-0.66065480987262926</v>
      </c>
      <c r="G14" s="228">
        <f t="shared" si="67"/>
        <v>-0.73443124322162778</v>
      </c>
      <c r="I14" s="227" t="str">
        <f>'Aggregates (per cent of GDP)'!B66</f>
        <v>2009-10</v>
      </c>
      <c r="J14" t="str">
        <f t="shared" si="24"/>
        <v>2009</v>
      </c>
      <c r="K14" s="228">
        <f>-('Aggregates (per cent of GDP)'!M66-'Aggregates (per cent of GDP)'!M65)</f>
        <v>1.4071199801383107</v>
      </c>
      <c r="P14" t="str">
        <f>OBR_NOV25_C4.1!B38</f>
        <v>1957-58</v>
      </c>
      <c r="Q14" s="228">
        <f>'Aggregates (per cent of GDP)'!C14</f>
        <v>35.163468372423594</v>
      </c>
      <c r="R14" s="228">
        <f>'Aggregates (per cent of GDP)'!D14</f>
        <v>35.190120824449181</v>
      </c>
      <c r="T14" s="230">
        <f>'[1]CPI Forecast'!A351</f>
        <v>45566</v>
      </c>
      <c r="U14" s="228">
        <f>'[3]CPI Forecast'!F351</f>
        <v>2.2809914851064983</v>
      </c>
      <c r="V14" s="228">
        <f>'[3]CPI Forecast'!D351</f>
        <v>2.2809914851064983</v>
      </c>
      <c r="W14">
        <v>2</v>
      </c>
      <c r="Y14" s="231" t="s">
        <v>180</v>
      </c>
      <c r="AC14" s="232">
        <f t="shared" si="13"/>
        <v>101.65135300894494</v>
      </c>
      <c r="AD14" s="232">
        <f t="shared" si="13"/>
        <v>102.03400806191149</v>
      </c>
      <c r="AE14" s="232">
        <f t="shared" si="13"/>
        <v>105.20127828089392</v>
      </c>
      <c r="AF14" s="232">
        <f t="shared" si="13"/>
        <v>105.91120198967587</v>
      </c>
      <c r="AG14" s="232" t="e">
        <f t="shared" si="60"/>
        <v>#DIV/0!</v>
      </c>
      <c r="AL14" s="232">
        <f t="shared" si="38"/>
        <v>93.771106087699806</v>
      </c>
      <c r="AM14" s="232">
        <f t="shared" si="38"/>
        <v>92.721614191161791</v>
      </c>
      <c r="AN14" s="232">
        <f t="shared" si="47"/>
        <v>101.58432158576618</v>
      </c>
      <c r="AO14" s="232">
        <f t="shared" si="47"/>
        <v>105.07531629730292</v>
      </c>
      <c r="AP14" s="232" t="e">
        <f t="shared" si="55"/>
        <v>#DIV/0!</v>
      </c>
      <c r="AU14" s="232">
        <f t="shared" si="39"/>
        <v>6.4676190112067102</v>
      </c>
      <c r="AV14" s="232">
        <f t="shared" si="39"/>
        <v>6.3906723626863045</v>
      </c>
      <c r="AW14" s="232">
        <f t="shared" si="48"/>
        <v>7.015070156092575</v>
      </c>
      <c r="AX14" s="232">
        <f t="shared" si="48"/>
        <v>7.0396282205922169</v>
      </c>
      <c r="AY14" s="232" t="e">
        <f t="shared" si="61"/>
        <v>#DIV/0!</v>
      </c>
      <c r="BD14" s="232">
        <f t="shared" si="40"/>
        <v>1.301924560108739</v>
      </c>
      <c r="BE14" s="232">
        <f t="shared" si="40"/>
        <v>1.2984907312733898</v>
      </c>
      <c r="BF14" s="232">
        <f t="shared" si="49"/>
        <v>1.6140958292465339</v>
      </c>
      <c r="BG14" s="232">
        <f t="shared" si="49"/>
        <v>1.6701712386556724</v>
      </c>
      <c r="BH14" s="232" t="e">
        <f t="shared" si="56"/>
        <v>#DIV/0!</v>
      </c>
      <c r="BJ14" s="232"/>
      <c r="BK14" s="232"/>
      <c r="BL14" s="232"/>
      <c r="BM14" s="232">
        <f t="shared" si="41"/>
        <v>6.8151301912035018</v>
      </c>
      <c r="BN14" s="232">
        <f t="shared" si="41"/>
        <v>6.7518911305919058</v>
      </c>
      <c r="BO14" s="232">
        <f t="shared" si="50"/>
        <v>7.4370464868865005</v>
      </c>
      <c r="BP14" s="232">
        <f t="shared" si="50"/>
        <v>7.4441901386933909</v>
      </c>
      <c r="BQ14" s="232">
        <f t="shared" si="62"/>
        <v>0</v>
      </c>
      <c r="BS14" s="232"/>
      <c r="BT14" s="232"/>
      <c r="BU14" s="232"/>
      <c r="BV14" s="232">
        <f t="shared" si="42"/>
        <v>1.3718781766353529</v>
      </c>
      <c r="BW14" s="232">
        <f t="shared" si="42"/>
        <v>1.3718850778254099</v>
      </c>
      <c r="BX14" s="232">
        <f t="shared" si="51"/>
        <v>1.7111882631666266</v>
      </c>
      <c r="BY14" s="232">
        <f t="shared" si="51"/>
        <v>1.7661546711175518</v>
      </c>
      <c r="BZ14" s="232">
        <f t="shared" si="63"/>
        <v>0</v>
      </c>
      <c r="CB14">
        <f t="shared" si="33"/>
        <v>202901</v>
      </c>
      <c r="CC14" s="229">
        <f>VLOOKUP(CB14,DataQ!$C$7:$E$358,3,FALSE)</f>
        <v>70966.62</v>
      </c>
      <c r="CE14" t="str">
        <f t="shared" si="25"/>
        <v>28-29</v>
      </c>
      <c r="CI14" s="232">
        <f t="shared" si="43"/>
        <v>103.08204189156811</v>
      </c>
      <c r="CJ14" s="232">
        <f t="shared" si="43"/>
        <v>103.06545044991447</v>
      </c>
      <c r="CK14" s="232">
        <f t="shared" si="57"/>
        <v>104.02260496536071</v>
      </c>
      <c r="CL14" s="232">
        <f t="shared" si="57"/>
        <v>103.86858649148931</v>
      </c>
      <c r="CM14" s="232" t="e">
        <f t="shared" si="64"/>
        <v>#DIV/0!</v>
      </c>
      <c r="CN14">
        <v>100</v>
      </c>
      <c r="CS14" s="232">
        <f t="shared" si="44"/>
        <v>95.033476446847743</v>
      </c>
      <c r="CT14" s="232">
        <f t="shared" si="44"/>
        <v>93.969856024822164</v>
      </c>
      <c r="CU14" s="232">
        <f t="shared" si="52"/>
        <v>102.95187542910136</v>
      </c>
      <c r="CV14" s="232">
        <f t="shared" si="52"/>
        <v>106.48986679484906</v>
      </c>
      <c r="CW14" s="232" t="e">
        <f t="shared" si="58"/>
        <v>#DIV/0!</v>
      </c>
      <c r="CX14">
        <v>100</v>
      </c>
      <c r="DC14" s="232">
        <f t="shared" si="45"/>
        <v>458.98506067308233</v>
      </c>
      <c r="DD14" s="232">
        <f t="shared" si="45"/>
        <v>453.52441710726117</v>
      </c>
      <c r="DE14" s="232">
        <f t="shared" si="53"/>
        <v>497.83581804076232</v>
      </c>
      <c r="DF14" s="232">
        <f t="shared" si="53"/>
        <v>499.57862087204398</v>
      </c>
      <c r="DG14" s="232"/>
      <c r="DL14" s="232">
        <f t="shared" si="46"/>
        <v>92.393185525904045</v>
      </c>
      <c r="DM14" s="232">
        <f t="shared" si="46"/>
        <v>92.149498299800754</v>
      </c>
      <c r="DN14" s="232">
        <f t="shared" si="54"/>
        <v>114.54692535772367</v>
      </c>
      <c r="DO14" s="232">
        <f t="shared" si="54"/>
        <v>118.52640762860642</v>
      </c>
      <c r="DP14" s="232" t="e">
        <f t="shared" si="59"/>
        <v>#DIV/0!</v>
      </c>
      <c r="DR14" s="232"/>
      <c r="DS14" s="232"/>
      <c r="DT14" s="232"/>
      <c r="DU14" s="232">
        <f>'[2]Chart Data'!CM14</f>
        <v>483.64675452966623</v>
      </c>
      <c r="DV14" s="232">
        <f>'[2]Chart Data'!CN14</f>
        <v>479.15889214608609</v>
      </c>
      <c r="DW14" s="232">
        <f>'[2]Chart Data'!CO14</f>
        <v>527.78205195720921</v>
      </c>
      <c r="DX14" s="232">
        <f>'[2]Chart Data'!CP14</f>
        <v>528.28901278040109</v>
      </c>
      <c r="DY14" s="232"/>
      <c r="EA14" s="232"/>
      <c r="EB14" s="232"/>
      <c r="EC14" s="232"/>
      <c r="ED14" s="232">
        <f>'[2]Chart Data'!CU14</f>
        <v>97.357557247573965</v>
      </c>
      <c r="EE14" s="232">
        <f>'[2]Chart Data'!CV14</f>
        <v>97.358047001706282</v>
      </c>
      <c r="EF14" s="232">
        <f>'[2]Chart Data'!CW14</f>
        <v>121.43724722060598</v>
      </c>
      <c r="EG14" s="232">
        <f>'[2]Chart Data'!CX14</f>
        <v>125.33802740642426</v>
      </c>
      <c r="EH14" s="232"/>
      <c r="EM14" s="228">
        <f>100*(EV14/EV$11)</f>
        <v>105.3730929325714</v>
      </c>
      <c r="EN14" s="228">
        <f>100*(EW14/EW$11)</f>
        <v>105.65228112795573</v>
      </c>
      <c r="EO14" s="228">
        <f>100*(EX14/EX$11)</f>
        <v>106.01528311769542</v>
      </c>
      <c r="EP14" s="228">
        <f>100*(EY14/EY$11)</f>
        <v>105.7469216473358</v>
      </c>
      <c r="EQ14" s="228" t="e">
        <f>100*(EZ14/EZ$11)</f>
        <v>#DIV/0!</v>
      </c>
      <c r="EV14" s="228">
        <f>'[2]Chart Data'!DK14</f>
        <v>129.96073972250761</v>
      </c>
      <c r="EW14" s="228">
        <f>'[2]Chart Data'!DL14</f>
        <v>129.40842927053825</v>
      </c>
      <c r="EX14" s="228">
        <f>'[2]Chart Data'!DM14</f>
        <v>132.7397318112335</v>
      </c>
      <c r="EY14" s="228">
        <f>'[2]Chart Data'!DN14</f>
        <v>121.96833050261979</v>
      </c>
      <c r="EZ14" s="232"/>
    </row>
    <row r="15" spans="1:163">
      <c r="A15" t="s">
        <v>170</v>
      </c>
      <c r="B15" s="228">
        <f t="shared" si="67"/>
        <v>0.13765418718430456</v>
      </c>
      <c r="C15" s="228">
        <f t="shared" si="67"/>
        <v>0.23411986828821893</v>
      </c>
      <c r="D15" s="228">
        <f t="shared" si="67"/>
        <v>0.31517112688175425</v>
      </c>
      <c r="E15" s="228">
        <f t="shared" si="67"/>
        <v>0.21558256483252022</v>
      </c>
      <c r="F15" s="228">
        <f t="shared" si="67"/>
        <v>7.46268824110983E-2</v>
      </c>
      <c r="G15" s="228">
        <f t="shared" si="67"/>
        <v>6.9873642393200472E-2</v>
      </c>
      <c r="I15" s="227" t="str">
        <f>'Aggregates (per cent of GDP)'!B67</f>
        <v>2010-11</v>
      </c>
      <c r="J15" t="str">
        <f t="shared" si="24"/>
        <v>2010</v>
      </c>
      <c r="K15" s="228">
        <f>-('Aggregates (per cent of GDP)'!M67-'Aggregates (per cent of GDP)'!M66)</f>
        <v>-2.1274983787779185</v>
      </c>
      <c r="P15" t="str">
        <f>OBR_NOV25_C4.1!B39</f>
        <v>1958-59</v>
      </c>
      <c r="Q15" s="228">
        <f>'Aggregates (per cent of GDP)'!C15</f>
        <v>35.644200694117153</v>
      </c>
      <c r="R15" s="228">
        <f>'Aggregates (per cent of GDP)'!D15</f>
        <v>35.948412528385973</v>
      </c>
      <c r="T15" s="230">
        <f>'[1]CPI Forecast'!A352</f>
        <v>45597</v>
      </c>
      <c r="U15" s="228">
        <f>'[3]CPI Forecast'!F352</f>
        <v>2.622126709546091</v>
      </c>
      <c r="V15" s="228">
        <f>'[3]CPI Forecast'!D352</f>
        <v>2.622126709546091</v>
      </c>
      <c r="W15">
        <v>2</v>
      </c>
      <c r="Y15" s="231" t="s">
        <v>181</v>
      </c>
      <c r="AE15" s="232">
        <f t="shared" si="13"/>
        <v>106.25128451184511</v>
      </c>
      <c r="AF15" s="232">
        <f t="shared" si="13"/>
        <v>106.59254812423757</v>
      </c>
      <c r="AG15" s="232" t="e">
        <f t="shared" si="60"/>
        <v>#DIV/0!</v>
      </c>
      <c r="AN15" s="232">
        <f t="shared" si="47"/>
        <v>100.15929641038835</v>
      </c>
      <c r="AO15" s="232">
        <f t="shared" si="47"/>
        <v>104.05386087531426</v>
      </c>
      <c r="AP15" s="232" t="e">
        <f t="shared" si="55"/>
        <v>#DIV/0!</v>
      </c>
      <c r="AW15" s="232">
        <f t="shared" si="48"/>
        <v>7.0850870560278567</v>
      </c>
      <c r="AX15" s="232">
        <f t="shared" si="48"/>
        <v>7.0849154365499736</v>
      </c>
      <c r="AY15" s="232" t="e">
        <f t="shared" si="61"/>
        <v>#DIV/0!</v>
      </c>
      <c r="BF15" s="232">
        <f t="shared" si="49"/>
        <v>1.591453287993682</v>
      </c>
      <c r="BG15" s="232">
        <f t="shared" si="49"/>
        <v>1.6539352136072458</v>
      </c>
      <c r="BH15" s="232" t="e">
        <f t="shared" si="56"/>
        <v>#DIV/0!</v>
      </c>
      <c r="BO15" s="232">
        <f t="shared" si="50"/>
        <v>7.6594427472376791</v>
      </c>
      <c r="BP15" s="232">
        <f t="shared" si="50"/>
        <v>7.633014793258579</v>
      </c>
      <c r="BQ15" s="232">
        <f t="shared" si="62"/>
        <v>0</v>
      </c>
      <c r="BX15" s="232">
        <f t="shared" si="51"/>
        <v>1.7204651471318264</v>
      </c>
      <c r="BY15" s="232">
        <f t="shared" si="51"/>
        <v>1.781886045869723</v>
      </c>
      <c r="BZ15" s="232">
        <f t="shared" si="63"/>
        <v>0</v>
      </c>
      <c r="CB15">
        <f t="shared" si="33"/>
        <v>203001</v>
      </c>
      <c r="CC15" s="229">
        <f>VLOOKUP(CB15,DataQ!$C$7:$E$358,3,FALSE)</f>
        <v>71232.75</v>
      </c>
      <c r="CE15" t="str">
        <f t="shared" si="25"/>
        <v>29-30</v>
      </c>
      <c r="CK15" s="232">
        <f t="shared" si="57"/>
        <v>105.45483278177699</v>
      </c>
      <c r="CL15" s="232">
        <f t="shared" si="57"/>
        <v>104.92881270032942</v>
      </c>
      <c r="CM15" s="232" t="e">
        <f t="shared" si="64"/>
        <v>#DIV/0!</v>
      </c>
      <c r="CN15">
        <v>100</v>
      </c>
      <c r="CU15" s="232">
        <f t="shared" si="52"/>
        <v>101.8883273545746</v>
      </c>
      <c r="CV15" s="232">
        <f t="shared" si="52"/>
        <v>105.85012294746683</v>
      </c>
      <c r="CW15" s="232" t="e">
        <f t="shared" si="58"/>
        <v>#DIV/0!</v>
      </c>
      <c r="CX15">
        <v>100</v>
      </c>
      <c r="DE15" s="232">
        <f t="shared" si="53"/>
        <v>504.69023499026832</v>
      </c>
      <c r="DF15" s="232">
        <f t="shared" si="53"/>
        <v>504.67801006290517</v>
      </c>
      <c r="DG15" s="232"/>
      <c r="DN15" s="232">
        <f t="shared" si="54"/>
        <v>113.36359420033195</v>
      </c>
      <c r="DO15" s="232">
        <f t="shared" si="54"/>
        <v>117.81435358708154</v>
      </c>
      <c r="DP15" s="232" t="e">
        <f t="shared" si="59"/>
        <v>#DIV/0!</v>
      </c>
      <c r="DW15" s="232">
        <f>'[2]Chart Data'!CO15</f>
        <v>545.60317035329479</v>
      </c>
      <c r="DX15" s="232">
        <f>'[2]Chart Data'!CP15</f>
        <v>543.72063451449003</v>
      </c>
      <c r="DY15" s="232"/>
      <c r="EF15" s="232">
        <f>'[2]Chart Data'!CW15</f>
        <v>122.5534637093546</v>
      </c>
      <c r="EG15" s="232">
        <f>'[2]Chart Data'!CX15</f>
        <v>126.92864323392651</v>
      </c>
      <c r="EH15" s="232"/>
      <c r="EO15" s="228">
        <f>100*(EX15/EX$11)</f>
        <v>108.1065438810829</v>
      </c>
      <c r="EP15" s="228">
        <f>100*(EY15/EY$11)</f>
        <v>107.73614535864529</v>
      </c>
      <c r="EQ15" s="228" t="e">
        <f>100*(EZ15/EZ$11)</f>
        <v>#DIV/0!</v>
      </c>
      <c r="EX15" s="228">
        <f>'[2]Chart Data'!DM15</f>
        <v>135.35815987854556</v>
      </c>
      <c r="EY15" s="228">
        <f>'[2]Chart Data'!DN15</f>
        <v>124.2626979535588</v>
      </c>
      <c r="EZ15" s="232"/>
    </row>
    <row r="16" spans="1:163">
      <c r="A16" t="s">
        <v>171</v>
      </c>
      <c r="B16" s="228">
        <f t="shared" si="67"/>
        <v>0.13535995073123283</v>
      </c>
      <c r="C16" s="228">
        <f t="shared" si="67"/>
        <v>0.29430857936636423</v>
      </c>
      <c r="D16" s="228">
        <f t="shared" si="67"/>
        <v>0.22699643601164105</v>
      </c>
      <c r="E16" s="228">
        <f t="shared" si="67"/>
        <v>-0.1010773832376977</v>
      </c>
      <c r="F16" s="228">
        <f t="shared" si="67"/>
        <v>-0.58602792746153098</v>
      </c>
      <c r="G16" s="228">
        <f t="shared" si="67"/>
        <v>-0.66455760082842741</v>
      </c>
      <c r="I16" s="227" t="str">
        <f>'Aggregates (per cent of GDP)'!B68</f>
        <v>2011-12</v>
      </c>
      <c r="J16" t="str">
        <f t="shared" si="24"/>
        <v>2011</v>
      </c>
      <c r="K16" s="228">
        <f>-('Aggregates (per cent of GDP)'!M68-'Aggregates (per cent of GDP)'!M67)</f>
        <v>-1.3607900634538033</v>
      </c>
      <c r="P16" t="str">
        <f>OBR_NOV25_C4.1!B40</f>
        <v>1959-60</v>
      </c>
      <c r="Q16" s="228">
        <f>'Aggregates (per cent of GDP)'!C16</f>
        <v>33.652222847495779</v>
      </c>
      <c r="R16" s="228">
        <f>'Aggregates (per cent of GDP)'!D16</f>
        <v>35.939384194870968</v>
      </c>
      <c r="T16" s="230">
        <f>'[1]CPI Forecast'!A353</f>
        <v>45627</v>
      </c>
      <c r="U16" s="228">
        <f>'[3]CPI Forecast'!F353</f>
        <v>2.5029869481707712</v>
      </c>
      <c r="V16" s="228">
        <f>'[3]CPI Forecast'!D353</f>
        <v>2.5029869481707712</v>
      </c>
      <c r="W16">
        <v>2</v>
      </c>
      <c r="Y16" t="s">
        <v>590</v>
      </c>
      <c r="AG16" s="232" t="e">
        <f t="shared" si="60"/>
        <v>#DIV/0!</v>
      </c>
      <c r="AP16" s="232" t="e">
        <f t="shared" si="55"/>
        <v>#DIV/0!</v>
      </c>
      <c r="AY16" s="232" t="e">
        <f t="shared" si="61"/>
        <v>#DIV/0!</v>
      </c>
      <c r="BH16" s="232" t="e">
        <f t="shared" si="56"/>
        <v>#DIV/0!</v>
      </c>
      <c r="BQ16" s="232">
        <f t="shared" si="62"/>
        <v>0</v>
      </c>
      <c r="BZ16" s="232">
        <f t="shared" si="63"/>
        <v>0</v>
      </c>
      <c r="CB16">
        <f t="shared" si="33"/>
        <v>203101</v>
      </c>
      <c r="CC16" s="229">
        <f>VLOOKUP(CB16,DataQ!$C$7:$E$358,3,FALSE)</f>
        <v>71491.27</v>
      </c>
      <c r="CE16" t="str">
        <f t="shared" si="25"/>
        <v>30-31</v>
      </c>
      <c r="CM16" s="232" t="e">
        <f t="shared" si="64"/>
        <v>#DIV/0!</v>
      </c>
      <c r="CN16">
        <v>100</v>
      </c>
      <c r="CW16" s="232" t="e">
        <f t="shared" si="58"/>
        <v>#DIV/0!</v>
      </c>
      <c r="CX16">
        <v>100</v>
      </c>
      <c r="DP16" s="232" t="e">
        <f t="shared" si="59"/>
        <v>#DIV/0!</v>
      </c>
      <c r="EQ16" s="228" t="e">
        <f>100*(EZ16/EZ$11)</f>
        <v>#DIV/0!</v>
      </c>
    </row>
    <row r="17" spans="9:23">
      <c r="I17" s="227" t="str">
        <f>'Aggregates (per cent of GDP)'!B69</f>
        <v>2012-13</v>
      </c>
      <c r="J17" t="str">
        <f t="shared" si="24"/>
        <v>2012</v>
      </c>
      <c r="K17" s="228">
        <f>-('Aggregates (per cent of GDP)'!M69-'Aggregates (per cent of GDP)'!M68)</f>
        <v>0.35827151780745403</v>
      </c>
      <c r="P17" t="str">
        <f>OBR_NOV25_C4.1!B41</f>
        <v>1960-61</v>
      </c>
      <c r="Q17" s="228">
        <f>'Aggregates (per cent of GDP)'!C17</f>
        <v>33.452184356703199</v>
      </c>
      <c r="R17" s="228">
        <f>'Aggregates (per cent of GDP)'!D17</f>
        <v>35.93679627683531</v>
      </c>
      <c r="T17" s="230">
        <f>'[1]CPI Forecast'!A354</f>
        <v>45658</v>
      </c>
      <c r="U17" s="228">
        <f>'[3]CPI Forecast'!F354</f>
        <v>2.9829405009088816</v>
      </c>
      <c r="V17" s="228">
        <f>'[3]CPI Forecast'!D354</f>
        <v>2.9829405009088816</v>
      </c>
      <c r="W17">
        <v>2</v>
      </c>
    </row>
    <row r="18" spans="9:23">
      <c r="I18" s="227" t="str">
        <f>'Aggregates (per cent of GDP)'!B70</f>
        <v>2013-14</v>
      </c>
      <c r="J18" t="str">
        <f t="shared" si="24"/>
        <v>2013</v>
      </c>
      <c r="K18" s="228">
        <f>-('Aggregates (per cent of GDP)'!M70-'Aggregates (per cent of GDP)'!M69)</f>
        <v>-0.95900099554575213</v>
      </c>
      <c r="P18" t="str">
        <f>OBR_NOV25_C4.1!B42</f>
        <v>1961-62</v>
      </c>
      <c r="Q18" s="228">
        <f>'Aggregates (per cent of GDP)'!C18</f>
        <v>35.45670941841049</v>
      </c>
      <c r="R18" s="228">
        <f>'Aggregates (per cent of GDP)'!D18</f>
        <v>37.623903080257222</v>
      </c>
      <c r="T18" s="230">
        <f>'[1]CPI Forecast'!A355</f>
        <v>45689</v>
      </c>
      <c r="U18" s="228">
        <f>'[3]CPI Forecast'!F355</f>
        <v>2.8361876677630349</v>
      </c>
      <c r="V18" s="228">
        <f>'[3]CPI Forecast'!D355</f>
        <v>2.8361876677630349</v>
      </c>
      <c r="W18">
        <v>2</v>
      </c>
    </row>
    <row r="19" spans="9:23">
      <c r="I19" s="227" t="str">
        <f>'Aggregates (per cent of GDP)'!B71</f>
        <v>2014-15</v>
      </c>
      <c r="J19" t="str">
        <f t="shared" si="24"/>
        <v>2014</v>
      </c>
      <c r="K19" s="228">
        <f>-('Aggregates (per cent of GDP)'!M71-'Aggregates (per cent of GDP)'!M70)</f>
        <v>0.36972494414796664</v>
      </c>
      <c r="P19" t="str">
        <f>OBR_NOV25_C4.1!B43</f>
        <v>1962-63</v>
      </c>
      <c r="Q19" s="228">
        <f>'Aggregates (per cent of GDP)'!C19</f>
        <v>35.472043996333639</v>
      </c>
      <c r="R19" s="228">
        <f>'Aggregates (per cent of GDP)'!D19</f>
        <v>37.298435006959295</v>
      </c>
      <c r="T19" s="230">
        <f>'[1]CPI Forecast'!A356</f>
        <v>45717</v>
      </c>
      <c r="U19" s="228">
        <f>'[3]CPI Forecast'!F356</f>
        <v>2.5941516951063726</v>
      </c>
      <c r="V19" s="228">
        <f>'[3]CPI Forecast'!D356</f>
        <v>2.5941516951063726</v>
      </c>
      <c r="W19">
        <v>2</v>
      </c>
    </row>
    <row r="20" spans="9:23">
      <c r="I20" s="227" t="str">
        <f>'Aggregates (per cent of GDP)'!B72</f>
        <v>2015-16</v>
      </c>
      <c r="J20" t="str">
        <f t="shared" si="24"/>
        <v>2015</v>
      </c>
      <c r="K20" s="228">
        <f>-('Aggregates (per cent of GDP)'!M72-'Aggregates (per cent of GDP)'!M71)</f>
        <v>-0.49176889534344426</v>
      </c>
      <c r="P20" t="str">
        <f>OBR_NOV25_C4.1!B44</f>
        <v>1963-64</v>
      </c>
      <c r="Q20" s="228">
        <f>'Aggregates (per cent of GDP)'!C20</f>
        <v>34.626828275235674</v>
      </c>
      <c r="R20" s="228">
        <f>'Aggregates (per cent of GDP)'!D20</f>
        <v>37.329700272479563</v>
      </c>
      <c r="T20" s="230">
        <f>'[1]CPI Forecast'!A357</f>
        <v>45748</v>
      </c>
      <c r="U20" s="228">
        <f>'[3]CPI Forecast'!F357</f>
        <v>3.5273315751618295</v>
      </c>
      <c r="V20" s="228">
        <f>'[3]CPI Forecast'!D357</f>
        <v>3.5273315751618295</v>
      </c>
      <c r="W20">
        <v>2</v>
      </c>
    </row>
    <row r="21" spans="9:23">
      <c r="I21" s="227" t="str">
        <f>'Aggregates (per cent of GDP)'!B73</f>
        <v>2016-17</v>
      </c>
      <c r="J21" t="str">
        <f t="shared" si="24"/>
        <v>2016</v>
      </c>
      <c r="K21" s="228">
        <f>-('Aggregates (per cent of GDP)'!M73-'Aggregates (per cent of GDP)'!M72)</f>
        <v>-1.4453521965713167</v>
      </c>
      <c r="P21" t="str">
        <f>OBR_NOV25_C4.1!B45</f>
        <v>1964-65</v>
      </c>
      <c r="Q21" s="228">
        <f>'Aggregates (per cent of GDP)'!C21</f>
        <v>35.156608536025701</v>
      </c>
      <c r="R21" s="228">
        <f>'Aggregates (per cent of GDP)'!D21</f>
        <v>37.023864157870584</v>
      </c>
      <c r="T21" s="230">
        <f>'[1]CPI Forecast'!A358</f>
        <v>45778</v>
      </c>
      <c r="U21" s="228">
        <f>'[3]CPI Forecast'!F358</f>
        <v>3.3579498360974069</v>
      </c>
      <c r="V21" s="228">
        <f>'[3]CPI Forecast'!D358</f>
        <v>3.3579498360974069</v>
      </c>
      <c r="W21">
        <v>2</v>
      </c>
    </row>
    <row r="22" spans="9:23">
      <c r="I22" s="227" t="str">
        <f>'Aggregates (per cent of GDP)'!B74</f>
        <v>2017-18</v>
      </c>
      <c r="J22" t="str">
        <f t="shared" si="24"/>
        <v>2017</v>
      </c>
      <c r="K22" s="228">
        <f>-('Aggregates (per cent of GDP)'!M74-'Aggregates (per cent of GDP)'!M73)</f>
        <v>8.6068041941076867E-2</v>
      </c>
      <c r="P22" t="str">
        <f>OBR_NOV25_C4.1!B46</f>
        <v>1965-66</v>
      </c>
      <c r="Q22" s="228">
        <f>'Aggregates (per cent of GDP)'!C22</f>
        <v>36.949270141168313</v>
      </c>
      <c r="R22" s="228">
        <f>'Aggregates (per cent of GDP)'!D22</f>
        <v>38.473033917754115</v>
      </c>
      <c r="T22" s="230">
        <f>'[1]CPI Forecast'!A359</f>
        <v>45809</v>
      </c>
      <c r="U22" s="228">
        <f>'[3]CPI Forecast'!F359</f>
        <v>3.5764898933393185</v>
      </c>
      <c r="V22" s="228">
        <f>'[3]CPI Forecast'!D359</f>
        <v>3.5764898933393185</v>
      </c>
      <c r="W22">
        <v>2</v>
      </c>
    </row>
    <row r="23" spans="9:23">
      <c r="I23" s="227" t="str">
        <f>'Aggregates (per cent of GDP)'!B75</f>
        <v>2018-19</v>
      </c>
      <c r="J23" t="str">
        <f t="shared" si="24"/>
        <v>2018</v>
      </c>
      <c r="K23" s="228">
        <f>-('Aggregates (per cent of GDP)'!M75-'Aggregates (per cent of GDP)'!M74)</f>
        <v>-0.23073280055220813</v>
      </c>
      <c r="P23" t="str">
        <f>OBR_NOV25_C4.1!B47</f>
        <v>1966-67</v>
      </c>
      <c r="Q23" s="228">
        <f>'Aggregates (per cent of GDP)'!C23</f>
        <v>37.628246834492771</v>
      </c>
      <c r="R23" s="228">
        <f>'Aggregates (per cent of GDP)'!D23</f>
        <v>40.023021870777235</v>
      </c>
      <c r="T23" s="230">
        <f>'[1]CPI Forecast'!A360</f>
        <v>45839</v>
      </c>
      <c r="U23" s="228">
        <f>'[3]CPI Forecast'!F360</f>
        <v>3.829485167750124</v>
      </c>
      <c r="V23" s="228">
        <f>'[3]CPI Forecast'!D360</f>
        <v>3.829485167750124</v>
      </c>
      <c r="W23">
        <v>2</v>
      </c>
    </row>
    <row r="24" spans="9:23">
      <c r="I24" s="227" t="str">
        <f>'Aggregates (per cent of GDP)'!B76</f>
        <v>2019-20</v>
      </c>
      <c r="J24" t="str">
        <f t="shared" si="24"/>
        <v>2019</v>
      </c>
      <c r="K24" s="228">
        <f>-('Aggregates (per cent of GDP)'!M76-'Aggregates (per cent of GDP)'!M75)</f>
        <v>0.92709237206650286</v>
      </c>
      <c r="P24" t="str">
        <f>OBR_NOV25_C4.1!B48</f>
        <v>1967-68</v>
      </c>
      <c r="Q24" s="228">
        <f>'Aggregates (per cent of GDP)'!C24</f>
        <v>39.07572906867356</v>
      </c>
      <c r="R24" s="228">
        <f>'Aggregates (per cent of GDP)'!D24</f>
        <v>42.925682031984941</v>
      </c>
      <c r="T24" s="230">
        <f>'[1]CPI Forecast'!A361</f>
        <v>45870</v>
      </c>
      <c r="U24" s="228">
        <f>'[3]CPI Forecast'!F361</f>
        <v>3.7882568506669934</v>
      </c>
      <c r="V24" s="228">
        <f>'[3]CPI Forecast'!D361</f>
        <v>3.7882568506669934</v>
      </c>
      <c r="W24">
        <v>2</v>
      </c>
    </row>
    <row r="25" spans="9:23">
      <c r="I25" s="227" t="str">
        <f>'Aggregates (per cent of GDP)'!B77</f>
        <v>2020-21</v>
      </c>
      <c r="J25" t="str">
        <f t="shared" si="24"/>
        <v>2020</v>
      </c>
      <c r="K25" s="228">
        <f>-('Aggregates (per cent of GDP)'!M77-'Aggregates (per cent of GDP)'!M76)</f>
        <v>12.139104944745805</v>
      </c>
      <c r="P25" t="str">
        <f>OBR_NOV25_C4.1!B49</f>
        <v>1968-69</v>
      </c>
      <c r="Q25" s="228">
        <f>'Aggregates (per cent of GDP)'!C25</f>
        <v>40.793946001410887</v>
      </c>
      <c r="R25" s="228">
        <f>'Aggregates (per cent of GDP)'!D25</f>
        <v>41.371128070287952</v>
      </c>
      <c r="T25" s="230">
        <f>'[1]CPI Forecast'!A362</f>
        <v>45901</v>
      </c>
      <c r="U25" s="228">
        <f>'[3]CPI Forecast'!F362</f>
        <v>3.7827366538762508</v>
      </c>
      <c r="V25" s="228">
        <f>'[3]CPI Forecast'!D362</f>
        <v>3.7827366538762508</v>
      </c>
      <c r="W25">
        <v>2</v>
      </c>
    </row>
    <row r="26" spans="9:23">
      <c r="I26" s="227" t="str">
        <f>'Aggregates (per cent of GDP)'!B78</f>
        <v>2021-22</v>
      </c>
      <c r="J26" t="str">
        <f t="shared" si="24"/>
        <v>2021</v>
      </c>
      <c r="K26" s="228">
        <f>-('Aggregates (per cent of GDP)'!M78-'Aggregates (per cent of GDP)'!M77)</f>
        <v>-9.8878906422773696</v>
      </c>
      <c r="P26" t="str">
        <f>OBR_NOV25_C4.1!B50</f>
        <v>1969-70</v>
      </c>
      <c r="Q26" s="228">
        <f>'Aggregates (per cent of GDP)'!C26</f>
        <v>41.841670599339309</v>
      </c>
      <c r="R26" s="228">
        <f>'Aggregates (per cent of GDP)'!D26</f>
        <v>40.127025326411832</v>
      </c>
      <c r="T26" s="230">
        <f>'[1]CPI Forecast'!A363</f>
        <v>45931</v>
      </c>
      <c r="U26" s="228">
        <f>'[3]CPI Forecast'!F363</f>
        <v>3.5588638299448361</v>
      </c>
      <c r="V26" s="228">
        <f>'[3]CPI Forecast'!D363</f>
        <v>3.5588638299448361</v>
      </c>
      <c r="W26">
        <v>2</v>
      </c>
    </row>
    <row r="27" spans="9:23">
      <c r="I27" s="227" t="str">
        <f>'Aggregates (per cent of GDP)'!B79</f>
        <v>2022-23</v>
      </c>
      <c r="J27" t="str">
        <f t="shared" si="24"/>
        <v>2022</v>
      </c>
      <c r="K27" s="228">
        <f>-('Aggregates (per cent of GDP)'!M79-'Aggregates (per cent of GDP)'!M78)</f>
        <v>-1.7832894580607843</v>
      </c>
      <c r="P27" t="str">
        <f>OBR_NOV25_C4.1!B51</f>
        <v>1970-71</v>
      </c>
      <c r="Q27" s="228">
        <f>'Aggregates (per cent of GDP)'!C27</f>
        <v>40.037063336739472</v>
      </c>
      <c r="R27" s="228">
        <f>'Aggregates (per cent of GDP)'!D27</f>
        <v>39.477649422400809</v>
      </c>
      <c r="T27" s="230">
        <f>'[1]CPI Forecast'!A364</f>
        <v>45962</v>
      </c>
      <c r="U27" s="228">
        <f>'[3]CPI Forecast'!F364</f>
        <v>3.6037818476268857</v>
      </c>
      <c r="V27" s="228">
        <f ca="1">'[3]CPI Forecast'!D364</f>
        <v>3.611174783633686</v>
      </c>
      <c r="W27">
        <v>2</v>
      </c>
    </row>
    <row r="28" spans="9:23">
      <c r="I28" s="227" t="str">
        <f>'Aggregates (per cent of GDP)'!B80</f>
        <v>2023-24</v>
      </c>
      <c r="J28" t="str">
        <f t="shared" si="24"/>
        <v>2023</v>
      </c>
      <c r="K28" s="228">
        <f>-('Aggregates (per cent of GDP)'!M80-'Aggregates (per cent of GDP)'!M79)</f>
        <v>2.3723999382080141E-2</v>
      </c>
      <c r="P28" t="str">
        <f>OBR_NOV25_C4.1!B52</f>
        <v>1971-72</v>
      </c>
      <c r="Q28" s="228">
        <f>'Aggregates (per cent of GDP)'!C28</f>
        <v>38.364478023254016</v>
      </c>
      <c r="R28" s="228">
        <f>'Aggregates (per cent of GDP)'!D28</f>
        <v>39.346038921831223</v>
      </c>
      <c r="T28" s="230">
        <f>'[1]CPI Forecast'!A365</f>
        <v>45992</v>
      </c>
      <c r="U28" s="228">
        <f>'[3]CPI Forecast'!F365</f>
        <v>3.7805447784993618</v>
      </c>
      <c r="V28" s="228">
        <f ca="1">'[3]CPI Forecast'!D365</f>
        <v>3.76720899643741</v>
      </c>
      <c r="W28">
        <v>2</v>
      </c>
    </row>
    <row r="29" spans="9:23">
      <c r="I29" s="227" t="str">
        <f>'Aggregates (per cent of GDP)'!B81</f>
        <v>2024-25</v>
      </c>
      <c r="J29" t="str">
        <f t="shared" si="24"/>
        <v>2024</v>
      </c>
      <c r="K29" s="228">
        <f>-('Aggregates (per cent of GDP)'!M81-'Aggregates (per cent of GDP)'!M80)</f>
        <v>1.0008782633364799E-2</v>
      </c>
      <c r="P29" t="str">
        <f>OBR_NOV25_C4.1!B53</f>
        <v>1972-73</v>
      </c>
      <c r="Q29" s="228">
        <f>'Aggregates (per cent of GDP)'!C29</f>
        <v>35.871358632441648</v>
      </c>
      <c r="R29" s="228">
        <f>'Aggregates (per cent of GDP)'!D29</f>
        <v>38.458521543912802</v>
      </c>
      <c r="T29" s="230">
        <f>'[1]CPI Forecast'!A366</f>
        <v>46023</v>
      </c>
      <c r="U29" s="228">
        <f>'[3]CPI Forecast'!F366</f>
        <v>3.4316192719967775</v>
      </c>
      <c r="V29" s="228">
        <f ca="1">'[3]CPI Forecast'!D366</f>
        <v>3.523051208570549</v>
      </c>
      <c r="W29">
        <v>2</v>
      </c>
    </row>
    <row r="30" spans="9:23">
      <c r="I30" s="227" t="str">
        <f>'Aggregates (per cent of GDP)'!B82</f>
        <v>2025-26</v>
      </c>
      <c r="J30" t="str">
        <f t="shared" si="24"/>
        <v>2025</v>
      </c>
      <c r="K30" s="228">
        <f>-('Aggregates (per cent of GDP)'!M82-'Aggregates (per cent of GDP)'!M81)</f>
        <v>-0.92512687770830859</v>
      </c>
      <c r="P30" t="str">
        <f>OBR_NOV25_C4.1!B54</f>
        <v>1973-74</v>
      </c>
      <c r="Q30" s="228">
        <f>'Aggregates (per cent of GDP)'!C30</f>
        <v>36.169468209627013</v>
      </c>
      <c r="R30" s="228">
        <f>'Aggregates (per cent of GDP)'!D30</f>
        <v>40.251716523271106</v>
      </c>
      <c r="T30" s="230">
        <f>'[1]CPI Forecast'!A367</f>
        <v>46054</v>
      </c>
      <c r="U30" s="228">
        <f>'[3]CPI Forecast'!F367</f>
        <v>3.3669557382900006</v>
      </c>
      <c r="V30" s="228">
        <f ca="1">'[3]CPI Forecast'!D367</f>
        <v>3.4571592489492042</v>
      </c>
      <c r="W30">
        <v>2</v>
      </c>
    </row>
    <row r="31" spans="9:23">
      <c r="I31" s="227" t="str">
        <f>'Aggregates (per cent of GDP)'!B83</f>
        <v>2026-27</v>
      </c>
      <c r="J31" t="str">
        <f t="shared" si="24"/>
        <v>2026</v>
      </c>
      <c r="K31" s="228">
        <f>-('Aggregates (per cent of GDP)'!M83-'Aggregates (per cent of GDP)'!M82)</f>
        <v>-0.81235491323712083</v>
      </c>
      <c r="P31" t="str">
        <f>OBR_NOV25_C4.1!B55</f>
        <v>1974-75</v>
      </c>
      <c r="Q31" s="228">
        <f>'Aggregates (per cent of GDP)'!C31</f>
        <v>39.008269512791266</v>
      </c>
      <c r="R31" s="228">
        <f>'Aggregates (per cent of GDP)'!D31</f>
        <v>44.703234479387326</v>
      </c>
      <c r="T31" s="230">
        <f>'[1]CPI Forecast'!A368</f>
        <v>46082</v>
      </c>
      <c r="U31" s="228">
        <f>'[3]CPI Forecast'!F368</f>
        <v>3.2806248298073104</v>
      </c>
      <c r="V31" s="228">
        <f ca="1">'[3]CPI Forecast'!D368</f>
        <v>3.3697047913779032</v>
      </c>
      <c r="W31">
        <v>2</v>
      </c>
    </row>
    <row r="32" spans="9:23">
      <c r="I32" s="227" t="str">
        <f>'Aggregates (per cent of GDP)'!B84</f>
        <v>2027-28</v>
      </c>
      <c r="J32" t="str">
        <f t="shared" si="24"/>
        <v>2027</v>
      </c>
      <c r="K32" s="228">
        <f>-('Aggregates (per cent of GDP)'!M84-'Aggregates (per cent of GDP)'!M83)</f>
        <v>-0.42520510761352504</v>
      </c>
      <c r="P32" t="str">
        <f>OBR_NOV25_C4.1!B56</f>
        <v>1975-76</v>
      </c>
      <c r="Q32" s="228">
        <f>'Aggregates (per cent of GDP)'!C32</f>
        <v>40.119492899937107</v>
      </c>
      <c r="R32" s="228">
        <f>'Aggregates (per cent of GDP)'!D32</f>
        <v>46.450796067657478</v>
      </c>
      <c r="T32" s="230">
        <f>'[1]CPI Forecast'!A369</f>
        <v>46113</v>
      </c>
      <c r="U32" s="228">
        <f>'[3]CPI Forecast'!F369</f>
        <v>2.5536970222363342</v>
      </c>
      <c r="V32" s="228">
        <f ca="1">'[3]CPI Forecast'!D369</f>
        <v>2.4878201299924241</v>
      </c>
      <c r="W32">
        <v>2</v>
      </c>
    </row>
    <row r="33" spans="9:23">
      <c r="I33" s="227" t="str">
        <f>'Aggregates (per cent of GDP)'!B85</f>
        <v>2028-29</v>
      </c>
      <c r="J33" t="str">
        <f t="shared" si="24"/>
        <v>2028</v>
      </c>
      <c r="K33" s="228">
        <f>-('Aggregates (per cent of GDP)'!M85-'Aggregates (per cent of GDP)'!M84)</f>
        <v>-0.513778910473353</v>
      </c>
      <c r="P33" t="str">
        <f>OBR_NOV25_C4.1!B57</f>
        <v>1976-77</v>
      </c>
      <c r="Q33" s="228">
        <f>'Aggregates (per cent of GDP)'!C33</f>
        <v>40.210597443549752</v>
      </c>
      <c r="R33" s="228">
        <f>'Aggregates (per cent of GDP)'!D33</f>
        <v>45.140492144827974</v>
      </c>
      <c r="T33" s="230">
        <f>'[1]CPI Forecast'!A370</f>
        <v>46143</v>
      </c>
      <c r="U33" s="228">
        <f>'[3]CPI Forecast'!F370</f>
        <v>2.6503863794968607</v>
      </c>
      <c r="V33" s="228">
        <f ca="1">'[3]CPI Forecast'!D370</f>
        <v>2.583818844809227</v>
      </c>
      <c r="W33">
        <v>2</v>
      </c>
    </row>
    <row r="34" spans="9:23">
      <c r="I34" s="227" t="str">
        <f>'Aggregates (per cent of GDP)'!B86</f>
        <v>2029-30</v>
      </c>
      <c r="J34" t="str">
        <f t="shared" si="24"/>
        <v>2029</v>
      </c>
      <c r="K34" s="228">
        <f>-('Aggregates (per cent of GDP)'!M86-'Aggregates (per cent of GDP)'!M85)</f>
        <v>-0.7068015473029241</v>
      </c>
      <c r="P34" t="str">
        <f>OBR_NOV25_C4.1!B58</f>
        <v>1977-78</v>
      </c>
      <c r="Q34" s="228">
        <f>'Aggregates (per cent of GDP)'!C34</f>
        <v>38.388916652116059</v>
      </c>
      <c r="R34" s="228">
        <f>'Aggregates (per cent of GDP)'!D34</f>
        <v>42.256769042730625</v>
      </c>
      <c r="T34" s="230">
        <f>'[1]CPI Forecast'!A371</f>
        <v>46174</v>
      </c>
      <c r="U34" s="228">
        <f>'[3]CPI Forecast'!F371</f>
        <v>2.4798138715470985</v>
      </c>
      <c r="V34" s="228">
        <f ca="1">'[3]CPI Forecast'!D371</f>
        <v>2.4126662846983837</v>
      </c>
      <c r="W34">
        <v>2</v>
      </c>
    </row>
    <row r="35" spans="9:23">
      <c r="I35" s="227" t="str">
        <f>'Aggregates (per cent of GDP)'!B87</f>
        <v>2030-31</v>
      </c>
      <c r="J35" t="str">
        <f t="shared" ref="J35" si="68">LEFT(I35,4)</f>
        <v>2030</v>
      </c>
      <c r="K35" s="228">
        <f>-('Aggregates (per cent of GDP)'!M87-'Aggregates (per cent of GDP)'!M86)</f>
        <v>-4.4477867640504876E-2</v>
      </c>
      <c r="P35" t="str">
        <f>OBR_NOV25_C4.1!B59</f>
        <v>1978-79</v>
      </c>
      <c r="Q35" s="228">
        <f>'Aggregates (per cent of GDP)'!C35</f>
        <v>36.905288004117679</v>
      </c>
      <c r="R35" s="228">
        <f>'Aggregates (per cent of GDP)'!D35</f>
        <v>41.420705933732279</v>
      </c>
      <c r="T35" s="230">
        <f>'[1]CPI Forecast'!A372</f>
        <v>46204</v>
      </c>
      <c r="U35" s="228">
        <f>'[3]CPI Forecast'!F372</f>
        <v>2.5334630359208798</v>
      </c>
      <c r="V35" s="228">
        <f ca="1">'[3]CPI Forecast'!D372</f>
        <v>2.4565987303899917</v>
      </c>
      <c r="W35">
        <v>2</v>
      </c>
    </row>
    <row r="36" spans="9:23">
      <c r="P36" t="str">
        <f>OBR_NOV25_C4.1!B60</f>
        <v>1979-80</v>
      </c>
      <c r="Q36" s="228">
        <f>'Aggregates (per cent of GDP)'!C36</f>
        <v>37.271292629333892</v>
      </c>
      <c r="R36" s="228">
        <f>'Aggregates (per cent of GDP)'!D36</f>
        <v>40.946090635844115</v>
      </c>
      <c r="T36" s="230">
        <f>'[1]CPI Forecast'!A373</f>
        <v>46235</v>
      </c>
      <c r="U36" s="228">
        <f>'[3]CPI Forecast'!F373</f>
        <v>2.6664215543082959</v>
      </c>
      <c r="V36" s="228">
        <f ca="1">'[3]CPI Forecast'!D373</f>
        <v>2.5889283748285141</v>
      </c>
      <c r="W36">
        <v>2</v>
      </c>
    </row>
    <row r="37" spans="9:23">
      <c r="P37" t="str">
        <f>OBR_NOV25_C4.1!B61</f>
        <v>1980-81</v>
      </c>
      <c r="Q37" s="228">
        <f>'Aggregates (per cent of GDP)'!C37</f>
        <v>38.491784651726043</v>
      </c>
      <c r="R37" s="228">
        <f>'Aggregates (per cent of GDP)'!D37</f>
        <v>42.803908083783099</v>
      </c>
      <c r="T37" s="230">
        <f>'[1]CPI Forecast'!A374</f>
        <v>46266</v>
      </c>
      <c r="U37" s="228">
        <f>'[3]CPI Forecast'!F374</f>
        <v>2.7912075457314556</v>
      </c>
      <c r="V37" s="228">
        <f ca="1">'[3]CPI Forecast'!D374</f>
        <v>2.7384587653383363</v>
      </c>
      <c r="W37">
        <v>2</v>
      </c>
    </row>
    <row r="38" spans="9:23">
      <c r="P38" t="str">
        <f>OBR_NOV25_C4.1!B62</f>
        <v>1981-82</v>
      </c>
      <c r="Q38" s="228">
        <f>'Aggregates (per cent of GDP)'!C38</f>
        <v>40.812214006206091</v>
      </c>
      <c r="R38" s="228">
        <f>'Aggregates (per cent of GDP)'!D38</f>
        <v>42.820321417692377</v>
      </c>
      <c r="T38" s="230">
        <f>'[1]CPI Forecast'!A375</f>
        <v>46296</v>
      </c>
      <c r="U38" s="228">
        <f>'[3]CPI Forecast'!F375</f>
        <v>2.6235579039030066</v>
      </c>
      <c r="V38" s="228">
        <f ca="1">'[3]CPI Forecast'!D375</f>
        <v>2.5612301773084489</v>
      </c>
      <c r="W38">
        <v>2</v>
      </c>
    </row>
    <row r="39" spans="9:23">
      <c r="P39" t="str">
        <f>OBR_NOV25_C4.1!B63</f>
        <v>1982-83</v>
      </c>
      <c r="Q39" s="228">
        <f>'Aggregates (per cent of GDP)'!C39</f>
        <v>40.523009362325027</v>
      </c>
      <c r="R39" s="228">
        <f>'Aggregates (per cent of GDP)'!D39</f>
        <v>43.127992436949157</v>
      </c>
      <c r="T39" s="230">
        <f>'[1]CPI Forecast'!A376</f>
        <v>46327</v>
      </c>
      <c r="U39" s="228">
        <f>'[3]CPI Forecast'!F376</f>
        <v>2.6035080347746264</v>
      </c>
      <c r="V39" s="228">
        <f ca="1">'[3]CPI Forecast'!D376</f>
        <v>2.5329938405497021</v>
      </c>
      <c r="W39">
        <v>2</v>
      </c>
    </row>
    <row r="40" spans="9:23">
      <c r="P40" t="str">
        <f>OBR_NOV25_C4.1!B64</f>
        <v>1983-84</v>
      </c>
      <c r="Q40" s="228">
        <f>'Aggregates (per cent of GDP)'!C40</f>
        <v>39.41540915225125</v>
      </c>
      <c r="R40" s="228">
        <f>'Aggregates (per cent of GDP)'!D40</f>
        <v>42.706137562596894</v>
      </c>
      <c r="T40" s="230">
        <f>'[1]CPI Forecast'!A377</f>
        <v>46357</v>
      </c>
      <c r="U40" s="228">
        <f>'[3]CPI Forecast'!F377</f>
        <v>2.5849020290279912</v>
      </c>
      <c r="V40" s="228">
        <f ca="1">'[3]CPI Forecast'!D377</f>
        <v>2.5341350595351697</v>
      </c>
      <c r="W40">
        <v>2</v>
      </c>
    </row>
    <row r="41" spans="9:23">
      <c r="P41" t="str">
        <f>OBR_NOV25_C4.1!B65</f>
        <v>1984-85</v>
      </c>
      <c r="Q41" s="228">
        <f>'Aggregates (per cent of GDP)'!C41</f>
        <v>39.140924394520042</v>
      </c>
      <c r="R41" s="228">
        <f>'Aggregates (per cent of GDP)'!D41</f>
        <v>42.382304418206544</v>
      </c>
      <c r="T41" s="230">
        <f>'[1]CPI Forecast'!A378</f>
        <v>46388</v>
      </c>
      <c r="U41" s="228">
        <f>'[3]CPI Forecast'!F378</f>
        <v>2.6289960340827978</v>
      </c>
      <c r="V41" s="228">
        <f ca="1">'[3]CPI Forecast'!D378</f>
        <v>2.4979030357763943</v>
      </c>
      <c r="W41">
        <v>2</v>
      </c>
    </row>
    <row r="42" spans="9:23">
      <c r="P42" t="str">
        <f>OBR_NOV25_C4.1!B66</f>
        <v>1985-86</v>
      </c>
      <c r="Q42" s="228">
        <f>'Aggregates (per cent of GDP)'!C42</f>
        <v>38.214947745778559</v>
      </c>
      <c r="R42" s="228">
        <f>'Aggregates (per cent of GDP)'!D42</f>
        <v>40.342802767106569</v>
      </c>
      <c r="T42" s="230">
        <f>'[1]CPI Forecast'!A379</f>
        <v>46419</v>
      </c>
      <c r="U42" s="228">
        <f>'[3]CPI Forecast'!F379</f>
        <v>2.6314639675161677</v>
      </c>
      <c r="V42" s="228">
        <f ca="1">'[3]CPI Forecast'!D379</f>
        <v>2.5012822213585695</v>
      </c>
      <c r="W42">
        <v>2</v>
      </c>
    </row>
    <row r="43" spans="9:23">
      <c r="P43" t="str">
        <f>OBR_NOV25_C4.1!B67</f>
        <v>1986-87</v>
      </c>
      <c r="Q43" s="228">
        <f>'Aggregates (per cent of GDP)'!C43</f>
        <v>37.312392455146266</v>
      </c>
      <c r="R43" s="228">
        <f>'Aggregates (per cent of GDP)'!D43</f>
        <v>39.228197849650932</v>
      </c>
      <c r="T43" s="230">
        <f>'[1]CPI Forecast'!A380</f>
        <v>46447</v>
      </c>
      <c r="U43" s="228">
        <f>'[3]CPI Forecast'!F380</f>
        <v>2.6234877447325333</v>
      </c>
      <c r="V43" s="228">
        <f ca="1">'[3]CPI Forecast'!D380</f>
        <v>2.4941755007657385</v>
      </c>
      <c r="W43">
        <v>2</v>
      </c>
    </row>
    <row r="44" spans="9:23">
      <c r="P44" t="str">
        <f>OBR_NOV25_C4.1!B68</f>
        <v>1987-88</v>
      </c>
      <c r="Q44" s="228">
        <f>'Aggregates (per cent of GDP)'!C44</f>
        <v>36.058787283164854</v>
      </c>
      <c r="R44" s="228">
        <f>'Aggregates (per cent of GDP)'!D44</f>
        <v>37.048195120429305</v>
      </c>
      <c r="T44" s="230">
        <f>'[1]CPI Forecast'!A381</f>
        <v>46478</v>
      </c>
      <c r="U44" s="228">
        <f>'[3]CPI Forecast'!F381</f>
        <v>2.5896898059093232</v>
      </c>
      <c r="V44" s="228">
        <f ca="1">'[3]CPI Forecast'!D381</f>
        <v>2.6381523327803302</v>
      </c>
      <c r="W44">
        <v>2</v>
      </c>
    </row>
    <row r="45" spans="9:23">
      <c r="P45" t="str">
        <f>OBR_NOV25_C4.1!B69</f>
        <v>1988-89</v>
      </c>
      <c r="Q45" s="228">
        <f>'Aggregates (per cent of GDP)'!C45</f>
        <v>35.404200122021365</v>
      </c>
      <c r="R45" s="228">
        <f>'Aggregates (per cent of GDP)'!D45</f>
        <v>34.437469297992592</v>
      </c>
      <c r="T45" s="230">
        <f>'[1]CPI Forecast'!A382</f>
        <v>46508</v>
      </c>
      <c r="U45" s="228">
        <f>'[3]CPI Forecast'!F382</f>
        <v>2.5814426422992698</v>
      </c>
      <c r="V45" s="228">
        <f ca="1">'[3]CPI Forecast'!D382</f>
        <v>2.6302194609837404</v>
      </c>
      <c r="W45">
        <v>2</v>
      </c>
    </row>
    <row r="46" spans="9:23">
      <c r="P46" t="str">
        <f>OBR_NOV25_C4.1!B70</f>
        <v>1989-90</v>
      </c>
      <c r="Q46" s="228">
        <f>'Aggregates (per cent of GDP)'!C46</f>
        <v>34.584797191924729</v>
      </c>
      <c r="R46" s="228">
        <f>'Aggregates (per cent of GDP)'!D46</f>
        <v>34.604429653249568</v>
      </c>
      <c r="T46" s="230">
        <f>'[1]CPI Forecast'!A383</f>
        <v>46539</v>
      </c>
      <c r="U46" s="228">
        <f>'[3]CPI Forecast'!F383</f>
        <v>2.5781021002269533</v>
      </c>
      <c r="V46" s="228">
        <f ca="1">'[3]CPI Forecast'!D383</f>
        <v>2.6272636544307337</v>
      </c>
      <c r="W46">
        <v>2</v>
      </c>
    </row>
    <row r="47" spans="9:23">
      <c r="P47" t="str">
        <f>OBR_NOV25_C4.1!B71</f>
        <v>1990-91</v>
      </c>
      <c r="Q47" s="228">
        <f>'Aggregates (per cent of GDP)'!C47</f>
        <v>33.774931617811063</v>
      </c>
      <c r="R47" s="228">
        <f>'Aggregates (per cent of GDP)'!D47</f>
        <v>34.848355892607678</v>
      </c>
      <c r="T47" s="230">
        <f>'[1]CPI Forecast'!A384</f>
        <v>46569</v>
      </c>
      <c r="U47" s="228">
        <f>'[3]CPI Forecast'!F384</f>
        <v>2.5555800382946359</v>
      </c>
      <c r="V47" s="228">
        <f ca="1">'[3]CPI Forecast'!D384</f>
        <v>2.6376911410214365</v>
      </c>
      <c r="W47">
        <v>2</v>
      </c>
    </row>
    <row r="48" spans="9:23">
      <c r="P48" t="str">
        <f>OBR_NOV25_C4.1!B72</f>
        <v>1991-92</v>
      </c>
      <c r="Q48" s="228">
        <f>'Aggregates (per cent of GDP)'!C48</f>
        <v>33.411574916548517</v>
      </c>
      <c r="R48" s="228">
        <f>'Aggregates (per cent of GDP)'!D48</f>
        <v>36.727864423431164</v>
      </c>
      <c r="T48" s="230">
        <f>'[1]CPI Forecast'!A385</f>
        <v>46600</v>
      </c>
      <c r="U48" s="228">
        <f>'[3]CPI Forecast'!F385</f>
        <v>2.560352534885757</v>
      </c>
      <c r="V48" s="228">
        <f ca="1">'[3]CPI Forecast'!D385</f>
        <v>2.6423798750502048</v>
      </c>
      <c r="W48">
        <v>2</v>
      </c>
    </row>
    <row r="49" spans="16:23">
      <c r="P49" t="str">
        <f>OBR_NOV25_C4.1!B73</f>
        <v>1992-93</v>
      </c>
      <c r="Q49" s="228">
        <f>'Aggregates (per cent of GDP)'!C49</f>
        <v>31.93282299387754</v>
      </c>
      <c r="R49" s="228">
        <f>'Aggregates (per cent of GDP)'!D49</f>
        <v>38.18574053636911</v>
      </c>
      <c r="T49" s="230">
        <f>'[1]CPI Forecast'!A386</f>
        <v>46631</v>
      </c>
      <c r="U49" s="228">
        <f>'[3]CPI Forecast'!F386</f>
        <v>2.4905830391854789</v>
      </c>
      <c r="V49" s="228">
        <f ca="1">'[3]CPI Forecast'!D386</f>
        <v>2.5473666459103095</v>
      </c>
      <c r="W49">
        <v>2</v>
      </c>
    </row>
    <row r="50" spans="16:23">
      <c r="P50" t="str">
        <f>OBR_NOV25_C4.1!B74</f>
        <v>1993-94</v>
      </c>
      <c r="Q50" s="228">
        <f>'Aggregates (per cent of GDP)'!C50</f>
        <v>31.215622685835399</v>
      </c>
      <c r="R50" s="228">
        <f>'Aggregates (per cent of GDP)'!D50</f>
        <v>37.77086897678813</v>
      </c>
      <c r="T50" s="230">
        <f>'[1]CPI Forecast'!A387</f>
        <v>46661</v>
      </c>
      <c r="U50" s="228">
        <f>'[3]CPI Forecast'!F387</f>
        <v>2.451930548723924</v>
      </c>
      <c r="V50" s="228">
        <f ca="1">'[3]CPI Forecast'!D387</f>
        <v>2.5413085346328135</v>
      </c>
      <c r="W50">
        <v>2</v>
      </c>
    </row>
    <row r="51" spans="16:23">
      <c r="P51" t="str">
        <f>OBR_NOV25_C4.1!B75</f>
        <v>1994-95</v>
      </c>
      <c r="Q51" s="228">
        <f>'Aggregates (per cent of GDP)'!C51</f>
        <v>32.091614360119955</v>
      </c>
      <c r="R51" s="228">
        <f>'Aggregates (per cent of GDP)'!D51</f>
        <v>37.424332560370047</v>
      </c>
      <c r="T51" s="230">
        <f>'[1]CPI Forecast'!A388</f>
        <v>46692</v>
      </c>
      <c r="U51" s="228">
        <f>'[3]CPI Forecast'!F388</f>
        <v>2.4296934539914217</v>
      </c>
      <c r="V51" s="228">
        <f ca="1">'[3]CPI Forecast'!D388</f>
        <v>2.5193708333763665</v>
      </c>
      <c r="W51">
        <v>2</v>
      </c>
    </row>
    <row r="52" spans="16:23">
      <c r="P52" t="str">
        <f>OBR_NOV25_C4.1!B76</f>
        <v>1995-96</v>
      </c>
      <c r="Q52" s="228">
        <f>'Aggregates (per cent of GDP)'!C52</f>
        <v>33.1416335270725</v>
      </c>
      <c r="R52" s="228">
        <f>'Aggregates (per cent of GDP)'!D52</f>
        <v>37.243632291913173</v>
      </c>
      <c r="T52" s="230">
        <f>'[1]CPI Forecast'!A389</f>
        <v>46722</v>
      </c>
      <c r="U52" s="228">
        <f>'[3]CPI Forecast'!F389</f>
        <v>2.4603515185425806</v>
      </c>
      <c r="V52" s="228">
        <f ca="1">'[3]CPI Forecast'!D389</f>
        <v>2.5498435298940247</v>
      </c>
      <c r="W52">
        <v>2</v>
      </c>
    </row>
    <row r="53" spans="16:23">
      <c r="P53" t="str">
        <f>OBR_NOV25_C4.1!B77</f>
        <v>1996-97</v>
      </c>
      <c r="Q53" s="228">
        <f>'Aggregates (per cent of GDP)'!C53</f>
        <v>32.304539184980044</v>
      </c>
      <c r="R53" s="228">
        <f>'Aggregates (per cent of GDP)'!D53</f>
        <v>35.426213690729305</v>
      </c>
    </row>
    <row r="54" spans="16:23">
      <c r="P54" t="str">
        <f>OBR_NOV25_C4.1!B78</f>
        <v>1997-98</v>
      </c>
      <c r="Q54" s="228">
        <f>'Aggregates (per cent of GDP)'!C54</f>
        <v>34.385421089296244</v>
      </c>
      <c r="R54" s="228">
        <f>'Aggregates (per cent of GDP)'!D54</f>
        <v>35.470966252674188</v>
      </c>
    </row>
    <row r="55" spans="16:23">
      <c r="P55" t="str">
        <f>OBR_NOV25_C4.1!B79</f>
        <v>1998-99</v>
      </c>
      <c r="Q55" s="228">
        <f>'Aggregates (per cent of GDP)'!C55</f>
        <v>34.976304065287579</v>
      </c>
      <c r="R55" s="228">
        <f>'Aggregates (per cent of GDP)'!D55</f>
        <v>34.988433070571091</v>
      </c>
    </row>
    <row r="56" spans="16:23">
      <c r="P56" t="str">
        <f>OBR_NOV25_C4.1!B80</f>
        <v>1999-00</v>
      </c>
      <c r="Q56" s="228">
        <f>'Aggregates (per cent of GDP)'!C56</f>
        <v>35.676214192067093</v>
      </c>
      <c r="R56" s="228">
        <f>'Aggregates (per cent of GDP)'!D56</f>
        <v>34.60135177803771</v>
      </c>
    </row>
    <row r="57" spans="16:23">
      <c r="P57" t="str">
        <f>OBR_NOV25_C4.1!B81</f>
        <v>2000-01</v>
      </c>
      <c r="Q57" s="228">
        <f>'Aggregates (per cent of GDP)'!C57</f>
        <v>36.36363636363636</v>
      </c>
      <c r="R57" s="228">
        <f>'Aggregates (per cent of GDP)'!D57</f>
        <v>34.905644339420903</v>
      </c>
    </row>
    <row r="58" spans="16:23">
      <c r="P58" t="str">
        <f>OBR_NOV25_C4.1!B82</f>
        <v>2001-02</v>
      </c>
      <c r="Q58" s="228">
        <f>'Aggregates (per cent of GDP)'!C58</f>
        <v>35.565396240896526</v>
      </c>
      <c r="R58" s="228">
        <f>'Aggregates (per cent of GDP)'!D58</f>
        <v>36.05134595566517</v>
      </c>
    </row>
    <row r="59" spans="16:23">
      <c r="P59" t="str">
        <f>OBR_NOV25_C4.1!B83</f>
        <v>2002-03</v>
      </c>
      <c r="Q59" s="228">
        <f>'Aggregates (per cent of GDP)'!C59</f>
        <v>34.523355033194342</v>
      </c>
      <c r="R59" s="228">
        <f>'Aggregates (per cent of GDP)'!D59</f>
        <v>37.416807558757377</v>
      </c>
    </row>
    <row r="60" spans="16:23">
      <c r="P60" t="str">
        <f>OBR_NOV25_C4.1!B84</f>
        <v>2003-04</v>
      </c>
      <c r="Q60" s="228">
        <f>'Aggregates (per cent of GDP)'!C60</f>
        <v>35.290945323788307</v>
      </c>
      <c r="R60" s="228">
        <f>'Aggregates (per cent of GDP)'!D60</f>
        <v>38.697504841131064</v>
      </c>
    </row>
    <row r="61" spans="16:23">
      <c r="P61" t="str">
        <f>OBR_NOV25_C4.1!B85</f>
        <v>2004-05</v>
      </c>
      <c r="Q61" s="228">
        <f>'Aggregates (per cent of GDP)'!C61</f>
        <v>35.888955650441133</v>
      </c>
      <c r="R61" s="228">
        <f>'Aggregates (per cent of GDP)'!D61</f>
        <v>39.725954143478582</v>
      </c>
    </row>
    <row r="62" spans="16:23">
      <c r="P62" t="str">
        <f>OBR_NOV25_C4.1!B86</f>
        <v>2005-06</v>
      </c>
      <c r="Q62" s="228">
        <f>'Aggregates (per cent of GDP)'!C62</f>
        <v>36.50911062921962</v>
      </c>
      <c r="R62" s="228">
        <f>'Aggregates (per cent of GDP)'!D62</f>
        <v>39.69633811642246</v>
      </c>
    </row>
    <row r="63" spans="16:23">
      <c r="P63" t="str">
        <f>OBR_NOV25_C4.1!B87</f>
        <v>2006-07</v>
      </c>
      <c r="Q63" s="228">
        <f>'Aggregates (per cent of GDP)'!C63</f>
        <v>36.928034990170396</v>
      </c>
      <c r="R63" s="228">
        <f>'Aggregates (per cent of GDP)'!D63</f>
        <v>39.669141476636611</v>
      </c>
    </row>
    <row r="64" spans="16:23">
      <c r="P64" t="str">
        <f>OBR_NOV25_C4.1!B88</f>
        <v>2007-08</v>
      </c>
      <c r="Q64" s="228">
        <f>'Aggregates (per cent of GDP)'!C64</f>
        <v>37.161140434638504</v>
      </c>
      <c r="R64" s="228">
        <f>'Aggregates (per cent of GDP)'!D64</f>
        <v>40.027240450733395</v>
      </c>
    </row>
    <row r="65" spans="16:18">
      <c r="P65" t="str">
        <f>OBR_NOV25_C4.1!B89</f>
        <v>2008-09</v>
      </c>
      <c r="Q65" s="228">
        <f>'Aggregates (per cent of GDP)'!C65</f>
        <v>35.742910635819356</v>
      </c>
      <c r="R65" s="228">
        <f>'Aggregates (per cent of GDP)'!D65</f>
        <v>43.041875592728651</v>
      </c>
    </row>
    <row r="66" spans="16:18">
      <c r="P66" t="str">
        <f>OBR_NOV25_C4.1!B90</f>
        <v>2009-10</v>
      </c>
      <c r="Q66" s="228">
        <f>'Aggregates (per cent of GDP)'!C66</f>
        <v>35.780022589928976</v>
      </c>
      <c r="R66" s="228">
        <f>'Aggregates (per cent of GDP)'!D66</f>
        <v>45.967506237755813</v>
      </c>
    </row>
    <row r="67" spans="16:18">
      <c r="P67" t="str">
        <f>OBR_NOV25_C4.1!B91</f>
        <v>2010-11</v>
      </c>
      <c r="Q67" s="228">
        <f>'Aggregates (per cent of GDP)'!C67</f>
        <v>36.807362979093973</v>
      </c>
      <c r="R67" s="228">
        <f>'Aggregates (per cent of GDP)'!D67</f>
        <v>45.502551860892659</v>
      </c>
    </row>
    <row r="68" spans="16:18">
      <c r="P68" t="str">
        <f>OBR_NOV25_C4.1!B92</f>
        <v>2011-12</v>
      </c>
      <c r="Q68" s="228">
        <f>'Aggregates (per cent of GDP)'!C68</f>
        <v>37.089492348612715</v>
      </c>
      <c r="R68" s="228">
        <f>'Aggregates (per cent of GDP)'!D68</f>
        <v>44.350799583803564</v>
      </c>
    </row>
    <row r="69" spans="16:18">
      <c r="P69" t="str">
        <f>OBR_NOV25_C4.1!B93</f>
        <v>2012-13</v>
      </c>
      <c r="Q69" s="228">
        <f>'Aggregates (per cent of GDP)'!C69</f>
        <v>36.654260253173902</v>
      </c>
      <c r="R69" s="228">
        <f>'Aggregates (per cent of GDP)'!D69</f>
        <v>43.791851455311523</v>
      </c>
    </row>
    <row r="70" spans="16:18">
      <c r="P70" t="str">
        <f>OBR_NOV25_C4.1!B94</f>
        <v>2013-14</v>
      </c>
      <c r="Q70" s="228">
        <f>'Aggregates (per cent of GDP)'!C70</f>
        <v>36.537096936168616</v>
      </c>
      <c r="R70" s="228">
        <f>'Aggregates (per cent of GDP)'!D70</f>
        <v>42.18989508394278</v>
      </c>
    </row>
    <row r="71" spans="16:18">
      <c r="P71" t="str">
        <f>OBR_NOV25_C4.1!B95</f>
        <v>2014-15</v>
      </c>
      <c r="Q71" s="228">
        <f>'Aggregates (per cent of GDP)'!C71</f>
        <v>36.473909943997022</v>
      </c>
      <c r="R71" s="228">
        <f>'Aggregates (per cent of GDP)'!D71</f>
        <v>41.636098244067888</v>
      </c>
    </row>
    <row r="72" spans="16:18">
      <c r="P72" t="str">
        <f>OBR_NOV25_C4.1!B96</f>
        <v>2015-16</v>
      </c>
      <c r="Q72" s="228">
        <f>'Aggregates (per cent of GDP)'!C72</f>
        <v>36.678178262889325</v>
      </c>
      <c r="R72" s="228">
        <f>'Aggregates (per cent of GDP)'!D72</f>
        <v>40.829452263744336</v>
      </c>
    </row>
    <row r="73" spans="16:18">
      <c r="P73" t="str">
        <f>OBR_NOV25_C4.1!B97</f>
        <v>2016-17</v>
      </c>
      <c r="Q73" s="228">
        <f>'Aggregates (per cent of GDP)'!C73</f>
        <v>37.207454129458675</v>
      </c>
      <c r="R73" s="228">
        <f>'Aggregates (per cent of GDP)'!D73</f>
        <v>40.027418236136228</v>
      </c>
    </row>
    <row r="74" spans="16:18">
      <c r="P74" t="str">
        <f>OBR_NOV25_C4.1!B98</f>
        <v>2017-18</v>
      </c>
      <c r="Q74" s="228">
        <f>'Aggregates (per cent of GDP)'!C74</f>
        <v>36.859866349319994</v>
      </c>
      <c r="R74" s="228">
        <f>'Aggregates (per cent of GDP)'!D74</f>
        <v>39.663352748984799</v>
      </c>
    </row>
    <row r="75" spans="16:18">
      <c r="P75" t="str">
        <f>OBR_NOV25_C4.1!B99</f>
        <v>2018-19</v>
      </c>
      <c r="Q75" s="228">
        <f>'Aggregates (per cent of GDP)'!C75</f>
        <v>37.067245582894451</v>
      </c>
      <c r="R75" s="228">
        <f>'Aggregates (per cent of GDP)'!D75</f>
        <v>39.090636343585075</v>
      </c>
    </row>
    <row r="76" spans="16:18">
      <c r="P76" t="str">
        <f>OBR_NOV25_C4.1!B100</f>
        <v>2019-20</v>
      </c>
      <c r="Q76" s="228">
        <f>'Aggregates (per cent of GDP)'!C76</f>
        <v>36.516554834257256</v>
      </c>
      <c r="R76" s="228">
        <f>'Aggregates (per cent of GDP)'!D76</f>
        <v>39.095600031280966</v>
      </c>
    </row>
    <row r="77" spans="16:18">
      <c r="P77" t="str">
        <f>OBR_NOV25_C4.1!B101</f>
        <v>2020-21</v>
      </c>
      <c r="Q77" s="228">
        <f>'Aggregates (per cent of GDP)'!C77</f>
        <v>37.532488213247795</v>
      </c>
      <c r="R77" s="228">
        <f>'Aggregates (per cent of GDP)'!D77</f>
        <v>52.268392925863374</v>
      </c>
    </row>
    <row r="78" spans="16:18">
      <c r="P78" t="str">
        <f>OBR_NOV25_C4.1!B102</f>
        <v>2021-22</v>
      </c>
      <c r="Q78" s="228">
        <f>'Aggregates (per cent of GDP)'!C78</f>
        <v>38.350890144051107</v>
      </c>
      <c r="R78" s="228">
        <f>'Aggregates (per cent of GDP)'!D78</f>
        <v>43.362517382534058</v>
      </c>
    </row>
    <row r="79" spans="16:18">
      <c r="P79" t="str">
        <f>OBR_NOV25_C4.1!B103</f>
        <v>2022-23</v>
      </c>
      <c r="Q79" s="228">
        <f>'Aggregates (per cent of GDP)'!C79</f>
        <v>39.233036332495175</v>
      </c>
      <c r="R79" s="228">
        <f>'Aggregates (per cent of GDP)'!D79</f>
        <v>44.0576676627431</v>
      </c>
    </row>
    <row r="80" spans="16:18">
      <c r="P80" t="str">
        <f>OBR_NOV25_C4.1!B104</f>
        <v>2023-24</v>
      </c>
      <c r="Q80" s="228">
        <f>'Aggregates (per cent of GDP)'!C80</f>
        <v>39.307805031439777</v>
      </c>
      <c r="R80" s="228">
        <f>'Aggregates (per cent of GDP)'!D80</f>
        <v>44.130674156135044</v>
      </c>
    </row>
    <row r="81" spans="16:18">
      <c r="P81" t="str">
        <f>OBR_NOV25_C4.1!B105</f>
        <v>2024-25</v>
      </c>
      <c r="Q81" s="228">
        <f t="array" ref="Q81:Q87">TRANSPOSE(OBR_NOV25_TA.9!C7:I7)</f>
        <v>38.902213940190336</v>
      </c>
      <c r="R81" s="228">
        <f t="array" ref="R81:R87">TRANSPOSE(OBR_NOV25_TA.9!C9:I9)</f>
        <v>44.008646933290684</v>
      </c>
    </row>
    <row r="82" spans="16:18">
      <c r="P82" t="str">
        <f>OBR_NOV25_C4.1!B106</f>
        <v>2025-26</v>
      </c>
      <c r="Q82" s="228">
        <v>40.471753403663143</v>
      </c>
      <c r="R82" s="228">
        <v>45.01576379248592</v>
      </c>
    </row>
    <row r="83" spans="16:18">
      <c r="P83" t="str">
        <f>OBR_NOV25_C4.1!B107</f>
        <v>2026-27</v>
      </c>
      <c r="Q83" s="228">
        <v>41.193637835164196</v>
      </c>
      <c r="R83" s="228">
        <v>44.73542537292964</v>
      </c>
    </row>
    <row r="84" spans="16:18">
      <c r="P84" t="str">
        <f>OBR_NOV25_C4.1!B108</f>
        <v>2027-28</v>
      </c>
      <c r="Q84" s="228">
        <v>41.80872585519365</v>
      </c>
      <c r="R84" s="228">
        <v>44.813096082542323</v>
      </c>
    </row>
    <row r="85" spans="16:18">
      <c r="P85" t="str">
        <f>OBR_NOV25_C4.1!B109</f>
        <v>2028-29</v>
      </c>
      <c r="Q85" s="228">
        <v>41.928353728387982</v>
      </c>
      <c r="R85" s="228">
        <v>44.494141660839134</v>
      </c>
    </row>
    <row r="86" spans="16:18">
      <c r="P86" t="str">
        <f>OBR_NOV25_C4.1!B110</f>
        <v>2029-30</v>
      </c>
      <c r="Q86" s="228">
        <v>42.331509565108846</v>
      </c>
      <c r="R86" s="228">
        <v>44.268372436637733</v>
      </c>
    </row>
    <row r="87" spans="16:18">
      <c r="P87" t="str">
        <f>OBR_NOV25_C4.1!B111</f>
        <v>2030-31</v>
      </c>
      <c r="Q87" s="228">
        <v>42.433163330478479</v>
      </c>
      <c r="R87" s="228">
        <v>44.284247772244136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744FF-AE64-4B64-B5DF-E068A77184BC}">
  <dimension ref="A1:H358"/>
  <sheetViews>
    <sheetView workbookViewId="0">
      <pane xSplit="4" ySplit="6" topLeftCell="E7" activePane="bottomRight" state="frozen"/>
      <selection pane="topRight" activeCell="C1" sqref="C1"/>
      <selection pane="bottomLeft" activeCell="A7" sqref="A7"/>
      <selection pane="bottomRight" activeCell="F9" sqref="F9"/>
    </sheetView>
  </sheetViews>
  <sheetFormatPr defaultColWidth="9.140625" defaultRowHeight="15"/>
  <cols>
    <col min="1" max="2" width="9.140625" style="236"/>
    <col min="3" max="3" width="9" style="236" customWidth="1"/>
    <col min="4" max="4" width="9.140625" style="236"/>
    <col min="5" max="8" width="17.5703125" style="236" bestFit="1" customWidth="1"/>
    <col min="9" max="16384" width="9.140625" style="236"/>
  </cols>
  <sheetData>
    <row r="1" spans="1:8">
      <c r="E1" s="237" t="str">
        <f>GMW!NF2</f>
        <v>NOV021L.db</v>
      </c>
      <c r="F1" s="237" t="str">
        <f>$E$1</f>
        <v>NOV021L.db</v>
      </c>
      <c r="G1" s="237" t="str">
        <f t="shared" ref="G1:H1" si="0">$E$1</f>
        <v>NOV021L.db</v>
      </c>
      <c r="H1" s="237" t="str">
        <f t="shared" si="0"/>
        <v>NOV021L.db</v>
      </c>
    </row>
    <row r="2" spans="1:8">
      <c r="E2" s="236" t="s">
        <v>588</v>
      </c>
      <c r="F2" s="236" t="s">
        <v>588</v>
      </c>
      <c r="G2" s="236" t="s">
        <v>588</v>
      </c>
      <c r="H2" s="236" t="s">
        <v>588</v>
      </c>
    </row>
    <row r="3" spans="1:8">
      <c r="E3" s="236" t="s">
        <v>586</v>
      </c>
      <c r="F3" s="237" t="s">
        <v>604</v>
      </c>
      <c r="G3" s="237" t="s">
        <v>609</v>
      </c>
      <c r="H3" s="237" t="s">
        <v>614</v>
      </c>
    </row>
    <row r="4" spans="1:8">
      <c r="E4" s="236" t="s">
        <v>585</v>
      </c>
      <c r="F4" s="236" t="s">
        <v>585</v>
      </c>
      <c r="G4" s="236" t="s">
        <v>585</v>
      </c>
      <c r="H4" s="236" t="s">
        <v>585</v>
      </c>
    </row>
    <row r="5" spans="1:8">
      <c r="E5" s="236" t="s">
        <v>589</v>
      </c>
      <c r="F5" s="236" t="s">
        <v>589</v>
      </c>
      <c r="G5" s="236" t="s">
        <v>589</v>
      </c>
      <c r="H5" s="236" t="s">
        <v>589</v>
      </c>
    </row>
    <row r="6" spans="1:8">
      <c r="A6" s="236" t="s">
        <v>615</v>
      </c>
      <c r="B6" s="236" t="s">
        <v>616</v>
      </c>
      <c r="D6" s="236">
        <f>D358+5</f>
        <v>2329</v>
      </c>
      <c r="E6" s="238" t="str" cm="1">
        <f t="array" ref="E6">_xlfn.CONCAT(INDEX(GMW!$A$2:$NF$60,MATCH(1,(GMW!$NE$2:$NE$60=E$3)*(GMW!$ND$2:$ND$60=E$4),0),$D6-1966),"0",(INDEX(GMW!$A$2:$NF$60,MATCH(1,(GMW!$NE$2:$NE$60=E$3)*(GMW!$ND$2:$ND$60=E$4),0),$D6-1965)))</f>
        <v>202402</v>
      </c>
      <c r="F6" s="238" t="str" cm="1">
        <f t="array" ref="F6">_xlfn.CONCAT(INDEX(GMW!$A$2:$NF$60,MATCH(1,(GMW!$NE$2:$NE$60=F$3)*(GMW!$ND$2:$ND$60=F$4),0),$D6-1966),"0",(INDEX(GMW!$A$2:$NF$60,MATCH(1,(GMW!$NE$2:$NE$60=F$3)*(GMW!$ND$2:$ND$60=F$4),0),$D6-1965)))</f>
        <v>202503</v>
      </c>
      <c r="G6" s="238" t="str" cm="1">
        <f t="array" ref="G6">_xlfn.CONCAT(INDEX(GMW!$A$2:$NF$60,MATCH(1,(GMW!$NE$2:$NE$60=G$3)*(GMW!$ND$2:$ND$60=G$4),0),$D6-1966),"0",(INDEX(GMW!$A$2:$NF$60,MATCH(1,(GMW!$NE$2:$NE$60=G$3)*(GMW!$ND$2:$ND$60=G$4),0),$D6-1965)))</f>
        <v>202503</v>
      </c>
      <c r="H6" s="238" t="str" cm="1">
        <f t="array" ref="H6">_xlfn.CONCAT(INDEX(GMW!$A$2:$NF$60,MATCH(1,(GMW!$NE$2:$NE$60=H$3)*(GMW!$ND$2:$ND$60=H$4),0),$D6-1966),"0",(INDEX(GMW!$A$2:$NF$60,MATCH(1,(GMW!$NE$2:$NE$60=H$3)*(GMW!$ND$2:$ND$60=H$4),0),$D6-1965)))</f>
        <v>202503</v>
      </c>
    </row>
    <row r="7" spans="1:8">
      <c r="A7" s="236">
        <v>1973</v>
      </c>
      <c r="C7" s="236">
        <v>197301</v>
      </c>
      <c r="D7" s="236">
        <v>1973</v>
      </c>
      <c r="E7" s="236" cm="1">
        <f t="array" ref="E7">INDEX(GMW!$A$2:$NF$60,MATCH(1,(GMW!$NE$2:$NE$60=E$3)*(GMW!$ND$2:$ND$60=E$4),0),$D7-1966)</f>
        <v>56191.5</v>
      </c>
      <c r="F7" s="236" cm="1">
        <f t="array" ref="F7">INDEX(GMW!$A$2:$NF$60,MATCH(1,(GMW!$NE$2:$NE$60=F$3)*(GMW!$ND$2:$ND$60=F$4),0),$D7-1966)</f>
        <v>267015</v>
      </c>
      <c r="G7" s="236" cm="1">
        <f t="array" ref="G7">INDEX(GMW!$A$2:$NF$60,MATCH(1,(GMW!$NE$2:$NE$60=G$3)*(GMW!$ND$2:$ND$60=G$4),0),$D7-1966)</f>
        <v>11.88749</v>
      </c>
      <c r="H7" s="236" cm="1">
        <f t="array" ref="H7">INDEX(GMW!$A$2:$NF$60,MATCH(1,(GMW!$NE$2:$NE$60=H$3)*(GMW!$ND$2:$ND$60=H$4),0),$D7-1966)</f>
        <v>14.851150000000001</v>
      </c>
    </row>
    <row r="8" spans="1:8">
      <c r="A8" s="236">
        <v>1973</v>
      </c>
      <c r="B8" s="236">
        <v>1973</v>
      </c>
      <c r="C8" s="236">
        <f>+C7+1</f>
        <v>197302</v>
      </c>
      <c r="D8" s="236">
        <f>+D7+1</f>
        <v>1974</v>
      </c>
      <c r="E8" s="236" cm="1">
        <f t="array" ref="E8">INDEX(GMW!$A$2:$NF$60,MATCH(1,(GMW!$NE$2:$NE$60=E$3)*(GMW!$ND$2:$ND$60=E$4),0),$D8-1966)</f>
        <v>56223</v>
      </c>
      <c r="F8" s="236" cm="1">
        <f t="array" ref="F8">INDEX(GMW!$A$2:$NF$60,MATCH(1,(GMW!$NE$2:$NE$60=F$3)*(GMW!$ND$2:$ND$60=F$4),0),$D8-1966)</f>
        <v>267521</v>
      </c>
      <c r="G8" s="236" cm="1">
        <f t="array" ref="G8">INDEX(GMW!$A$2:$NF$60,MATCH(1,(GMW!$NE$2:$NE$60=G$3)*(GMW!$ND$2:$ND$60=G$4),0),$D8-1966)</f>
        <v>12.304600000000001</v>
      </c>
      <c r="H8" s="236" cm="1">
        <f t="array" ref="H8">INDEX(GMW!$A$2:$NF$60,MATCH(1,(GMW!$NE$2:$NE$60=H$3)*(GMW!$ND$2:$ND$60=H$4),0),$D8-1966)</f>
        <v>15.597429999999999</v>
      </c>
    </row>
    <row r="9" spans="1:8">
      <c r="A9" s="236">
        <v>1973</v>
      </c>
      <c r="B9" s="236">
        <v>1973</v>
      </c>
      <c r="C9" s="236">
        <f>+C8+1</f>
        <v>197303</v>
      </c>
      <c r="D9" s="236">
        <f t="shared" ref="D9:D47" si="1">+D8+1</f>
        <v>1975</v>
      </c>
      <c r="E9" s="236" cm="1">
        <f t="array" ref="E9">INDEX(GMW!$A$2:$NF$60,MATCH(1,(GMW!$NE$2:$NE$60=E$3)*(GMW!$ND$2:$ND$60=E$4),0),$D9-1966)</f>
        <v>56226.25</v>
      </c>
      <c r="F9" s="236" cm="1">
        <f t="array" ref="F9">INDEX(GMW!$A$2:$NF$60,MATCH(1,(GMW!$NE$2:$NE$60=F$3)*(GMW!$ND$2:$ND$60=F$4),0),$D9-1966)</f>
        <v>265025</v>
      </c>
      <c r="G9" s="236" cm="1">
        <f t="array" ref="G9">INDEX(GMW!$A$2:$NF$60,MATCH(1,(GMW!$NE$2:$NE$60=G$3)*(GMW!$ND$2:$ND$60=G$4),0),$D9-1966)</f>
        <v>12.51315</v>
      </c>
      <c r="H9" s="236" cm="1">
        <f t="array" ref="H9">INDEX(GMW!$A$2:$NF$60,MATCH(1,(GMW!$NE$2:$NE$60=H$3)*(GMW!$ND$2:$ND$60=H$4),0),$D9-1966)</f>
        <v>16.407070000000001</v>
      </c>
    </row>
    <row r="10" spans="1:8">
      <c r="A10" s="236">
        <v>1973</v>
      </c>
      <c r="B10" s="236">
        <v>1973</v>
      </c>
      <c r="C10" s="236">
        <f>+C9+1</f>
        <v>197304</v>
      </c>
      <c r="D10" s="236">
        <f t="shared" si="1"/>
        <v>1976</v>
      </c>
      <c r="E10" s="236" cm="1">
        <f t="array" ref="E10">INDEX(GMW!$A$2:$NF$60,MATCH(1,(GMW!$NE$2:$NE$60=E$3)*(GMW!$ND$2:$ND$60=E$4),0),$D10-1966)</f>
        <v>56229.5</v>
      </c>
      <c r="F10" s="236" cm="1">
        <f t="array" ref="F10">INDEX(GMW!$A$2:$NF$60,MATCH(1,(GMW!$NE$2:$NE$60=F$3)*(GMW!$ND$2:$ND$60=F$4),0),$D10-1966)</f>
        <v>263989</v>
      </c>
      <c r="G10" s="236" cm="1">
        <f t="array" ref="G10">INDEX(GMW!$A$2:$NF$60,MATCH(1,(GMW!$NE$2:$NE$60=G$3)*(GMW!$ND$2:$ND$60=G$4),0),$D10-1966)</f>
        <v>13.008459999999999</v>
      </c>
      <c r="H10" s="236" cm="1">
        <f t="array" ref="H10">INDEX(GMW!$A$2:$NF$60,MATCH(1,(GMW!$NE$2:$NE$60=H$3)*(GMW!$ND$2:$ND$60=H$4),0),$D10-1966)</f>
        <v>16.907609999999998</v>
      </c>
    </row>
    <row r="11" spans="1:8">
      <c r="A11" s="236">
        <f>+A7+1</f>
        <v>1974</v>
      </c>
      <c r="B11" s="236">
        <v>1973</v>
      </c>
      <c r="C11" s="236">
        <f>+C7+100</f>
        <v>197401</v>
      </c>
      <c r="D11" s="236">
        <f t="shared" si="1"/>
        <v>1977</v>
      </c>
      <c r="E11" s="236" cm="1">
        <f t="array" ref="E11">INDEX(GMW!$A$2:$NF$60,MATCH(1,(GMW!$NE$2:$NE$60=E$3)*(GMW!$ND$2:$ND$60=E$4),0),$D11-1966)</f>
        <v>56232.75</v>
      </c>
      <c r="F11" s="236" cm="1">
        <f t="array" ref="F11">INDEX(GMW!$A$2:$NF$60,MATCH(1,(GMW!$NE$2:$NE$60=F$3)*(GMW!$ND$2:$ND$60=F$4),0),$D11-1966)</f>
        <v>256670</v>
      </c>
      <c r="G11" s="236" cm="1">
        <f t="array" ref="G11">INDEX(GMW!$A$2:$NF$60,MATCH(1,(GMW!$NE$2:$NE$60=G$3)*(GMW!$ND$2:$ND$60=G$4),0),$D11-1966)</f>
        <v>13.47771</v>
      </c>
      <c r="H11" s="236" cm="1">
        <f t="array" ref="H11">INDEX(GMW!$A$2:$NF$60,MATCH(1,(GMW!$NE$2:$NE$60=H$3)*(GMW!$ND$2:$ND$60=H$4),0),$D11-1966)</f>
        <v>16.780860000000001</v>
      </c>
    </row>
    <row r="12" spans="1:8">
      <c r="A12" s="236">
        <f t="shared" ref="A12:B75" si="2">+A8+1</f>
        <v>1974</v>
      </c>
      <c r="B12" s="236">
        <f t="shared" si="2"/>
        <v>1974</v>
      </c>
      <c r="C12" s="236">
        <f t="shared" ref="C12:C75" si="3">+C8+100</f>
        <v>197402</v>
      </c>
      <c r="D12" s="236">
        <f t="shared" si="1"/>
        <v>1978</v>
      </c>
      <c r="E12" s="236" cm="1">
        <f t="array" ref="E12">INDEX(GMW!$A$2:$NF$60,MATCH(1,(GMW!$NE$2:$NE$60=E$3)*(GMW!$ND$2:$ND$60=E$4),0),$D12-1966)</f>
        <v>56236</v>
      </c>
      <c r="F12" s="236" cm="1">
        <f t="array" ref="F12">INDEX(GMW!$A$2:$NF$60,MATCH(1,(GMW!$NE$2:$NE$60=F$3)*(GMW!$ND$2:$ND$60=F$4),0),$D12-1966)</f>
        <v>260347</v>
      </c>
      <c r="G12" s="236" cm="1">
        <f t="array" ref="G12">INDEX(GMW!$A$2:$NF$60,MATCH(1,(GMW!$NE$2:$NE$60=G$3)*(GMW!$ND$2:$ND$60=G$4),0),$D12-1966)</f>
        <v>14.23371</v>
      </c>
      <c r="H12" s="236" cm="1">
        <f t="array" ref="H12">INDEX(GMW!$A$2:$NF$60,MATCH(1,(GMW!$NE$2:$NE$60=H$3)*(GMW!$ND$2:$ND$60=H$4),0),$D12-1966)</f>
        <v>18.253409999999999</v>
      </c>
    </row>
    <row r="13" spans="1:8">
      <c r="A13" s="236">
        <f t="shared" si="2"/>
        <v>1974</v>
      </c>
      <c r="B13" s="236">
        <f t="shared" si="2"/>
        <v>1974</v>
      </c>
      <c r="C13" s="236">
        <f t="shared" si="3"/>
        <v>197403</v>
      </c>
      <c r="D13" s="236">
        <f t="shared" si="1"/>
        <v>1979</v>
      </c>
      <c r="E13" s="236" cm="1">
        <f t="array" ref="E13">INDEX(GMW!$A$2:$NF$60,MATCH(1,(GMW!$NE$2:$NE$60=E$3)*(GMW!$ND$2:$ND$60=E$4),0),$D13-1966)</f>
        <v>56233.5</v>
      </c>
      <c r="F13" s="236" cm="1">
        <f t="array" ref="F13">INDEX(GMW!$A$2:$NF$60,MATCH(1,(GMW!$NE$2:$NE$60=F$3)*(GMW!$ND$2:$ND$60=F$4),0),$D13-1966)</f>
        <v>261890</v>
      </c>
      <c r="G13" s="236" cm="1">
        <f t="array" ref="G13">INDEX(GMW!$A$2:$NF$60,MATCH(1,(GMW!$NE$2:$NE$60=G$3)*(GMW!$ND$2:$ND$60=G$4),0),$D13-1966)</f>
        <v>14.572609999999999</v>
      </c>
      <c r="H13" s="236" cm="1">
        <f t="array" ref="H13">INDEX(GMW!$A$2:$NF$60,MATCH(1,(GMW!$NE$2:$NE$60=H$3)*(GMW!$ND$2:$ND$60=H$4),0),$D13-1966)</f>
        <v>20.242899999999999</v>
      </c>
    </row>
    <row r="14" spans="1:8">
      <c r="A14" s="236">
        <f t="shared" si="2"/>
        <v>1974</v>
      </c>
      <c r="B14" s="236">
        <f t="shared" si="2"/>
        <v>1974</v>
      </c>
      <c r="C14" s="236">
        <f t="shared" si="3"/>
        <v>197404</v>
      </c>
      <c r="D14" s="236">
        <f t="shared" si="1"/>
        <v>1980</v>
      </c>
      <c r="E14" s="236" cm="1">
        <f t="array" ref="E14">INDEX(GMW!$A$2:$NF$60,MATCH(1,(GMW!$NE$2:$NE$60=E$3)*(GMW!$ND$2:$ND$60=E$4),0),$D14-1966)</f>
        <v>56231</v>
      </c>
      <c r="F14" s="236" cm="1">
        <f t="array" ref="F14">INDEX(GMW!$A$2:$NF$60,MATCH(1,(GMW!$NE$2:$NE$60=F$3)*(GMW!$ND$2:$ND$60=F$4),0),$D14-1966)</f>
        <v>258066</v>
      </c>
      <c r="G14" s="236" cm="1">
        <f t="array" ref="G14">INDEX(GMW!$A$2:$NF$60,MATCH(1,(GMW!$NE$2:$NE$60=G$3)*(GMW!$ND$2:$ND$60=G$4),0),$D14-1966)</f>
        <v>15.250400000000001</v>
      </c>
      <c r="H14" s="236" cm="1">
        <f t="array" ref="H14">INDEX(GMW!$A$2:$NF$60,MATCH(1,(GMW!$NE$2:$NE$60=H$3)*(GMW!$ND$2:$ND$60=H$4),0),$D14-1966)</f>
        <v>21.924240000000001</v>
      </c>
    </row>
    <row r="15" spans="1:8">
      <c r="A15" s="236">
        <f t="shared" si="2"/>
        <v>1975</v>
      </c>
      <c r="B15" s="236">
        <f t="shared" si="2"/>
        <v>1974</v>
      </c>
      <c r="C15" s="236">
        <f t="shared" si="3"/>
        <v>197501</v>
      </c>
      <c r="D15" s="236">
        <f t="shared" si="1"/>
        <v>1981</v>
      </c>
      <c r="E15" s="236" cm="1">
        <f t="array" ref="E15">INDEX(GMW!$A$2:$NF$60,MATCH(1,(GMW!$NE$2:$NE$60=E$3)*(GMW!$ND$2:$ND$60=E$4),0),$D15-1966)</f>
        <v>56228.5</v>
      </c>
      <c r="F15" s="236" cm="1">
        <f t="array" ref="F15">INDEX(GMW!$A$2:$NF$60,MATCH(1,(GMW!$NE$2:$NE$60=F$3)*(GMW!$ND$2:$ND$60=F$4),0),$D15-1966)</f>
        <v>258116</v>
      </c>
      <c r="G15" s="236" cm="1">
        <f t="array" ref="G15">INDEX(GMW!$A$2:$NF$60,MATCH(1,(GMW!$NE$2:$NE$60=G$3)*(GMW!$ND$2:$ND$60=G$4),0),$D15-1966)</f>
        <v>16.058540000000001</v>
      </c>
      <c r="H15" s="236" cm="1">
        <f t="array" ref="H15">INDEX(GMW!$A$2:$NF$60,MATCH(1,(GMW!$NE$2:$NE$60=H$3)*(GMW!$ND$2:$ND$60=H$4),0),$D15-1966)</f>
        <v>23.39659</v>
      </c>
    </row>
    <row r="16" spans="1:8">
      <c r="A16" s="236">
        <f t="shared" si="2"/>
        <v>1975</v>
      </c>
      <c r="B16" s="236">
        <f t="shared" si="2"/>
        <v>1975</v>
      </c>
      <c r="C16" s="236">
        <f t="shared" si="3"/>
        <v>197502</v>
      </c>
      <c r="D16" s="236">
        <f t="shared" si="1"/>
        <v>1982</v>
      </c>
      <c r="E16" s="236" cm="1">
        <f t="array" ref="E16">INDEX(GMW!$A$2:$NF$60,MATCH(1,(GMW!$NE$2:$NE$60=E$3)*(GMW!$ND$2:$ND$60=E$4),0),$D16-1966)</f>
        <v>56226</v>
      </c>
      <c r="F16" s="236" cm="1">
        <f t="array" ref="F16">INDEX(GMW!$A$2:$NF$60,MATCH(1,(GMW!$NE$2:$NE$60=F$3)*(GMW!$ND$2:$ND$60=F$4),0),$D16-1966)</f>
        <v>253935</v>
      </c>
      <c r="G16" s="236" cm="1">
        <f t="array" ref="G16">INDEX(GMW!$A$2:$NF$60,MATCH(1,(GMW!$NE$2:$NE$60=G$3)*(GMW!$ND$2:$ND$60=G$4),0),$D16-1966)</f>
        <v>17.466270000000002</v>
      </c>
      <c r="H16" s="236" cm="1">
        <f t="array" ref="H16">INDEX(GMW!$A$2:$NF$60,MATCH(1,(GMW!$NE$2:$NE$60=H$3)*(GMW!$ND$2:$ND$60=H$4),0),$D16-1966)</f>
        <v>24.964189999999999</v>
      </c>
    </row>
    <row r="17" spans="1:8">
      <c r="A17" s="236">
        <f t="shared" si="2"/>
        <v>1975</v>
      </c>
      <c r="B17" s="236">
        <f t="shared" si="2"/>
        <v>1975</v>
      </c>
      <c r="C17" s="236">
        <f t="shared" si="3"/>
        <v>197503</v>
      </c>
      <c r="D17" s="236">
        <f t="shared" si="1"/>
        <v>1983</v>
      </c>
      <c r="E17" s="236" cm="1">
        <f t="array" ref="E17">INDEX(GMW!$A$2:$NF$60,MATCH(1,(GMW!$NE$2:$NE$60=E$3)*(GMW!$ND$2:$ND$60=E$4),0),$D17-1966)</f>
        <v>56223.5</v>
      </c>
      <c r="F17" s="236" cm="1">
        <f t="array" ref="F17">INDEX(GMW!$A$2:$NF$60,MATCH(1,(GMW!$NE$2:$NE$60=F$3)*(GMW!$ND$2:$ND$60=F$4),0),$D17-1966)</f>
        <v>253168</v>
      </c>
      <c r="G17" s="236" cm="1">
        <f t="array" ref="G17">INDEX(GMW!$A$2:$NF$60,MATCH(1,(GMW!$NE$2:$NE$60=G$3)*(GMW!$ND$2:$ND$60=G$4),0),$D17-1966)</f>
        <v>18.222280000000001</v>
      </c>
      <c r="H17" s="236" cm="1">
        <f t="array" ref="H17">INDEX(GMW!$A$2:$NF$60,MATCH(1,(GMW!$NE$2:$NE$60=H$3)*(GMW!$ND$2:$ND$60=H$4),0),$D17-1966)</f>
        <v>27.02938</v>
      </c>
    </row>
    <row r="18" spans="1:8">
      <c r="A18" s="236">
        <f t="shared" si="2"/>
        <v>1975</v>
      </c>
      <c r="B18" s="236">
        <f t="shared" si="2"/>
        <v>1975</v>
      </c>
      <c r="C18" s="236">
        <f t="shared" si="3"/>
        <v>197504</v>
      </c>
      <c r="D18" s="236">
        <f t="shared" si="1"/>
        <v>1984</v>
      </c>
      <c r="E18" s="236" cm="1">
        <f t="array" ref="E18">INDEX(GMW!$A$2:$NF$60,MATCH(1,(GMW!$NE$2:$NE$60=E$3)*(GMW!$ND$2:$ND$60=E$4),0),$D18-1966)</f>
        <v>56221</v>
      </c>
      <c r="F18" s="236" cm="1">
        <f t="array" ref="F18">INDEX(GMW!$A$2:$NF$60,MATCH(1,(GMW!$NE$2:$NE$60=F$3)*(GMW!$ND$2:$ND$60=F$4),0),$D18-1966)</f>
        <v>255985</v>
      </c>
      <c r="G18" s="236" cm="1">
        <f t="array" ref="G18">INDEX(GMW!$A$2:$NF$60,MATCH(1,(GMW!$NE$2:$NE$60=G$3)*(GMW!$ND$2:$ND$60=G$4),0),$D18-1966)</f>
        <v>18.847930000000002</v>
      </c>
      <c r="H18" s="236" cm="1">
        <f t="array" ref="H18">INDEX(GMW!$A$2:$NF$60,MATCH(1,(GMW!$NE$2:$NE$60=H$3)*(GMW!$ND$2:$ND$60=H$4),0),$D18-1966)</f>
        <v>28.37567</v>
      </c>
    </row>
    <row r="19" spans="1:8">
      <c r="A19" s="236">
        <f t="shared" si="2"/>
        <v>1976</v>
      </c>
      <c r="B19" s="236">
        <f t="shared" si="2"/>
        <v>1975</v>
      </c>
      <c r="C19" s="236">
        <f t="shared" si="3"/>
        <v>197601</v>
      </c>
      <c r="D19" s="236">
        <f t="shared" si="1"/>
        <v>1985</v>
      </c>
      <c r="E19" s="236" cm="1">
        <f t="array" ref="E19">INDEX(GMW!$A$2:$NF$60,MATCH(1,(GMW!$NE$2:$NE$60=E$3)*(GMW!$ND$2:$ND$60=E$4),0),$D19-1966)</f>
        <v>56218.5</v>
      </c>
      <c r="F19" s="236" cm="1">
        <f t="array" ref="F19">INDEX(GMW!$A$2:$NF$60,MATCH(1,(GMW!$NE$2:$NE$60=F$3)*(GMW!$ND$2:$ND$60=F$4),0),$D19-1966)</f>
        <v>260268</v>
      </c>
      <c r="G19" s="236" cm="1">
        <f t="array" ref="G19">INDEX(GMW!$A$2:$NF$60,MATCH(1,(GMW!$NE$2:$NE$60=G$3)*(GMW!$ND$2:$ND$60=G$4),0),$D19-1966)</f>
        <v>19.42145</v>
      </c>
      <c r="H19" s="236" cm="1">
        <f t="array" ref="H19">INDEX(GMW!$A$2:$NF$60,MATCH(1,(GMW!$NE$2:$NE$60=H$3)*(GMW!$ND$2:$ND$60=H$4),0),$D19-1966)</f>
        <v>29.357140000000001</v>
      </c>
    </row>
    <row r="20" spans="1:8">
      <c r="A20" s="236">
        <f t="shared" si="2"/>
        <v>1976</v>
      </c>
      <c r="B20" s="236">
        <f t="shared" si="2"/>
        <v>1976</v>
      </c>
      <c r="C20" s="236">
        <f t="shared" si="3"/>
        <v>197602</v>
      </c>
      <c r="D20" s="236">
        <f t="shared" si="1"/>
        <v>1986</v>
      </c>
      <c r="E20" s="236" cm="1">
        <f t="array" ref="E20">INDEX(GMW!$A$2:$NF$60,MATCH(1,(GMW!$NE$2:$NE$60=E$3)*(GMW!$ND$2:$ND$60=E$4),0),$D20-1966)</f>
        <v>56216</v>
      </c>
      <c r="F20" s="236" cm="1">
        <f t="array" ref="F20">INDEX(GMW!$A$2:$NF$60,MATCH(1,(GMW!$NE$2:$NE$60=F$3)*(GMW!$ND$2:$ND$60=F$4),0),$D20-1966)</f>
        <v>259911</v>
      </c>
      <c r="G20" s="236" cm="1">
        <f t="array" ref="G20">INDEX(GMW!$A$2:$NF$60,MATCH(1,(GMW!$NE$2:$NE$60=G$3)*(GMW!$ND$2:$ND$60=G$4),0),$D20-1966)</f>
        <v>20.125319999999999</v>
      </c>
      <c r="H20" s="236" cm="1">
        <f t="array" ref="H20">INDEX(GMW!$A$2:$NF$60,MATCH(1,(GMW!$NE$2:$NE$60=H$3)*(GMW!$ND$2:$ND$60=H$4),0),$D20-1966)</f>
        <v>30.793579999999999</v>
      </c>
    </row>
    <row r="21" spans="1:8">
      <c r="A21" s="236">
        <f t="shared" si="2"/>
        <v>1976</v>
      </c>
      <c r="B21" s="236">
        <f t="shared" si="2"/>
        <v>1976</v>
      </c>
      <c r="C21" s="236">
        <f t="shared" si="3"/>
        <v>197603</v>
      </c>
      <c r="D21" s="236">
        <f t="shared" si="1"/>
        <v>1987</v>
      </c>
      <c r="E21" s="236" cm="1">
        <f t="array" ref="E21">INDEX(GMW!$A$2:$NF$60,MATCH(1,(GMW!$NE$2:$NE$60=E$3)*(GMW!$ND$2:$ND$60=E$4),0),$D21-1966)</f>
        <v>56209.5</v>
      </c>
      <c r="F21" s="236" cm="1">
        <f t="array" ref="F21">INDEX(GMW!$A$2:$NF$60,MATCH(1,(GMW!$NE$2:$NE$60=F$3)*(GMW!$ND$2:$ND$60=F$4),0),$D21-1966)</f>
        <v>263132</v>
      </c>
      <c r="G21" s="236" cm="1">
        <f t="array" ref="G21">INDEX(GMW!$A$2:$NF$60,MATCH(1,(GMW!$NE$2:$NE$60=G$3)*(GMW!$ND$2:$ND$60=G$4),0),$D21-1966)</f>
        <v>20.594560000000001</v>
      </c>
      <c r="H21" s="236" cm="1">
        <f t="array" ref="H21">INDEX(GMW!$A$2:$NF$60,MATCH(1,(GMW!$NE$2:$NE$60=H$3)*(GMW!$ND$2:$ND$60=H$4),0),$D21-1966)</f>
        <v>32.301470000000002</v>
      </c>
    </row>
    <row r="22" spans="1:8">
      <c r="A22" s="236">
        <f t="shared" si="2"/>
        <v>1976</v>
      </c>
      <c r="B22" s="236">
        <f t="shared" si="2"/>
        <v>1976</v>
      </c>
      <c r="C22" s="236">
        <f t="shared" si="3"/>
        <v>197604</v>
      </c>
      <c r="D22" s="236">
        <f t="shared" si="1"/>
        <v>1988</v>
      </c>
      <c r="E22" s="236" cm="1">
        <f t="array" ref="E22">INDEX(GMW!$A$2:$NF$60,MATCH(1,(GMW!$NE$2:$NE$60=E$3)*(GMW!$ND$2:$ND$60=E$4),0),$D22-1966)</f>
        <v>56203</v>
      </c>
      <c r="F22" s="236" cm="1">
        <f t="array" ref="F22">INDEX(GMW!$A$2:$NF$60,MATCH(1,(GMW!$NE$2:$NE$60=F$3)*(GMW!$ND$2:$ND$60=F$4),0),$D22-1966)</f>
        <v>268662</v>
      </c>
      <c r="G22" s="236" cm="1">
        <f t="array" ref="G22">INDEX(GMW!$A$2:$NF$60,MATCH(1,(GMW!$NE$2:$NE$60=G$3)*(GMW!$ND$2:$ND$60=G$4),0),$D22-1966)</f>
        <v>21.506979999999999</v>
      </c>
      <c r="H22" s="236" cm="1">
        <f t="array" ref="H22">INDEX(GMW!$A$2:$NF$60,MATCH(1,(GMW!$NE$2:$NE$60=H$3)*(GMW!$ND$2:$ND$60=H$4),0),$D22-1966)</f>
        <v>33.18535</v>
      </c>
    </row>
    <row r="23" spans="1:8">
      <c r="A23" s="236">
        <f t="shared" si="2"/>
        <v>1977</v>
      </c>
      <c r="B23" s="236">
        <f t="shared" si="2"/>
        <v>1976</v>
      </c>
      <c r="C23" s="236">
        <f t="shared" si="3"/>
        <v>197701</v>
      </c>
      <c r="D23" s="236">
        <f t="shared" si="1"/>
        <v>1989</v>
      </c>
      <c r="E23" s="236" cm="1">
        <f t="array" ref="E23">INDEX(GMW!$A$2:$NF$60,MATCH(1,(GMW!$NE$2:$NE$60=E$3)*(GMW!$ND$2:$ND$60=E$4),0),$D23-1966)</f>
        <v>56196.5</v>
      </c>
      <c r="F23" s="236" cm="1">
        <f t="array" ref="F23">INDEX(GMW!$A$2:$NF$60,MATCH(1,(GMW!$NE$2:$NE$60=F$3)*(GMW!$ND$2:$ND$60=F$4),0),$D23-1966)</f>
        <v>268833</v>
      </c>
      <c r="G23" s="236" cm="1">
        <f t="array" ref="G23">INDEX(GMW!$A$2:$NF$60,MATCH(1,(GMW!$NE$2:$NE$60=G$3)*(GMW!$ND$2:$ND$60=G$4),0),$D23-1966)</f>
        <v>22.471530000000001</v>
      </c>
      <c r="H23" s="236" cm="1">
        <f t="array" ref="H23">INDEX(GMW!$A$2:$NF$60,MATCH(1,(GMW!$NE$2:$NE$60=H$3)*(GMW!$ND$2:$ND$60=H$4),0),$D23-1966)</f>
        <v>33.540489999999998</v>
      </c>
    </row>
    <row r="24" spans="1:8">
      <c r="A24" s="236">
        <f t="shared" si="2"/>
        <v>1977</v>
      </c>
      <c r="B24" s="236">
        <f t="shared" si="2"/>
        <v>1977</v>
      </c>
      <c r="C24" s="236">
        <f t="shared" si="3"/>
        <v>197702</v>
      </c>
      <c r="D24" s="236">
        <f t="shared" si="1"/>
        <v>1990</v>
      </c>
      <c r="E24" s="236" cm="1">
        <f t="array" ref="E24">INDEX(GMW!$A$2:$NF$60,MATCH(1,(GMW!$NE$2:$NE$60=E$3)*(GMW!$ND$2:$ND$60=E$4),0),$D24-1966)</f>
        <v>56190</v>
      </c>
      <c r="F24" s="236" cm="1">
        <f t="array" ref="F24">INDEX(GMW!$A$2:$NF$60,MATCH(1,(GMW!$NE$2:$NE$60=F$3)*(GMW!$ND$2:$ND$60=F$4),0),$D24-1966)</f>
        <v>266987</v>
      </c>
      <c r="G24" s="236" cm="1">
        <f t="array" ref="G24">INDEX(GMW!$A$2:$NF$60,MATCH(1,(GMW!$NE$2:$NE$60=G$3)*(GMW!$ND$2:$ND$60=G$4),0),$D24-1966)</f>
        <v>23.410019999999999</v>
      </c>
      <c r="H24" s="236" cm="1">
        <f t="array" ref="H24">INDEX(GMW!$A$2:$NF$60,MATCH(1,(GMW!$NE$2:$NE$60=H$3)*(GMW!$ND$2:$ND$60=H$4),0),$D24-1966)</f>
        <v>34.543460000000003</v>
      </c>
    </row>
    <row r="25" spans="1:8">
      <c r="A25" s="236">
        <f t="shared" si="2"/>
        <v>1977</v>
      </c>
      <c r="B25" s="236">
        <f t="shared" si="2"/>
        <v>1977</v>
      </c>
      <c r="C25" s="236">
        <f t="shared" si="3"/>
        <v>197703</v>
      </c>
      <c r="D25" s="236">
        <f t="shared" si="1"/>
        <v>1991</v>
      </c>
      <c r="E25" s="236" cm="1">
        <f t="array" ref="E25">INDEX(GMW!$A$2:$NF$60,MATCH(1,(GMW!$NE$2:$NE$60=E$3)*(GMW!$ND$2:$ND$60=E$4),0),$D25-1966)</f>
        <v>56187</v>
      </c>
      <c r="F25" s="236" cm="1">
        <f t="array" ref="F25">INDEX(GMW!$A$2:$NF$60,MATCH(1,(GMW!$NE$2:$NE$60=F$3)*(GMW!$ND$2:$ND$60=F$4),0),$D25-1966)</f>
        <v>268717</v>
      </c>
      <c r="G25" s="236" cm="1">
        <f t="array" ref="G25">INDEX(GMW!$A$2:$NF$60,MATCH(1,(GMW!$NE$2:$NE$60=G$3)*(GMW!$ND$2:$ND$60=G$4),0),$D25-1966)</f>
        <v>23.82713</v>
      </c>
      <c r="H25" s="236" cm="1">
        <f t="array" ref="H25">INDEX(GMW!$A$2:$NF$60,MATCH(1,(GMW!$NE$2:$NE$60=H$3)*(GMW!$ND$2:$ND$60=H$4),0),$D25-1966)</f>
        <v>35.597639999999998</v>
      </c>
    </row>
    <row r="26" spans="1:8">
      <c r="A26" s="236">
        <f t="shared" si="2"/>
        <v>1977</v>
      </c>
      <c r="B26" s="236">
        <f t="shared" si="2"/>
        <v>1977</v>
      </c>
      <c r="C26" s="236">
        <f t="shared" si="3"/>
        <v>197704</v>
      </c>
      <c r="D26" s="236">
        <f t="shared" si="1"/>
        <v>1992</v>
      </c>
      <c r="E26" s="236" cm="1">
        <f t="array" ref="E26">INDEX(GMW!$A$2:$NF$60,MATCH(1,(GMW!$NE$2:$NE$60=E$3)*(GMW!$ND$2:$ND$60=E$4),0),$D26-1966)</f>
        <v>56184</v>
      </c>
      <c r="F26" s="236" cm="1">
        <f t="array" ref="F26">INDEX(GMW!$A$2:$NF$60,MATCH(1,(GMW!$NE$2:$NE$60=F$3)*(GMW!$ND$2:$ND$60=F$4),0),$D26-1966)</f>
        <v>273279</v>
      </c>
      <c r="G26" s="236" cm="1">
        <f t="array" ref="G26">INDEX(GMW!$A$2:$NF$60,MATCH(1,(GMW!$NE$2:$NE$60=G$3)*(GMW!$ND$2:$ND$60=G$4),0),$D26-1966)</f>
        <v>24.139949999999999</v>
      </c>
      <c r="H26" s="236" cm="1">
        <f t="array" ref="H26">INDEX(GMW!$A$2:$NF$60,MATCH(1,(GMW!$NE$2:$NE$60=H$3)*(GMW!$ND$2:$ND$60=H$4),0),$D26-1966)</f>
        <v>36.685519999999997</v>
      </c>
    </row>
    <row r="27" spans="1:8">
      <c r="A27" s="236">
        <f t="shared" si="2"/>
        <v>1978</v>
      </c>
      <c r="B27" s="236">
        <f t="shared" si="2"/>
        <v>1977</v>
      </c>
      <c r="C27" s="236">
        <f t="shared" si="3"/>
        <v>197801</v>
      </c>
      <c r="D27" s="236">
        <f t="shared" si="1"/>
        <v>1993</v>
      </c>
      <c r="E27" s="236" cm="1">
        <f t="array" ref="E27">INDEX(GMW!$A$2:$NF$60,MATCH(1,(GMW!$NE$2:$NE$60=E$3)*(GMW!$ND$2:$ND$60=E$4),0),$D27-1966)</f>
        <v>56181</v>
      </c>
      <c r="F27" s="236" cm="1">
        <f t="array" ref="F27">INDEX(GMW!$A$2:$NF$60,MATCH(1,(GMW!$NE$2:$NE$60=F$3)*(GMW!$ND$2:$ND$60=F$4),0),$D27-1966)</f>
        <v>275841</v>
      </c>
      <c r="G27" s="236" cm="1">
        <f t="array" ref="G27">INDEX(GMW!$A$2:$NF$60,MATCH(1,(GMW!$NE$2:$NE$60=G$3)*(GMW!$ND$2:$ND$60=G$4),0),$D27-1966)</f>
        <v>24.452780000000001</v>
      </c>
      <c r="H27" s="236" cm="1">
        <f t="array" ref="H27">INDEX(GMW!$A$2:$NF$60,MATCH(1,(GMW!$NE$2:$NE$60=H$3)*(GMW!$ND$2:$ND$60=H$4),0),$D27-1966)</f>
        <v>37.643259999999998</v>
      </c>
    </row>
    <row r="28" spans="1:8">
      <c r="A28" s="236">
        <f t="shared" si="2"/>
        <v>1978</v>
      </c>
      <c r="B28" s="236">
        <f t="shared" si="2"/>
        <v>1978</v>
      </c>
      <c r="C28" s="236">
        <f t="shared" si="3"/>
        <v>197802</v>
      </c>
      <c r="D28" s="236">
        <f t="shared" si="1"/>
        <v>1994</v>
      </c>
      <c r="E28" s="236" cm="1">
        <f t="array" ref="E28">INDEX(GMW!$A$2:$NF$60,MATCH(1,(GMW!$NE$2:$NE$60=E$3)*(GMW!$ND$2:$ND$60=E$4),0),$D28-1966)</f>
        <v>56178</v>
      </c>
      <c r="F28" s="236" cm="1">
        <f t="array" ref="F28">INDEX(GMW!$A$2:$NF$60,MATCH(1,(GMW!$NE$2:$NE$60=F$3)*(GMW!$ND$2:$ND$60=F$4),0),$D28-1966)</f>
        <v>279001</v>
      </c>
      <c r="G28" s="236" cm="1">
        <f t="array" ref="G28">INDEX(GMW!$A$2:$NF$60,MATCH(1,(GMW!$NE$2:$NE$60=G$3)*(GMW!$ND$2:$ND$60=G$4),0),$D28-1966)</f>
        <v>25.078440000000001</v>
      </c>
      <c r="H28" s="236" cm="1">
        <f t="array" ref="H28">INDEX(GMW!$A$2:$NF$60,MATCH(1,(GMW!$NE$2:$NE$60=H$3)*(GMW!$ND$2:$ND$60=H$4),0),$D28-1966)</f>
        <v>39.864730000000002</v>
      </c>
    </row>
    <row r="29" spans="1:8">
      <c r="A29" s="236">
        <f t="shared" si="2"/>
        <v>1978</v>
      </c>
      <c r="B29" s="236">
        <f t="shared" si="2"/>
        <v>1978</v>
      </c>
      <c r="C29" s="236">
        <f t="shared" si="3"/>
        <v>197803</v>
      </c>
      <c r="D29" s="236">
        <f t="shared" si="1"/>
        <v>1995</v>
      </c>
      <c r="E29" s="236" cm="1">
        <f t="array" ref="E29">INDEX(GMW!$A$2:$NF$60,MATCH(1,(GMW!$NE$2:$NE$60=E$3)*(GMW!$ND$2:$ND$60=E$4),0),$D29-1966)</f>
        <v>56193.5</v>
      </c>
      <c r="F29" s="236" cm="1">
        <f t="array" ref="F29">INDEX(GMW!$A$2:$NF$60,MATCH(1,(GMW!$NE$2:$NE$60=F$3)*(GMW!$ND$2:$ND$60=F$4),0),$D29-1966)</f>
        <v>282797</v>
      </c>
      <c r="G29" s="236" cm="1">
        <f t="array" ref="G29">INDEX(GMW!$A$2:$NF$60,MATCH(1,(GMW!$NE$2:$NE$60=G$3)*(GMW!$ND$2:$ND$60=G$4),0),$D29-1966)</f>
        <v>25.469480000000001</v>
      </c>
      <c r="H29" s="236" cm="1">
        <f t="array" ref="H29">INDEX(GMW!$A$2:$NF$60,MATCH(1,(GMW!$NE$2:$NE$60=H$3)*(GMW!$ND$2:$ND$60=H$4),0),$D29-1966)</f>
        <v>42.09901</v>
      </c>
    </row>
    <row r="30" spans="1:8">
      <c r="A30" s="236">
        <f t="shared" si="2"/>
        <v>1978</v>
      </c>
      <c r="B30" s="236">
        <f t="shared" si="2"/>
        <v>1978</v>
      </c>
      <c r="C30" s="236">
        <f t="shared" si="3"/>
        <v>197804</v>
      </c>
      <c r="D30" s="236">
        <f t="shared" si="1"/>
        <v>1996</v>
      </c>
      <c r="E30" s="236" cm="1">
        <f t="array" ref="E30">INDEX(GMW!$A$2:$NF$60,MATCH(1,(GMW!$NE$2:$NE$60=E$3)*(GMW!$ND$2:$ND$60=E$4),0),$D30-1966)</f>
        <v>56209</v>
      </c>
      <c r="F30" s="236" cm="1">
        <f t="array" ref="F30">INDEX(GMW!$A$2:$NF$60,MATCH(1,(GMW!$NE$2:$NE$60=F$3)*(GMW!$ND$2:$ND$60=F$4),0),$D30-1966)</f>
        <v>285314</v>
      </c>
      <c r="G30" s="236" cm="1">
        <f t="array" ref="G30">INDEX(GMW!$A$2:$NF$60,MATCH(1,(GMW!$NE$2:$NE$60=G$3)*(GMW!$ND$2:$ND$60=G$4),0),$D30-1966)</f>
        <v>25.860510000000001</v>
      </c>
      <c r="H30" s="236" cm="1">
        <f t="array" ref="H30">INDEX(GMW!$A$2:$NF$60,MATCH(1,(GMW!$NE$2:$NE$60=H$3)*(GMW!$ND$2:$ND$60=H$4),0),$D30-1966)</f>
        <v>43.30621</v>
      </c>
    </row>
    <row r="31" spans="1:8">
      <c r="A31" s="236">
        <f t="shared" si="2"/>
        <v>1979</v>
      </c>
      <c r="B31" s="236">
        <f t="shared" si="2"/>
        <v>1978</v>
      </c>
      <c r="C31" s="236">
        <f t="shared" si="3"/>
        <v>197901</v>
      </c>
      <c r="D31" s="236">
        <f t="shared" si="1"/>
        <v>1997</v>
      </c>
      <c r="E31" s="236" cm="1">
        <f t="array" ref="E31">INDEX(GMW!$A$2:$NF$60,MATCH(1,(GMW!$NE$2:$NE$60=E$3)*(GMW!$ND$2:$ND$60=E$4),0),$D31-1966)</f>
        <v>56224.5</v>
      </c>
      <c r="F31" s="236" cm="1">
        <f t="array" ref="F31">INDEX(GMW!$A$2:$NF$60,MATCH(1,(GMW!$NE$2:$NE$60=F$3)*(GMW!$ND$2:$ND$60=F$4),0),$D31-1966)</f>
        <v>284457</v>
      </c>
      <c r="G31" s="236" cm="1">
        <f t="array" ref="G31">INDEX(GMW!$A$2:$NF$60,MATCH(1,(GMW!$NE$2:$NE$60=G$3)*(GMW!$ND$2:$ND$60=G$4),0),$D31-1966)</f>
        <v>26.43403</v>
      </c>
      <c r="H31" s="236" cm="1">
        <f t="array" ref="H31">INDEX(GMW!$A$2:$NF$60,MATCH(1,(GMW!$NE$2:$NE$60=H$3)*(GMW!$ND$2:$ND$60=H$4),0),$D31-1966)</f>
        <v>43.965009999999999</v>
      </c>
    </row>
    <row r="32" spans="1:8">
      <c r="A32" s="236">
        <f t="shared" si="2"/>
        <v>1979</v>
      </c>
      <c r="B32" s="236">
        <f t="shared" si="2"/>
        <v>1979</v>
      </c>
      <c r="C32" s="236">
        <f t="shared" si="3"/>
        <v>197902</v>
      </c>
      <c r="D32" s="236">
        <f t="shared" si="1"/>
        <v>1998</v>
      </c>
      <c r="E32" s="236" cm="1">
        <f t="array" ref="E32">INDEX(GMW!$A$2:$NF$60,MATCH(1,(GMW!$NE$2:$NE$60=E$3)*(GMW!$ND$2:$ND$60=E$4),0),$D32-1966)</f>
        <v>56240</v>
      </c>
      <c r="F32" s="236" cm="1">
        <f t="array" ref="F32">INDEX(GMW!$A$2:$NF$60,MATCH(1,(GMW!$NE$2:$NE$60=F$3)*(GMW!$ND$2:$ND$60=F$4),0),$D32-1966)</f>
        <v>296841</v>
      </c>
      <c r="G32" s="236" cm="1">
        <f t="array" ref="G32">INDEX(GMW!$A$2:$NF$60,MATCH(1,(GMW!$NE$2:$NE$60=G$3)*(GMW!$ND$2:$ND$60=G$4),0),$D32-1966)</f>
        <v>27.268239999999999</v>
      </c>
      <c r="H32" s="236" cm="1">
        <f t="array" ref="H32">INDEX(GMW!$A$2:$NF$60,MATCH(1,(GMW!$NE$2:$NE$60=H$3)*(GMW!$ND$2:$ND$60=H$4),0),$D32-1966)</f>
        <v>46.838419999999999</v>
      </c>
    </row>
    <row r="33" spans="1:8">
      <c r="A33" s="236">
        <f t="shared" si="2"/>
        <v>1979</v>
      </c>
      <c r="B33" s="236">
        <f t="shared" si="2"/>
        <v>1979</v>
      </c>
      <c r="C33" s="236">
        <f t="shared" si="3"/>
        <v>197903</v>
      </c>
      <c r="D33" s="236">
        <f t="shared" si="1"/>
        <v>1999</v>
      </c>
      <c r="E33" s="236" cm="1">
        <f t="array" ref="E33">INDEX(GMW!$A$2:$NF$60,MATCH(1,(GMW!$NE$2:$NE$60=E$3)*(GMW!$ND$2:$ND$60=E$4),0),$D33-1966)</f>
        <v>56262.5</v>
      </c>
      <c r="F33" s="236" cm="1">
        <f t="array" ref="F33">INDEX(GMW!$A$2:$NF$60,MATCH(1,(GMW!$NE$2:$NE$60=F$3)*(GMW!$ND$2:$ND$60=F$4),0),$D33-1966)</f>
        <v>290297</v>
      </c>
      <c r="G33" s="236" cm="1">
        <f t="array" ref="G33">INDEX(GMW!$A$2:$NF$60,MATCH(1,(GMW!$NE$2:$NE$60=G$3)*(GMW!$ND$2:$ND$60=G$4),0),$D33-1966)</f>
        <v>28.910589999999999</v>
      </c>
      <c r="H33" s="236" cm="1">
        <f t="array" ref="H33">INDEX(GMW!$A$2:$NF$60,MATCH(1,(GMW!$NE$2:$NE$60=H$3)*(GMW!$ND$2:$ND$60=H$4),0),$D33-1966)</f>
        <v>50.12706</v>
      </c>
    </row>
    <row r="34" spans="1:8">
      <c r="A34" s="236">
        <f t="shared" si="2"/>
        <v>1979</v>
      </c>
      <c r="B34" s="236">
        <f t="shared" si="2"/>
        <v>1979</v>
      </c>
      <c r="C34" s="236">
        <f t="shared" si="3"/>
        <v>197904</v>
      </c>
      <c r="D34" s="236">
        <f t="shared" si="1"/>
        <v>2000</v>
      </c>
      <c r="E34" s="236" cm="1">
        <f t="array" ref="E34">INDEX(GMW!$A$2:$NF$60,MATCH(1,(GMW!$NE$2:$NE$60=E$3)*(GMW!$ND$2:$ND$60=E$4),0),$D34-1966)</f>
        <v>56285</v>
      </c>
      <c r="F34" s="236" cm="1">
        <f t="array" ref="F34">INDEX(GMW!$A$2:$NF$60,MATCH(1,(GMW!$NE$2:$NE$60=F$3)*(GMW!$ND$2:$ND$60=F$4),0),$D34-1966)</f>
        <v>293265</v>
      </c>
      <c r="G34" s="236" cm="1">
        <f t="array" ref="G34">INDEX(GMW!$A$2:$NF$60,MATCH(1,(GMW!$NE$2:$NE$60=G$3)*(GMW!$ND$2:$ND$60=G$4),0),$D34-1966)</f>
        <v>29.718730000000001</v>
      </c>
      <c r="H34" s="236" cm="1">
        <f t="array" ref="H34">INDEX(GMW!$A$2:$NF$60,MATCH(1,(GMW!$NE$2:$NE$60=H$3)*(GMW!$ND$2:$ND$60=H$4),0),$D34-1966)</f>
        <v>52.644150000000003</v>
      </c>
    </row>
    <row r="35" spans="1:8">
      <c r="A35" s="236">
        <f t="shared" si="2"/>
        <v>1980</v>
      </c>
      <c r="B35" s="236">
        <f t="shared" si="2"/>
        <v>1979</v>
      </c>
      <c r="C35" s="236">
        <f t="shared" si="3"/>
        <v>198001</v>
      </c>
      <c r="D35" s="236">
        <f t="shared" si="1"/>
        <v>2001</v>
      </c>
      <c r="E35" s="236" cm="1">
        <f t="array" ref="E35">INDEX(GMW!$A$2:$NF$60,MATCH(1,(GMW!$NE$2:$NE$60=E$3)*(GMW!$ND$2:$ND$60=E$4),0),$D35-1966)</f>
        <v>56307.5</v>
      </c>
      <c r="F35" s="236" cm="1">
        <f t="array" ref="F35">INDEX(GMW!$A$2:$NF$60,MATCH(1,(GMW!$NE$2:$NE$60=F$3)*(GMW!$ND$2:$ND$60=F$4),0),$D35-1966)</f>
        <v>290378</v>
      </c>
      <c r="G35" s="236" cm="1">
        <f t="array" ref="G35">INDEX(GMW!$A$2:$NF$60,MATCH(1,(GMW!$NE$2:$NE$60=G$3)*(GMW!$ND$2:$ND$60=G$4),0),$D35-1966)</f>
        <v>30.605080000000001</v>
      </c>
      <c r="H35" s="236" cm="1">
        <f t="array" ref="H35">INDEX(GMW!$A$2:$NF$60,MATCH(1,(GMW!$NE$2:$NE$60=H$3)*(GMW!$ND$2:$ND$60=H$4),0),$D35-1966)</f>
        <v>54.906700000000001</v>
      </c>
    </row>
    <row r="36" spans="1:8">
      <c r="A36" s="236">
        <f t="shared" si="2"/>
        <v>1980</v>
      </c>
      <c r="B36" s="236">
        <f t="shared" si="2"/>
        <v>1980</v>
      </c>
      <c r="C36" s="236">
        <f t="shared" si="3"/>
        <v>198002</v>
      </c>
      <c r="D36" s="236">
        <f t="shared" si="1"/>
        <v>2002</v>
      </c>
      <c r="E36" s="236" cm="1">
        <f t="array" ref="E36">INDEX(GMW!$A$2:$NF$60,MATCH(1,(GMW!$NE$2:$NE$60=E$3)*(GMW!$ND$2:$ND$60=E$4),0),$D36-1966)</f>
        <v>56330</v>
      </c>
      <c r="F36" s="236" cm="1">
        <f t="array" ref="F36">INDEX(GMW!$A$2:$NF$60,MATCH(1,(GMW!$NE$2:$NE$60=F$3)*(GMW!$ND$2:$ND$60=F$4),0),$D36-1966)</f>
        <v>284713</v>
      </c>
      <c r="G36" s="236" cm="1">
        <f t="array" ref="G36">INDEX(GMW!$A$2:$NF$60,MATCH(1,(GMW!$NE$2:$NE$60=G$3)*(GMW!$ND$2:$ND$60=G$4),0),$D36-1966)</f>
        <v>32.247430000000001</v>
      </c>
      <c r="H36" s="236" cm="1">
        <f t="array" ref="H36">INDEX(GMW!$A$2:$NF$60,MATCH(1,(GMW!$NE$2:$NE$60=H$3)*(GMW!$ND$2:$ND$60=H$4),0),$D36-1966)</f>
        <v>59.170099999999998</v>
      </c>
    </row>
    <row r="37" spans="1:8">
      <c r="A37" s="236">
        <f t="shared" si="2"/>
        <v>1980</v>
      </c>
      <c r="B37" s="236">
        <f t="shared" si="2"/>
        <v>1980</v>
      </c>
      <c r="C37" s="236">
        <f t="shared" si="3"/>
        <v>198003</v>
      </c>
      <c r="D37" s="236">
        <f t="shared" si="1"/>
        <v>2003</v>
      </c>
      <c r="E37" s="236" cm="1">
        <f t="array" ref="E37">INDEX(GMW!$A$2:$NF$60,MATCH(1,(GMW!$NE$2:$NE$60=E$3)*(GMW!$ND$2:$ND$60=E$4),0),$D37-1966)</f>
        <v>56337</v>
      </c>
      <c r="F37" s="236" cm="1">
        <f t="array" ref="F37">INDEX(GMW!$A$2:$NF$60,MATCH(1,(GMW!$NE$2:$NE$60=F$3)*(GMW!$ND$2:$ND$60=F$4),0),$D37-1966)</f>
        <v>284402</v>
      </c>
      <c r="G37" s="236" cm="1">
        <f t="array" ref="G37">INDEX(GMW!$A$2:$NF$60,MATCH(1,(GMW!$NE$2:$NE$60=G$3)*(GMW!$ND$2:$ND$60=G$4),0),$D37-1966)</f>
        <v>32.951300000000003</v>
      </c>
      <c r="H37" s="236" cm="1">
        <f t="array" ref="H37">INDEX(GMW!$A$2:$NF$60,MATCH(1,(GMW!$NE$2:$NE$60=H$3)*(GMW!$ND$2:$ND$60=H$4),0),$D37-1966)</f>
        <v>63.642139999999998</v>
      </c>
    </row>
    <row r="38" spans="1:8">
      <c r="A38" s="236">
        <f t="shared" si="2"/>
        <v>1980</v>
      </c>
      <c r="B38" s="236">
        <f t="shared" si="2"/>
        <v>1980</v>
      </c>
      <c r="C38" s="236">
        <f t="shared" si="3"/>
        <v>198004</v>
      </c>
      <c r="D38" s="236">
        <f t="shared" si="1"/>
        <v>2004</v>
      </c>
      <c r="E38" s="236" cm="1">
        <f t="array" ref="E38">INDEX(GMW!$A$2:$NF$60,MATCH(1,(GMW!$NE$2:$NE$60=E$3)*(GMW!$ND$2:$ND$60=E$4),0),$D38-1966)</f>
        <v>56344</v>
      </c>
      <c r="F38" s="236" cm="1">
        <f t="array" ref="F38">INDEX(GMW!$A$2:$NF$60,MATCH(1,(GMW!$NE$2:$NE$60=F$3)*(GMW!$ND$2:$ND$60=F$4),0),$D38-1966)</f>
        <v>281496</v>
      </c>
      <c r="G38" s="236" cm="1">
        <f t="array" ref="G38">INDEX(GMW!$A$2:$NF$60,MATCH(1,(GMW!$NE$2:$NE$60=G$3)*(GMW!$ND$2:$ND$60=G$4),0),$D38-1966)</f>
        <v>33.550879999999999</v>
      </c>
      <c r="H38" s="236" cm="1">
        <f t="array" ref="H38">INDEX(GMW!$A$2:$NF$60,MATCH(1,(GMW!$NE$2:$NE$60=H$3)*(GMW!$ND$2:$ND$60=H$4),0),$D38-1966)</f>
        <v>66.771739999999994</v>
      </c>
    </row>
    <row r="39" spans="1:8">
      <c r="A39" s="236">
        <f t="shared" si="2"/>
        <v>1981</v>
      </c>
      <c r="B39" s="236">
        <f t="shared" si="2"/>
        <v>1980</v>
      </c>
      <c r="C39" s="236">
        <f t="shared" si="3"/>
        <v>198101</v>
      </c>
      <c r="D39" s="236">
        <f t="shared" si="1"/>
        <v>2005</v>
      </c>
      <c r="E39" s="236" cm="1">
        <f t="array" ref="E39">INDEX(GMW!$A$2:$NF$60,MATCH(1,(GMW!$NE$2:$NE$60=E$3)*(GMW!$ND$2:$ND$60=E$4),0),$D39-1966)</f>
        <v>56351</v>
      </c>
      <c r="F39" s="236" cm="1">
        <f t="array" ref="F39">INDEX(GMW!$A$2:$NF$60,MATCH(1,(GMW!$NE$2:$NE$60=F$3)*(GMW!$ND$2:$ND$60=F$4),0),$D39-1966)</f>
        <v>281257</v>
      </c>
      <c r="G39" s="236" cm="1">
        <f t="array" ref="G39">INDEX(GMW!$A$2:$NF$60,MATCH(1,(GMW!$NE$2:$NE$60=G$3)*(GMW!$ND$2:$ND$60=G$4),0),$D39-1966)</f>
        <v>34.385100000000001</v>
      </c>
      <c r="H39" s="236" cm="1">
        <f t="array" ref="H39">INDEX(GMW!$A$2:$NF$60,MATCH(1,(GMW!$NE$2:$NE$60=H$3)*(GMW!$ND$2:$ND$60=H$4),0),$D39-1966)</f>
        <v>67.327690000000004</v>
      </c>
    </row>
    <row r="40" spans="1:8">
      <c r="A40" s="236">
        <f t="shared" si="2"/>
        <v>1981</v>
      </c>
      <c r="B40" s="236">
        <f t="shared" si="2"/>
        <v>1981</v>
      </c>
      <c r="C40" s="236">
        <f t="shared" si="3"/>
        <v>198102</v>
      </c>
      <c r="D40" s="236">
        <f t="shared" si="1"/>
        <v>2006</v>
      </c>
      <c r="E40" s="236" cm="1">
        <f t="array" ref="E40">INDEX(GMW!$A$2:$NF$60,MATCH(1,(GMW!$NE$2:$NE$60=E$3)*(GMW!$ND$2:$ND$60=E$4),0),$D40-1966)</f>
        <v>56358</v>
      </c>
      <c r="F40" s="236" cm="1">
        <f t="array" ref="F40">INDEX(GMW!$A$2:$NF$60,MATCH(1,(GMW!$NE$2:$NE$60=F$3)*(GMW!$ND$2:$ND$60=F$4),0),$D40-1966)</f>
        <v>282155</v>
      </c>
      <c r="G40" s="236" cm="1">
        <f t="array" ref="G40">INDEX(GMW!$A$2:$NF$60,MATCH(1,(GMW!$NE$2:$NE$60=G$3)*(GMW!$ND$2:$ND$60=G$4),0),$D40-1966)</f>
        <v>36.079590000000003</v>
      </c>
      <c r="H40" s="236" cm="1">
        <f t="array" ref="H40">INDEX(GMW!$A$2:$NF$60,MATCH(1,(GMW!$NE$2:$NE$60=H$3)*(GMW!$ND$2:$ND$60=H$4),0),$D40-1966)</f>
        <v>69.614490000000004</v>
      </c>
    </row>
    <row r="41" spans="1:8">
      <c r="A41" s="236">
        <f t="shared" si="2"/>
        <v>1981</v>
      </c>
      <c r="B41" s="236">
        <f t="shared" si="2"/>
        <v>1981</v>
      </c>
      <c r="C41" s="236">
        <f t="shared" si="3"/>
        <v>198103</v>
      </c>
      <c r="D41" s="236">
        <f t="shared" si="1"/>
        <v>2007</v>
      </c>
      <c r="E41" s="236" cm="1">
        <f t="array" ref="E41">INDEX(GMW!$A$2:$NF$60,MATCH(1,(GMW!$NE$2:$NE$60=E$3)*(GMW!$ND$2:$ND$60=E$4),0),$D41-1966)</f>
        <v>56341.25</v>
      </c>
      <c r="F41" s="236" cm="1">
        <f t="array" ref="F41">INDEX(GMW!$A$2:$NF$60,MATCH(1,(GMW!$NE$2:$NE$60=F$3)*(GMW!$ND$2:$ND$60=F$4),0),$D41-1966)</f>
        <v>285437</v>
      </c>
      <c r="G41" s="236" cm="1">
        <f t="array" ref="G41">INDEX(GMW!$A$2:$NF$60,MATCH(1,(GMW!$NE$2:$NE$60=G$3)*(GMW!$ND$2:$ND$60=G$4),0),$D41-1966)</f>
        <v>36.731310000000001</v>
      </c>
      <c r="H41" s="236" cm="1">
        <f t="array" ref="H41">INDEX(GMW!$A$2:$NF$60,MATCH(1,(GMW!$NE$2:$NE$60=H$3)*(GMW!$ND$2:$ND$60=H$4),0),$D41-1966)</f>
        <v>73.352940000000004</v>
      </c>
    </row>
    <row r="42" spans="1:8">
      <c r="A42" s="236">
        <f t="shared" si="2"/>
        <v>1981</v>
      </c>
      <c r="B42" s="236">
        <f t="shared" si="2"/>
        <v>1981</v>
      </c>
      <c r="C42" s="236">
        <f t="shared" si="3"/>
        <v>198104</v>
      </c>
      <c r="D42" s="236">
        <f t="shared" si="1"/>
        <v>2008</v>
      </c>
      <c r="E42" s="236" cm="1">
        <f t="array" ref="E42">INDEX(GMW!$A$2:$NF$60,MATCH(1,(GMW!$NE$2:$NE$60=E$3)*(GMW!$ND$2:$ND$60=E$4),0),$D42-1966)</f>
        <v>56324.5</v>
      </c>
      <c r="F42" s="236" cm="1">
        <f t="array" ref="F42">INDEX(GMW!$A$2:$NF$60,MATCH(1,(GMW!$NE$2:$NE$60=F$3)*(GMW!$ND$2:$ND$60=F$4),0),$D42-1966)</f>
        <v>285814</v>
      </c>
      <c r="G42" s="236" cm="1">
        <f t="array" ref="G42">INDEX(GMW!$A$2:$NF$60,MATCH(1,(GMW!$NE$2:$NE$60=G$3)*(GMW!$ND$2:$ND$60=G$4),0),$D42-1966)</f>
        <v>37.435180000000003</v>
      </c>
      <c r="H42" s="236" cm="1">
        <f t="array" ref="H42">INDEX(GMW!$A$2:$NF$60,MATCH(1,(GMW!$NE$2:$NE$60=H$3)*(GMW!$ND$2:$ND$60=H$4),0),$D42-1966)</f>
        <v>76.177090000000007</v>
      </c>
    </row>
    <row r="43" spans="1:8">
      <c r="A43" s="236">
        <f t="shared" si="2"/>
        <v>1982</v>
      </c>
      <c r="B43" s="236">
        <f t="shared" si="2"/>
        <v>1981</v>
      </c>
      <c r="C43" s="236">
        <f t="shared" si="3"/>
        <v>198201</v>
      </c>
      <c r="D43" s="236">
        <f t="shared" si="1"/>
        <v>2009</v>
      </c>
      <c r="E43" s="236" cm="1">
        <f t="array" ref="E43">INDEX(GMW!$A$2:$NF$60,MATCH(1,(GMW!$NE$2:$NE$60=E$3)*(GMW!$ND$2:$ND$60=E$4),0),$D43-1966)</f>
        <v>56307.75</v>
      </c>
      <c r="F43" s="236" cm="1">
        <f t="array" ref="F43">INDEX(GMW!$A$2:$NF$60,MATCH(1,(GMW!$NE$2:$NE$60=F$3)*(GMW!$ND$2:$ND$60=F$4),0),$D43-1966)</f>
        <v>286275</v>
      </c>
      <c r="G43" s="236" cm="1">
        <f t="array" ref="G43">INDEX(GMW!$A$2:$NF$60,MATCH(1,(GMW!$NE$2:$NE$60=G$3)*(GMW!$ND$2:$ND$60=G$4),0),$D43-1966)</f>
        <v>37.878349999999998</v>
      </c>
      <c r="H43" s="236" cm="1">
        <f t="array" ref="H43">INDEX(GMW!$A$2:$NF$60,MATCH(1,(GMW!$NE$2:$NE$60=H$3)*(GMW!$ND$2:$ND$60=H$4),0),$D43-1966)</f>
        <v>76.586519999999993</v>
      </c>
    </row>
    <row r="44" spans="1:8">
      <c r="A44" s="236">
        <f t="shared" si="2"/>
        <v>1982</v>
      </c>
      <c r="B44" s="236">
        <f t="shared" si="2"/>
        <v>1982</v>
      </c>
      <c r="C44" s="236">
        <f t="shared" si="3"/>
        <v>198202</v>
      </c>
      <c r="D44" s="236">
        <f t="shared" si="1"/>
        <v>2010</v>
      </c>
      <c r="E44" s="236" cm="1">
        <f t="array" ref="E44">INDEX(GMW!$A$2:$NF$60,MATCH(1,(GMW!$NE$2:$NE$60=E$3)*(GMW!$ND$2:$ND$60=E$4),0),$D44-1966)</f>
        <v>56291</v>
      </c>
      <c r="F44" s="236" cm="1">
        <f t="array" ref="F44">INDEX(GMW!$A$2:$NF$60,MATCH(1,(GMW!$NE$2:$NE$60=F$3)*(GMW!$ND$2:$ND$60=F$4),0),$D44-1966)</f>
        <v>289232</v>
      </c>
      <c r="G44" s="236" cm="1">
        <f t="array" ref="G44">INDEX(GMW!$A$2:$NF$60,MATCH(1,(GMW!$NE$2:$NE$60=G$3)*(GMW!$ND$2:$ND$60=G$4),0),$D44-1966)</f>
        <v>39.181800000000003</v>
      </c>
      <c r="H44" s="236" cm="1">
        <f t="array" ref="H44">INDEX(GMW!$A$2:$NF$60,MATCH(1,(GMW!$NE$2:$NE$60=H$3)*(GMW!$ND$2:$ND$60=H$4),0),$D44-1966)</f>
        <v>78.919120000000007</v>
      </c>
    </row>
    <row r="45" spans="1:8">
      <c r="A45" s="236">
        <f t="shared" si="2"/>
        <v>1982</v>
      </c>
      <c r="B45" s="236">
        <f t="shared" si="2"/>
        <v>1982</v>
      </c>
      <c r="C45" s="236">
        <f t="shared" si="3"/>
        <v>198203</v>
      </c>
      <c r="D45" s="236">
        <f t="shared" si="1"/>
        <v>2011</v>
      </c>
      <c r="E45" s="236" cm="1">
        <f t="array" ref="E45">INDEX(GMW!$A$2:$NF$60,MATCH(1,(GMW!$NE$2:$NE$60=E$3)*(GMW!$ND$2:$ND$60=E$4),0),$D45-1966)</f>
        <v>56297.25</v>
      </c>
      <c r="F45" s="236" cm="1">
        <f t="array" ref="F45">INDEX(GMW!$A$2:$NF$60,MATCH(1,(GMW!$NE$2:$NE$60=F$3)*(GMW!$ND$2:$ND$60=F$4),0),$D45-1966)</f>
        <v>289852</v>
      </c>
      <c r="G45" s="236" cm="1">
        <f t="array" ref="G45">INDEX(GMW!$A$2:$NF$60,MATCH(1,(GMW!$NE$2:$NE$60=G$3)*(GMW!$ND$2:$ND$60=G$4),0),$D45-1966)</f>
        <v>39.416420000000002</v>
      </c>
      <c r="H45" s="236" cm="1">
        <f t="array" ref="H45">INDEX(GMW!$A$2:$NF$60,MATCH(1,(GMW!$NE$2:$NE$60=H$3)*(GMW!$ND$2:$ND$60=H$4),0),$D45-1966)</f>
        <v>82.158659999999998</v>
      </c>
    </row>
    <row r="46" spans="1:8">
      <c r="A46" s="236">
        <f t="shared" si="2"/>
        <v>1982</v>
      </c>
      <c r="B46" s="236">
        <f t="shared" si="2"/>
        <v>1982</v>
      </c>
      <c r="C46" s="236">
        <f t="shared" si="3"/>
        <v>198204</v>
      </c>
      <c r="D46" s="236">
        <f t="shared" si="1"/>
        <v>2012</v>
      </c>
      <c r="E46" s="236" cm="1">
        <f t="array" ref="E46">INDEX(GMW!$A$2:$NF$60,MATCH(1,(GMW!$NE$2:$NE$60=E$3)*(GMW!$ND$2:$ND$60=E$4),0),$D46-1966)</f>
        <v>56303.5</v>
      </c>
      <c r="F46" s="236" cm="1">
        <f t="array" ref="F46">INDEX(GMW!$A$2:$NF$60,MATCH(1,(GMW!$NE$2:$NE$60=F$3)*(GMW!$ND$2:$ND$60=F$4),0),$D46-1966)</f>
        <v>291832</v>
      </c>
      <c r="G46" s="236" cm="1">
        <f t="array" ref="G46">INDEX(GMW!$A$2:$NF$60,MATCH(1,(GMW!$NE$2:$NE$60=G$3)*(GMW!$ND$2:$ND$60=G$4),0),$D46-1966)</f>
        <v>39.885669999999998</v>
      </c>
      <c r="H46" s="236" cm="1">
        <f t="array" ref="H46">INDEX(GMW!$A$2:$NF$60,MATCH(1,(GMW!$NE$2:$NE$60=H$3)*(GMW!$ND$2:$ND$60=H$4),0),$D46-1966)</f>
        <v>83.439229999999995</v>
      </c>
    </row>
    <row r="47" spans="1:8">
      <c r="A47" s="236">
        <f t="shared" si="2"/>
        <v>1983</v>
      </c>
      <c r="B47" s="236">
        <f t="shared" si="2"/>
        <v>1982</v>
      </c>
      <c r="C47" s="236">
        <f t="shared" si="3"/>
        <v>198301</v>
      </c>
      <c r="D47" s="236">
        <f t="shared" si="1"/>
        <v>2013</v>
      </c>
      <c r="E47" s="236" cm="1">
        <f t="array" ref="E47">INDEX(GMW!$A$2:$NF$60,MATCH(1,(GMW!$NE$2:$NE$60=E$3)*(GMW!$ND$2:$ND$60=E$4),0),$D47-1966)</f>
        <v>56309.75</v>
      </c>
      <c r="F47" s="236" cm="1">
        <f t="array" ref="F47">INDEX(GMW!$A$2:$NF$60,MATCH(1,(GMW!$NE$2:$NE$60=F$3)*(GMW!$ND$2:$ND$60=F$4),0),$D47-1966)</f>
        <v>297563</v>
      </c>
      <c r="G47" s="236" cm="1">
        <f t="array" ref="G47">INDEX(GMW!$A$2:$NF$60,MATCH(1,(GMW!$NE$2:$NE$60=G$3)*(GMW!$ND$2:$ND$60=G$4),0),$D47-1966)</f>
        <v>40.172429999999999</v>
      </c>
      <c r="H47" s="236" cm="1">
        <f t="array" ref="H47">INDEX(GMW!$A$2:$NF$60,MATCH(1,(GMW!$NE$2:$NE$60=H$3)*(GMW!$ND$2:$ND$60=H$4),0),$D47-1966)</f>
        <v>84.922520000000006</v>
      </c>
    </row>
    <row r="48" spans="1:8">
      <c r="A48" s="236">
        <f t="shared" si="2"/>
        <v>1983</v>
      </c>
      <c r="B48" s="236">
        <f t="shared" si="2"/>
        <v>1983</v>
      </c>
      <c r="C48" s="236">
        <f t="shared" si="3"/>
        <v>198302</v>
      </c>
      <c r="D48" s="236">
        <f>+D47+1</f>
        <v>2014</v>
      </c>
      <c r="E48" s="236" cm="1">
        <f t="array" ref="E48">INDEX(GMW!$A$2:$NF$60,MATCH(1,(GMW!$NE$2:$NE$60=E$3)*(GMW!$ND$2:$ND$60=E$4),0),$D48-1966)</f>
        <v>56316</v>
      </c>
      <c r="F48" s="236" cm="1">
        <f t="array" ref="F48">INDEX(GMW!$A$2:$NF$60,MATCH(1,(GMW!$NE$2:$NE$60=F$3)*(GMW!$ND$2:$ND$60=F$4),0),$D48-1966)</f>
        <v>299623</v>
      </c>
      <c r="G48" s="236" cm="1">
        <f t="array" ref="G48">INDEX(GMW!$A$2:$NF$60,MATCH(1,(GMW!$NE$2:$NE$60=G$3)*(GMW!$ND$2:$ND$60=G$4),0),$D48-1966)</f>
        <v>40.85022</v>
      </c>
      <c r="H48" s="236" cm="1">
        <f t="array" ref="H48">INDEX(GMW!$A$2:$NF$60,MATCH(1,(GMW!$NE$2:$NE$60=H$3)*(GMW!$ND$2:$ND$60=H$4),0),$D48-1966)</f>
        <v>88.039339999999996</v>
      </c>
    </row>
    <row r="49" spans="1:8">
      <c r="A49" s="236">
        <f t="shared" si="2"/>
        <v>1983</v>
      </c>
      <c r="B49" s="236">
        <f t="shared" si="2"/>
        <v>1983</v>
      </c>
      <c r="C49" s="236">
        <f t="shared" si="3"/>
        <v>198303</v>
      </c>
      <c r="D49" s="236">
        <f t="shared" ref="D49:D112" si="4">+D48+1</f>
        <v>2015</v>
      </c>
      <c r="E49" s="236" cm="1">
        <f t="array" ref="E49">INDEX(GMW!$A$2:$NF$60,MATCH(1,(GMW!$NE$2:$NE$60=E$3)*(GMW!$ND$2:$ND$60=E$4),0),$D49-1966)</f>
        <v>56339.25</v>
      </c>
      <c r="F49" s="236" cm="1">
        <f t="array" ref="F49">INDEX(GMW!$A$2:$NF$60,MATCH(1,(GMW!$NE$2:$NE$60=F$3)*(GMW!$ND$2:$ND$60=F$4),0),$D49-1966)</f>
        <v>303085</v>
      </c>
      <c r="G49" s="236" cm="1">
        <f t="array" ref="G49">INDEX(GMW!$A$2:$NF$60,MATCH(1,(GMW!$NE$2:$NE$60=G$3)*(GMW!$ND$2:$ND$60=G$4),0),$D49-1966)</f>
        <v>41.293399999999998</v>
      </c>
      <c r="H49" s="236" cm="1">
        <f t="array" ref="H49">INDEX(GMW!$A$2:$NF$60,MATCH(1,(GMW!$NE$2:$NE$60=H$3)*(GMW!$ND$2:$ND$60=H$4),0),$D49-1966)</f>
        <v>90.437579999999997</v>
      </c>
    </row>
    <row r="50" spans="1:8">
      <c r="A50" s="236">
        <f t="shared" si="2"/>
        <v>1983</v>
      </c>
      <c r="B50" s="236">
        <f t="shared" si="2"/>
        <v>1983</v>
      </c>
      <c r="C50" s="236">
        <f t="shared" si="3"/>
        <v>198304</v>
      </c>
      <c r="D50" s="236">
        <f t="shared" si="4"/>
        <v>2016</v>
      </c>
      <c r="E50" s="236" cm="1">
        <f t="array" ref="E50">INDEX(GMW!$A$2:$NF$60,MATCH(1,(GMW!$NE$2:$NE$60=E$3)*(GMW!$ND$2:$ND$60=E$4),0),$D50-1966)</f>
        <v>56362.5</v>
      </c>
      <c r="F50" s="236" cm="1">
        <f t="array" ref="F50">INDEX(GMW!$A$2:$NF$60,MATCH(1,(GMW!$NE$2:$NE$60=F$3)*(GMW!$ND$2:$ND$60=F$4),0),$D50-1966)</f>
        <v>305361</v>
      </c>
      <c r="G50" s="236" cm="1">
        <f t="array" ref="G50">INDEX(GMW!$A$2:$NF$60,MATCH(1,(GMW!$NE$2:$NE$60=G$3)*(GMW!$ND$2:$ND$60=G$4),0),$D50-1966)</f>
        <v>41.762639999999998</v>
      </c>
      <c r="H50" s="236" cm="1">
        <f t="array" ref="H50">INDEX(GMW!$A$2:$NF$60,MATCH(1,(GMW!$NE$2:$NE$60=H$3)*(GMW!$ND$2:$ND$60=H$4),0),$D50-1966)</f>
        <v>91.531840000000003</v>
      </c>
    </row>
    <row r="51" spans="1:8">
      <c r="A51" s="236">
        <f t="shared" si="2"/>
        <v>1984</v>
      </c>
      <c r="B51" s="236">
        <f t="shared" si="2"/>
        <v>1983</v>
      </c>
      <c r="C51" s="236">
        <f t="shared" si="3"/>
        <v>198401</v>
      </c>
      <c r="D51" s="236">
        <f t="shared" si="4"/>
        <v>2017</v>
      </c>
      <c r="E51" s="236" cm="1">
        <f t="array" ref="E51">INDEX(GMW!$A$2:$NF$60,MATCH(1,(GMW!$NE$2:$NE$60=E$3)*(GMW!$ND$2:$ND$60=E$4),0),$D51-1966)</f>
        <v>56385.75</v>
      </c>
      <c r="F51" s="236" cm="1">
        <f t="array" ref="F51">INDEX(GMW!$A$2:$NF$60,MATCH(1,(GMW!$NE$2:$NE$60=F$3)*(GMW!$ND$2:$ND$60=F$4),0),$D51-1966)</f>
        <v>307964</v>
      </c>
      <c r="G51" s="236" cm="1">
        <f t="array" ref="G51">INDEX(GMW!$A$2:$NF$60,MATCH(1,(GMW!$NE$2:$NE$60=G$3)*(GMW!$ND$2:$ND$60=G$4),0),$D51-1966)</f>
        <v>41.86692</v>
      </c>
      <c r="H51" s="236" cm="1">
        <f t="array" ref="H51">INDEX(GMW!$A$2:$NF$60,MATCH(1,(GMW!$NE$2:$NE$60=H$3)*(GMW!$ND$2:$ND$60=H$4),0),$D51-1966)</f>
        <v>92.079539999999994</v>
      </c>
    </row>
    <row r="52" spans="1:8">
      <c r="A52" s="236">
        <f t="shared" si="2"/>
        <v>1984</v>
      </c>
      <c r="B52" s="236">
        <f t="shared" si="2"/>
        <v>1984</v>
      </c>
      <c r="C52" s="236">
        <f t="shared" si="3"/>
        <v>198402</v>
      </c>
      <c r="D52" s="236">
        <f t="shared" si="4"/>
        <v>2018</v>
      </c>
      <c r="E52" s="236" cm="1">
        <f t="array" ref="E52">INDEX(GMW!$A$2:$NF$60,MATCH(1,(GMW!$NE$2:$NE$60=E$3)*(GMW!$ND$2:$ND$60=E$4),0),$D52-1966)</f>
        <v>56409</v>
      </c>
      <c r="F52" s="236" cm="1">
        <f t="array" ref="F52">INDEX(GMW!$A$2:$NF$60,MATCH(1,(GMW!$NE$2:$NE$60=F$3)*(GMW!$ND$2:$ND$60=F$4),0),$D52-1966)</f>
        <v>304892</v>
      </c>
      <c r="G52" s="236" cm="1">
        <f t="array" ref="G52">INDEX(GMW!$A$2:$NF$60,MATCH(1,(GMW!$NE$2:$NE$60=G$3)*(GMW!$ND$2:$ND$60=G$4),0),$D52-1966)</f>
        <v>42.779339999999998</v>
      </c>
      <c r="H52" s="236" cm="1">
        <f t="array" ref="H52">INDEX(GMW!$A$2:$NF$60,MATCH(1,(GMW!$NE$2:$NE$60=H$3)*(GMW!$ND$2:$ND$60=H$4),0),$D52-1966)</f>
        <v>94.127579999999995</v>
      </c>
    </row>
    <row r="53" spans="1:8">
      <c r="A53" s="236">
        <f t="shared" si="2"/>
        <v>1984</v>
      </c>
      <c r="B53" s="236">
        <f t="shared" si="2"/>
        <v>1984</v>
      </c>
      <c r="C53" s="236">
        <f t="shared" si="3"/>
        <v>198403</v>
      </c>
      <c r="D53" s="236">
        <f t="shared" si="4"/>
        <v>2019</v>
      </c>
      <c r="E53" s="236" cm="1">
        <f t="array" ref="E53">INDEX(GMW!$A$2:$NF$60,MATCH(1,(GMW!$NE$2:$NE$60=E$3)*(GMW!$ND$2:$ND$60=E$4),0),$D53-1966)</f>
        <v>56445.25</v>
      </c>
      <c r="F53" s="236" cm="1">
        <f t="array" ref="F53">INDEX(GMW!$A$2:$NF$60,MATCH(1,(GMW!$NE$2:$NE$60=F$3)*(GMW!$ND$2:$ND$60=F$4),0),$D53-1966)</f>
        <v>307122</v>
      </c>
      <c r="G53" s="236" cm="1">
        <f t="array" ref="G53">INDEX(GMW!$A$2:$NF$60,MATCH(1,(GMW!$NE$2:$NE$60=G$3)*(GMW!$ND$2:$ND$60=G$4),0),$D53-1966)</f>
        <v>42.98789</v>
      </c>
      <c r="H53" s="236" cm="1">
        <f t="array" ref="H53">INDEX(GMW!$A$2:$NF$60,MATCH(1,(GMW!$NE$2:$NE$60=H$3)*(GMW!$ND$2:$ND$60=H$4),0),$D53-1966)</f>
        <v>96.732339999999994</v>
      </c>
    </row>
    <row r="54" spans="1:8">
      <c r="A54" s="236">
        <f t="shared" si="2"/>
        <v>1984</v>
      </c>
      <c r="B54" s="236">
        <f t="shared" si="2"/>
        <v>1984</v>
      </c>
      <c r="C54" s="236">
        <f t="shared" si="3"/>
        <v>198404</v>
      </c>
      <c r="D54" s="236">
        <f t="shared" si="4"/>
        <v>2020</v>
      </c>
      <c r="E54" s="236" cm="1">
        <f t="array" ref="E54">INDEX(GMW!$A$2:$NF$60,MATCH(1,(GMW!$NE$2:$NE$60=E$3)*(GMW!$ND$2:$ND$60=E$4),0),$D54-1966)</f>
        <v>56481.5</v>
      </c>
      <c r="F54" s="236" cm="1">
        <f t="array" ref="F54">INDEX(GMW!$A$2:$NF$60,MATCH(1,(GMW!$NE$2:$NE$60=F$3)*(GMW!$ND$2:$ND$60=F$4),0),$D54-1966)</f>
        <v>312697</v>
      </c>
      <c r="G54" s="236" cm="1">
        <f t="array" ref="G54">INDEX(GMW!$A$2:$NF$60,MATCH(1,(GMW!$NE$2:$NE$60=G$3)*(GMW!$ND$2:$ND$60=G$4),0),$D54-1966)</f>
        <v>43.431060000000002</v>
      </c>
      <c r="H54" s="236" cm="1">
        <f t="array" ref="H54">INDEX(GMW!$A$2:$NF$60,MATCH(1,(GMW!$NE$2:$NE$60=H$3)*(GMW!$ND$2:$ND$60=H$4),0),$D54-1966)</f>
        <v>99.446349999999995</v>
      </c>
    </row>
    <row r="55" spans="1:8">
      <c r="A55" s="236">
        <f t="shared" si="2"/>
        <v>1985</v>
      </c>
      <c r="B55" s="236">
        <f t="shared" si="2"/>
        <v>1984</v>
      </c>
      <c r="C55" s="236">
        <f t="shared" si="3"/>
        <v>198501</v>
      </c>
      <c r="D55" s="236">
        <f t="shared" si="4"/>
        <v>2021</v>
      </c>
      <c r="E55" s="236" cm="1">
        <f t="array" ref="E55">INDEX(GMW!$A$2:$NF$60,MATCH(1,(GMW!$NE$2:$NE$60=E$3)*(GMW!$ND$2:$ND$60=E$4),0),$D55-1966)</f>
        <v>56517.75</v>
      </c>
      <c r="F55" s="236" cm="1">
        <f t="array" ref="F55">INDEX(GMW!$A$2:$NF$60,MATCH(1,(GMW!$NE$2:$NE$60=F$3)*(GMW!$ND$2:$ND$60=F$4),0),$D55-1966)</f>
        <v>315753</v>
      </c>
      <c r="G55" s="236" cm="1">
        <f t="array" ref="G55">INDEX(GMW!$A$2:$NF$60,MATCH(1,(GMW!$NE$2:$NE$60=G$3)*(GMW!$ND$2:$ND$60=G$4),0),$D55-1966)</f>
        <v>43.874229999999997</v>
      </c>
      <c r="H55" s="236" cm="1">
        <f t="array" ref="H55">INDEX(GMW!$A$2:$NF$60,MATCH(1,(GMW!$NE$2:$NE$60=H$3)*(GMW!$ND$2:$ND$60=H$4),0),$D55-1966)</f>
        <v>100.12390000000001</v>
      </c>
    </row>
    <row r="56" spans="1:8">
      <c r="A56" s="236">
        <f t="shared" si="2"/>
        <v>1985</v>
      </c>
      <c r="B56" s="236">
        <f t="shared" si="2"/>
        <v>1985</v>
      </c>
      <c r="C56" s="236">
        <f t="shared" si="3"/>
        <v>198502</v>
      </c>
      <c r="D56" s="236">
        <f t="shared" si="4"/>
        <v>2022</v>
      </c>
      <c r="E56" s="236" cm="1">
        <f t="array" ref="E56">INDEX(GMW!$A$2:$NF$60,MATCH(1,(GMW!$NE$2:$NE$60=E$3)*(GMW!$ND$2:$ND$60=E$4),0),$D56-1966)</f>
        <v>56554</v>
      </c>
      <c r="F56" s="236" cm="1">
        <f t="array" ref="F56">INDEX(GMW!$A$2:$NF$60,MATCH(1,(GMW!$NE$2:$NE$60=F$3)*(GMW!$ND$2:$ND$60=F$4),0),$D56-1966)</f>
        <v>322451</v>
      </c>
      <c r="G56" s="236" cm="1">
        <f t="array" ref="G56">INDEX(GMW!$A$2:$NF$60,MATCH(1,(GMW!$NE$2:$NE$60=G$3)*(GMW!$ND$2:$ND$60=G$4),0),$D56-1966)</f>
        <v>44.995199999999997</v>
      </c>
      <c r="H56" s="236" cm="1">
        <f t="array" ref="H56">INDEX(GMW!$A$2:$NF$60,MATCH(1,(GMW!$NE$2:$NE$60=H$3)*(GMW!$ND$2:$ND$60=H$4),0),$D56-1966)</f>
        <v>104.4909</v>
      </c>
    </row>
    <row r="57" spans="1:8">
      <c r="A57" s="236">
        <f t="shared" si="2"/>
        <v>1985</v>
      </c>
      <c r="B57" s="236">
        <f t="shared" si="2"/>
        <v>1985</v>
      </c>
      <c r="C57" s="236">
        <f t="shared" si="3"/>
        <v>198503</v>
      </c>
      <c r="D57" s="236">
        <f t="shared" si="4"/>
        <v>2023</v>
      </c>
      <c r="E57" s="236" cm="1">
        <f t="array" ref="E57">INDEX(GMW!$A$2:$NF$60,MATCH(1,(GMW!$NE$2:$NE$60=E$3)*(GMW!$ND$2:$ND$60=E$4),0),$D57-1966)</f>
        <v>56586.5</v>
      </c>
      <c r="F57" s="236" cm="1">
        <f t="array" ref="F57">INDEX(GMW!$A$2:$NF$60,MATCH(1,(GMW!$NE$2:$NE$60=F$3)*(GMW!$ND$2:$ND$60=F$4),0),$D57-1966)</f>
        <v>322392</v>
      </c>
      <c r="G57" s="236" cm="1">
        <f t="array" ref="G57">INDEX(GMW!$A$2:$NF$60,MATCH(1,(GMW!$NE$2:$NE$60=G$3)*(GMW!$ND$2:$ND$60=G$4),0),$D57-1966)</f>
        <v>45.125549999999997</v>
      </c>
      <c r="H57" s="236" cm="1">
        <f t="array" ref="H57">INDEX(GMW!$A$2:$NF$60,MATCH(1,(GMW!$NE$2:$NE$60=H$3)*(GMW!$ND$2:$ND$60=H$4),0),$D57-1966)</f>
        <v>107.6677</v>
      </c>
    </row>
    <row r="58" spans="1:8">
      <c r="A58" s="236">
        <f t="shared" si="2"/>
        <v>1985</v>
      </c>
      <c r="B58" s="236">
        <f t="shared" si="2"/>
        <v>1985</v>
      </c>
      <c r="C58" s="236">
        <f t="shared" si="3"/>
        <v>198504</v>
      </c>
      <c r="D58" s="236">
        <f t="shared" si="4"/>
        <v>2024</v>
      </c>
      <c r="E58" s="236" cm="1">
        <f t="array" ref="E58">INDEX(GMW!$A$2:$NF$60,MATCH(1,(GMW!$NE$2:$NE$60=E$3)*(GMW!$ND$2:$ND$60=E$4),0),$D58-1966)</f>
        <v>56619</v>
      </c>
      <c r="F58" s="236" cm="1">
        <f t="array" ref="F58">INDEX(GMW!$A$2:$NF$60,MATCH(1,(GMW!$NE$2:$NE$60=F$3)*(GMW!$ND$2:$ND$60=F$4),0),$D58-1966)</f>
        <v>322604</v>
      </c>
      <c r="G58" s="236" cm="1">
        <f t="array" ref="G58">INDEX(GMW!$A$2:$NF$60,MATCH(1,(GMW!$NE$2:$NE$60=G$3)*(GMW!$ND$2:$ND$60=G$4),0),$D58-1966)</f>
        <v>45.490519999999997</v>
      </c>
      <c r="H58" s="236" cm="1">
        <f t="array" ref="H58">INDEX(GMW!$A$2:$NF$60,MATCH(1,(GMW!$NE$2:$NE$60=H$3)*(GMW!$ND$2:$ND$60=H$4),0),$D58-1966)</f>
        <v>109.6371</v>
      </c>
    </row>
    <row r="59" spans="1:8">
      <c r="A59" s="236">
        <f t="shared" si="2"/>
        <v>1986</v>
      </c>
      <c r="B59" s="236">
        <f t="shared" si="2"/>
        <v>1985</v>
      </c>
      <c r="C59" s="236">
        <f t="shared" si="3"/>
        <v>198601</v>
      </c>
      <c r="D59" s="236">
        <f t="shared" si="4"/>
        <v>2025</v>
      </c>
      <c r="E59" s="236" cm="1">
        <f t="array" ref="E59">INDEX(GMW!$A$2:$NF$60,MATCH(1,(GMW!$NE$2:$NE$60=E$3)*(GMW!$ND$2:$ND$60=E$4),0),$D59-1966)</f>
        <v>56651.5</v>
      </c>
      <c r="F59" s="236" cm="1">
        <f t="array" ref="F59">INDEX(GMW!$A$2:$NF$60,MATCH(1,(GMW!$NE$2:$NE$60=F$3)*(GMW!$ND$2:$ND$60=F$4),0),$D59-1966)</f>
        <v>325968</v>
      </c>
      <c r="G59" s="236" cm="1">
        <f t="array" ref="G59">INDEX(GMW!$A$2:$NF$60,MATCH(1,(GMW!$NE$2:$NE$60=G$3)*(GMW!$ND$2:$ND$60=G$4),0),$D59-1966)</f>
        <v>45.646929999999998</v>
      </c>
      <c r="H59" s="236" cm="1">
        <f t="array" ref="H59">INDEX(GMW!$A$2:$NF$60,MATCH(1,(GMW!$NE$2:$NE$60=H$3)*(GMW!$ND$2:$ND$60=H$4),0),$D59-1966)</f>
        <v>110.8912</v>
      </c>
    </row>
    <row r="60" spans="1:8">
      <c r="A60" s="236">
        <f t="shared" si="2"/>
        <v>1986</v>
      </c>
      <c r="B60" s="236">
        <f t="shared" si="2"/>
        <v>1986</v>
      </c>
      <c r="C60" s="236">
        <f t="shared" si="3"/>
        <v>198602</v>
      </c>
      <c r="D60" s="236">
        <f t="shared" si="4"/>
        <v>2026</v>
      </c>
      <c r="E60" s="236" cm="1">
        <f t="array" ref="E60">INDEX(GMW!$A$2:$NF$60,MATCH(1,(GMW!$NE$2:$NE$60=E$3)*(GMW!$ND$2:$ND$60=E$4),0),$D60-1966)</f>
        <v>56684</v>
      </c>
      <c r="F60" s="236" cm="1">
        <f t="array" ref="F60">INDEX(GMW!$A$2:$NF$60,MATCH(1,(GMW!$NE$2:$NE$60=F$3)*(GMW!$ND$2:$ND$60=F$4),0),$D60-1966)</f>
        <v>328872</v>
      </c>
      <c r="G60" s="236" cm="1">
        <f t="array" ref="G60">INDEX(GMW!$A$2:$NF$60,MATCH(1,(GMW!$NE$2:$NE$60=G$3)*(GMW!$ND$2:$ND$60=G$4),0),$D60-1966)</f>
        <v>46.3508</v>
      </c>
      <c r="H60" s="236" cm="1">
        <f t="array" ref="H60">INDEX(GMW!$A$2:$NF$60,MATCH(1,(GMW!$NE$2:$NE$60=H$3)*(GMW!$ND$2:$ND$60=H$4),0),$D60-1966)</f>
        <v>115.3305</v>
      </c>
    </row>
    <row r="61" spans="1:8">
      <c r="A61" s="236">
        <f t="shared" si="2"/>
        <v>1986</v>
      </c>
      <c r="B61" s="236">
        <f t="shared" si="2"/>
        <v>1986</v>
      </c>
      <c r="C61" s="236">
        <f t="shared" si="3"/>
        <v>198603</v>
      </c>
      <c r="D61" s="236">
        <f t="shared" si="4"/>
        <v>2027</v>
      </c>
      <c r="E61" s="236" cm="1">
        <f t="array" ref="E61">INDEX(GMW!$A$2:$NF$60,MATCH(1,(GMW!$NE$2:$NE$60=E$3)*(GMW!$ND$2:$ND$60=E$4),0),$D61-1966)</f>
        <v>56714</v>
      </c>
      <c r="F61" s="236" cm="1">
        <f t="array" ref="F61">INDEX(GMW!$A$2:$NF$60,MATCH(1,(GMW!$NE$2:$NE$60=F$3)*(GMW!$ND$2:$ND$60=F$4),0),$D61-1966)</f>
        <v>330966</v>
      </c>
      <c r="G61" s="236" cm="1">
        <f t="array" ref="G61">INDEX(GMW!$A$2:$NF$60,MATCH(1,(GMW!$NE$2:$NE$60=G$3)*(GMW!$ND$2:$ND$60=G$4),0),$D61-1966)</f>
        <v>46.533279999999998</v>
      </c>
      <c r="H61" s="236" cm="1">
        <f t="array" ref="H61">INDEX(GMW!$A$2:$NF$60,MATCH(1,(GMW!$NE$2:$NE$60=H$3)*(GMW!$ND$2:$ND$60=H$4),0),$D61-1966)</f>
        <v>118.2911</v>
      </c>
    </row>
    <row r="62" spans="1:8">
      <c r="A62" s="236">
        <f t="shared" si="2"/>
        <v>1986</v>
      </c>
      <c r="B62" s="236">
        <f t="shared" si="2"/>
        <v>1986</v>
      </c>
      <c r="C62" s="236">
        <f t="shared" si="3"/>
        <v>198604</v>
      </c>
      <c r="D62" s="236">
        <f t="shared" si="4"/>
        <v>2028</v>
      </c>
      <c r="E62" s="236" cm="1">
        <f t="array" ref="E62">INDEX(GMW!$A$2:$NF$60,MATCH(1,(GMW!$NE$2:$NE$60=E$3)*(GMW!$ND$2:$ND$60=E$4),0),$D62-1966)</f>
        <v>56744</v>
      </c>
      <c r="F62" s="236" cm="1">
        <f t="array" ref="F62">INDEX(GMW!$A$2:$NF$60,MATCH(1,(GMW!$NE$2:$NE$60=F$3)*(GMW!$ND$2:$ND$60=F$4),0),$D62-1966)</f>
        <v>337367</v>
      </c>
      <c r="G62" s="236" cm="1">
        <f t="array" ref="G62">INDEX(GMW!$A$2:$NF$60,MATCH(1,(GMW!$NE$2:$NE$60=G$3)*(GMW!$ND$2:$ND$60=G$4),0),$D62-1966)</f>
        <v>46.924320000000002</v>
      </c>
      <c r="H62" s="236" cm="1">
        <f t="array" ref="H62">INDEX(GMW!$A$2:$NF$60,MATCH(1,(GMW!$NE$2:$NE$60=H$3)*(GMW!$ND$2:$ND$60=H$4),0),$D62-1966)</f>
        <v>120.3198</v>
      </c>
    </row>
    <row r="63" spans="1:8">
      <c r="A63" s="236">
        <f t="shared" si="2"/>
        <v>1987</v>
      </c>
      <c r="B63" s="236">
        <f t="shared" si="2"/>
        <v>1986</v>
      </c>
      <c r="C63" s="236">
        <f t="shared" si="3"/>
        <v>198701</v>
      </c>
      <c r="D63" s="236">
        <f t="shared" si="4"/>
        <v>2029</v>
      </c>
      <c r="E63" s="236" cm="1">
        <f t="array" ref="E63">INDEX(GMW!$A$2:$NF$60,MATCH(1,(GMW!$NE$2:$NE$60=E$3)*(GMW!$ND$2:$ND$60=E$4),0),$D63-1966)</f>
        <v>56774</v>
      </c>
      <c r="F63" s="236" cm="1">
        <f t="array" ref="F63">INDEX(GMW!$A$2:$NF$60,MATCH(1,(GMW!$NE$2:$NE$60=F$3)*(GMW!$ND$2:$ND$60=F$4),0),$D63-1966)</f>
        <v>339754</v>
      </c>
      <c r="G63" s="236" cm="1">
        <f t="array" ref="G63">INDEX(GMW!$A$2:$NF$60,MATCH(1,(GMW!$NE$2:$NE$60=G$3)*(GMW!$ND$2:$ND$60=G$4),0),$D63-1966)</f>
        <v>47.237139999999997</v>
      </c>
      <c r="H63" s="236" cm="1">
        <f t="array" ref="H63">INDEX(GMW!$A$2:$NF$60,MATCH(1,(GMW!$NE$2:$NE$60=H$3)*(GMW!$ND$2:$ND$60=H$4),0),$D63-1966)</f>
        <v>121.41079999999999</v>
      </c>
    </row>
    <row r="64" spans="1:8">
      <c r="A64" s="236">
        <f t="shared" si="2"/>
        <v>1987</v>
      </c>
      <c r="B64" s="236">
        <f t="shared" si="2"/>
        <v>1987</v>
      </c>
      <c r="C64" s="236">
        <f t="shared" si="3"/>
        <v>198702</v>
      </c>
      <c r="D64" s="236">
        <f t="shared" si="4"/>
        <v>2030</v>
      </c>
      <c r="E64" s="236" cm="1">
        <f t="array" ref="E64">INDEX(GMW!$A$2:$NF$60,MATCH(1,(GMW!$NE$2:$NE$60=E$3)*(GMW!$ND$2:$ND$60=E$4),0),$D64-1966)</f>
        <v>56804</v>
      </c>
      <c r="F64" s="236" cm="1">
        <f t="array" ref="F64">INDEX(GMW!$A$2:$NF$60,MATCH(1,(GMW!$NE$2:$NE$60=F$3)*(GMW!$ND$2:$ND$60=F$4),0),$D64-1966)</f>
        <v>344795</v>
      </c>
      <c r="G64" s="236" cm="1">
        <f t="array" ref="G64">INDEX(GMW!$A$2:$NF$60,MATCH(1,(GMW!$NE$2:$NE$60=G$3)*(GMW!$ND$2:$ND$60=G$4),0),$D64-1966)</f>
        <v>47.836730000000003</v>
      </c>
      <c r="H64" s="236" cm="1">
        <f t="array" ref="H64">INDEX(GMW!$A$2:$NF$60,MATCH(1,(GMW!$NE$2:$NE$60=H$3)*(GMW!$ND$2:$ND$60=H$4),0),$D64-1966)</f>
        <v>125.7916</v>
      </c>
    </row>
    <row r="65" spans="1:8">
      <c r="A65" s="236">
        <f t="shared" si="2"/>
        <v>1987</v>
      </c>
      <c r="B65" s="236">
        <f t="shared" si="2"/>
        <v>1987</v>
      </c>
      <c r="C65" s="236">
        <f t="shared" si="3"/>
        <v>198703</v>
      </c>
      <c r="D65" s="236">
        <f t="shared" si="4"/>
        <v>2031</v>
      </c>
      <c r="E65" s="236" cm="1">
        <f t="array" ref="E65">INDEX(GMW!$A$2:$NF$60,MATCH(1,(GMW!$NE$2:$NE$60=E$3)*(GMW!$ND$2:$ND$60=E$4),0),$D65-1966)</f>
        <v>56832</v>
      </c>
      <c r="F65" s="236" cm="1">
        <f t="array" ref="F65">INDEX(GMW!$A$2:$NF$60,MATCH(1,(GMW!$NE$2:$NE$60=F$3)*(GMW!$ND$2:$ND$60=F$4),0),$D65-1966)</f>
        <v>353365</v>
      </c>
      <c r="G65" s="236" cm="1">
        <f t="array" ref="G65">INDEX(GMW!$A$2:$NF$60,MATCH(1,(GMW!$NE$2:$NE$60=G$3)*(GMW!$ND$2:$ND$60=G$4),0),$D65-1966)</f>
        <v>47.888869999999997</v>
      </c>
      <c r="H65" s="236" cm="1">
        <f t="array" ref="H65">INDEX(GMW!$A$2:$NF$60,MATCH(1,(GMW!$NE$2:$NE$60=H$3)*(GMW!$ND$2:$ND$60=H$4),0),$D65-1966)</f>
        <v>130.0642</v>
      </c>
    </row>
    <row r="66" spans="1:8">
      <c r="A66" s="236">
        <f t="shared" si="2"/>
        <v>1987</v>
      </c>
      <c r="B66" s="236">
        <f t="shared" si="2"/>
        <v>1987</v>
      </c>
      <c r="C66" s="236">
        <f t="shared" si="3"/>
        <v>198704</v>
      </c>
      <c r="D66" s="236">
        <f t="shared" si="4"/>
        <v>2032</v>
      </c>
      <c r="E66" s="236" cm="1">
        <f t="array" ref="E66">INDEX(GMW!$A$2:$NF$60,MATCH(1,(GMW!$NE$2:$NE$60=E$3)*(GMW!$ND$2:$ND$60=E$4),0),$D66-1966)</f>
        <v>56860</v>
      </c>
      <c r="F66" s="236" cm="1">
        <f t="array" ref="F66">INDEX(GMW!$A$2:$NF$60,MATCH(1,(GMW!$NE$2:$NE$60=F$3)*(GMW!$ND$2:$ND$60=F$4),0),$D66-1966)</f>
        <v>357439</v>
      </c>
      <c r="G66" s="236" cm="1">
        <f t="array" ref="G66">INDEX(GMW!$A$2:$NF$60,MATCH(1,(GMW!$NE$2:$NE$60=G$3)*(GMW!$ND$2:$ND$60=G$4),0),$D66-1966)</f>
        <v>48.436320000000002</v>
      </c>
      <c r="H66" s="236" cm="1">
        <f t="array" ref="H66">INDEX(GMW!$A$2:$NF$60,MATCH(1,(GMW!$NE$2:$NE$60=H$3)*(GMW!$ND$2:$ND$60=H$4),0),$D66-1966)</f>
        <v>132.7039</v>
      </c>
    </row>
    <row r="67" spans="1:8">
      <c r="A67" s="236">
        <f t="shared" si="2"/>
        <v>1988</v>
      </c>
      <c r="B67" s="236">
        <f t="shared" si="2"/>
        <v>1987</v>
      </c>
      <c r="C67" s="236">
        <f t="shared" si="3"/>
        <v>198801</v>
      </c>
      <c r="D67" s="236">
        <f t="shared" si="4"/>
        <v>2033</v>
      </c>
      <c r="E67" s="236" cm="1">
        <f t="array" ref="E67">INDEX(GMW!$A$2:$NF$60,MATCH(1,(GMW!$NE$2:$NE$60=E$3)*(GMW!$ND$2:$ND$60=E$4),0),$D67-1966)</f>
        <v>56888</v>
      </c>
      <c r="F67" s="236" cm="1">
        <f t="array" ref="F67">INDEX(GMW!$A$2:$NF$60,MATCH(1,(GMW!$NE$2:$NE$60=F$3)*(GMW!$ND$2:$ND$60=F$4),0),$D67-1966)</f>
        <v>363267</v>
      </c>
      <c r="G67" s="236" cm="1">
        <f t="array" ref="G67">INDEX(GMW!$A$2:$NF$60,MATCH(1,(GMW!$NE$2:$NE$60=G$3)*(GMW!$ND$2:$ND$60=G$4),0),$D67-1966)</f>
        <v>48.566670000000002</v>
      </c>
      <c r="H67" s="236" cm="1">
        <f t="array" ref="H67">INDEX(GMW!$A$2:$NF$60,MATCH(1,(GMW!$NE$2:$NE$60=H$3)*(GMW!$ND$2:$ND$60=H$4),0),$D67-1966)</f>
        <v>134.46860000000001</v>
      </c>
    </row>
    <row r="68" spans="1:8">
      <c r="A68" s="236">
        <f t="shared" si="2"/>
        <v>1988</v>
      </c>
      <c r="B68" s="236">
        <f t="shared" si="2"/>
        <v>1988</v>
      </c>
      <c r="C68" s="236">
        <f t="shared" si="3"/>
        <v>198802</v>
      </c>
      <c r="D68" s="236">
        <f t="shared" si="4"/>
        <v>2034</v>
      </c>
      <c r="E68" s="236" cm="1">
        <f t="array" ref="E68">INDEX(GMW!$A$2:$NF$60,MATCH(1,(GMW!$NE$2:$NE$60=E$3)*(GMW!$ND$2:$ND$60=E$4),0),$D68-1966)</f>
        <v>56916</v>
      </c>
      <c r="F68" s="236" cm="1">
        <f t="array" ref="F68">INDEX(GMW!$A$2:$NF$60,MATCH(1,(GMW!$NE$2:$NE$60=F$3)*(GMW!$ND$2:$ND$60=F$4),0),$D68-1966)</f>
        <v>365209</v>
      </c>
      <c r="G68" s="236" cm="1">
        <f t="array" ref="G68">INDEX(GMW!$A$2:$NF$60,MATCH(1,(GMW!$NE$2:$NE$60=G$3)*(GMW!$ND$2:$ND$60=G$4),0),$D68-1966)</f>
        <v>49.5</v>
      </c>
      <c r="H68" s="236" cm="1">
        <f t="array" ref="H68">INDEX(GMW!$A$2:$NF$60,MATCH(1,(GMW!$NE$2:$NE$60=H$3)*(GMW!$ND$2:$ND$60=H$4),0),$D68-1966)</f>
        <v>139.05330000000001</v>
      </c>
    </row>
    <row r="69" spans="1:8">
      <c r="A69" s="236">
        <f t="shared" si="2"/>
        <v>1988</v>
      </c>
      <c r="B69" s="236">
        <f t="shared" si="2"/>
        <v>1988</v>
      </c>
      <c r="C69" s="236">
        <f t="shared" si="3"/>
        <v>198803</v>
      </c>
      <c r="D69" s="236">
        <f t="shared" si="4"/>
        <v>2035</v>
      </c>
      <c r="E69" s="236" cm="1">
        <f t="array" ref="E69">INDEX(GMW!$A$2:$NF$60,MATCH(1,(GMW!$NE$2:$NE$60=E$3)*(GMW!$ND$2:$ND$60=E$4),0),$D69-1966)</f>
        <v>56956.25</v>
      </c>
      <c r="F69" s="236" cm="1">
        <f t="array" ref="F69">INDEX(GMW!$A$2:$NF$60,MATCH(1,(GMW!$NE$2:$NE$60=F$3)*(GMW!$ND$2:$ND$60=F$4),0),$D69-1966)</f>
        <v>369774</v>
      </c>
      <c r="G69" s="236" cm="1">
        <f t="array" ref="G69">INDEX(GMW!$A$2:$NF$60,MATCH(1,(GMW!$NE$2:$NE$60=G$3)*(GMW!$ND$2:$ND$60=G$4),0),$D69-1966)</f>
        <v>49.9</v>
      </c>
      <c r="H69" s="236" cm="1">
        <f t="array" ref="H69">INDEX(GMW!$A$2:$NF$60,MATCH(1,(GMW!$NE$2:$NE$60=H$3)*(GMW!$ND$2:$ND$60=H$4),0),$D69-1966)</f>
        <v>144.16399999999999</v>
      </c>
    </row>
    <row r="70" spans="1:8">
      <c r="A70" s="236">
        <f t="shared" si="2"/>
        <v>1988</v>
      </c>
      <c r="B70" s="236">
        <f t="shared" si="2"/>
        <v>1988</v>
      </c>
      <c r="C70" s="236">
        <f t="shared" si="3"/>
        <v>198804</v>
      </c>
      <c r="D70" s="236">
        <f t="shared" si="4"/>
        <v>2036</v>
      </c>
      <c r="E70" s="236" cm="1">
        <f t="array" ref="E70">INDEX(GMW!$A$2:$NF$60,MATCH(1,(GMW!$NE$2:$NE$60=E$3)*(GMW!$ND$2:$ND$60=E$4),0),$D70-1966)</f>
        <v>56996.5</v>
      </c>
      <c r="F70" s="236" cm="1">
        <f t="array" ref="F70">INDEX(GMW!$A$2:$NF$60,MATCH(1,(GMW!$NE$2:$NE$60=F$3)*(GMW!$ND$2:$ND$60=F$4),0),$D70-1966)</f>
        <v>372752</v>
      </c>
      <c r="G70" s="236" cm="1">
        <f t="array" ref="G70">INDEX(GMW!$A$2:$NF$60,MATCH(1,(GMW!$NE$2:$NE$60=G$3)*(GMW!$ND$2:$ND$60=G$4),0),$D70-1966)</f>
        <v>50.466670000000001</v>
      </c>
      <c r="H70" s="236" cm="1">
        <f t="array" ref="H70">INDEX(GMW!$A$2:$NF$60,MATCH(1,(GMW!$NE$2:$NE$60=H$3)*(GMW!$ND$2:$ND$60=H$4),0),$D70-1966)</f>
        <v>148.042</v>
      </c>
    </row>
    <row r="71" spans="1:8">
      <c r="A71" s="236">
        <f t="shared" si="2"/>
        <v>1989</v>
      </c>
      <c r="B71" s="236">
        <f t="shared" si="2"/>
        <v>1988</v>
      </c>
      <c r="C71" s="236">
        <f t="shared" si="3"/>
        <v>198901</v>
      </c>
      <c r="D71" s="236">
        <f t="shared" si="4"/>
        <v>2037</v>
      </c>
      <c r="E71" s="236" cm="1">
        <f t="array" ref="E71">INDEX(GMW!$A$2:$NF$60,MATCH(1,(GMW!$NE$2:$NE$60=E$3)*(GMW!$ND$2:$ND$60=E$4),0),$D71-1966)</f>
        <v>57036.75</v>
      </c>
      <c r="F71" s="236" cm="1">
        <f t="array" ref="F71">INDEX(GMW!$A$2:$NF$60,MATCH(1,(GMW!$NE$2:$NE$60=F$3)*(GMW!$ND$2:$ND$60=F$4),0),$D71-1966)</f>
        <v>374612</v>
      </c>
      <c r="G71" s="236" cm="1">
        <f t="array" ref="G71">INDEX(GMW!$A$2:$NF$60,MATCH(1,(GMW!$NE$2:$NE$60=G$3)*(GMW!$ND$2:$ND$60=G$4),0),$D71-1966)</f>
        <v>51</v>
      </c>
      <c r="H71" s="236" cm="1">
        <f t="array" ref="H71">INDEX(GMW!$A$2:$NF$60,MATCH(1,(GMW!$NE$2:$NE$60=H$3)*(GMW!$ND$2:$ND$60=H$4),0),$D71-1966)</f>
        <v>150.62790000000001</v>
      </c>
    </row>
    <row r="72" spans="1:8">
      <c r="A72" s="236">
        <f t="shared" si="2"/>
        <v>1989</v>
      </c>
      <c r="B72" s="236">
        <f t="shared" si="2"/>
        <v>1989</v>
      </c>
      <c r="C72" s="236">
        <f t="shared" si="3"/>
        <v>198902</v>
      </c>
      <c r="D72" s="236">
        <f t="shared" si="4"/>
        <v>2038</v>
      </c>
      <c r="E72" s="236" cm="1">
        <f t="array" ref="E72">INDEX(GMW!$A$2:$NF$60,MATCH(1,(GMW!$NE$2:$NE$60=E$3)*(GMW!$ND$2:$ND$60=E$4),0),$D72-1966)</f>
        <v>57077</v>
      </c>
      <c r="F72" s="236" cm="1">
        <f t="array" ref="F72">INDEX(GMW!$A$2:$NF$60,MATCH(1,(GMW!$NE$2:$NE$60=F$3)*(GMW!$ND$2:$ND$60=F$4),0),$D72-1966)</f>
        <v>376951</v>
      </c>
      <c r="G72" s="236" cm="1">
        <f t="array" ref="G72">INDEX(GMW!$A$2:$NF$60,MATCH(1,(GMW!$NE$2:$NE$60=G$3)*(GMW!$ND$2:$ND$60=G$4),0),$D72-1966)</f>
        <v>52.133339999999997</v>
      </c>
      <c r="H72" s="236" cm="1">
        <f t="array" ref="H72">INDEX(GMW!$A$2:$NF$60,MATCH(1,(GMW!$NE$2:$NE$60=H$3)*(GMW!$ND$2:$ND$60=H$4),0),$D72-1966)</f>
        <v>155.5334</v>
      </c>
    </row>
    <row r="73" spans="1:8">
      <c r="A73" s="236">
        <f t="shared" si="2"/>
        <v>1989</v>
      </c>
      <c r="B73" s="236">
        <f t="shared" si="2"/>
        <v>1989</v>
      </c>
      <c r="C73" s="236">
        <f t="shared" si="3"/>
        <v>198903</v>
      </c>
      <c r="D73" s="236">
        <f t="shared" si="4"/>
        <v>2039</v>
      </c>
      <c r="E73" s="236" cm="1">
        <f t="array" ref="E73">INDEX(GMW!$A$2:$NF$60,MATCH(1,(GMW!$NE$2:$NE$60=E$3)*(GMW!$ND$2:$ND$60=E$4),0),$D73-1966)</f>
        <v>57117.25</v>
      </c>
      <c r="F73" s="236" cm="1">
        <f t="array" ref="F73">INDEX(GMW!$A$2:$NF$60,MATCH(1,(GMW!$NE$2:$NE$60=F$3)*(GMW!$ND$2:$ND$60=F$4),0),$D73-1966)</f>
        <v>377573</v>
      </c>
      <c r="G73" s="236" cm="1">
        <f t="array" ref="G73">INDEX(GMW!$A$2:$NF$60,MATCH(1,(GMW!$NE$2:$NE$60=G$3)*(GMW!$ND$2:$ND$60=G$4),0),$D73-1966)</f>
        <v>52.466670000000001</v>
      </c>
      <c r="H73" s="236" cm="1">
        <f t="array" ref="H73">INDEX(GMW!$A$2:$NF$60,MATCH(1,(GMW!$NE$2:$NE$60=H$3)*(GMW!$ND$2:$ND$60=H$4),0),$D73-1966)</f>
        <v>160.64189999999999</v>
      </c>
    </row>
    <row r="74" spans="1:8">
      <c r="A74" s="236">
        <f t="shared" si="2"/>
        <v>1989</v>
      </c>
      <c r="B74" s="236">
        <f t="shared" si="2"/>
        <v>1989</v>
      </c>
      <c r="C74" s="236">
        <f t="shared" si="3"/>
        <v>198904</v>
      </c>
      <c r="D74" s="236">
        <f t="shared" si="4"/>
        <v>2040</v>
      </c>
      <c r="E74" s="236" cm="1">
        <f t="array" ref="E74">INDEX(GMW!$A$2:$NF$60,MATCH(1,(GMW!$NE$2:$NE$60=E$3)*(GMW!$ND$2:$ND$60=E$4),0),$D74-1966)</f>
        <v>57157.5</v>
      </c>
      <c r="F74" s="236" cm="1">
        <f t="array" ref="F74">INDEX(GMW!$A$2:$NF$60,MATCH(1,(GMW!$NE$2:$NE$60=F$3)*(GMW!$ND$2:$ND$60=F$4),0),$D74-1966)</f>
        <v>377508</v>
      </c>
      <c r="G74" s="236" cm="1">
        <f t="array" ref="G74">INDEX(GMW!$A$2:$NF$60,MATCH(1,(GMW!$NE$2:$NE$60=G$3)*(GMW!$ND$2:$ND$60=G$4),0),$D74-1966)</f>
        <v>53.266669999999998</v>
      </c>
      <c r="H74" s="236" cm="1">
        <f t="array" ref="H74">INDEX(GMW!$A$2:$NF$60,MATCH(1,(GMW!$NE$2:$NE$60=H$3)*(GMW!$ND$2:$ND$60=H$4),0),$D74-1966)</f>
        <v>165.39500000000001</v>
      </c>
    </row>
    <row r="75" spans="1:8">
      <c r="A75" s="236">
        <f t="shared" si="2"/>
        <v>1990</v>
      </c>
      <c r="B75" s="236">
        <f t="shared" si="2"/>
        <v>1989</v>
      </c>
      <c r="C75" s="236">
        <f t="shared" si="3"/>
        <v>199001</v>
      </c>
      <c r="D75" s="236">
        <f t="shared" si="4"/>
        <v>2041</v>
      </c>
      <c r="E75" s="236" cm="1">
        <f t="array" ref="E75">INDEX(GMW!$A$2:$NF$60,MATCH(1,(GMW!$NE$2:$NE$60=E$3)*(GMW!$ND$2:$ND$60=E$4),0),$D75-1966)</f>
        <v>57197.75</v>
      </c>
      <c r="F75" s="236" cm="1">
        <f t="array" ref="F75">INDEX(GMW!$A$2:$NF$60,MATCH(1,(GMW!$NE$2:$NE$60=F$3)*(GMW!$ND$2:$ND$60=F$4),0),$D75-1966)</f>
        <v>379458</v>
      </c>
      <c r="G75" s="236" cm="1">
        <f t="array" ref="G75">INDEX(GMW!$A$2:$NF$60,MATCH(1,(GMW!$NE$2:$NE$60=G$3)*(GMW!$ND$2:$ND$60=G$4),0),$D75-1966)</f>
        <v>53.933329999999998</v>
      </c>
      <c r="H75" s="236" cm="1">
        <f t="array" ref="H75">INDEX(GMW!$A$2:$NF$60,MATCH(1,(GMW!$NE$2:$NE$60=H$3)*(GMW!$ND$2:$ND$60=H$4),0),$D75-1966)</f>
        <v>167.1534</v>
      </c>
    </row>
    <row r="76" spans="1:8">
      <c r="A76" s="236">
        <f t="shared" ref="A76:B139" si="5">+A72+1</f>
        <v>1990</v>
      </c>
      <c r="B76" s="236">
        <f t="shared" si="5"/>
        <v>1990</v>
      </c>
      <c r="C76" s="236">
        <f t="shared" ref="C76:C139" si="6">+C72+100</f>
        <v>199002</v>
      </c>
      <c r="D76" s="236">
        <f t="shared" si="4"/>
        <v>2042</v>
      </c>
      <c r="E76" s="236" cm="1">
        <f t="array" ref="E76">INDEX(GMW!$A$2:$NF$60,MATCH(1,(GMW!$NE$2:$NE$60=E$3)*(GMW!$ND$2:$ND$60=E$4),0),$D76-1966)</f>
        <v>57238</v>
      </c>
      <c r="F76" s="236" cm="1">
        <f t="array" ref="F76">INDEX(GMW!$A$2:$NF$60,MATCH(1,(GMW!$NE$2:$NE$60=F$3)*(GMW!$ND$2:$ND$60=F$4),0),$D76-1966)</f>
        <v>381997</v>
      </c>
      <c r="G76" s="236" cm="1">
        <f t="array" ref="G76">INDEX(GMW!$A$2:$NF$60,MATCH(1,(GMW!$NE$2:$NE$60=G$3)*(GMW!$ND$2:$ND$60=G$4),0),$D76-1966)</f>
        <v>55.6</v>
      </c>
      <c r="H76" s="236" cm="1">
        <f t="array" ref="H76">INDEX(GMW!$A$2:$NF$60,MATCH(1,(GMW!$NE$2:$NE$60=H$3)*(GMW!$ND$2:$ND$60=H$4),0),$D76-1966)</f>
        <v>174.4332</v>
      </c>
    </row>
    <row r="77" spans="1:8">
      <c r="A77" s="236">
        <f t="shared" si="5"/>
        <v>1990</v>
      </c>
      <c r="B77" s="236">
        <f t="shared" si="5"/>
        <v>1990</v>
      </c>
      <c r="C77" s="236">
        <f t="shared" si="6"/>
        <v>199003</v>
      </c>
      <c r="D77" s="236">
        <f t="shared" si="4"/>
        <v>2043</v>
      </c>
      <c r="E77" s="236" cm="1">
        <f t="array" ref="E77">INDEX(GMW!$A$2:$NF$60,MATCH(1,(GMW!$NE$2:$NE$60=E$3)*(GMW!$ND$2:$ND$60=E$4),0),$D77-1966)</f>
        <v>57288.25</v>
      </c>
      <c r="F77" s="236" cm="1">
        <f t="array" ref="F77">INDEX(GMW!$A$2:$NF$60,MATCH(1,(GMW!$NE$2:$NE$60=F$3)*(GMW!$ND$2:$ND$60=F$4),0),$D77-1966)</f>
        <v>377831</v>
      </c>
      <c r="G77" s="236" cm="1">
        <f t="array" ref="G77">INDEX(GMW!$A$2:$NF$60,MATCH(1,(GMW!$NE$2:$NE$60=G$3)*(GMW!$ND$2:$ND$60=G$4),0),$D77-1966)</f>
        <v>56.4</v>
      </c>
      <c r="H77" s="236" cm="1">
        <f t="array" ref="H77">INDEX(GMW!$A$2:$NF$60,MATCH(1,(GMW!$NE$2:$NE$60=H$3)*(GMW!$ND$2:$ND$60=H$4),0),$D77-1966)</f>
        <v>181.6447</v>
      </c>
    </row>
    <row r="78" spans="1:8">
      <c r="A78" s="236">
        <f t="shared" si="5"/>
        <v>1990</v>
      </c>
      <c r="B78" s="236">
        <f t="shared" si="5"/>
        <v>1990</v>
      </c>
      <c r="C78" s="236">
        <f t="shared" si="6"/>
        <v>199004</v>
      </c>
      <c r="D78" s="236">
        <f t="shared" si="4"/>
        <v>2044</v>
      </c>
      <c r="E78" s="236" cm="1">
        <f t="array" ref="E78">INDEX(GMW!$A$2:$NF$60,MATCH(1,(GMW!$NE$2:$NE$60=E$3)*(GMW!$ND$2:$ND$60=E$4),0),$D78-1966)</f>
        <v>57338.5</v>
      </c>
      <c r="F78" s="236" cm="1">
        <f t="array" ref="F78">INDEX(GMW!$A$2:$NF$60,MATCH(1,(GMW!$NE$2:$NE$60=F$3)*(GMW!$ND$2:$ND$60=F$4),0),$D78-1966)</f>
        <v>375916</v>
      </c>
      <c r="G78" s="236" cm="1">
        <f t="array" ref="G78">INDEX(GMW!$A$2:$NF$60,MATCH(1,(GMW!$NE$2:$NE$60=G$3)*(GMW!$ND$2:$ND$60=G$4),0),$D78-1966)</f>
        <v>57.466670000000001</v>
      </c>
      <c r="H78" s="236" cm="1">
        <f t="array" ref="H78">INDEX(GMW!$A$2:$NF$60,MATCH(1,(GMW!$NE$2:$NE$60=H$3)*(GMW!$ND$2:$ND$60=H$4),0),$D78-1966)</f>
        <v>185.41390000000001</v>
      </c>
    </row>
    <row r="79" spans="1:8">
      <c r="A79" s="236">
        <f t="shared" si="5"/>
        <v>1991</v>
      </c>
      <c r="B79" s="236">
        <f t="shared" si="5"/>
        <v>1990</v>
      </c>
      <c r="C79" s="236">
        <f t="shared" si="6"/>
        <v>199101</v>
      </c>
      <c r="D79" s="236">
        <f t="shared" si="4"/>
        <v>2045</v>
      </c>
      <c r="E79" s="236" cm="1">
        <f t="array" ref="E79">INDEX(GMW!$A$2:$NF$60,MATCH(1,(GMW!$NE$2:$NE$60=E$3)*(GMW!$ND$2:$ND$60=E$4),0),$D79-1966)</f>
        <v>57388.75</v>
      </c>
      <c r="F79" s="236" cm="1">
        <f t="array" ref="F79">INDEX(GMW!$A$2:$NF$60,MATCH(1,(GMW!$NE$2:$NE$60=F$3)*(GMW!$ND$2:$ND$60=F$4),0),$D79-1966)</f>
        <v>374060</v>
      </c>
      <c r="G79" s="236" cm="1">
        <f t="array" ref="G79">INDEX(GMW!$A$2:$NF$60,MATCH(1,(GMW!$NE$2:$NE$60=G$3)*(GMW!$ND$2:$ND$60=G$4),0),$D79-1966)</f>
        <v>57.666670000000003</v>
      </c>
      <c r="H79" s="236" cm="1">
        <f t="array" ref="H79">INDEX(GMW!$A$2:$NF$60,MATCH(1,(GMW!$NE$2:$NE$60=H$3)*(GMW!$ND$2:$ND$60=H$4),0),$D79-1966)</f>
        <v>187.09540000000001</v>
      </c>
    </row>
    <row r="80" spans="1:8">
      <c r="A80" s="236">
        <f t="shared" si="5"/>
        <v>1991</v>
      </c>
      <c r="B80" s="236">
        <f t="shared" si="5"/>
        <v>1991</v>
      </c>
      <c r="C80" s="236">
        <f t="shared" si="6"/>
        <v>199102</v>
      </c>
      <c r="D80" s="236">
        <f t="shared" si="4"/>
        <v>2046</v>
      </c>
      <c r="E80" s="236" cm="1">
        <f t="array" ref="E80">INDEX(GMW!$A$2:$NF$60,MATCH(1,(GMW!$NE$2:$NE$60=E$3)*(GMW!$ND$2:$ND$60=E$4),0),$D80-1966)</f>
        <v>57439</v>
      </c>
      <c r="F80" s="236" cm="1">
        <f t="array" ref="F80">INDEX(GMW!$A$2:$NF$60,MATCH(1,(GMW!$NE$2:$NE$60=F$3)*(GMW!$ND$2:$ND$60=F$4),0),$D80-1966)</f>
        <v>373608</v>
      </c>
      <c r="G80" s="236" cm="1">
        <f t="array" ref="G80">INDEX(GMW!$A$2:$NF$60,MATCH(1,(GMW!$NE$2:$NE$60=G$3)*(GMW!$ND$2:$ND$60=G$4),0),$D80-1966)</f>
        <v>60.266669999999998</v>
      </c>
      <c r="H80" s="236" cm="1">
        <f t="array" ref="H80">INDEX(GMW!$A$2:$NF$60,MATCH(1,(GMW!$NE$2:$NE$60=H$3)*(GMW!$ND$2:$ND$60=H$4),0),$D80-1966)</f>
        <v>192.89080000000001</v>
      </c>
    </row>
    <row r="81" spans="1:8">
      <c r="A81" s="236">
        <f t="shared" si="5"/>
        <v>1991</v>
      </c>
      <c r="B81" s="236">
        <f t="shared" si="5"/>
        <v>1991</v>
      </c>
      <c r="C81" s="236">
        <f t="shared" si="6"/>
        <v>199103</v>
      </c>
      <c r="D81" s="236">
        <f t="shared" si="4"/>
        <v>2047</v>
      </c>
      <c r="E81" s="236" cm="1">
        <f t="array" ref="E81">INDEX(GMW!$A$2:$NF$60,MATCH(1,(GMW!$NE$2:$NE$60=E$3)*(GMW!$ND$2:$ND$60=E$4),0),$D81-1966)</f>
        <v>57475.5</v>
      </c>
      <c r="F81" s="236" cm="1">
        <f t="array" ref="F81">INDEX(GMW!$A$2:$NF$60,MATCH(1,(GMW!$NE$2:$NE$60=F$3)*(GMW!$ND$2:$ND$60=F$4),0),$D81-1966)</f>
        <v>372878</v>
      </c>
      <c r="G81" s="236" cm="1">
        <f t="array" ref="G81">INDEX(GMW!$A$2:$NF$60,MATCH(1,(GMW!$NE$2:$NE$60=G$3)*(GMW!$ND$2:$ND$60=G$4),0),$D81-1966)</f>
        <v>60.833329999999997</v>
      </c>
      <c r="H81" s="236" cm="1">
        <f t="array" ref="H81">INDEX(GMW!$A$2:$NF$60,MATCH(1,(GMW!$NE$2:$NE$60=H$3)*(GMW!$ND$2:$ND$60=H$4),0),$D81-1966)</f>
        <v>198.7286</v>
      </c>
    </row>
    <row r="82" spans="1:8">
      <c r="A82" s="236">
        <f t="shared" si="5"/>
        <v>1991</v>
      </c>
      <c r="B82" s="236">
        <f t="shared" si="5"/>
        <v>1991</v>
      </c>
      <c r="C82" s="236">
        <f t="shared" si="6"/>
        <v>199104</v>
      </c>
      <c r="D82" s="236">
        <f t="shared" si="4"/>
        <v>2048</v>
      </c>
      <c r="E82" s="236" cm="1">
        <f t="array" ref="E82">INDEX(GMW!$A$2:$NF$60,MATCH(1,(GMW!$NE$2:$NE$60=E$3)*(GMW!$ND$2:$ND$60=E$4),0),$D82-1966)</f>
        <v>57512</v>
      </c>
      <c r="F82" s="236" cm="1">
        <f t="array" ref="F82">INDEX(GMW!$A$2:$NF$60,MATCH(1,(GMW!$NE$2:$NE$60=F$3)*(GMW!$ND$2:$ND$60=F$4),0),$D82-1966)</f>
        <v>373357</v>
      </c>
      <c r="G82" s="236" cm="1">
        <f t="array" ref="G82">INDEX(GMW!$A$2:$NF$60,MATCH(1,(GMW!$NE$2:$NE$60=G$3)*(GMW!$ND$2:$ND$60=G$4),0),$D82-1966)</f>
        <v>61.466670000000001</v>
      </c>
      <c r="H82" s="236" cm="1">
        <f t="array" ref="H82">INDEX(GMW!$A$2:$NF$60,MATCH(1,(GMW!$NE$2:$NE$60=H$3)*(GMW!$ND$2:$ND$60=H$4),0),$D82-1966)</f>
        <v>202.2243</v>
      </c>
    </row>
    <row r="83" spans="1:8">
      <c r="A83" s="236">
        <f t="shared" si="5"/>
        <v>1992</v>
      </c>
      <c r="B83" s="236">
        <f t="shared" si="5"/>
        <v>1991</v>
      </c>
      <c r="C83" s="236">
        <f t="shared" si="6"/>
        <v>199201</v>
      </c>
      <c r="D83" s="236">
        <f t="shared" si="4"/>
        <v>2049</v>
      </c>
      <c r="E83" s="236" cm="1">
        <f t="array" ref="E83">INDEX(GMW!$A$2:$NF$60,MATCH(1,(GMW!$NE$2:$NE$60=E$3)*(GMW!$ND$2:$ND$60=E$4),0),$D83-1966)</f>
        <v>57548.5</v>
      </c>
      <c r="F83" s="236" cm="1">
        <f t="array" ref="F83">INDEX(GMW!$A$2:$NF$60,MATCH(1,(GMW!$NE$2:$NE$60=F$3)*(GMW!$ND$2:$ND$60=F$4),0),$D83-1966)</f>
        <v>373317</v>
      </c>
      <c r="G83" s="236" cm="1">
        <f t="array" ref="G83">INDEX(GMW!$A$2:$NF$60,MATCH(1,(GMW!$NE$2:$NE$60=G$3)*(GMW!$ND$2:$ND$60=G$4),0),$D83-1966)</f>
        <v>61.7</v>
      </c>
      <c r="H83" s="236" cm="1">
        <f t="array" ref="H83">INDEX(GMW!$A$2:$NF$60,MATCH(1,(GMW!$NE$2:$NE$60=H$3)*(GMW!$ND$2:$ND$60=H$4),0),$D83-1966)</f>
        <v>203.99180000000001</v>
      </c>
    </row>
    <row r="84" spans="1:8">
      <c r="A84" s="236">
        <f t="shared" si="5"/>
        <v>1992</v>
      </c>
      <c r="B84" s="236">
        <f t="shared" si="5"/>
        <v>1992</v>
      </c>
      <c r="C84" s="236">
        <f t="shared" si="6"/>
        <v>199202</v>
      </c>
      <c r="D84" s="236">
        <f t="shared" si="4"/>
        <v>2050</v>
      </c>
      <c r="E84" s="236" cm="1">
        <f t="array" ref="E84">INDEX(GMW!$A$2:$NF$60,MATCH(1,(GMW!$NE$2:$NE$60=E$3)*(GMW!$ND$2:$ND$60=E$4),0),$D84-1966)</f>
        <v>57585</v>
      </c>
      <c r="F84" s="236" cm="1">
        <f t="array" ref="F84">INDEX(GMW!$A$2:$NF$60,MATCH(1,(GMW!$NE$2:$NE$60=F$3)*(GMW!$ND$2:$ND$60=F$4),0),$D84-1966)</f>
        <v>372751</v>
      </c>
      <c r="G84" s="236" cm="1">
        <f t="array" ref="G84">INDEX(GMW!$A$2:$NF$60,MATCH(1,(GMW!$NE$2:$NE$60=G$3)*(GMW!$ND$2:$ND$60=G$4),0),$D84-1966)</f>
        <v>62.833329999999997</v>
      </c>
      <c r="H84" s="236" cm="1">
        <f t="array" ref="H84">INDEX(GMW!$A$2:$NF$60,MATCH(1,(GMW!$NE$2:$NE$60=H$3)*(GMW!$ND$2:$ND$60=H$4),0),$D84-1966)</f>
        <v>209.3937</v>
      </c>
    </row>
    <row r="85" spans="1:8">
      <c r="A85" s="236">
        <f t="shared" si="5"/>
        <v>1992</v>
      </c>
      <c r="B85" s="236">
        <f t="shared" si="5"/>
        <v>1992</v>
      </c>
      <c r="C85" s="236">
        <f t="shared" si="6"/>
        <v>199203</v>
      </c>
      <c r="D85" s="236">
        <f t="shared" si="4"/>
        <v>2051</v>
      </c>
      <c r="E85" s="236" cm="1">
        <f t="array" ref="E85">INDEX(GMW!$A$2:$NF$60,MATCH(1,(GMW!$NE$2:$NE$60=E$3)*(GMW!$ND$2:$ND$60=E$4),0),$D85-1966)</f>
        <v>57617.25</v>
      </c>
      <c r="F85" s="236" cm="1">
        <f t="array" ref="F85">INDEX(GMW!$A$2:$NF$60,MATCH(1,(GMW!$NE$2:$NE$60=F$3)*(GMW!$ND$2:$ND$60=F$4),0),$D85-1966)</f>
        <v>374537</v>
      </c>
      <c r="G85" s="236" cm="1">
        <f t="array" ref="G85">INDEX(GMW!$A$2:$NF$60,MATCH(1,(GMW!$NE$2:$NE$60=G$3)*(GMW!$ND$2:$ND$60=G$4),0),$D85-1966)</f>
        <v>62.733330000000002</v>
      </c>
      <c r="H85" s="236" cm="1">
        <f t="array" ref="H85">INDEX(GMW!$A$2:$NF$60,MATCH(1,(GMW!$NE$2:$NE$60=H$3)*(GMW!$ND$2:$ND$60=H$4),0),$D85-1966)</f>
        <v>213.14080000000001</v>
      </c>
    </row>
    <row r="86" spans="1:8">
      <c r="A86" s="236">
        <f t="shared" si="5"/>
        <v>1992</v>
      </c>
      <c r="B86" s="236">
        <f t="shared" si="5"/>
        <v>1992</v>
      </c>
      <c r="C86" s="236">
        <f t="shared" si="6"/>
        <v>199204</v>
      </c>
      <c r="D86" s="236">
        <f t="shared" si="4"/>
        <v>2052</v>
      </c>
      <c r="E86" s="236" cm="1">
        <f t="array" ref="E86">INDEX(GMW!$A$2:$NF$60,MATCH(1,(GMW!$NE$2:$NE$60=E$3)*(GMW!$ND$2:$ND$60=E$4),0),$D86-1966)</f>
        <v>57649.5</v>
      </c>
      <c r="F86" s="236" cm="1">
        <f t="array" ref="F86">INDEX(GMW!$A$2:$NF$60,MATCH(1,(GMW!$NE$2:$NE$60=F$3)*(GMW!$ND$2:$ND$60=F$4),0),$D86-1966)</f>
        <v>377418</v>
      </c>
      <c r="G86" s="236" cm="1">
        <f t="array" ref="G86">INDEX(GMW!$A$2:$NF$60,MATCH(1,(GMW!$NE$2:$NE$60=G$3)*(GMW!$ND$2:$ND$60=G$4),0),$D86-1966)</f>
        <v>63.133339999999997</v>
      </c>
      <c r="H86" s="236" cm="1">
        <f t="array" ref="H86">INDEX(GMW!$A$2:$NF$60,MATCH(1,(GMW!$NE$2:$NE$60=H$3)*(GMW!$ND$2:$ND$60=H$4),0),$D86-1966)</f>
        <v>215.0164</v>
      </c>
    </row>
    <row r="87" spans="1:8">
      <c r="A87" s="236">
        <f t="shared" si="5"/>
        <v>1993</v>
      </c>
      <c r="B87" s="236">
        <f t="shared" si="5"/>
        <v>1992</v>
      </c>
      <c r="C87" s="236">
        <f t="shared" si="6"/>
        <v>199301</v>
      </c>
      <c r="D87" s="236">
        <f t="shared" si="4"/>
        <v>2053</v>
      </c>
      <c r="E87" s="236" cm="1">
        <f t="array" ref="E87">INDEX(GMW!$A$2:$NF$60,MATCH(1,(GMW!$NE$2:$NE$60=E$3)*(GMW!$ND$2:$ND$60=E$4),0),$D87-1966)</f>
        <v>57681.75</v>
      </c>
      <c r="F87" s="236" cm="1">
        <f t="array" ref="F87">INDEX(GMW!$A$2:$NF$60,MATCH(1,(GMW!$NE$2:$NE$60=F$3)*(GMW!$ND$2:$ND$60=F$4),0),$D87-1966)</f>
        <v>379370</v>
      </c>
      <c r="G87" s="236" cm="1">
        <f t="array" ref="G87">INDEX(GMW!$A$2:$NF$60,MATCH(1,(GMW!$NE$2:$NE$60=G$3)*(GMW!$ND$2:$ND$60=G$4),0),$D87-1966)</f>
        <v>63.2</v>
      </c>
      <c r="H87" s="236" cm="1">
        <f t="array" ref="H87">INDEX(GMW!$A$2:$NF$60,MATCH(1,(GMW!$NE$2:$NE$60=H$3)*(GMW!$ND$2:$ND$60=H$4),0),$D87-1966)</f>
        <v>213.95429999999999</v>
      </c>
    </row>
    <row r="88" spans="1:8">
      <c r="A88" s="236">
        <f t="shared" si="5"/>
        <v>1993</v>
      </c>
      <c r="B88" s="236">
        <f t="shared" si="5"/>
        <v>1993</v>
      </c>
      <c r="C88" s="236">
        <f t="shared" si="6"/>
        <v>199302</v>
      </c>
      <c r="D88" s="236">
        <f t="shared" si="4"/>
        <v>2054</v>
      </c>
      <c r="E88" s="236" cm="1">
        <f t="array" ref="E88">INDEX(GMW!$A$2:$NF$60,MATCH(1,(GMW!$NE$2:$NE$60=E$3)*(GMW!$ND$2:$ND$60=E$4),0),$D88-1966)</f>
        <v>57714</v>
      </c>
      <c r="F88" s="236" cm="1">
        <f t="array" ref="F88">INDEX(GMW!$A$2:$NF$60,MATCH(1,(GMW!$NE$2:$NE$60=F$3)*(GMW!$ND$2:$ND$60=F$4),0),$D88-1966)</f>
        <v>381045</v>
      </c>
      <c r="G88" s="236" cm="1">
        <f t="array" ref="G88">INDEX(GMW!$A$2:$NF$60,MATCH(1,(GMW!$NE$2:$NE$60=G$3)*(GMW!$ND$2:$ND$60=G$4),0),$D88-1966)</f>
        <v>64.433329999999998</v>
      </c>
      <c r="H88" s="236" cm="1">
        <f t="array" ref="H88">INDEX(GMW!$A$2:$NF$60,MATCH(1,(GMW!$NE$2:$NE$60=H$3)*(GMW!$ND$2:$ND$60=H$4),0),$D88-1966)</f>
        <v>217.78450000000001</v>
      </c>
    </row>
    <row r="89" spans="1:8">
      <c r="A89" s="236">
        <f t="shared" si="5"/>
        <v>1993</v>
      </c>
      <c r="B89" s="236">
        <f t="shared" si="5"/>
        <v>1993</v>
      </c>
      <c r="C89" s="236">
        <f t="shared" si="6"/>
        <v>199303</v>
      </c>
      <c r="D89" s="236">
        <f t="shared" si="4"/>
        <v>2055</v>
      </c>
      <c r="E89" s="236" cm="1">
        <f t="array" ref="E89">INDEX(GMW!$A$2:$NF$60,MATCH(1,(GMW!$NE$2:$NE$60=E$3)*(GMW!$ND$2:$ND$60=E$4),0),$D89-1966)</f>
        <v>57751</v>
      </c>
      <c r="F89" s="236" cm="1">
        <f t="array" ref="F89">INDEX(GMW!$A$2:$NF$60,MATCH(1,(GMW!$NE$2:$NE$60=F$3)*(GMW!$ND$2:$ND$60=F$4),0),$D89-1966)</f>
        <v>384524</v>
      </c>
      <c r="G89" s="236" cm="1">
        <f t="array" ref="G89">INDEX(GMW!$A$2:$NF$60,MATCH(1,(GMW!$NE$2:$NE$60=G$3)*(GMW!$ND$2:$ND$60=G$4),0),$D89-1966)</f>
        <v>64.5</v>
      </c>
      <c r="H89" s="236" cm="1">
        <f t="array" ref="H89">INDEX(GMW!$A$2:$NF$60,MATCH(1,(GMW!$NE$2:$NE$60=H$3)*(GMW!$ND$2:$ND$60=H$4),0),$D89-1966)</f>
        <v>221.5908</v>
      </c>
    </row>
    <row r="90" spans="1:8">
      <c r="A90" s="236">
        <f t="shared" si="5"/>
        <v>1993</v>
      </c>
      <c r="B90" s="236">
        <f t="shared" si="5"/>
        <v>1993</v>
      </c>
      <c r="C90" s="236">
        <f t="shared" si="6"/>
        <v>199304</v>
      </c>
      <c r="D90" s="236">
        <f t="shared" si="4"/>
        <v>2056</v>
      </c>
      <c r="E90" s="236" cm="1">
        <f t="array" ref="E90">INDEX(GMW!$A$2:$NF$60,MATCH(1,(GMW!$NE$2:$NE$60=E$3)*(GMW!$ND$2:$ND$60=E$4),0),$D90-1966)</f>
        <v>57788</v>
      </c>
      <c r="F90" s="236" cm="1">
        <f t="array" ref="F90">INDEX(GMW!$A$2:$NF$60,MATCH(1,(GMW!$NE$2:$NE$60=F$3)*(GMW!$ND$2:$ND$60=F$4),0),$D90-1966)</f>
        <v>387143</v>
      </c>
      <c r="G90" s="236" cm="1">
        <f t="array" ref="G90">INDEX(GMW!$A$2:$NF$60,MATCH(1,(GMW!$NE$2:$NE$60=G$3)*(GMW!$ND$2:$ND$60=G$4),0),$D90-1966)</f>
        <v>64.666659999999993</v>
      </c>
      <c r="H90" s="236" cm="1">
        <f t="array" ref="H90">INDEX(GMW!$A$2:$NF$60,MATCH(1,(GMW!$NE$2:$NE$60=H$3)*(GMW!$ND$2:$ND$60=H$4),0),$D90-1966)</f>
        <v>222.90620000000001</v>
      </c>
    </row>
    <row r="91" spans="1:8">
      <c r="A91" s="236">
        <f t="shared" si="5"/>
        <v>1994</v>
      </c>
      <c r="B91" s="236">
        <f t="shared" si="5"/>
        <v>1993</v>
      </c>
      <c r="C91" s="236">
        <f t="shared" si="6"/>
        <v>199401</v>
      </c>
      <c r="D91" s="236">
        <f t="shared" si="4"/>
        <v>2057</v>
      </c>
      <c r="E91" s="236" cm="1">
        <f t="array" ref="E91">INDEX(GMW!$A$2:$NF$60,MATCH(1,(GMW!$NE$2:$NE$60=E$3)*(GMW!$ND$2:$ND$60=E$4),0),$D91-1966)</f>
        <v>57825</v>
      </c>
      <c r="F91" s="236" cm="1">
        <f t="array" ref="F91">INDEX(GMW!$A$2:$NF$60,MATCH(1,(GMW!$NE$2:$NE$60=F$3)*(GMW!$ND$2:$ND$60=F$4),0),$D91-1966)</f>
        <v>391026</v>
      </c>
      <c r="G91" s="236" cm="1">
        <f t="array" ref="G91">INDEX(GMW!$A$2:$NF$60,MATCH(1,(GMW!$NE$2:$NE$60=G$3)*(GMW!$ND$2:$ND$60=G$4),0),$D91-1966)</f>
        <v>64.766670000000005</v>
      </c>
      <c r="H91" s="236" cm="1">
        <f t="array" ref="H91">INDEX(GMW!$A$2:$NF$60,MATCH(1,(GMW!$NE$2:$NE$60=H$3)*(GMW!$ND$2:$ND$60=H$4),0),$D91-1966)</f>
        <v>222.8023</v>
      </c>
    </row>
    <row r="92" spans="1:8">
      <c r="A92" s="236">
        <f t="shared" si="5"/>
        <v>1994</v>
      </c>
      <c r="B92" s="236">
        <f t="shared" si="5"/>
        <v>1994</v>
      </c>
      <c r="C92" s="236">
        <f t="shared" si="6"/>
        <v>199402</v>
      </c>
      <c r="D92" s="236">
        <f t="shared" si="4"/>
        <v>2058</v>
      </c>
      <c r="E92" s="236" cm="1">
        <f t="array" ref="E92">INDEX(GMW!$A$2:$NF$60,MATCH(1,(GMW!$NE$2:$NE$60=E$3)*(GMW!$ND$2:$ND$60=E$4),0),$D92-1966)</f>
        <v>57862</v>
      </c>
      <c r="F92" s="236" cm="1">
        <f t="array" ref="F92">INDEX(GMW!$A$2:$NF$60,MATCH(1,(GMW!$NE$2:$NE$60=F$3)*(GMW!$ND$2:$ND$60=F$4),0),$D92-1966)</f>
        <v>394588</v>
      </c>
      <c r="G92" s="236" cm="1">
        <f t="array" ref="G92">INDEX(GMW!$A$2:$NF$60,MATCH(1,(GMW!$NE$2:$NE$60=G$3)*(GMW!$ND$2:$ND$60=G$4),0),$D92-1966)</f>
        <v>65.7</v>
      </c>
      <c r="H92" s="236" cm="1">
        <f t="array" ref="H92">INDEX(GMW!$A$2:$NF$60,MATCH(1,(GMW!$NE$2:$NE$60=H$3)*(GMW!$ND$2:$ND$60=H$4),0),$D92-1966)</f>
        <v>227.5204</v>
      </c>
    </row>
    <row r="93" spans="1:8">
      <c r="A93" s="236">
        <f t="shared" si="5"/>
        <v>1994</v>
      </c>
      <c r="B93" s="236">
        <f t="shared" si="5"/>
        <v>1994</v>
      </c>
      <c r="C93" s="236">
        <f t="shared" si="6"/>
        <v>199403</v>
      </c>
      <c r="D93" s="236">
        <f t="shared" si="4"/>
        <v>2059</v>
      </c>
      <c r="E93" s="236" cm="1">
        <f t="array" ref="E93">INDEX(GMW!$A$2:$NF$60,MATCH(1,(GMW!$NE$2:$NE$60=E$3)*(GMW!$ND$2:$ND$60=E$4),0),$D93-1966)</f>
        <v>57902.75</v>
      </c>
      <c r="F93" s="236" cm="1">
        <f t="array" ref="F93">INDEX(GMW!$A$2:$NF$60,MATCH(1,(GMW!$NE$2:$NE$60=F$3)*(GMW!$ND$2:$ND$60=F$4),0),$D93-1966)</f>
        <v>398566</v>
      </c>
      <c r="G93" s="236" cm="1">
        <f t="array" ref="G93">INDEX(GMW!$A$2:$NF$60,MATCH(1,(GMW!$NE$2:$NE$60=G$3)*(GMW!$ND$2:$ND$60=G$4),0),$D93-1966)</f>
        <v>65.633330000000001</v>
      </c>
      <c r="H93" s="236" cm="1">
        <f t="array" ref="H93">INDEX(GMW!$A$2:$NF$60,MATCH(1,(GMW!$NE$2:$NE$60=H$3)*(GMW!$ND$2:$ND$60=H$4),0),$D93-1966)</f>
        <v>232.0582</v>
      </c>
    </row>
    <row r="94" spans="1:8">
      <c r="A94" s="236">
        <f t="shared" si="5"/>
        <v>1994</v>
      </c>
      <c r="B94" s="236">
        <f t="shared" si="5"/>
        <v>1994</v>
      </c>
      <c r="C94" s="236">
        <f t="shared" si="6"/>
        <v>199404</v>
      </c>
      <c r="D94" s="236">
        <f t="shared" si="4"/>
        <v>2060</v>
      </c>
      <c r="E94" s="236" cm="1">
        <f t="array" ref="E94">INDEX(GMW!$A$2:$NF$60,MATCH(1,(GMW!$NE$2:$NE$60=E$3)*(GMW!$ND$2:$ND$60=E$4),0),$D94-1966)</f>
        <v>57943.5</v>
      </c>
      <c r="F94" s="236" cm="1">
        <f t="array" ref="F94">INDEX(GMW!$A$2:$NF$60,MATCH(1,(GMW!$NE$2:$NE$60=F$3)*(GMW!$ND$2:$ND$60=F$4),0),$D94-1966)</f>
        <v>400279</v>
      </c>
      <c r="G94" s="236" cm="1">
        <f t="array" ref="G94">INDEX(GMW!$A$2:$NF$60,MATCH(1,(GMW!$NE$2:$NE$60=G$3)*(GMW!$ND$2:$ND$60=G$4),0),$D94-1966)</f>
        <v>65.8</v>
      </c>
      <c r="H94" s="236" cm="1">
        <f t="array" ref="H94">INDEX(GMW!$A$2:$NF$60,MATCH(1,(GMW!$NE$2:$NE$60=H$3)*(GMW!$ND$2:$ND$60=H$4),0),$D94-1966)</f>
        <v>233.2474</v>
      </c>
    </row>
    <row r="95" spans="1:8">
      <c r="A95" s="236">
        <f t="shared" si="5"/>
        <v>1995</v>
      </c>
      <c r="B95" s="236">
        <f t="shared" si="5"/>
        <v>1994</v>
      </c>
      <c r="C95" s="236">
        <f t="shared" si="6"/>
        <v>199501</v>
      </c>
      <c r="D95" s="236">
        <f t="shared" si="4"/>
        <v>2061</v>
      </c>
      <c r="E95" s="236" cm="1">
        <f t="array" ref="E95">INDEX(GMW!$A$2:$NF$60,MATCH(1,(GMW!$NE$2:$NE$60=E$3)*(GMW!$ND$2:$ND$60=E$4),0),$D95-1966)</f>
        <v>57984.25</v>
      </c>
      <c r="F95" s="236" cm="1">
        <f t="array" ref="F95">INDEX(GMW!$A$2:$NF$60,MATCH(1,(GMW!$NE$2:$NE$60=F$3)*(GMW!$ND$2:$ND$60=F$4),0),$D95-1966)</f>
        <v>402390</v>
      </c>
      <c r="G95" s="236" cm="1">
        <f t="array" ref="G95">INDEX(GMW!$A$2:$NF$60,MATCH(1,(GMW!$NE$2:$NE$60=G$3)*(GMW!$ND$2:$ND$60=G$4),0),$D95-1966)</f>
        <v>66.333340000000007</v>
      </c>
      <c r="H95" s="236" cm="1">
        <f t="array" ref="H95">INDEX(GMW!$A$2:$NF$60,MATCH(1,(GMW!$NE$2:$NE$60=H$3)*(GMW!$ND$2:$ND$60=H$4),0),$D95-1966)</f>
        <v>232.66929999999999</v>
      </c>
    </row>
    <row r="96" spans="1:8">
      <c r="A96" s="236">
        <f t="shared" si="5"/>
        <v>1995</v>
      </c>
      <c r="B96" s="236">
        <f t="shared" si="5"/>
        <v>1995</v>
      </c>
      <c r="C96" s="236">
        <f t="shared" si="6"/>
        <v>199502</v>
      </c>
      <c r="D96" s="236">
        <f t="shared" si="4"/>
        <v>2062</v>
      </c>
      <c r="E96" s="236" cm="1">
        <f t="array" ref="E96">INDEX(GMW!$A$2:$NF$60,MATCH(1,(GMW!$NE$2:$NE$60=E$3)*(GMW!$ND$2:$ND$60=E$4),0),$D96-1966)</f>
        <v>58025</v>
      </c>
      <c r="F96" s="236" cm="1">
        <f t="array" ref="F96">INDEX(GMW!$A$2:$NF$60,MATCH(1,(GMW!$NE$2:$NE$60=F$3)*(GMW!$ND$2:$ND$60=F$4),0),$D96-1966)</f>
        <v>403259</v>
      </c>
      <c r="G96" s="236" cm="1">
        <f t="array" ref="G96">INDEX(GMW!$A$2:$NF$60,MATCH(1,(GMW!$NE$2:$NE$60=G$3)*(GMW!$ND$2:$ND$60=G$4),0),$D96-1966)</f>
        <v>67.266670000000005</v>
      </c>
      <c r="H96" s="236" cm="1">
        <f t="array" ref="H96">INDEX(GMW!$A$2:$NF$60,MATCH(1,(GMW!$NE$2:$NE$60=H$3)*(GMW!$ND$2:$ND$60=H$4),0),$D96-1966)</f>
        <v>237.69069999999999</v>
      </c>
    </row>
    <row r="97" spans="1:8">
      <c r="A97" s="236">
        <f t="shared" si="5"/>
        <v>1995</v>
      </c>
      <c r="B97" s="236">
        <f t="shared" si="5"/>
        <v>1995</v>
      </c>
      <c r="C97" s="236">
        <f t="shared" si="6"/>
        <v>199503</v>
      </c>
      <c r="D97" s="236">
        <f t="shared" si="4"/>
        <v>2063</v>
      </c>
      <c r="E97" s="236" cm="1">
        <f t="array" ref="E97">INDEX(GMW!$A$2:$NF$60,MATCH(1,(GMW!$NE$2:$NE$60=E$3)*(GMW!$ND$2:$ND$60=E$4),0),$D97-1966)</f>
        <v>58059.75</v>
      </c>
      <c r="F97" s="236" cm="1">
        <f t="array" ref="F97">INDEX(GMW!$A$2:$NF$60,MATCH(1,(GMW!$NE$2:$NE$60=F$3)*(GMW!$ND$2:$ND$60=F$4),0),$D97-1966)</f>
        <v>407795</v>
      </c>
      <c r="G97" s="236" cm="1">
        <f t="array" ref="G97">INDEX(GMW!$A$2:$NF$60,MATCH(1,(GMW!$NE$2:$NE$60=G$3)*(GMW!$ND$2:$ND$60=G$4),0),$D97-1966)</f>
        <v>67.400000000000006</v>
      </c>
      <c r="H97" s="236" cm="1">
        <f t="array" ref="H97">INDEX(GMW!$A$2:$NF$60,MATCH(1,(GMW!$NE$2:$NE$60=H$3)*(GMW!$ND$2:$ND$60=H$4),0),$D97-1966)</f>
        <v>240.27940000000001</v>
      </c>
    </row>
    <row r="98" spans="1:8">
      <c r="A98" s="236">
        <f t="shared" si="5"/>
        <v>1995</v>
      </c>
      <c r="B98" s="236">
        <f t="shared" si="5"/>
        <v>1995</v>
      </c>
      <c r="C98" s="236">
        <f t="shared" si="6"/>
        <v>199504</v>
      </c>
      <c r="D98" s="236">
        <f t="shared" si="4"/>
        <v>2064</v>
      </c>
      <c r="E98" s="236" cm="1">
        <f t="array" ref="E98">INDEX(GMW!$A$2:$NF$60,MATCH(1,(GMW!$NE$2:$NE$60=E$3)*(GMW!$ND$2:$ND$60=E$4),0),$D98-1966)</f>
        <v>58094.5</v>
      </c>
      <c r="F98" s="236" cm="1">
        <f t="array" ref="F98">INDEX(GMW!$A$2:$NF$60,MATCH(1,(GMW!$NE$2:$NE$60=F$3)*(GMW!$ND$2:$ND$60=F$4),0),$D98-1966)</f>
        <v>409132</v>
      </c>
      <c r="G98" s="236" cm="1">
        <f t="array" ref="G98">INDEX(GMW!$A$2:$NF$60,MATCH(1,(GMW!$NE$2:$NE$60=G$3)*(GMW!$ND$2:$ND$60=G$4),0),$D98-1966)</f>
        <v>67.733329999999995</v>
      </c>
      <c r="H98" s="236" cm="1">
        <f t="array" ref="H98">INDEX(GMW!$A$2:$NF$60,MATCH(1,(GMW!$NE$2:$NE$60=H$3)*(GMW!$ND$2:$ND$60=H$4),0),$D98-1966)</f>
        <v>241.90459999999999</v>
      </c>
    </row>
    <row r="99" spans="1:8">
      <c r="A99" s="236">
        <f t="shared" si="5"/>
        <v>1996</v>
      </c>
      <c r="B99" s="236">
        <f t="shared" si="5"/>
        <v>1995</v>
      </c>
      <c r="C99" s="236">
        <f t="shared" si="6"/>
        <v>199601</v>
      </c>
      <c r="D99" s="236">
        <f t="shared" si="4"/>
        <v>2065</v>
      </c>
      <c r="E99" s="236" cm="1">
        <f t="array" ref="E99">INDEX(GMW!$A$2:$NF$60,MATCH(1,(GMW!$NE$2:$NE$60=E$3)*(GMW!$ND$2:$ND$60=E$4),0),$D99-1966)</f>
        <v>58129.25</v>
      </c>
      <c r="F99" s="236" cm="1">
        <f t="array" ref="F99">INDEX(GMW!$A$2:$NF$60,MATCH(1,(GMW!$NE$2:$NE$60=F$3)*(GMW!$ND$2:$ND$60=F$4),0),$D99-1966)</f>
        <v>412022</v>
      </c>
      <c r="G99" s="236" cm="1">
        <f t="array" ref="G99">INDEX(GMW!$A$2:$NF$60,MATCH(1,(GMW!$NE$2:$NE$60=G$3)*(GMW!$ND$2:$ND$60=G$4),0),$D99-1966)</f>
        <v>68.099999999999994</v>
      </c>
      <c r="H99" s="236" cm="1">
        <f t="array" ref="H99">INDEX(GMW!$A$2:$NF$60,MATCH(1,(GMW!$NE$2:$NE$60=H$3)*(GMW!$ND$2:$ND$60=H$4),0),$D99-1966)</f>
        <v>241.40309999999999</v>
      </c>
    </row>
    <row r="100" spans="1:8">
      <c r="A100" s="236">
        <f t="shared" si="5"/>
        <v>1996</v>
      </c>
      <c r="B100" s="236">
        <f t="shared" si="5"/>
        <v>1996</v>
      </c>
      <c r="C100" s="236">
        <f t="shared" si="6"/>
        <v>199602</v>
      </c>
      <c r="D100" s="236">
        <f t="shared" si="4"/>
        <v>2066</v>
      </c>
      <c r="E100" s="236" cm="1">
        <f t="array" ref="E100">INDEX(GMW!$A$2:$NF$60,MATCH(1,(GMW!$NE$2:$NE$60=E$3)*(GMW!$ND$2:$ND$60=E$4),0),$D100-1966)</f>
        <v>58164</v>
      </c>
      <c r="F100" s="236" cm="1">
        <f t="array" ref="F100">INDEX(GMW!$A$2:$NF$60,MATCH(1,(GMW!$NE$2:$NE$60=F$3)*(GMW!$ND$2:$ND$60=F$4),0),$D100-1966)</f>
        <v>413325</v>
      </c>
      <c r="G100" s="236" cm="1">
        <f t="array" ref="G100">INDEX(GMW!$A$2:$NF$60,MATCH(1,(GMW!$NE$2:$NE$60=G$3)*(GMW!$ND$2:$ND$60=G$4),0),$D100-1966)</f>
        <v>68.866669999999999</v>
      </c>
      <c r="H100" s="236" cm="1">
        <f t="array" ref="H100">INDEX(GMW!$A$2:$NF$60,MATCH(1,(GMW!$NE$2:$NE$60=H$3)*(GMW!$ND$2:$ND$60=H$4),0),$D100-1966)</f>
        <v>247.31559999999999</v>
      </c>
    </row>
    <row r="101" spans="1:8">
      <c r="A101" s="236">
        <f t="shared" si="5"/>
        <v>1996</v>
      </c>
      <c r="B101" s="236">
        <f t="shared" si="5"/>
        <v>1996</v>
      </c>
      <c r="C101" s="236">
        <f t="shared" si="6"/>
        <v>199603</v>
      </c>
      <c r="D101" s="236">
        <f t="shared" si="4"/>
        <v>2067</v>
      </c>
      <c r="E101" s="236" cm="1">
        <f t="array" ref="E101">INDEX(GMW!$A$2:$NF$60,MATCH(1,(GMW!$NE$2:$NE$60=E$3)*(GMW!$ND$2:$ND$60=E$4),0),$D101-1966)</f>
        <v>58201.5</v>
      </c>
      <c r="F101" s="236" cm="1">
        <f t="array" ref="F101">INDEX(GMW!$A$2:$NF$60,MATCH(1,(GMW!$NE$2:$NE$60=F$3)*(GMW!$ND$2:$ND$60=F$4),0),$D101-1966)</f>
        <v>417019</v>
      </c>
      <c r="G101" s="236" cm="1">
        <f t="array" ref="G101">INDEX(GMW!$A$2:$NF$60,MATCH(1,(GMW!$NE$2:$NE$60=G$3)*(GMW!$ND$2:$ND$60=G$4),0),$D101-1966)</f>
        <v>68.933329999999998</v>
      </c>
      <c r="H101" s="236" cm="1">
        <f t="array" ref="H101">INDEX(GMW!$A$2:$NF$60,MATCH(1,(GMW!$NE$2:$NE$60=H$3)*(GMW!$ND$2:$ND$60=H$4),0),$D101-1966)</f>
        <v>251.52930000000001</v>
      </c>
    </row>
    <row r="102" spans="1:8">
      <c r="A102" s="236">
        <f t="shared" si="5"/>
        <v>1996</v>
      </c>
      <c r="B102" s="236">
        <f t="shared" si="5"/>
        <v>1996</v>
      </c>
      <c r="C102" s="236">
        <f t="shared" si="6"/>
        <v>199604</v>
      </c>
      <c r="D102" s="236">
        <f t="shared" si="4"/>
        <v>2068</v>
      </c>
      <c r="E102" s="236" cm="1">
        <f t="array" ref="E102">INDEX(GMW!$A$2:$NF$60,MATCH(1,(GMW!$NE$2:$NE$60=E$3)*(GMW!$ND$2:$ND$60=E$4),0),$D102-1966)</f>
        <v>58239</v>
      </c>
      <c r="F102" s="236" cm="1">
        <f t="array" ref="F102">INDEX(GMW!$A$2:$NF$60,MATCH(1,(GMW!$NE$2:$NE$60=F$3)*(GMW!$ND$2:$ND$60=F$4),0),$D102-1966)</f>
        <v>422639</v>
      </c>
      <c r="G102" s="236" cm="1">
        <f t="array" ref="G102">INDEX(GMW!$A$2:$NF$60,MATCH(1,(GMW!$NE$2:$NE$60=G$3)*(GMW!$ND$2:$ND$60=G$4),0),$D102-1966)</f>
        <v>69.366669999999999</v>
      </c>
      <c r="H102" s="236" cm="1">
        <f t="array" ref="H102">INDEX(GMW!$A$2:$NF$60,MATCH(1,(GMW!$NE$2:$NE$60=H$3)*(GMW!$ND$2:$ND$60=H$4),0),$D102-1966)</f>
        <v>253.94390000000001</v>
      </c>
    </row>
    <row r="103" spans="1:8">
      <c r="A103" s="236">
        <f t="shared" si="5"/>
        <v>1997</v>
      </c>
      <c r="B103" s="236">
        <f t="shared" si="5"/>
        <v>1996</v>
      </c>
      <c r="C103" s="236">
        <f t="shared" si="6"/>
        <v>199701</v>
      </c>
      <c r="D103" s="236">
        <f t="shared" si="4"/>
        <v>2069</v>
      </c>
      <c r="E103" s="236" cm="1">
        <f t="array" ref="E103">INDEX(GMW!$A$2:$NF$60,MATCH(1,(GMW!$NE$2:$NE$60=E$3)*(GMW!$ND$2:$ND$60=E$4),0),$D103-1966)</f>
        <v>58276.5</v>
      </c>
      <c r="F103" s="236" cm="1">
        <f t="array" ref="F103">INDEX(GMW!$A$2:$NF$60,MATCH(1,(GMW!$NE$2:$NE$60=F$3)*(GMW!$ND$2:$ND$60=F$4),0),$D103-1966)</f>
        <v>429418</v>
      </c>
      <c r="G103" s="236" cm="1">
        <f t="array" ref="G103">INDEX(GMW!$A$2:$NF$60,MATCH(1,(GMW!$NE$2:$NE$60=G$3)*(GMW!$ND$2:$ND$60=G$4),0),$D103-1966)</f>
        <v>69.366669999999999</v>
      </c>
      <c r="H103" s="236" cm="1">
        <f t="array" ref="H103">INDEX(GMW!$A$2:$NF$60,MATCH(1,(GMW!$NE$2:$NE$60=H$3)*(GMW!$ND$2:$ND$60=H$4),0),$D103-1966)</f>
        <v>253.93029999999999</v>
      </c>
    </row>
    <row r="104" spans="1:8">
      <c r="A104" s="236">
        <f t="shared" si="5"/>
        <v>1997</v>
      </c>
      <c r="B104" s="236">
        <f t="shared" si="5"/>
        <v>1997</v>
      </c>
      <c r="C104" s="236">
        <f t="shared" si="6"/>
        <v>199702</v>
      </c>
      <c r="D104" s="236">
        <f t="shared" si="4"/>
        <v>2070</v>
      </c>
      <c r="E104" s="236" cm="1">
        <f t="array" ref="E104">INDEX(GMW!$A$2:$NF$60,MATCH(1,(GMW!$NE$2:$NE$60=E$3)*(GMW!$ND$2:$ND$60=E$4),0),$D104-1966)</f>
        <v>58314</v>
      </c>
      <c r="F104" s="236" cm="1">
        <f t="array" ref="F104">INDEX(GMW!$A$2:$NF$60,MATCH(1,(GMW!$NE$2:$NE$60=F$3)*(GMW!$ND$2:$ND$60=F$4),0),$D104-1966)</f>
        <v>434199</v>
      </c>
      <c r="G104" s="236" cm="1">
        <f t="array" ref="G104">INDEX(GMW!$A$2:$NF$60,MATCH(1,(GMW!$NE$2:$NE$60=G$3)*(GMW!$ND$2:$ND$60=G$4),0),$D104-1966)</f>
        <v>70</v>
      </c>
      <c r="H104" s="236" cm="1">
        <f t="array" ref="H104">INDEX(GMW!$A$2:$NF$60,MATCH(1,(GMW!$NE$2:$NE$60=H$3)*(GMW!$ND$2:$ND$60=H$4),0),$D104-1966)</f>
        <v>259.93700000000001</v>
      </c>
    </row>
    <row r="105" spans="1:8">
      <c r="A105" s="236">
        <f t="shared" si="5"/>
        <v>1997</v>
      </c>
      <c r="B105" s="236">
        <f t="shared" si="5"/>
        <v>1997</v>
      </c>
      <c r="C105" s="236">
        <f t="shared" si="6"/>
        <v>199703</v>
      </c>
      <c r="D105" s="236">
        <f t="shared" si="4"/>
        <v>2071</v>
      </c>
      <c r="E105" s="236" cm="1">
        <f t="array" ref="E105">INDEX(GMW!$A$2:$NF$60,MATCH(1,(GMW!$NE$2:$NE$60=E$3)*(GMW!$ND$2:$ND$60=E$4),0),$D105-1966)</f>
        <v>58354.25</v>
      </c>
      <c r="F105" s="236" cm="1">
        <f t="array" ref="F105">INDEX(GMW!$A$2:$NF$60,MATCH(1,(GMW!$NE$2:$NE$60=F$3)*(GMW!$ND$2:$ND$60=F$4),0),$D105-1966)</f>
        <v>438100</v>
      </c>
      <c r="G105" s="236" cm="1">
        <f t="array" ref="G105">INDEX(GMW!$A$2:$NF$60,MATCH(1,(GMW!$NE$2:$NE$60=G$3)*(GMW!$ND$2:$ND$60=G$4),0),$D105-1966)</f>
        <v>70.266670000000005</v>
      </c>
      <c r="H105" s="236" cm="1">
        <f t="array" ref="H105">INDEX(GMW!$A$2:$NF$60,MATCH(1,(GMW!$NE$2:$NE$60=H$3)*(GMW!$ND$2:$ND$60=H$4),0),$D105-1966)</f>
        <v>264.79160000000002</v>
      </c>
    </row>
    <row r="106" spans="1:8">
      <c r="A106" s="236">
        <f t="shared" si="5"/>
        <v>1997</v>
      </c>
      <c r="B106" s="236">
        <f t="shared" si="5"/>
        <v>1997</v>
      </c>
      <c r="C106" s="236">
        <f t="shared" si="6"/>
        <v>199704</v>
      </c>
      <c r="D106" s="236">
        <f t="shared" si="4"/>
        <v>2072</v>
      </c>
      <c r="E106" s="236" cm="1">
        <f t="array" ref="E106">INDEX(GMW!$A$2:$NF$60,MATCH(1,(GMW!$NE$2:$NE$60=E$3)*(GMW!$ND$2:$ND$60=E$4),0),$D106-1966)</f>
        <v>58394.5</v>
      </c>
      <c r="F106" s="236" cm="1">
        <f t="array" ref="F106">INDEX(GMW!$A$2:$NF$60,MATCH(1,(GMW!$NE$2:$NE$60=F$3)*(GMW!$ND$2:$ND$60=F$4),0),$D106-1966)</f>
        <v>444540</v>
      </c>
      <c r="G106" s="236" cm="1">
        <f t="array" ref="G106">INDEX(GMW!$A$2:$NF$60,MATCH(1,(GMW!$NE$2:$NE$60=G$3)*(GMW!$ND$2:$ND$60=G$4),0),$D106-1966)</f>
        <v>70.633330000000001</v>
      </c>
      <c r="H106" s="236" cm="1">
        <f t="array" ref="H106">INDEX(GMW!$A$2:$NF$60,MATCH(1,(GMW!$NE$2:$NE$60=H$3)*(GMW!$ND$2:$ND$60=H$4),0),$D106-1966)</f>
        <v>268.61829999999998</v>
      </c>
    </row>
    <row r="107" spans="1:8">
      <c r="A107" s="236">
        <f t="shared" si="5"/>
        <v>1998</v>
      </c>
      <c r="B107" s="236">
        <f t="shared" si="5"/>
        <v>1997</v>
      </c>
      <c r="C107" s="236">
        <f t="shared" si="6"/>
        <v>199801</v>
      </c>
      <c r="D107" s="236">
        <f t="shared" si="4"/>
        <v>2073</v>
      </c>
      <c r="E107" s="236" cm="1">
        <f t="array" ref="E107">INDEX(GMW!$A$2:$NF$60,MATCH(1,(GMW!$NE$2:$NE$60=E$3)*(GMW!$ND$2:$ND$60=E$4),0),$D107-1966)</f>
        <v>58434.75</v>
      </c>
      <c r="F107" s="236" cm="1">
        <f t="array" ref="F107">INDEX(GMW!$A$2:$NF$60,MATCH(1,(GMW!$NE$2:$NE$60=F$3)*(GMW!$ND$2:$ND$60=F$4),0),$D107-1966)</f>
        <v>447712</v>
      </c>
      <c r="G107" s="236" cm="1">
        <f t="array" ref="G107">INDEX(GMW!$A$2:$NF$60,MATCH(1,(GMW!$NE$2:$NE$60=G$3)*(GMW!$ND$2:$ND$60=G$4),0),$D107-1966)</f>
        <v>70.5</v>
      </c>
      <c r="H107" s="236" cm="1">
        <f t="array" ref="H107">INDEX(GMW!$A$2:$NF$60,MATCH(1,(GMW!$NE$2:$NE$60=H$3)*(GMW!$ND$2:$ND$60=H$4),0),$D107-1966)</f>
        <v>269.56689999999998</v>
      </c>
    </row>
    <row r="108" spans="1:8">
      <c r="A108" s="236">
        <f t="shared" si="5"/>
        <v>1998</v>
      </c>
      <c r="B108" s="236">
        <f t="shared" si="5"/>
        <v>1998</v>
      </c>
      <c r="C108" s="236">
        <f t="shared" si="6"/>
        <v>199802</v>
      </c>
      <c r="D108" s="236">
        <f t="shared" si="4"/>
        <v>2074</v>
      </c>
      <c r="E108" s="236" cm="1">
        <f t="array" ref="E108">INDEX(GMW!$A$2:$NF$60,MATCH(1,(GMW!$NE$2:$NE$60=E$3)*(GMW!$ND$2:$ND$60=E$4),0),$D108-1966)</f>
        <v>58475</v>
      </c>
      <c r="F108" s="236" cm="1">
        <f t="array" ref="F108">INDEX(GMW!$A$2:$NF$60,MATCH(1,(GMW!$NE$2:$NE$60=F$3)*(GMW!$ND$2:$ND$60=F$4),0),$D108-1966)</f>
        <v>450292</v>
      </c>
      <c r="G108" s="236" cm="1">
        <f t="array" ref="G108">INDEX(GMW!$A$2:$NF$60,MATCH(1,(GMW!$NE$2:$NE$60=G$3)*(GMW!$ND$2:$ND$60=G$4),0),$D108-1966)</f>
        <v>71.266670000000005</v>
      </c>
      <c r="H108" s="236" cm="1">
        <f t="array" ref="H108">INDEX(GMW!$A$2:$NF$60,MATCH(1,(GMW!$NE$2:$NE$60=H$3)*(GMW!$ND$2:$ND$60=H$4),0),$D108-1966)</f>
        <v>278.03019999999998</v>
      </c>
    </row>
    <row r="109" spans="1:8">
      <c r="A109" s="236">
        <f t="shared" si="5"/>
        <v>1998</v>
      </c>
      <c r="B109" s="236">
        <f t="shared" si="5"/>
        <v>1998</v>
      </c>
      <c r="C109" s="236">
        <f t="shared" si="6"/>
        <v>199803</v>
      </c>
      <c r="D109" s="236">
        <f t="shared" si="4"/>
        <v>2075</v>
      </c>
      <c r="E109" s="236" cm="1">
        <f t="array" ref="E109">INDEX(GMW!$A$2:$NF$60,MATCH(1,(GMW!$NE$2:$NE$60=E$3)*(GMW!$ND$2:$ND$60=E$4),0),$D109-1966)</f>
        <v>58527.25</v>
      </c>
      <c r="F109" s="236" cm="1">
        <f t="array" ref="F109">INDEX(GMW!$A$2:$NF$60,MATCH(1,(GMW!$NE$2:$NE$60=F$3)*(GMW!$ND$2:$ND$60=F$4),0),$D109-1966)</f>
        <v>451005</v>
      </c>
      <c r="G109" s="236" cm="1">
        <f t="array" ref="G109">INDEX(GMW!$A$2:$NF$60,MATCH(1,(GMW!$NE$2:$NE$60=G$3)*(GMW!$ND$2:$ND$60=G$4),0),$D109-1966)</f>
        <v>71.233329999999995</v>
      </c>
      <c r="H109" s="236" cm="1">
        <f t="array" ref="H109">INDEX(GMW!$A$2:$NF$60,MATCH(1,(GMW!$NE$2:$NE$60=H$3)*(GMW!$ND$2:$ND$60=H$4),0),$D109-1966)</f>
        <v>282.88189999999997</v>
      </c>
    </row>
    <row r="110" spans="1:8">
      <c r="A110" s="236">
        <f t="shared" si="5"/>
        <v>1998</v>
      </c>
      <c r="B110" s="236">
        <f t="shared" si="5"/>
        <v>1998</v>
      </c>
      <c r="C110" s="236">
        <f t="shared" si="6"/>
        <v>199804</v>
      </c>
      <c r="D110" s="236">
        <f t="shared" si="4"/>
        <v>2076</v>
      </c>
      <c r="E110" s="236" cm="1">
        <f t="array" ref="E110">INDEX(GMW!$A$2:$NF$60,MATCH(1,(GMW!$NE$2:$NE$60=E$3)*(GMW!$ND$2:$ND$60=E$4),0),$D110-1966)</f>
        <v>58579.5</v>
      </c>
      <c r="F110" s="236" cm="1">
        <f t="array" ref="F110">INDEX(GMW!$A$2:$NF$60,MATCH(1,(GMW!$NE$2:$NE$60=F$3)*(GMW!$ND$2:$ND$60=F$4),0),$D110-1966)</f>
        <v>453937</v>
      </c>
      <c r="G110" s="236" cm="1">
        <f t="array" ref="G110">INDEX(GMW!$A$2:$NF$60,MATCH(1,(GMW!$NE$2:$NE$60=G$3)*(GMW!$ND$2:$ND$60=G$4),0),$D110-1966)</f>
        <v>71.633330000000001</v>
      </c>
      <c r="H110" s="236" cm="1">
        <f t="array" ref="H110">INDEX(GMW!$A$2:$NF$60,MATCH(1,(GMW!$NE$2:$NE$60=H$3)*(GMW!$ND$2:$ND$60=H$4),0),$D110-1966)</f>
        <v>285.15710000000001</v>
      </c>
    </row>
    <row r="111" spans="1:8">
      <c r="A111" s="236">
        <f t="shared" si="5"/>
        <v>1999</v>
      </c>
      <c r="B111" s="236">
        <f t="shared" si="5"/>
        <v>1998</v>
      </c>
      <c r="C111" s="236">
        <f t="shared" si="6"/>
        <v>199901</v>
      </c>
      <c r="D111" s="236">
        <f t="shared" si="4"/>
        <v>2077</v>
      </c>
      <c r="E111" s="236" cm="1">
        <f t="array" ref="E111">INDEX(GMW!$A$2:$NF$60,MATCH(1,(GMW!$NE$2:$NE$60=E$3)*(GMW!$ND$2:$ND$60=E$4),0),$D111-1966)</f>
        <v>58631.75</v>
      </c>
      <c r="F111" s="236" cm="1">
        <f t="array" ref="F111">INDEX(GMW!$A$2:$NF$60,MATCH(1,(GMW!$NE$2:$NE$60=F$3)*(GMW!$ND$2:$ND$60=F$4),0),$D111-1966)</f>
        <v>457044</v>
      </c>
      <c r="G111" s="236" cm="1">
        <f t="array" ref="G111">INDEX(GMW!$A$2:$NF$60,MATCH(1,(GMW!$NE$2:$NE$60=G$3)*(GMW!$ND$2:$ND$60=G$4),0),$D111-1966)</f>
        <v>71.599999999999994</v>
      </c>
      <c r="H111" s="236" cm="1">
        <f t="array" ref="H111">INDEX(GMW!$A$2:$NF$60,MATCH(1,(GMW!$NE$2:$NE$60=H$3)*(GMW!$ND$2:$ND$60=H$4),0),$D111-1966)</f>
        <v>284.69069999999999</v>
      </c>
    </row>
    <row r="112" spans="1:8">
      <c r="A112" s="236">
        <f t="shared" si="5"/>
        <v>1999</v>
      </c>
      <c r="B112" s="236">
        <f t="shared" si="5"/>
        <v>1999</v>
      </c>
      <c r="C112" s="236">
        <f t="shared" si="6"/>
        <v>199902</v>
      </c>
      <c r="D112" s="236">
        <f t="shared" si="4"/>
        <v>2078</v>
      </c>
      <c r="E112" s="236" cm="1">
        <f t="array" ref="E112">INDEX(GMW!$A$2:$NF$60,MATCH(1,(GMW!$NE$2:$NE$60=E$3)*(GMW!$ND$2:$ND$60=E$4),0),$D112-1966)</f>
        <v>58684</v>
      </c>
      <c r="F112" s="236" cm="1">
        <f t="array" ref="F112">INDEX(GMW!$A$2:$NF$60,MATCH(1,(GMW!$NE$2:$NE$60=F$3)*(GMW!$ND$2:$ND$60=F$4),0),$D112-1966)</f>
        <v>458710</v>
      </c>
      <c r="G112" s="236" cm="1">
        <f t="array" ref="G112">INDEX(GMW!$A$2:$NF$60,MATCH(1,(GMW!$NE$2:$NE$60=G$3)*(GMW!$ND$2:$ND$60=G$4),0),$D112-1966)</f>
        <v>72.3</v>
      </c>
      <c r="H112" s="236" cm="1">
        <f t="array" ref="H112">INDEX(GMW!$A$2:$NF$60,MATCH(1,(GMW!$NE$2:$NE$60=H$3)*(GMW!$ND$2:$ND$60=H$4),0),$D112-1966)</f>
        <v>293.50729999999999</v>
      </c>
    </row>
    <row r="113" spans="1:8">
      <c r="A113" s="236">
        <f t="shared" si="5"/>
        <v>1999</v>
      </c>
      <c r="B113" s="236">
        <f t="shared" si="5"/>
        <v>1999</v>
      </c>
      <c r="C113" s="236">
        <f t="shared" si="6"/>
        <v>199903</v>
      </c>
      <c r="D113" s="236">
        <f t="shared" ref="D113:D176" si="7">+D112+1</f>
        <v>2079</v>
      </c>
      <c r="E113" s="236" cm="1">
        <f t="array" ref="E113">INDEX(GMW!$A$2:$NF$60,MATCH(1,(GMW!$NE$2:$NE$60=E$3)*(GMW!$ND$2:$ND$60=E$4),0),$D113-1966)</f>
        <v>58734.5</v>
      </c>
      <c r="F113" s="236" cm="1">
        <f t="array" ref="F113">INDEX(GMW!$A$2:$NF$60,MATCH(1,(GMW!$NE$2:$NE$60=F$3)*(GMW!$ND$2:$ND$60=F$4),0),$D113-1966)</f>
        <v>466387</v>
      </c>
      <c r="G113" s="236" cm="1">
        <f t="array" ref="G113">INDEX(GMW!$A$2:$NF$60,MATCH(1,(GMW!$NE$2:$NE$60=G$3)*(GMW!$ND$2:$ND$60=G$4),0),$D113-1966)</f>
        <v>72.133330000000001</v>
      </c>
      <c r="H113" s="236" cm="1">
        <f t="array" ref="H113">INDEX(GMW!$A$2:$NF$60,MATCH(1,(GMW!$NE$2:$NE$60=H$3)*(GMW!$ND$2:$ND$60=H$4),0),$D113-1966)</f>
        <v>299.82389999999998</v>
      </c>
    </row>
    <row r="114" spans="1:8">
      <c r="A114" s="236">
        <f t="shared" si="5"/>
        <v>1999</v>
      </c>
      <c r="B114" s="236">
        <f t="shared" si="5"/>
        <v>1999</v>
      </c>
      <c r="C114" s="236">
        <f t="shared" si="6"/>
        <v>199904</v>
      </c>
      <c r="D114" s="236">
        <f t="shared" si="7"/>
        <v>2080</v>
      </c>
      <c r="E114" s="236" cm="1">
        <f t="array" ref="E114">INDEX(GMW!$A$2:$NF$60,MATCH(1,(GMW!$NE$2:$NE$60=E$3)*(GMW!$ND$2:$ND$60=E$4),0),$D114-1966)</f>
        <v>58785</v>
      </c>
      <c r="F114" s="236" cm="1">
        <f t="array" ref="F114">INDEX(GMW!$A$2:$NF$60,MATCH(1,(GMW!$NE$2:$NE$60=F$3)*(GMW!$ND$2:$ND$60=F$4),0),$D114-1966)</f>
        <v>473892</v>
      </c>
      <c r="G114" s="236" cm="1">
        <f t="array" ref="G114">INDEX(GMW!$A$2:$NF$60,MATCH(1,(GMW!$NE$2:$NE$60=G$3)*(GMW!$ND$2:$ND$60=G$4),0),$D114-1966)</f>
        <v>72.433329999999998</v>
      </c>
      <c r="H114" s="236" cm="1">
        <f t="array" ref="H114">INDEX(GMW!$A$2:$NF$60,MATCH(1,(GMW!$NE$2:$NE$60=H$3)*(GMW!$ND$2:$ND$60=H$4),0),$D114-1966)</f>
        <v>303.68020000000001</v>
      </c>
    </row>
    <row r="115" spans="1:8">
      <c r="A115" s="236">
        <f t="shared" si="5"/>
        <v>2000</v>
      </c>
      <c r="B115" s="236">
        <f t="shared" si="5"/>
        <v>1999</v>
      </c>
      <c r="C115" s="236">
        <f t="shared" si="6"/>
        <v>200001</v>
      </c>
      <c r="D115" s="236">
        <f t="shared" si="7"/>
        <v>2081</v>
      </c>
      <c r="E115" s="236" cm="1">
        <f t="array" ref="E115">INDEX(GMW!$A$2:$NF$60,MATCH(1,(GMW!$NE$2:$NE$60=E$3)*(GMW!$ND$2:$ND$60=E$4),0),$D115-1966)</f>
        <v>58835.5</v>
      </c>
      <c r="F115" s="236" cm="1">
        <f t="array" ref="F115">INDEX(GMW!$A$2:$NF$60,MATCH(1,(GMW!$NE$2:$NE$60=F$3)*(GMW!$ND$2:$ND$60=F$4),0),$D115-1966)</f>
        <v>480212</v>
      </c>
      <c r="G115" s="236" cm="1">
        <f t="array" ref="G115">INDEX(GMW!$A$2:$NF$60,MATCH(1,(GMW!$NE$2:$NE$60=G$3)*(GMW!$ND$2:$ND$60=G$4),0),$D115-1966)</f>
        <v>72.133330000000001</v>
      </c>
      <c r="H115" s="236" cm="1">
        <f t="array" ref="H115">INDEX(GMW!$A$2:$NF$60,MATCH(1,(GMW!$NE$2:$NE$60=H$3)*(GMW!$ND$2:$ND$60=H$4),0),$D115-1966)</f>
        <v>305.33330000000001</v>
      </c>
    </row>
    <row r="116" spans="1:8">
      <c r="A116" s="236">
        <f t="shared" si="5"/>
        <v>2000</v>
      </c>
      <c r="B116" s="236">
        <f t="shared" si="5"/>
        <v>2000</v>
      </c>
      <c r="C116" s="236">
        <f t="shared" si="6"/>
        <v>200002</v>
      </c>
      <c r="D116" s="236">
        <f t="shared" si="7"/>
        <v>2082</v>
      </c>
      <c r="E116" s="236" cm="1">
        <f t="array" ref="E116">INDEX(GMW!$A$2:$NF$60,MATCH(1,(GMW!$NE$2:$NE$60=E$3)*(GMW!$ND$2:$ND$60=E$4),0),$D116-1966)</f>
        <v>58886</v>
      </c>
      <c r="F116" s="236" cm="1">
        <f t="array" ref="F116">INDEX(GMW!$A$2:$NF$60,MATCH(1,(GMW!$NE$2:$NE$60=F$3)*(GMW!$ND$2:$ND$60=F$4),0),$D116-1966)</f>
        <v>483672</v>
      </c>
      <c r="G116" s="236" cm="1">
        <f t="array" ref="G116">INDEX(GMW!$A$2:$NF$60,MATCH(1,(GMW!$NE$2:$NE$60=G$3)*(GMW!$ND$2:$ND$60=G$4),0),$D116-1966)</f>
        <v>72.766670000000005</v>
      </c>
      <c r="H116" s="236" cm="1">
        <f t="array" ref="H116">INDEX(GMW!$A$2:$NF$60,MATCH(1,(GMW!$NE$2:$NE$60=H$3)*(GMW!$ND$2:$ND$60=H$4),0),$D116-1966)</f>
        <v>310.33330000000001</v>
      </c>
    </row>
    <row r="117" spans="1:8">
      <c r="A117" s="236">
        <f t="shared" si="5"/>
        <v>2000</v>
      </c>
      <c r="B117" s="236">
        <f t="shared" si="5"/>
        <v>2000</v>
      </c>
      <c r="C117" s="236">
        <f t="shared" si="6"/>
        <v>200003</v>
      </c>
      <c r="D117" s="236">
        <f t="shared" si="7"/>
        <v>2083</v>
      </c>
      <c r="E117" s="236" cm="1">
        <f t="array" ref="E117">INDEX(GMW!$A$2:$NF$60,MATCH(1,(GMW!$NE$2:$NE$60=E$3)*(GMW!$ND$2:$ND$60=E$4),0),$D117-1966)</f>
        <v>58942.75</v>
      </c>
      <c r="F117" s="236" cm="1">
        <f t="array" ref="F117">INDEX(GMW!$A$2:$NF$60,MATCH(1,(GMW!$NE$2:$NE$60=F$3)*(GMW!$ND$2:$ND$60=F$4),0),$D117-1966)</f>
        <v>486617</v>
      </c>
      <c r="G117" s="236" cm="1">
        <f t="array" ref="G117">INDEX(GMW!$A$2:$NF$60,MATCH(1,(GMW!$NE$2:$NE$60=G$3)*(GMW!$ND$2:$ND$60=G$4),0),$D117-1966)</f>
        <v>72.7</v>
      </c>
      <c r="H117" s="236" cm="1">
        <f t="array" ref="H117">INDEX(GMW!$A$2:$NF$60,MATCH(1,(GMW!$NE$2:$NE$60=H$3)*(GMW!$ND$2:$ND$60=H$4),0),$D117-1966)</f>
        <v>315</v>
      </c>
    </row>
    <row r="118" spans="1:8">
      <c r="A118" s="236">
        <f t="shared" si="5"/>
        <v>2000</v>
      </c>
      <c r="B118" s="236">
        <f t="shared" si="5"/>
        <v>2000</v>
      </c>
      <c r="C118" s="236">
        <f t="shared" si="6"/>
        <v>200004</v>
      </c>
      <c r="D118" s="236">
        <f t="shared" si="7"/>
        <v>2084</v>
      </c>
      <c r="E118" s="236" cm="1">
        <f t="array" ref="E118">INDEX(GMW!$A$2:$NF$60,MATCH(1,(GMW!$NE$2:$NE$60=E$3)*(GMW!$ND$2:$ND$60=E$4),0),$D118-1966)</f>
        <v>58999.5</v>
      </c>
      <c r="F118" s="236" cm="1">
        <f t="array" ref="F118">INDEX(GMW!$A$2:$NF$60,MATCH(1,(GMW!$NE$2:$NE$60=F$3)*(GMW!$ND$2:$ND$60=F$4),0),$D118-1966)</f>
        <v>489506</v>
      </c>
      <c r="G118" s="236" cm="1">
        <f t="array" ref="G118">INDEX(GMW!$A$2:$NF$60,MATCH(1,(GMW!$NE$2:$NE$60=G$3)*(GMW!$ND$2:$ND$60=G$4),0),$D118-1966)</f>
        <v>73.166659999999993</v>
      </c>
      <c r="H118" s="236" cm="1">
        <f t="array" ref="H118">INDEX(GMW!$A$2:$NF$60,MATCH(1,(GMW!$NE$2:$NE$60=H$3)*(GMW!$ND$2:$ND$60=H$4),0),$D118-1966)</f>
        <v>320.33330000000001</v>
      </c>
    </row>
    <row r="119" spans="1:8">
      <c r="A119" s="236">
        <f t="shared" si="5"/>
        <v>2001</v>
      </c>
      <c r="B119" s="236">
        <f t="shared" si="5"/>
        <v>2000</v>
      </c>
      <c r="C119" s="236">
        <f t="shared" si="6"/>
        <v>200101</v>
      </c>
      <c r="D119" s="236">
        <f t="shared" si="7"/>
        <v>2085</v>
      </c>
      <c r="E119" s="236" cm="1">
        <f t="array" ref="E119">INDEX(GMW!$A$2:$NF$60,MATCH(1,(GMW!$NE$2:$NE$60=E$3)*(GMW!$ND$2:$ND$60=E$4),0),$D119-1966)</f>
        <v>59056.25</v>
      </c>
      <c r="F119" s="236" cm="1">
        <f t="array" ref="F119">INDEX(GMW!$A$2:$NF$60,MATCH(1,(GMW!$NE$2:$NE$60=F$3)*(GMW!$ND$2:$ND$60=F$4),0),$D119-1966)</f>
        <v>493575</v>
      </c>
      <c r="G119" s="236" cm="1">
        <f t="array" ref="G119">INDEX(GMW!$A$2:$NF$60,MATCH(1,(GMW!$NE$2:$NE$60=G$3)*(GMW!$ND$2:$ND$60=G$4),0),$D119-1966)</f>
        <v>72.766670000000005</v>
      </c>
      <c r="H119" s="236" cm="1">
        <f t="array" ref="H119">INDEX(GMW!$A$2:$NF$60,MATCH(1,(GMW!$NE$2:$NE$60=H$3)*(GMW!$ND$2:$ND$60=H$4),0),$D119-1966)</f>
        <v>324</v>
      </c>
    </row>
    <row r="120" spans="1:8">
      <c r="A120" s="236">
        <f t="shared" si="5"/>
        <v>2001</v>
      </c>
      <c r="B120" s="236">
        <f t="shared" si="5"/>
        <v>2001</v>
      </c>
      <c r="C120" s="236">
        <f t="shared" si="6"/>
        <v>200102</v>
      </c>
      <c r="D120" s="236">
        <f t="shared" si="7"/>
        <v>2086</v>
      </c>
      <c r="E120" s="236" cm="1">
        <f t="array" ref="E120">INDEX(GMW!$A$2:$NF$60,MATCH(1,(GMW!$NE$2:$NE$60=E$3)*(GMW!$ND$2:$ND$60=E$4),0),$D120-1966)</f>
        <v>59113</v>
      </c>
      <c r="F120" s="236" cm="1">
        <f t="array" ref="F120">INDEX(GMW!$A$2:$NF$60,MATCH(1,(GMW!$NE$2:$NE$60=F$3)*(GMW!$ND$2:$ND$60=F$4),0),$D120-1966)</f>
        <v>495602</v>
      </c>
      <c r="G120" s="236" cm="1">
        <f t="array" ref="G120">INDEX(GMW!$A$2:$NF$60,MATCH(1,(GMW!$NE$2:$NE$60=G$3)*(GMW!$ND$2:$ND$60=G$4),0),$D120-1966)</f>
        <v>73.833340000000007</v>
      </c>
      <c r="H120" s="236" cm="1">
        <f t="array" ref="H120">INDEX(GMW!$A$2:$NF$60,MATCH(1,(GMW!$NE$2:$NE$60=H$3)*(GMW!$ND$2:$ND$60=H$4),0),$D120-1966)</f>
        <v>327</v>
      </c>
    </row>
    <row r="121" spans="1:8">
      <c r="A121" s="236">
        <f t="shared" si="5"/>
        <v>2001</v>
      </c>
      <c r="B121" s="236">
        <f t="shared" si="5"/>
        <v>2001</v>
      </c>
      <c r="C121" s="236">
        <f t="shared" si="6"/>
        <v>200103</v>
      </c>
      <c r="D121" s="236">
        <f t="shared" si="7"/>
        <v>2087</v>
      </c>
      <c r="E121" s="236" cm="1">
        <f t="array" ref="E121">INDEX(GMW!$A$2:$NF$60,MATCH(1,(GMW!$NE$2:$NE$60=E$3)*(GMW!$ND$2:$ND$60=E$4),0),$D121-1966)</f>
        <v>59176.25</v>
      </c>
      <c r="F121" s="236" cm="1">
        <f t="array" ref="F121">INDEX(GMW!$A$2:$NF$60,MATCH(1,(GMW!$NE$2:$NE$60=F$3)*(GMW!$ND$2:$ND$60=F$4),0),$D121-1966)</f>
        <v>497938</v>
      </c>
      <c r="G121" s="236" cm="1">
        <f t="array" ref="G121">INDEX(GMW!$A$2:$NF$60,MATCH(1,(GMW!$NE$2:$NE$60=G$3)*(GMW!$ND$2:$ND$60=G$4),0),$D121-1966)</f>
        <v>73.866669999999999</v>
      </c>
      <c r="H121" s="236" cm="1">
        <f t="array" ref="H121">INDEX(GMW!$A$2:$NF$60,MATCH(1,(GMW!$NE$2:$NE$60=H$3)*(GMW!$ND$2:$ND$60=H$4),0),$D121-1966)</f>
        <v>330</v>
      </c>
    </row>
    <row r="122" spans="1:8">
      <c r="A122" s="236">
        <f t="shared" si="5"/>
        <v>2001</v>
      </c>
      <c r="B122" s="236">
        <f t="shared" si="5"/>
        <v>2001</v>
      </c>
      <c r="C122" s="236">
        <f t="shared" si="6"/>
        <v>200104</v>
      </c>
      <c r="D122" s="236">
        <f t="shared" si="7"/>
        <v>2088</v>
      </c>
      <c r="E122" s="236" cm="1">
        <f t="array" ref="E122">INDEX(GMW!$A$2:$NF$60,MATCH(1,(GMW!$NE$2:$NE$60=E$3)*(GMW!$ND$2:$ND$60=E$4),0),$D122-1966)</f>
        <v>59239.5</v>
      </c>
      <c r="F122" s="236" cm="1">
        <f t="array" ref="F122">INDEX(GMW!$A$2:$NF$60,MATCH(1,(GMW!$NE$2:$NE$60=F$3)*(GMW!$ND$2:$ND$60=F$4),0),$D122-1966)</f>
        <v>499278</v>
      </c>
      <c r="G122" s="236" cm="1">
        <f t="array" ref="G122">INDEX(GMW!$A$2:$NF$60,MATCH(1,(GMW!$NE$2:$NE$60=G$3)*(GMW!$ND$2:$ND$60=G$4),0),$D122-1966)</f>
        <v>73.900000000000006</v>
      </c>
      <c r="H122" s="236" cm="1">
        <f t="array" ref="H122">INDEX(GMW!$A$2:$NF$60,MATCH(1,(GMW!$NE$2:$NE$60=H$3)*(GMW!$ND$2:$ND$60=H$4),0),$D122-1966)</f>
        <v>333.66669999999999</v>
      </c>
    </row>
    <row r="123" spans="1:8">
      <c r="A123" s="236">
        <f t="shared" si="5"/>
        <v>2002</v>
      </c>
      <c r="B123" s="236">
        <f t="shared" si="5"/>
        <v>2001</v>
      </c>
      <c r="C123" s="236">
        <f t="shared" si="6"/>
        <v>200201</v>
      </c>
      <c r="D123" s="236">
        <f t="shared" si="7"/>
        <v>2089</v>
      </c>
      <c r="E123" s="236" cm="1">
        <f t="array" ref="E123">INDEX(GMW!$A$2:$NF$60,MATCH(1,(GMW!$NE$2:$NE$60=E$3)*(GMW!$ND$2:$ND$60=E$4),0),$D123-1966)</f>
        <v>59302.75</v>
      </c>
      <c r="F123" s="236" cm="1">
        <f t="array" ref="F123">INDEX(GMW!$A$2:$NF$60,MATCH(1,(GMW!$NE$2:$NE$60=F$3)*(GMW!$ND$2:$ND$60=F$4),0),$D123-1966)</f>
        <v>500794</v>
      </c>
      <c r="G123" s="236" cm="1">
        <f t="array" ref="G123">INDEX(GMW!$A$2:$NF$60,MATCH(1,(GMW!$NE$2:$NE$60=G$3)*(GMW!$ND$2:$ND$60=G$4),0),$D123-1966)</f>
        <v>73.866669999999999</v>
      </c>
      <c r="H123" s="236" cm="1">
        <f t="array" ref="H123">INDEX(GMW!$A$2:$NF$60,MATCH(1,(GMW!$NE$2:$NE$60=H$3)*(GMW!$ND$2:$ND$60=H$4),0),$D123-1966)</f>
        <v>333.66669999999999</v>
      </c>
    </row>
    <row r="124" spans="1:8">
      <c r="A124" s="236">
        <f t="shared" si="5"/>
        <v>2002</v>
      </c>
      <c r="B124" s="236">
        <f t="shared" si="5"/>
        <v>2002</v>
      </c>
      <c r="C124" s="236">
        <f t="shared" si="6"/>
        <v>200202</v>
      </c>
      <c r="D124" s="236">
        <f t="shared" si="7"/>
        <v>2090</v>
      </c>
      <c r="E124" s="236" cm="1">
        <f t="array" ref="E124">INDEX(GMW!$A$2:$NF$60,MATCH(1,(GMW!$NE$2:$NE$60=E$3)*(GMW!$ND$2:$ND$60=E$4),0),$D124-1966)</f>
        <v>59366</v>
      </c>
      <c r="F124" s="236" cm="1">
        <f t="array" ref="F124">INDEX(GMW!$A$2:$NF$60,MATCH(1,(GMW!$NE$2:$NE$60=F$3)*(GMW!$ND$2:$ND$60=F$4),0),$D124-1966)</f>
        <v>503433</v>
      </c>
      <c r="G124" s="236" cm="1">
        <f t="array" ref="G124">INDEX(GMW!$A$2:$NF$60,MATCH(1,(GMW!$NE$2:$NE$60=G$3)*(GMW!$ND$2:$ND$60=G$4),0),$D124-1966)</f>
        <v>74.533330000000007</v>
      </c>
      <c r="H124" s="236" cm="1">
        <f t="array" ref="H124">INDEX(GMW!$A$2:$NF$60,MATCH(1,(GMW!$NE$2:$NE$60=H$3)*(GMW!$ND$2:$ND$60=H$4),0),$D124-1966)</f>
        <v>339</v>
      </c>
    </row>
    <row r="125" spans="1:8">
      <c r="A125" s="236">
        <f t="shared" si="5"/>
        <v>2002</v>
      </c>
      <c r="B125" s="236">
        <f t="shared" si="5"/>
        <v>2002</v>
      </c>
      <c r="C125" s="236">
        <f t="shared" si="6"/>
        <v>200203</v>
      </c>
      <c r="D125" s="236">
        <f t="shared" si="7"/>
        <v>2091</v>
      </c>
      <c r="E125" s="236" cm="1">
        <f t="array" ref="E125">INDEX(GMW!$A$2:$NF$60,MATCH(1,(GMW!$NE$2:$NE$60=E$3)*(GMW!$ND$2:$ND$60=E$4),0),$D125-1966)</f>
        <v>59433.75</v>
      </c>
      <c r="F125" s="236" cm="1">
        <f t="array" ref="F125">INDEX(GMW!$A$2:$NF$60,MATCH(1,(GMW!$NE$2:$NE$60=F$3)*(GMW!$ND$2:$ND$60=F$4),0),$D125-1966)</f>
        <v>506386</v>
      </c>
      <c r="G125" s="236" cm="1">
        <f t="array" ref="G125">INDEX(GMW!$A$2:$NF$60,MATCH(1,(GMW!$NE$2:$NE$60=G$3)*(GMW!$ND$2:$ND$60=G$4),0),$D125-1966)</f>
        <v>74.599999999999994</v>
      </c>
      <c r="H125" s="236" cm="1">
        <f t="array" ref="H125">INDEX(GMW!$A$2:$NF$60,MATCH(1,(GMW!$NE$2:$NE$60=H$3)*(GMW!$ND$2:$ND$60=H$4),0),$D125-1966)</f>
        <v>341.33330000000001</v>
      </c>
    </row>
    <row r="126" spans="1:8">
      <c r="A126" s="236">
        <f t="shared" si="5"/>
        <v>2002</v>
      </c>
      <c r="B126" s="236">
        <f t="shared" si="5"/>
        <v>2002</v>
      </c>
      <c r="C126" s="236">
        <f t="shared" si="6"/>
        <v>200204</v>
      </c>
      <c r="D126" s="236">
        <f t="shared" si="7"/>
        <v>2092</v>
      </c>
      <c r="E126" s="236" cm="1">
        <f t="array" ref="E126">INDEX(GMW!$A$2:$NF$60,MATCH(1,(GMW!$NE$2:$NE$60=E$3)*(GMW!$ND$2:$ND$60=E$4),0),$D126-1966)</f>
        <v>59501.5</v>
      </c>
      <c r="F126" s="236" cm="1">
        <f t="array" ref="F126">INDEX(GMW!$A$2:$NF$60,MATCH(1,(GMW!$NE$2:$NE$60=F$3)*(GMW!$ND$2:$ND$60=F$4),0),$D126-1966)</f>
        <v>509728</v>
      </c>
      <c r="G126" s="236" cm="1">
        <f t="array" ref="G126">INDEX(GMW!$A$2:$NF$60,MATCH(1,(GMW!$NE$2:$NE$60=G$3)*(GMW!$ND$2:$ND$60=G$4),0),$D126-1966)</f>
        <v>75</v>
      </c>
      <c r="H126" s="236" cm="1">
        <f t="array" ref="H126">INDEX(GMW!$A$2:$NF$60,MATCH(1,(GMW!$NE$2:$NE$60=H$3)*(GMW!$ND$2:$ND$60=H$4),0),$D126-1966)</f>
        <v>342.66669999999999</v>
      </c>
    </row>
    <row r="127" spans="1:8">
      <c r="A127" s="236">
        <f t="shared" si="5"/>
        <v>2003</v>
      </c>
      <c r="B127" s="236">
        <f t="shared" si="5"/>
        <v>2002</v>
      </c>
      <c r="C127" s="236">
        <f t="shared" si="6"/>
        <v>200301</v>
      </c>
      <c r="D127" s="236">
        <f t="shared" si="7"/>
        <v>2093</v>
      </c>
      <c r="E127" s="236" cm="1">
        <f t="array" ref="E127">INDEX(GMW!$A$2:$NF$60,MATCH(1,(GMW!$NE$2:$NE$60=E$3)*(GMW!$ND$2:$ND$60=E$4),0),$D127-1966)</f>
        <v>59569.25</v>
      </c>
      <c r="F127" s="236" cm="1">
        <f t="array" ref="F127">INDEX(GMW!$A$2:$NF$60,MATCH(1,(GMW!$NE$2:$NE$60=F$3)*(GMW!$ND$2:$ND$60=F$4),0),$D127-1966)</f>
        <v>514031</v>
      </c>
      <c r="G127" s="236" cm="1">
        <f t="array" ref="G127">INDEX(GMW!$A$2:$NF$60,MATCH(1,(GMW!$NE$2:$NE$60=G$3)*(GMW!$ND$2:$ND$60=G$4),0),$D127-1966)</f>
        <v>75</v>
      </c>
      <c r="H127" s="236" cm="1">
        <f t="array" ref="H127">INDEX(GMW!$A$2:$NF$60,MATCH(1,(GMW!$NE$2:$NE$60=H$3)*(GMW!$ND$2:$ND$60=H$4),0),$D127-1966)</f>
        <v>343</v>
      </c>
    </row>
    <row r="128" spans="1:8">
      <c r="A128" s="236">
        <f t="shared" si="5"/>
        <v>2003</v>
      </c>
      <c r="B128" s="236">
        <f t="shared" si="5"/>
        <v>2003</v>
      </c>
      <c r="C128" s="236">
        <f t="shared" si="6"/>
        <v>200302</v>
      </c>
      <c r="D128" s="236">
        <f t="shared" si="7"/>
        <v>2094</v>
      </c>
      <c r="E128" s="236" cm="1">
        <f t="array" ref="E128">INDEX(GMW!$A$2:$NF$60,MATCH(1,(GMW!$NE$2:$NE$60=E$3)*(GMW!$ND$2:$ND$60=E$4),0),$D128-1966)</f>
        <v>59637</v>
      </c>
      <c r="F128" s="236" cm="1">
        <f t="array" ref="F128">INDEX(GMW!$A$2:$NF$60,MATCH(1,(GMW!$NE$2:$NE$60=F$3)*(GMW!$ND$2:$ND$60=F$4),0),$D128-1966)</f>
        <v>518802</v>
      </c>
      <c r="G128" s="236" cm="1">
        <f t="array" ref="G128">INDEX(GMW!$A$2:$NF$60,MATCH(1,(GMW!$NE$2:$NE$60=G$3)*(GMW!$ND$2:$ND$60=G$4),0),$D128-1966)</f>
        <v>75.466669999999993</v>
      </c>
      <c r="H128" s="236" cm="1">
        <f t="array" ref="H128">INDEX(GMW!$A$2:$NF$60,MATCH(1,(GMW!$NE$2:$NE$60=H$3)*(GMW!$ND$2:$ND$60=H$4),0),$D128-1966)</f>
        <v>348</v>
      </c>
    </row>
    <row r="129" spans="1:8">
      <c r="A129" s="236">
        <f t="shared" si="5"/>
        <v>2003</v>
      </c>
      <c r="B129" s="236">
        <f t="shared" si="5"/>
        <v>2003</v>
      </c>
      <c r="C129" s="236">
        <f t="shared" si="6"/>
        <v>200303</v>
      </c>
      <c r="D129" s="236">
        <f t="shared" si="7"/>
        <v>2095</v>
      </c>
      <c r="E129" s="236" cm="1">
        <f t="array" ref="E129">INDEX(GMW!$A$2:$NF$60,MATCH(1,(GMW!$NE$2:$NE$60=E$3)*(GMW!$ND$2:$ND$60=E$4),0),$D129-1966)</f>
        <v>59715.25</v>
      </c>
      <c r="F129" s="236" cm="1">
        <f t="array" ref="F129">INDEX(GMW!$A$2:$NF$60,MATCH(1,(GMW!$NE$2:$NE$60=F$3)*(GMW!$ND$2:$ND$60=F$4),0),$D129-1966)</f>
        <v>524213</v>
      </c>
      <c r="G129" s="236" cm="1">
        <f t="array" ref="G129">INDEX(GMW!$A$2:$NF$60,MATCH(1,(GMW!$NE$2:$NE$60=G$3)*(GMW!$ND$2:$ND$60=G$4),0),$D129-1966)</f>
        <v>75.599999999999994</v>
      </c>
      <c r="H129" s="236" cm="1">
        <f t="array" ref="H129">INDEX(GMW!$A$2:$NF$60,MATCH(1,(GMW!$NE$2:$NE$60=H$3)*(GMW!$ND$2:$ND$60=H$4),0),$D129-1966)</f>
        <v>352.66669999999999</v>
      </c>
    </row>
    <row r="130" spans="1:8">
      <c r="A130" s="236">
        <f t="shared" si="5"/>
        <v>2003</v>
      </c>
      <c r="B130" s="236">
        <f t="shared" si="5"/>
        <v>2003</v>
      </c>
      <c r="C130" s="236">
        <f t="shared" si="6"/>
        <v>200304</v>
      </c>
      <c r="D130" s="236">
        <f t="shared" si="7"/>
        <v>2096</v>
      </c>
      <c r="E130" s="236" cm="1">
        <f t="array" ref="E130">INDEX(GMW!$A$2:$NF$60,MATCH(1,(GMW!$NE$2:$NE$60=E$3)*(GMW!$ND$2:$ND$60=E$4),0),$D130-1966)</f>
        <v>59793.5</v>
      </c>
      <c r="F130" s="236" cm="1">
        <f t="array" ref="F130">INDEX(GMW!$A$2:$NF$60,MATCH(1,(GMW!$NE$2:$NE$60=F$3)*(GMW!$ND$2:$ND$60=F$4),0),$D130-1966)</f>
        <v>528320</v>
      </c>
      <c r="G130" s="236" cm="1">
        <f t="array" ref="G130">INDEX(GMW!$A$2:$NF$60,MATCH(1,(GMW!$NE$2:$NE$60=G$3)*(GMW!$ND$2:$ND$60=G$4),0),$D130-1966)</f>
        <v>76.033330000000007</v>
      </c>
      <c r="H130" s="236" cm="1">
        <f t="array" ref="H130">INDEX(GMW!$A$2:$NF$60,MATCH(1,(GMW!$NE$2:$NE$60=H$3)*(GMW!$ND$2:$ND$60=H$4),0),$D130-1966)</f>
        <v>356.66669999999999</v>
      </c>
    </row>
    <row r="131" spans="1:8">
      <c r="A131" s="236">
        <f t="shared" si="5"/>
        <v>2004</v>
      </c>
      <c r="B131" s="236">
        <f t="shared" si="5"/>
        <v>2003</v>
      </c>
      <c r="C131" s="236">
        <f t="shared" si="6"/>
        <v>200401</v>
      </c>
      <c r="D131" s="236">
        <f t="shared" si="7"/>
        <v>2097</v>
      </c>
      <c r="E131" s="236" cm="1">
        <f t="array" ref="E131">INDEX(GMW!$A$2:$NF$60,MATCH(1,(GMW!$NE$2:$NE$60=E$3)*(GMW!$ND$2:$ND$60=E$4),0),$D131-1966)</f>
        <v>59871.75</v>
      </c>
      <c r="F131" s="236" cm="1">
        <f t="array" ref="F131">INDEX(GMW!$A$2:$NF$60,MATCH(1,(GMW!$NE$2:$NE$60=F$3)*(GMW!$ND$2:$ND$60=F$4),0),$D131-1966)</f>
        <v>529996</v>
      </c>
      <c r="G131" s="236" cm="1">
        <f t="array" ref="G131">INDEX(GMW!$A$2:$NF$60,MATCH(1,(GMW!$NE$2:$NE$60=G$3)*(GMW!$ND$2:$ND$60=G$4),0),$D131-1966)</f>
        <v>75.966669999999993</v>
      </c>
      <c r="H131" s="236" cm="1">
        <f t="array" ref="H131">INDEX(GMW!$A$2:$NF$60,MATCH(1,(GMW!$NE$2:$NE$60=H$3)*(GMW!$ND$2:$ND$60=H$4),0),$D131-1966)</f>
        <v>359</v>
      </c>
    </row>
    <row r="132" spans="1:8">
      <c r="A132" s="236">
        <f t="shared" si="5"/>
        <v>2004</v>
      </c>
      <c r="B132" s="236">
        <f t="shared" si="5"/>
        <v>2004</v>
      </c>
      <c r="C132" s="236">
        <f t="shared" si="6"/>
        <v>200402</v>
      </c>
      <c r="D132" s="236">
        <f t="shared" si="7"/>
        <v>2098</v>
      </c>
      <c r="E132" s="236" cm="1">
        <f t="array" ref="E132">INDEX(GMW!$A$2:$NF$60,MATCH(1,(GMW!$NE$2:$NE$60=E$3)*(GMW!$ND$2:$ND$60=E$4),0),$D132-1966)</f>
        <v>59950</v>
      </c>
      <c r="F132" s="236" cm="1">
        <f t="array" ref="F132">INDEX(GMW!$A$2:$NF$60,MATCH(1,(GMW!$NE$2:$NE$60=F$3)*(GMW!$ND$2:$ND$60=F$4),0),$D132-1966)</f>
        <v>532543</v>
      </c>
      <c r="G132" s="236" cm="1">
        <f t="array" ref="G132">INDEX(GMW!$A$2:$NF$60,MATCH(1,(GMW!$NE$2:$NE$60=G$3)*(GMW!$ND$2:$ND$60=G$4),0),$D132-1966)</f>
        <v>76.533330000000007</v>
      </c>
      <c r="H132" s="236" cm="1">
        <f t="array" ref="H132">INDEX(GMW!$A$2:$NF$60,MATCH(1,(GMW!$NE$2:$NE$60=H$3)*(GMW!$ND$2:$ND$60=H$4),0),$D132-1966)</f>
        <v>363</v>
      </c>
    </row>
    <row r="133" spans="1:8">
      <c r="A133" s="236">
        <f t="shared" si="5"/>
        <v>2004</v>
      </c>
      <c r="B133" s="236">
        <f t="shared" si="5"/>
        <v>2004</v>
      </c>
      <c r="C133" s="236">
        <f t="shared" si="6"/>
        <v>200403</v>
      </c>
      <c r="D133" s="236">
        <f t="shared" si="7"/>
        <v>2099</v>
      </c>
      <c r="E133" s="236" cm="1">
        <f t="array" ref="E133">INDEX(GMW!$A$2:$NF$60,MATCH(1,(GMW!$NE$2:$NE$60=E$3)*(GMW!$ND$2:$ND$60=E$4),0),$D133-1966)</f>
        <v>60065.75</v>
      </c>
      <c r="F133" s="236" cm="1">
        <f t="array" ref="F133">INDEX(GMW!$A$2:$NF$60,MATCH(1,(GMW!$NE$2:$NE$60=F$3)*(GMW!$ND$2:$ND$60=F$4),0),$D133-1966)</f>
        <v>534447</v>
      </c>
      <c r="G133" s="236" cm="1">
        <f t="array" ref="G133">INDEX(GMW!$A$2:$NF$60,MATCH(1,(GMW!$NE$2:$NE$60=G$3)*(GMW!$ND$2:$ND$60=G$4),0),$D133-1966)</f>
        <v>76.566670000000002</v>
      </c>
      <c r="H133" s="236" cm="1">
        <f t="array" ref="H133">INDEX(GMW!$A$2:$NF$60,MATCH(1,(GMW!$NE$2:$NE$60=H$3)*(GMW!$ND$2:$ND$60=H$4),0),$D133-1966)</f>
        <v>367</v>
      </c>
    </row>
    <row r="134" spans="1:8">
      <c r="A134" s="236">
        <f t="shared" si="5"/>
        <v>2004</v>
      </c>
      <c r="B134" s="236">
        <f t="shared" si="5"/>
        <v>2004</v>
      </c>
      <c r="C134" s="236">
        <f t="shared" si="6"/>
        <v>200404</v>
      </c>
      <c r="D134" s="236">
        <f t="shared" si="7"/>
        <v>2100</v>
      </c>
      <c r="E134" s="236" cm="1">
        <f t="array" ref="E134">INDEX(GMW!$A$2:$NF$60,MATCH(1,(GMW!$NE$2:$NE$60=E$3)*(GMW!$ND$2:$ND$60=E$4),0),$D134-1966)</f>
        <v>60181.5</v>
      </c>
      <c r="F134" s="236" cm="1">
        <f t="array" ref="F134">INDEX(GMW!$A$2:$NF$60,MATCH(1,(GMW!$NE$2:$NE$60=F$3)*(GMW!$ND$2:$ND$60=F$4),0),$D134-1966)</f>
        <v>536886</v>
      </c>
      <c r="G134" s="236" cm="1">
        <f t="array" ref="G134">INDEX(GMW!$A$2:$NF$60,MATCH(1,(GMW!$NE$2:$NE$60=G$3)*(GMW!$ND$2:$ND$60=G$4),0),$D134-1966)</f>
        <v>77.099999999999994</v>
      </c>
      <c r="H134" s="236" cm="1">
        <f t="array" ref="H134">INDEX(GMW!$A$2:$NF$60,MATCH(1,(GMW!$NE$2:$NE$60=H$3)*(GMW!$ND$2:$ND$60=H$4),0),$D134-1966)</f>
        <v>372.33330000000001</v>
      </c>
    </row>
    <row r="135" spans="1:8">
      <c r="A135" s="236">
        <f t="shared" si="5"/>
        <v>2005</v>
      </c>
      <c r="B135" s="236">
        <f t="shared" si="5"/>
        <v>2004</v>
      </c>
      <c r="C135" s="236">
        <f t="shared" si="6"/>
        <v>200501</v>
      </c>
      <c r="D135" s="236">
        <f t="shared" si="7"/>
        <v>2101</v>
      </c>
      <c r="E135" s="236" cm="1">
        <f t="array" ref="E135">INDEX(GMW!$A$2:$NF$60,MATCH(1,(GMW!$NE$2:$NE$60=E$3)*(GMW!$ND$2:$ND$60=E$4),0),$D135-1966)</f>
        <v>60297.25</v>
      </c>
      <c r="F135" s="236" cm="1">
        <f t="array" ref="F135">INDEX(GMW!$A$2:$NF$60,MATCH(1,(GMW!$NE$2:$NE$60=F$3)*(GMW!$ND$2:$ND$60=F$4),0),$D135-1966)</f>
        <v>541028</v>
      </c>
      <c r="G135" s="236" cm="1">
        <f t="array" ref="G135">INDEX(GMW!$A$2:$NF$60,MATCH(1,(GMW!$NE$2:$NE$60=G$3)*(GMW!$ND$2:$ND$60=G$4),0),$D135-1966)</f>
        <v>77.233329999999995</v>
      </c>
      <c r="H135" s="236" cm="1">
        <f t="array" ref="H135">INDEX(GMW!$A$2:$NF$60,MATCH(1,(GMW!$NE$2:$NE$60=H$3)*(GMW!$ND$2:$ND$60=H$4),0),$D135-1966)</f>
        <v>375.33330000000001</v>
      </c>
    </row>
    <row r="136" spans="1:8">
      <c r="A136" s="236">
        <f t="shared" si="5"/>
        <v>2005</v>
      </c>
      <c r="B136" s="236">
        <f t="shared" si="5"/>
        <v>2005</v>
      </c>
      <c r="C136" s="236">
        <f t="shared" si="6"/>
        <v>200502</v>
      </c>
      <c r="D136" s="236">
        <f t="shared" si="7"/>
        <v>2102</v>
      </c>
      <c r="E136" s="236" cm="1">
        <f t="array" ref="E136">INDEX(GMW!$A$2:$NF$60,MATCH(1,(GMW!$NE$2:$NE$60=E$3)*(GMW!$ND$2:$ND$60=E$4),0),$D136-1966)</f>
        <v>60413</v>
      </c>
      <c r="F136" s="236" cm="1">
        <f t="array" ref="F136">INDEX(GMW!$A$2:$NF$60,MATCH(1,(GMW!$NE$2:$NE$60=F$3)*(GMW!$ND$2:$ND$60=F$4),0),$D136-1966)</f>
        <v>545530</v>
      </c>
      <c r="G136" s="236" cm="1">
        <f t="array" ref="G136">INDEX(GMW!$A$2:$NF$60,MATCH(1,(GMW!$NE$2:$NE$60=G$3)*(GMW!$ND$2:$ND$60=G$4),0),$D136-1966)</f>
        <v>78</v>
      </c>
      <c r="H136" s="236" cm="1">
        <f t="array" ref="H136">INDEX(GMW!$A$2:$NF$60,MATCH(1,(GMW!$NE$2:$NE$60=H$3)*(GMW!$ND$2:$ND$60=H$4),0),$D136-1966)</f>
        <v>379.66669999999999</v>
      </c>
    </row>
    <row r="137" spans="1:8">
      <c r="A137" s="236">
        <f t="shared" si="5"/>
        <v>2005</v>
      </c>
      <c r="B137" s="236">
        <f t="shared" si="5"/>
        <v>2005</v>
      </c>
      <c r="C137" s="236">
        <f t="shared" si="6"/>
        <v>200503</v>
      </c>
      <c r="D137" s="236">
        <f t="shared" si="7"/>
        <v>2103</v>
      </c>
      <c r="E137" s="236" cm="1">
        <f t="array" ref="E137">INDEX(GMW!$A$2:$NF$60,MATCH(1,(GMW!$NE$2:$NE$60=E$3)*(GMW!$ND$2:$ND$60=E$4),0),$D137-1966)</f>
        <v>60516.5</v>
      </c>
      <c r="F137" s="236" cm="1">
        <f t="array" ref="F137">INDEX(GMW!$A$2:$NF$60,MATCH(1,(GMW!$NE$2:$NE$60=F$3)*(GMW!$ND$2:$ND$60=F$4),0),$D137-1966)</f>
        <v>550552</v>
      </c>
      <c r="G137" s="236" cm="1">
        <f t="array" ref="G137">INDEX(GMW!$A$2:$NF$60,MATCH(1,(GMW!$NE$2:$NE$60=G$3)*(GMW!$ND$2:$ND$60=G$4),0),$D137-1966)</f>
        <v>78.400000000000006</v>
      </c>
      <c r="H137" s="236" cm="1">
        <f t="array" ref="H137">INDEX(GMW!$A$2:$NF$60,MATCH(1,(GMW!$NE$2:$NE$60=H$3)*(GMW!$ND$2:$ND$60=H$4),0),$D137-1966)</f>
        <v>385.33330000000001</v>
      </c>
    </row>
    <row r="138" spans="1:8">
      <c r="A138" s="236">
        <f t="shared" si="5"/>
        <v>2005</v>
      </c>
      <c r="B138" s="236">
        <f t="shared" si="5"/>
        <v>2005</v>
      </c>
      <c r="C138" s="236">
        <f t="shared" si="6"/>
        <v>200504</v>
      </c>
      <c r="D138" s="236">
        <f t="shared" si="7"/>
        <v>2104</v>
      </c>
      <c r="E138" s="236" cm="1">
        <f t="array" ref="E138">INDEX(GMW!$A$2:$NF$60,MATCH(1,(GMW!$NE$2:$NE$60=E$3)*(GMW!$ND$2:$ND$60=E$4),0),$D138-1966)</f>
        <v>60620</v>
      </c>
      <c r="F138" s="236" cm="1">
        <f t="array" ref="F138">INDEX(GMW!$A$2:$NF$60,MATCH(1,(GMW!$NE$2:$NE$60=F$3)*(GMW!$ND$2:$ND$60=F$4),0),$D138-1966)</f>
        <v>556311</v>
      </c>
      <c r="G138" s="236" cm="1">
        <f t="array" ref="G138">INDEX(GMW!$A$2:$NF$60,MATCH(1,(GMW!$NE$2:$NE$60=G$3)*(GMW!$ND$2:$ND$60=G$4),0),$D138-1966)</f>
        <v>78.766670000000005</v>
      </c>
      <c r="H138" s="236" cm="1">
        <f t="array" ref="H138">INDEX(GMW!$A$2:$NF$60,MATCH(1,(GMW!$NE$2:$NE$60=H$3)*(GMW!$ND$2:$ND$60=H$4),0),$D138-1966)</f>
        <v>389.33330000000001</v>
      </c>
    </row>
    <row r="139" spans="1:8">
      <c r="A139" s="236">
        <f t="shared" si="5"/>
        <v>2006</v>
      </c>
      <c r="B139" s="236">
        <f t="shared" si="5"/>
        <v>2005</v>
      </c>
      <c r="C139" s="236">
        <f t="shared" si="6"/>
        <v>200601</v>
      </c>
      <c r="D139" s="236">
        <f t="shared" si="7"/>
        <v>2105</v>
      </c>
      <c r="E139" s="236" cm="1">
        <f t="array" ref="E139">INDEX(GMW!$A$2:$NF$60,MATCH(1,(GMW!$NE$2:$NE$60=E$3)*(GMW!$ND$2:$ND$60=E$4),0),$D139-1966)</f>
        <v>60723.5</v>
      </c>
      <c r="F139" s="236" cm="1">
        <f t="array" ref="F139">INDEX(GMW!$A$2:$NF$60,MATCH(1,(GMW!$NE$2:$NE$60=F$3)*(GMW!$ND$2:$ND$60=F$4),0),$D139-1966)</f>
        <v>558314</v>
      </c>
      <c r="G139" s="236" cm="1">
        <f t="array" ref="G139">INDEX(GMW!$A$2:$NF$60,MATCH(1,(GMW!$NE$2:$NE$60=G$3)*(GMW!$ND$2:$ND$60=G$4),0),$D139-1966)</f>
        <v>78.733329999999995</v>
      </c>
      <c r="H139" s="236" cm="1">
        <f t="array" ref="H139">INDEX(GMW!$A$2:$NF$60,MATCH(1,(GMW!$NE$2:$NE$60=H$3)*(GMW!$ND$2:$ND$60=H$4),0),$D139-1966)</f>
        <v>393.66669999999999</v>
      </c>
    </row>
    <row r="140" spans="1:8">
      <c r="A140" s="236">
        <f t="shared" ref="A140:B203" si="8">+A136+1</f>
        <v>2006</v>
      </c>
      <c r="B140" s="236">
        <f t="shared" si="8"/>
        <v>2006</v>
      </c>
      <c r="C140" s="236">
        <f t="shared" ref="C140:C203" si="9">+C136+100</f>
        <v>200602</v>
      </c>
      <c r="D140" s="236">
        <f t="shared" si="7"/>
        <v>2106</v>
      </c>
      <c r="E140" s="236" cm="1">
        <f t="array" ref="E140">INDEX(GMW!$A$2:$NF$60,MATCH(1,(GMW!$NE$2:$NE$60=E$3)*(GMW!$ND$2:$ND$60=E$4),0),$D140-1966)</f>
        <v>60827</v>
      </c>
      <c r="F140" s="236" cm="1">
        <f t="array" ref="F140">INDEX(GMW!$A$2:$NF$60,MATCH(1,(GMW!$NE$2:$NE$60=F$3)*(GMW!$ND$2:$ND$60=F$4),0),$D140-1966)</f>
        <v>559795</v>
      </c>
      <c r="G140" s="236" cm="1">
        <f t="array" ref="G140">INDEX(GMW!$A$2:$NF$60,MATCH(1,(GMW!$NE$2:$NE$60=G$3)*(GMW!$ND$2:$ND$60=G$4),0),$D140-1966)</f>
        <v>79.8</v>
      </c>
      <c r="H140" s="236" cm="1">
        <f t="array" ref="H140">INDEX(GMW!$A$2:$NF$60,MATCH(1,(GMW!$NE$2:$NE$60=H$3)*(GMW!$ND$2:$ND$60=H$4),0),$D140-1966)</f>
        <v>397.66669999999999</v>
      </c>
    </row>
    <row r="141" spans="1:8">
      <c r="A141" s="236">
        <f t="shared" si="8"/>
        <v>2006</v>
      </c>
      <c r="B141" s="236">
        <f t="shared" si="8"/>
        <v>2006</v>
      </c>
      <c r="C141" s="236">
        <f t="shared" si="9"/>
        <v>200603</v>
      </c>
      <c r="D141" s="236">
        <f t="shared" si="7"/>
        <v>2107</v>
      </c>
      <c r="E141" s="236" cm="1">
        <f t="array" ref="E141">INDEX(GMW!$A$2:$NF$60,MATCH(1,(GMW!$NE$2:$NE$60=E$3)*(GMW!$ND$2:$ND$60=E$4),0),$D141-1966)</f>
        <v>60950</v>
      </c>
      <c r="F141" s="236" cm="1">
        <f t="array" ref="F141">INDEX(GMW!$A$2:$NF$60,MATCH(1,(GMW!$NE$2:$NE$60=F$3)*(GMW!$ND$2:$ND$60=F$4),0),$D141-1966)</f>
        <v>560675</v>
      </c>
      <c r="G141" s="236" cm="1">
        <f t="array" ref="G141">INDEX(GMW!$A$2:$NF$60,MATCH(1,(GMW!$NE$2:$NE$60=G$3)*(GMW!$ND$2:$ND$60=G$4),0),$D141-1966)</f>
        <v>80.3</v>
      </c>
      <c r="H141" s="236" cm="1">
        <f t="array" ref="H141">INDEX(GMW!$A$2:$NF$60,MATCH(1,(GMW!$NE$2:$NE$60=H$3)*(GMW!$ND$2:$ND$60=H$4),0),$D141-1966)</f>
        <v>401.33330000000001</v>
      </c>
    </row>
    <row r="142" spans="1:8">
      <c r="A142" s="236">
        <f t="shared" si="8"/>
        <v>2006</v>
      </c>
      <c r="B142" s="236">
        <f t="shared" si="8"/>
        <v>2006</v>
      </c>
      <c r="C142" s="236">
        <f t="shared" si="9"/>
        <v>200604</v>
      </c>
      <c r="D142" s="236">
        <f t="shared" si="7"/>
        <v>2108</v>
      </c>
      <c r="E142" s="236" cm="1">
        <f t="array" ref="E142">INDEX(GMW!$A$2:$NF$60,MATCH(1,(GMW!$NE$2:$NE$60=E$3)*(GMW!$ND$2:$ND$60=E$4),0),$D142-1966)</f>
        <v>61073</v>
      </c>
      <c r="F142" s="236" cm="1">
        <f t="array" ref="F142">INDEX(GMW!$A$2:$NF$60,MATCH(1,(GMW!$NE$2:$NE$60=F$3)*(GMW!$ND$2:$ND$60=F$4),0),$D142-1966)</f>
        <v>562669</v>
      </c>
      <c r="G142" s="236" cm="1">
        <f t="array" ref="G142">INDEX(GMW!$A$2:$NF$60,MATCH(1,(GMW!$NE$2:$NE$60=G$3)*(GMW!$ND$2:$ND$60=G$4),0),$D142-1966)</f>
        <v>80.900000000000006</v>
      </c>
      <c r="H142" s="236" cm="1">
        <f t="array" ref="H142">INDEX(GMW!$A$2:$NF$60,MATCH(1,(GMW!$NE$2:$NE$60=H$3)*(GMW!$ND$2:$ND$60=H$4),0),$D142-1966)</f>
        <v>408</v>
      </c>
    </row>
    <row r="143" spans="1:8">
      <c r="A143" s="236">
        <f t="shared" si="8"/>
        <v>2007</v>
      </c>
      <c r="B143" s="236">
        <f t="shared" si="8"/>
        <v>2006</v>
      </c>
      <c r="C143" s="236">
        <f t="shared" si="9"/>
        <v>200701</v>
      </c>
      <c r="D143" s="236">
        <f t="shared" si="7"/>
        <v>2109</v>
      </c>
      <c r="E143" s="236" cm="1">
        <f t="array" ref="E143">INDEX(GMW!$A$2:$NF$60,MATCH(1,(GMW!$NE$2:$NE$60=E$3)*(GMW!$ND$2:$ND$60=E$4),0),$D143-1966)</f>
        <v>61196</v>
      </c>
      <c r="F143" s="236" cm="1">
        <f t="array" ref="F143">INDEX(GMW!$A$2:$NF$60,MATCH(1,(GMW!$NE$2:$NE$60=F$3)*(GMW!$ND$2:$ND$60=F$4),0),$D143-1966)</f>
        <v>568845</v>
      </c>
      <c r="G143" s="236" cm="1">
        <f t="array" ref="G143">INDEX(GMW!$A$2:$NF$60,MATCH(1,(GMW!$NE$2:$NE$60=G$3)*(GMW!$ND$2:$ND$60=G$4),0),$D143-1966)</f>
        <v>81</v>
      </c>
      <c r="H143" s="236" cm="1">
        <f t="array" ref="H143">INDEX(GMW!$A$2:$NF$60,MATCH(1,(GMW!$NE$2:$NE$60=H$3)*(GMW!$ND$2:$ND$60=H$4),0),$D143-1966)</f>
        <v>416.66669999999999</v>
      </c>
    </row>
    <row r="144" spans="1:8">
      <c r="A144" s="236">
        <f t="shared" si="8"/>
        <v>2007</v>
      </c>
      <c r="B144" s="236">
        <f t="shared" si="8"/>
        <v>2007</v>
      </c>
      <c r="C144" s="236">
        <f t="shared" si="9"/>
        <v>200702</v>
      </c>
      <c r="D144" s="236">
        <f t="shared" si="7"/>
        <v>2110</v>
      </c>
      <c r="E144" s="236" cm="1">
        <f t="array" ref="E144">INDEX(GMW!$A$2:$NF$60,MATCH(1,(GMW!$NE$2:$NE$60=E$3)*(GMW!$ND$2:$ND$60=E$4),0),$D144-1966)</f>
        <v>61319</v>
      </c>
      <c r="F144" s="236" cm="1">
        <f t="array" ref="F144">INDEX(GMW!$A$2:$NF$60,MATCH(1,(GMW!$NE$2:$NE$60=F$3)*(GMW!$ND$2:$ND$60=F$4),0),$D144-1966)</f>
        <v>574194</v>
      </c>
      <c r="G144" s="236" cm="1">
        <f t="array" ref="G144">INDEX(GMW!$A$2:$NF$60,MATCH(1,(GMW!$NE$2:$NE$60=G$3)*(GMW!$ND$2:$ND$60=G$4),0),$D144-1966)</f>
        <v>81.8</v>
      </c>
      <c r="H144" s="236" cm="1">
        <f t="array" ref="H144">INDEX(GMW!$A$2:$NF$60,MATCH(1,(GMW!$NE$2:$NE$60=H$3)*(GMW!$ND$2:$ND$60=H$4),0),$D144-1966)</f>
        <v>415.33330000000001</v>
      </c>
    </row>
    <row r="145" spans="1:8">
      <c r="A145" s="236">
        <f t="shared" si="8"/>
        <v>2007</v>
      </c>
      <c r="B145" s="236">
        <f t="shared" si="8"/>
        <v>2007</v>
      </c>
      <c r="C145" s="236">
        <f t="shared" si="9"/>
        <v>200703</v>
      </c>
      <c r="D145" s="236">
        <f t="shared" si="7"/>
        <v>2111</v>
      </c>
      <c r="E145" s="236" cm="1">
        <f t="array" ref="E145">INDEX(GMW!$A$2:$NF$60,MATCH(1,(GMW!$NE$2:$NE$60=E$3)*(GMW!$ND$2:$ND$60=E$4),0),$D145-1966)</f>
        <v>61445.25</v>
      </c>
      <c r="F145" s="236" cm="1">
        <f t="array" ref="F145">INDEX(GMW!$A$2:$NF$60,MATCH(1,(GMW!$NE$2:$NE$60=F$3)*(GMW!$ND$2:$ND$60=F$4),0),$D145-1966)</f>
        <v>579605</v>
      </c>
      <c r="G145" s="236" cm="1">
        <f t="array" ref="G145">INDEX(GMW!$A$2:$NF$60,MATCH(1,(GMW!$NE$2:$NE$60=G$3)*(GMW!$ND$2:$ND$60=G$4),0),$D145-1966)</f>
        <v>81.733329999999995</v>
      </c>
      <c r="H145" s="236" cm="1">
        <f t="array" ref="H145">INDEX(GMW!$A$2:$NF$60,MATCH(1,(GMW!$NE$2:$NE$60=H$3)*(GMW!$ND$2:$ND$60=H$4),0),$D145-1966)</f>
        <v>422</v>
      </c>
    </row>
    <row r="146" spans="1:8">
      <c r="A146" s="236">
        <f t="shared" si="8"/>
        <v>2007</v>
      </c>
      <c r="B146" s="236">
        <f t="shared" si="8"/>
        <v>2007</v>
      </c>
      <c r="C146" s="236">
        <f t="shared" si="9"/>
        <v>200704</v>
      </c>
      <c r="D146" s="236">
        <f t="shared" si="7"/>
        <v>2112</v>
      </c>
      <c r="E146" s="236" cm="1">
        <f t="array" ref="E146">INDEX(GMW!$A$2:$NF$60,MATCH(1,(GMW!$NE$2:$NE$60=E$3)*(GMW!$ND$2:$ND$60=E$4),0),$D146-1966)</f>
        <v>61571.5</v>
      </c>
      <c r="F146" s="236" cm="1">
        <f t="array" ref="F146">INDEX(GMW!$A$2:$NF$60,MATCH(1,(GMW!$NE$2:$NE$60=F$3)*(GMW!$ND$2:$ND$60=F$4),0),$D146-1966)</f>
        <v>584504</v>
      </c>
      <c r="G146" s="236" cm="1">
        <f t="array" ref="G146">INDEX(GMW!$A$2:$NF$60,MATCH(1,(GMW!$NE$2:$NE$60=G$3)*(GMW!$ND$2:$ND$60=G$4),0),$D146-1966)</f>
        <v>82.6</v>
      </c>
      <c r="H146" s="236" cm="1">
        <f t="array" ref="H146">INDEX(GMW!$A$2:$NF$60,MATCH(1,(GMW!$NE$2:$NE$60=H$3)*(GMW!$ND$2:$ND$60=H$4),0),$D146-1966)</f>
        <v>425</v>
      </c>
    </row>
    <row r="147" spans="1:8">
      <c r="A147" s="236">
        <f t="shared" si="8"/>
        <v>2008</v>
      </c>
      <c r="B147" s="236">
        <f t="shared" si="8"/>
        <v>2007</v>
      </c>
      <c r="C147" s="236">
        <f t="shared" si="9"/>
        <v>200801</v>
      </c>
      <c r="D147" s="236">
        <f t="shared" si="7"/>
        <v>2113</v>
      </c>
      <c r="E147" s="236" cm="1">
        <f t="array" ref="E147">INDEX(GMW!$A$2:$NF$60,MATCH(1,(GMW!$NE$2:$NE$60=E$3)*(GMW!$ND$2:$ND$60=E$4),0),$D147-1966)</f>
        <v>61697.75</v>
      </c>
      <c r="F147" s="236" cm="1">
        <f t="array" ref="F147">INDEX(GMW!$A$2:$NF$60,MATCH(1,(GMW!$NE$2:$NE$60=F$3)*(GMW!$ND$2:$ND$60=F$4),0),$D147-1966)</f>
        <v>586690</v>
      </c>
      <c r="G147" s="236" cm="1">
        <f t="array" ref="G147">INDEX(GMW!$A$2:$NF$60,MATCH(1,(GMW!$NE$2:$NE$60=G$3)*(GMW!$ND$2:$ND$60=G$4),0),$D147-1966)</f>
        <v>82.933329999999998</v>
      </c>
      <c r="H147" s="236" cm="1">
        <f t="array" ref="H147">INDEX(GMW!$A$2:$NF$60,MATCH(1,(GMW!$NE$2:$NE$60=H$3)*(GMW!$ND$2:$ND$60=H$4),0),$D147-1966)</f>
        <v>433.66669999999999</v>
      </c>
    </row>
    <row r="148" spans="1:8">
      <c r="A148" s="236">
        <f t="shared" si="8"/>
        <v>2008</v>
      </c>
      <c r="B148" s="236">
        <f t="shared" si="8"/>
        <v>2008</v>
      </c>
      <c r="C148" s="236">
        <f t="shared" si="9"/>
        <v>200802</v>
      </c>
      <c r="D148" s="236">
        <f t="shared" si="7"/>
        <v>2114</v>
      </c>
      <c r="E148" s="236" cm="1">
        <f t="array" ref="E148">INDEX(GMW!$A$2:$NF$60,MATCH(1,(GMW!$NE$2:$NE$60=E$3)*(GMW!$ND$2:$ND$60=E$4),0),$D148-1966)</f>
        <v>61824</v>
      </c>
      <c r="F148" s="236" cm="1">
        <f t="array" ref="F148">INDEX(GMW!$A$2:$NF$60,MATCH(1,(GMW!$NE$2:$NE$60=F$3)*(GMW!$ND$2:$ND$60=F$4),0),$D148-1966)</f>
        <v>583541</v>
      </c>
      <c r="G148" s="236" cm="1">
        <f t="array" ref="G148">INDEX(GMW!$A$2:$NF$60,MATCH(1,(GMW!$NE$2:$NE$60=G$3)*(GMW!$ND$2:$ND$60=G$4),0),$D148-1966)</f>
        <v>84.6</v>
      </c>
      <c r="H148" s="236" cm="1">
        <f t="array" ref="H148">INDEX(GMW!$A$2:$NF$60,MATCH(1,(GMW!$NE$2:$NE$60=H$3)*(GMW!$ND$2:$ND$60=H$4),0),$D148-1966)</f>
        <v>433</v>
      </c>
    </row>
    <row r="149" spans="1:8">
      <c r="A149" s="236">
        <f t="shared" si="8"/>
        <v>2008</v>
      </c>
      <c r="B149" s="236">
        <f t="shared" si="8"/>
        <v>2008</v>
      </c>
      <c r="C149" s="236">
        <f t="shared" si="9"/>
        <v>200803</v>
      </c>
      <c r="D149" s="236">
        <f t="shared" si="7"/>
        <v>2115</v>
      </c>
      <c r="E149" s="236" cm="1">
        <f t="array" ref="E149">INDEX(GMW!$A$2:$NF$60,MATCH(1,(GMW!$NE$2:$NE$60=E$3)*(GMW!$ND$2:$ND$60=E$4),0),$D149-1966)</f>
        <v>61933.25</v>
      </c>
      <c r="F149" s="236" cm="1">
        <f t="array" ref="F149">INDEX(GMW!$A$2:$NF$60,MATCH(1,(GMW!$NE$2:$NE$60=F$3)*(GMW!$ND$2:$ND$60=F$4),0),$D149-1966)</f>
        <v>573961</v>
      </c>
      <c r="G149" s="236" cm="1">
        <f t="array" ref="G149">INDEX(GMW!$A$2:$NF$60,MATCH(1,(GMW!$NE$2:$NE$60=G$3)*(GMW!$ND$2:$ND$60=G$4),0),$D149-1966)</f>
        <v>85.633330000000001</v>
      </c>
      <c r="H149" s="236" cm="1">
        <f t="array" ref="H149">INDEX(GMW!$A$2:$NF$60,MATCH(1,(GMW!$NE$2:$NE$60=H$3)*(GMW!$ND$2:$ND$60=H$4),0),$D149-1966)</f>
        <v>435</v>
      </c>
    </row>
    <row r="150" spans="1:8">
      <c r="A150" s="236">
        <f t="shared" si="8"/>
        <v>2008</v>
      </c>
      <c r="B150" s="236">
        <f t="shared" si="8"/>
        <v>2008</v>
      </c>
      <c r="C150" s="236">
        <f t="shared" si="9"/>
        <v>200804</v>
      </c>
      <c r="D150" s="236">
        <f t="shared" si="7"/>
        <v>2116</v>
      </c>
      <c r="E150" s="236" cm="1">
        <f t="array" ref="E150">INDEX(GMW!$A$2:$NF$60,MATCH(1,(GMW!$NE$2:$NE$60=E$3)*(GMW!$ND$2:$ND$60=E$4),0),$D150-1966)</f>
        <v>62042.5</v>
      </c>
      <c r="F150" s="236" cm="1">
        <f t="array" ref="F150">INDEX(GMW!$A$2:$NF$60,MATCH(1,(GMW!$NE$2:$NE$60=F$3)*(GMW!$ND$2:$ND$60=F$4),0),$D150-1966)</f>
        <v>561816</v>
      </c>
      <c r="G150" s="236" cm="1">
        <f t="array" ref="G150">INDEX(GMW!$A$2:$NF$60,MATCH(1,(GMW!$NE$2:$NE$60=G$3)*(GMW!$ND$2:$ND$60=G$4),0),$D150-1966)</f>
        <v>85.733329999999995</v>
      </c>
      <c r="H150" s="236" cm="1">
        <f t="array" ref="H150">INDEX(GMW!$A$2:$NF$60,MATCH(1,(GMW!$NE$2:$NE$60=H$3)*(GMW!$ND$2:$ND$60=H$4),0),$D150-1966)</f>
        <v>436.33330000000001</v>
      </c>
    </row>
    <row r="151" spans="1:8">
      <c r="A151" s="236">
        <f t="shared" si="8"/>
        <v>2009</v>
      </c>
      <c r="B151" s="236">
        <f t="shared" si="8"/>
        <v>2008</v>
      </c>
      <c r="C151" s="236">
        <f t="shared" si="9"/>
        <v>200901</v>
      </c>
      <c r="D151" s="236">
        <f t="shared" si="7"/>
        <v>2117</v>
      </c>
      <c r="E151" s="236" cm="1">
        <f t="array" ref="E151">INDEX(GMW!$A$2:$NF$60,MATCH(1,(GMW!$NE$2:$NE$60=E$3)*(GMW!$ND$2:$ND$60=E$4),0),$D151-1966)</f>
        <v>62151.75</v>
      </c>
      <c r="F151" s="236" cm="1">
        <f t="array" ref="F151">INDEX(GMW!$A$2:$NF$60,MATCH(1,(GMW!$NE$2:$NE$60=F$3)*(GMW!$ND$2:$ND$60=F$4),0),$D151-1966)</f>
        <v>550451</v>
      </c>
      <c r="G151" s="236" cm="1">
        <f t="array" ref="G151">INDEX(GMW!$A$2:$NF$60,MATCH(1,(GMW!$NE$2:$NE$60=G$3)*(GMW!$ND$2:$ND$60=G$4),0),$D151-1966)</f>
        <v>85.433329999999998</v>
      </c>
      <c r="H151" s="236" cm="1">
        <f t="array" ref="H151">INDEX(GMW!$A$2:$NF$60,MATCH(1,(GMW!$NE$2:$NE$60=H$3)*(GMW!$ND$2:$ND$60=H$4),0),$D151-1966)</f>
        <v>421</v>
      </c>
    </row>
    <row r="152" spans="1:8">
      <c r="A152" s="236">
        <f t="shared" si="8"/>
        <v>2009</v>
      </c>
      <c r="B152" s="236">
        <f t="shared" si="8"/>
        <v>2009</v>
      </c>
      <c r="C152" s="236">
        <f t="shared" si="9"/>
        <v>200902</v>
      </c>
      <c r="D152" s="236">
        <f t="shared" si="7"/>
        <v>2118</v>
      </c>
      <c r="E152" s="236" cm="1">
        <f t="array" ref="E152">INDEX(GMW!$A$2:$NF$60,MATCH(1,(GMW!$NE$2:$NE$60=E$3)*(GMW!$ND$2:$ND$60=E$4),0),$D152-1966)</f>
        <v>62261</v>
      </c>
      <c r="F152" s="236" cm="1">
        <f t="array" ref="F152">INDEX(GMW!$A$2:$NF$60,MATCH(1,(GMW!$NE$2:$NE$60=F$3)*(GMW!$ND$2:$ND$60=F$4),0),$D152-1966)</f>
        <v>548859</v>
      </c>
      <c r="G152" s="236" cm="1">
        <f t="array" ref="G152">INDEX(GMW!$A$2:$NF$60,MATCH(1,(GMW!$NE$2:$NE$60=G$3)*(GMW!$ND$2:$ND$60=G$4),0),$D152-1966)</f>
        <v>86.366669999999999</v>
      </c>
      <c r="H152" s="236" cm="1">
        <f t="array" ref="H152">INDEX(GMW!$A$2:$NF$60,MATCH(1,(GMW!$NE$2:$NE$60=H$3)*(GMW!$ND$2:$ND$60=H$4),0),$D152-1966)</f>
        <v>437.66669999999999</v>
      </c>
    </row>
    <row r="153" spans="1:8">
      <c r="A153" s="236">
        <f t="shared" si="8"/>
        <v>2009</v>
      </c>
      <c r="B153" s="236">
        <f t="shared" si="8"/>
        <v>2009</v>
      </c>
      <c r="C153" s="236">
        <f t="shared" si="9"/>
        <v>200903</v>
      </c>
      <c r="D153" s="236">
        <f t="shared" si="7"/>
        <v>2119</v>
      </c>
      <c r="E153" s="236" cm="1">
        <f t="array" ref="E153">INDEX(GMW!$A$2:$NF$60,MATCH(1,(GMW!$NE$2:$NE$60=E$3)*(GMW!$ND$2:$ND$60=E$4),0),$D153-1966)</f>
        <v>62385.75</v>
      </c>
      <c r="F153" s="236" cm="1">
        <f t="array" ref="F153">INDEX(GMW!$A$2:$NF$60,MATCH(1,(GMW!$NE$2:$NE$60=F$3)*(GMW!$ND$2:$ND$60=F$4),0),$D153-1966)</f>
        <v>549540</v>
      </c>
      <c r="G153" s="236" cm="1">
        <f t="array" ref="G153">INDEX(GMW!$A$2:$NF$60,MATCH(1,(GMW!$NE$2:$NE$60=G$3)*(GMW!$ND$2:$ND$60=G$4),0),$D153-1966)</f>
        <v>86.933329999999998</v>
      </c>
      <c r="H153" s="236" cm="1">
        <f t="array" ref="H153">INDEX(GMW!$A$2:$NF$60,MATCH(1,(GMW!$NE$2:$NE$60=H$3)*(GMW!$ND$2:$ND$60=H$4),0),$D153-1966)</f>
        <v>438</v>
      </c>
    </row>
    <row r="154" spans="1:8">
      <c r="A154" s="236">
        <f t="shared" si="8"/>
        <v>2009</v>
      </c>
      <c r="B154" s="236">
        <f t="shared" si="8"/>
        <v>2009</v>
      </c>
      <c r="C154" s="236">
        <f t="shared" si="9"/>
        <v>200904</v>
      </c>
      <c r="D154" s="236">
        <f t="shared" si="7"/>
        <v>2120</v>
      </c>
      <c r="E154" s="236" cm="1">
        <f t="array" ref="E154">INDEX(GMW!$A$2:$NF$60,MATCH(1,(GMW!$NE$2:$NE$60=E$3)*(GMW!$ND$2:$ND$60=E$4),0),$D154-1966)</f>
        <v>62510.5</v>
      </c>
      <c r="F154" s="236" cm="1">
        <f t="array" ref="F154">INDEX(GMW!$A$2:$NF$60,MATCH(1,(GMW!$NE$2:$NE$60=F$3)*(GMW!$ND$2:$ND$60=F$4),0),$D154-1966)</f>
        <v>551372</v>
      </c>
      <c r="G154" s="236" cm="1">
        <f t="array" ref="G154">INDEX(GMW!$A$2:$NF$60,MATCH(1,(GMW!$NE$2:$NE$60=G$3)*(GMW!$ND$2:$ND$60=G$4),0),$D154-1966)</f>
        <v>87.566670000000002</v>
      </c>
      <c r="H154" s="236" cm="1">
        <f t="array" ref="H154">INDEX(GMW!$A$2:$NF$60,MATCH(1,(GMW!$NE$2:$NE$60=H$3)*(GMW!$ND$2:$ND$60=H$4),0),$D154-1966)</f>
        <v>439.66669999999999</v>
      </c>
    </row>
    <row r="155" spans="1:8">
      <c r="A155" s="236">
        <f t="shared" si="8"/>
        <v>2010</v>
      </c>
      <c r="B155" s="236">
        <f t="shared" si="8"/>
        <v>2009</v>
      </c>
      <c r="C155" s="236">
        <f t="shared" si="9"/>
        <v>201001</v>
      </c>
      <c r="D155" s="236">
        <f t="shared" si="7"/>
        <v>2121</v>
      </c>
      <c r="E155" s="236" cm="1">
        <f t="array" ref="E155">INDEX(GMW!$A$2:$NF$60,MATCH(1,(GMW!$NE$2:$NE$60=E$3)*(GMW!$ND$2:$ND$60=E$4),0),$D155-1966)</f>
        <v>62635.25</v>
      </c>
      <c r="F155" s="236" cm="1">
        <f t="array" ref="F155">INDEX(GMW!$A$2:$NF$60,MATCH(1,(GMW!$NE$2:$NE$60=F$3)*(GMW!$ND$2:$ND$60=F$4),0),$D155-1966)</f>
        <v>556002</v>
      </c>
      <c r="G155" s="236" cm="1">
        <f t="array" ref="G155">INDEX(GMW!$A$2:$NF$60,MATCH(1,(GMW!$NE$2:$NE$60=G$3)*(GMW!$ND$2:$ND$60=G$4),0),$D155-1966)</f>
        <v>88.233329999999995</v>
      </c>
      <c r="H155" s="236" cm="1">
        <f t="array" ref="H155">INDEX(GMW!$A$2:$NF$60,MATCH(1,(GMW!$NE$2:$NE$60=H$3)*(GMW!$ND$2:$ND$60=H$4),0),$D155-1966)</f>
        <v>442</v>
      </c>
    </row>
    <row r="156" spans="1:8">
      <c r="A156" s="236">
        <f t="shared" si="8"/>
        <v>2010</v>
      </c>
      <c r="B156" s="236">
        <f t="shared" si="8"/>
        <v>2010</v>
      </c>
      <c r="C156" s="236">
        <f t="shared" si="9"/>
        <v>201002</v>
      </c>
      <c r="D156" s="236">
        <f t="shared" si="7"/>
        <v>2122</v>
      </c>
      <c r="E156" s="236" cm="1">
        <f t="array" ref="E156">INDEX(GMW!$A$2:$NF$60,MATCH(1,(GMW!$NE$2:$NE$60=E$3)*(GMW!$ND$2:$ND$60=E$4),0),$D156-1966)</f>
        <v>62760</v>
      </c>
      <c r="F156" s="236" cm="1">
        <f t="array" ref="F156">INDEX(GMW!$A$2:$NF$60,MATCH(1,(GMW!$NE$2:$NE$60=F$3)*(GMW!$ND$2:$ND$60=F$4),0),$D156-1966)</f>
        <v>562353</v>
      </c>
      <c r="G156" s="236" cm="1">
        <f t="array" ref="G156">INDEX(GMW!$A$2:$NF$60,MATCH(1,(GMW!$NE$2:$NE$60=G$3)*(GMW!$ND$2:$ND$60=G$4),0),$D156-1966)</f>
        <v>89.366669999999999</v>
      </c>
      <c r="H156" s="236" cm="1">
        <f t="array" ref="H156">INDEX(GMW!$A$2:$NF$60,MATCH(1,(GMW!$NE$2:$NE$60=H$3)*(GMW!$ND$2:$ND$60=H$4),0),$D156-1966)</f>
        <v>442.33330000000001</v>
      </c>
    </row>
    <row r="157" spans="1:8">
      <c r="A157" s="236">
        <f t="shared" si="8"/>
        <v>2010</v>
      </c>
      <c r="B157" s="236">
        <f t="shared" si="8"/>
        <v>2010</v>
      </c>
      <c r="C157" s="236">
        <f t="shared" si="9"/>
        <v>201003</v>
      </c>
      <c r="D157" s="236">
        <f t="shared" si="7"/>
        <v>2123</v>
      </c>
      <c r="E157" s="236" cm="1">
        <f t="array" ref="E157">INDEX(GMW!$A$2:$NF$60,MATCH(1,(GMW!$NE$2:$NE$60=E$3)*(GMW!$ND$2:$ND$60=E$4),0),$D157-1966)</f>
        <v>62891.25</v>
      </c>
      <c r="F157" s="236" cm="1">
        <f t="array" ref="F157">INDEX(GMW!$A$2:$NF$60,MATCH(1,(GMW!$NE$2:$NE$60=F$3)*(GMW!$ND$2:$ND$60=F$4),0),$D157-1966)</f>
        <v>565659</v>
      </c>
      <c r="G157" s="236" cm="1">
        <f t="array" ref="G157">INDEX(GMW!$A$2:$NF$60,MATCH(1,(GMW!$NE$2:$NE$60=G$3)*(GMW!$ND$2:$ND$60=G$4),0),$D157-1966)</f>
        <v>89.633330000000001</v>
      </c>
      <c r="H157" s="236" cm="1">
        <f t="array" ref="H157">INDEX(GMW!$A$2:$NF$60,MATCH(1,(GMW!$NE$2:$NE$60=H$3)*(GMW!$ND$2:$ND$60=H$4),0),$D157-1966)</f>
        <v>444.66669999999999</v>
      </c>
    </row>
    <row r="158" spans="1:8">
      <c r="A158" s="236">
        <f t="shared" si="8"/>
        <v>2010</v>
      </c>
      <c r="B158" s="236">
        <f t="shared" si="8"/>
        <v>2010</v>
      </c>
      <c r="C158" s="236">
        <f t="shared" si="9"/>
        <v>201004</v>
      </c>
      <c r="D158" s="236">
        <f t="shared" si="7"/>
        <v>2124</v>
      </c>
      <c r="E158" s="236" cm="1">
        <f t="array" ref="E158">INDEX(GMW!$A$2:$NF$60,MATCH(1,(GMW!$NE$2:$NE$60=E$3)*(GMW!$ND$2:$ND$60=E$4),0),$D158-1966)</f>
        <v>63022.5</v>
      </c>
      <c r="F158" s="236" cm="1">
        <f t="array" ref="F158">INDEX(GMW!$A$2:$NF$60,MATCH(1,(GMW!$NE$2:$NE$60=F$3)*(GMW!$ND$2:$ND$60=F$4),0),$D158-1966)</f>
        <v>565945</v>
      </c>
      <c r="G158" s="236" cm="1">
        <f t="array" ref="G158">INDEX(GMW!$A$2:$NF$60,MATCH(1,(GMW!$NE$2:$NE$60=G$3)*(GMW!$ND$2:$ND$60=G$4),0),$D158-1966)</f>
        <v>90.5</v>
      </c>
      <c r="H158" s="236" cm="1">
        <f t="array" ref="H158">INDEX(GMW!$A$2:$NF$60,MATCH(1,(GMW!$NE$2:$NE$60=H$3)*(GMW!$ND$2:$ND$60=H$4),0),$D158-1966)</f>
        <v>448</v>
      </c>
    </row>
    <row r="159" spans="1:8">
      <c r="A159" s="236">
        <f t="shared" si="8"/>
        <v>2011</v>
      </c>
      <c r="B159" s="236">
        <f t="shared" si="8"/>
        <v>2010</v>
      </c>
      <c r="C159" s="236">
        <f t="shared" si="9"/>
        <v>201101</v>
      </c>
      <c r="D159" s="236">
        <f t="shared" si="7"/>
        <v>2125</v>
      </c>
      <c r="E159" s="236" cm="1">
        <f t="array" ref="E159">INDEX(GMW!$A$2:$NF$60,MATCH(1,(GMW!$NE$2:$NE$60=E$3)*(GMW!$ND$2:$ND$60=E$4),0),$D159-1966)</f>
        <v>63153.75</v>
      </c>
      <c r="F159" s="236" cm="1">
        <f t="array" ref="F159">INDEX(GMW!$A$2:$NF$60,MATCH(1,(GMW!$NE$2:$NE$60=F$3)*(GMW!$ND$2:$ND$60=F$4),0),$D159-1966)</f>
        <v>566873</v>
      </c>
      <c r="G159" s="236" cm="1">
        <f t="array" ref="G159">INDEX(GMW!$A$2:$NF$60,MATCH(1,(GMW!$NE$2:$NE$60=G$3)*(GMW!$ND$2:$ND$60=G$4),0),$D159-1966)</f>
        <v>91.833340000000007</v>
      </c>
      <c r="H159" s="236" cm="1">
        <f t="array" ref="H159">INDEX(GMW!$A$2:$NF$60,MATCH(1,(GMW!$NE$2:$NE$60=H$3)*(GMW!$ND$2:$ND$60=H$4),0),$D159-1966)</f>
        <v>454.66669999999999</v>
      </c>
    </row>
    <row r="160" spans="1:8">
      <c r="A160" s="236">
        <f t="shared" si="8"/>
        <v>2011</v>
      </c>
      <c r="B160" s="236">
        <f t="shared" si="8"/>
        <v>2011</v>
      </c>
      <c r="C160" s="236">
        <f t="shared" si="9"/>
        <v>201102</v>
      </c>
      <c r="D160" s="236">
        <f t="shared" si="7"/>
        <v>2126</v>
      </c>
      <c r="E160" s="236" cm="1">
        <f t="array" ref="E160">INDEX(GMW!$A$2:$NF$60,MATCH(1,(GMW!$NE$2:$NE$60=E$3)*(GMW!$ND$2:$ND$60=E$4),0),$D160-1966)</f>
        <v>63285</v>
      </c>
      <c r="F160" s="236" cm="1">
        <f t="array" ref="F160">INDEX(GMW!$A$2:$NF$60,MATCH(1,(GMW!$NE$2:$NE$60=F$3)*(GMW!$ND$2:$ND$60=F$4),0),$D160-1966)</f>
        <v>566601</v>
      </c>
      <c r="G160" s="236" cm="1">
        <f t="array" ref="G160">INDEX(GMW!$A$2:$NF$60,MATCH(1,(GMW!$NE$2:$NE$60=G$3)*(GMW!$ND$2:$ND$60=G$4),0),$D160-1966)</f>
        <v>93.3</v>
      </c>
      <c r="H160" s="236" cm="1">
        <f t="array" ref="H160">INDEX(GMW!$A$2:$NF$60,MATCH(1,(GMW!$NE$2:$NE$60=H$3)*(GMW!$ND$2:$ND$60=H$4),0),$D160-1966)</f>
        <v>453.33330000000001</v>
      </c>
    </row>
    <row r="161" spans="1:8">
      <c r="A161" s="236">
        <f t="shared" si="8"/>
        <v>2011</v>
      </c>
      <c r="B161" s="236">
        <f t="shared" si="8"/>
        <v>2011</v>
      </c>
      <c r="C161" s="236">
        <f t="shared" si="9"/>
        <v>201103</v>
      </c>
      <c r="D161" s="236">
        <f t="shared" si="7"/>
        <v>2127</v>
      </c>
      <c r="E161" s="236" cm="1">
        <f t="array" ref="E161">INDEX(GMW!$A$2:$NF$60,MATCH(1,(GMW!$NE$2:$NE$60=E$3)*(GMW!$ND$2:$ND$60=E$4),0),$D161-1966)</f>
        <v>63391.5</v>
      </c>
      <c r="F161" s="236" cm="1">
        <f t="array" ref="F161">INDEX(GMW!$A$2:$NF$60,MATCH(1,(GMW!$NE$2:$NE$60=F$3)*(GMW!$ND$2:$ND$60=F$4),0),$D161-1966)</f>
        <v>567586</v>
      </c>
      <c r="G161" s="236" cm="1">
        <f t="array" ref="G161">INDEX(GMW!$A$2:$NF$60,MATCH(1,(GMW!$NE$2:$NE$60=G$3)*(GMW!$ND$2:$ND$60=G$4),0),$D161-1966)</f>
        <v>93.833340000000007</v>
      </c>
      <c r="H161" s="236" cm="1">
        <f t="array" ref="H161">INDEX(GMW!$A$2:$NF$60,MATCH(1,(GMW!$NE$2:$NE$60=H$3)*(GMW!$ND$2:$ND$60=H$4),0),$D161-1966)</f>
        <v>454.66669999999999</v>
      </c>
    </row>
    <row r="162" spans="1:8">
      <c r="A162" s="236">
        <f t="shared" si="8"/>
        <v>2011</v>
      </c>
      <c r="B162" s="236">
        <f t="shared" si="8"/>
        <v>2011</v>
      </c>
      <c r="C162" s="236">
        <f t="shared" si="9"/>
        <v>201104</v>
      </c>
      <c r="D162" s="236">
        <f t="shared" si="7"/>
        <v>2128</v>
      </c>
      <c r="E162" s="236" cm="1">
        <f t="array" ref="E162">INDEX(GMW!$A$2:$NF$60,MATCH(1,(GMW!$NE$2:$NE$60=E$3)*(GMW!$ND$2:$ND$60=E$4),0),$D162-1966)</f>
        <v>63498</v>
      </c>
      <c r="F162" s="236" cm="1">
        <f t="array" ref="F162">INDEX(GMW!$A$2:$NF$60,MATCH(1,(GMW!$NE$2:$NE$60=F$3)*(GMW!$ND$2:$ND$60=F$4),0),$D162-1966)</f>
        <v>568056</v>
      </c>
      <c r="G162" s="236" cm="1">
        <f t="array" ref="G162">INDEX(GMW!$A$2:$NF$60,MATCH(1,(GMW!$NE$2:$NE$60=G$3)*(GMW!$ND$2:$ND$60=G$4),0),$D162-1966)</f>
        <v>94.733329999999995</v>
      </c>
      <c r="H162" s="236" cm="1">
        <f t="array" ref="H162">INDEX(GMW!$A$2:$NF$60,MATCH(1,(GMW!$NE$2:$NE$60=H$3)*(GMW!$ND$2:$ND$60=H$4),0),$D162-1966)</f>
        <v>456.66669999999999</v>
      </c>
    </row>
    <row r="163" spans="1:8">
      <c r="A163" s="236">
        <f t="shared" si="8"/>
        <v>2012</v>
      </c>
      <c r="B163" s="236">
        <f t="shared" si="8"/>
        <v>2011</v>
      </c>
      <c r="C163" s="236">
        <f t="shared" si="9"/>
        <v>201201</v>
      </c>
      <c r="D163" s="236">
        <f t="shared" si="7"/>
        <v>2129</v>
      </c>
      <c r="E163" s="236" cm="1">
        <f t="array" ref="E163">INDEX(GMW!$A$2:$NF$60,MATCH(1,(GMW!$NE$2:$NE$60=E$3)*(GMW!$ND$2:$ND$60=E$4),0),$D163-1966)</f>
        <v>63604.5</v>
      </c>
      <c r="F163" s="236" cm="1">
        <f t="array" ref="F163">INDEX(GMW!$A$2:$NF$60,MATCH(1,(GMW!$NE$2:$NE$60=F$3)*(GMW!$ND$2:$ND$60=F$4),0),$D163-1966)</f>
        <v>573416</v>
      </c>
      <c r="G163" s="236" cm="1">
        <f t="array" ref="G163">INDEX(GMW!$A$2:$NF$60,MATCH(1,(GMW!$NE$2:$NE$60=G$3)*(GMW!$ND$2:$ND$60=G$4),0),$D163-1966)</f>
        <v>95.033330000000007</v>
      </c>
      <c r="H163" s="236" cm="1">
        <f t="array" ref="H163">INDEX(GMW!$A$2:$NF$60,MATCH(1,(GMW!$NE$2:$NE$60=H$3)*(GMW!$ND$2:$ND$60=H$4),0),$D163-1966)</f>
        <v>457</v>
      </c>
    </row>
    <row r="164" spans="1:8">
      <c r="A164" s="236">
        <f t="shared" si="8"/>
        <v>2012</v>
      </c>
      <c r="B164" s="236">
        <f t="shared" si="8"/>
        <v>2012</v>
      </c>
      <c r="C164" s="236">
        <f t="shared" si="9"/>
        <v>201202</v>
      </c>
      <c r="D164" s="236">
        <f t="shared" si="7"/>
        <v>2130</v>
      </c>
      <c r="E164" s="236" cm="1">
        <f t="array" ref="E164">INDEX(GMW!$A$2:$NF$60,MATCH(1,(GMW!$NE$2:$NE$60=E$3)*(GMW!$ND$2:$ND$60=E$4),0),$D164-1966)</f>
        <v>63711</v>
      </c>
      <c r="F164" s="236" cm="1">
        <f t="array" ref="F164">INDEX(GMW!$A$2:$NF$60,MATCH(1,(GMW!$NE$2:$NE$60=F$3)*(GMW!$ND$2:$ND$60=F$4),0),$D164-1966)</f>
        <v>573112</v>
      </c>
      <c r="G164" s="236" cm="1">
        <f t="array" ref="G164">INDEX(GMW!$A$2:$NF$60,MATCH(1,(GMW!$NE$2:$NE$60=G$3)*(GMW!$ND$2:$ND$60=G$4),0),$D164-1966)</f>
        <v>95.8</v>
      </c>
      <c r="H164" s="236" cm="1">
        <f t="array" ref="H164">INDEX(GMW!$A$2:$NF$60,MATCH(1,(GMW!$NE$2:$NE$60=H$3)*(GMW!$ND$2:$ND$60=H$4),0),$D164-1966)</f>
        <v>460.33330000000001</v>
      </c>
    </row>
    <row r="165" spans="1:8">
      <c r="A165" s="236">
        <f t="shared" si="8"/>
        <v>2012</v>
      </c>
      <c r="B165" s="236">
        <f t="shared" si="8"/>
        <v>2012</v>
      </c>
      <c r="C165" s="236">
        <f t="shared" si="9"/>
        <v>201203</v>
      </c>
      <c r="D165" s="236">
        <f t="shared" si="7"/>
        <v>2131</v>
      </c>
      <c r="E165" s="236" cm="1">
        <f t="array" ref="E165">INDEX(GMW!$A$2:$NF$60,MATCH(1,(GMW!$NE$2:$NE$60=E$3)*(GMW!$ND$2:$ND$60=E$4),0),$D165-1966)</f>
        <v>63817.75</v>
      </c>
      <c r="F165" s="236" cm="1">
        <f t="array" ref="F165">INDEX(GMW!$A$2:$NF$60,MATCH(1,(GMW!$NE$2:$NE$60=F$3)*(GMW!$ND$2:$ND$60=F$4),0),$D165-1966)</f>
        <v>579051</v>
      </c>
      <c r="G165" s="236" cm="1">
        <f t="array" ref="G165">INDEX(GMW!$A$2:$NF$60,MATCH(1,(GMW!$NE$2:$NE$60=G$3)*(GMW!$ND$2:$ND$60=G$4),0),$D165-1966)</f>
        <v>96.066670000000002</v>
      </c>
      <c r="H165" s="236" cm="1">
        <f t="array" ref="H165">INDEX(GMW!$A$2:$NF$60,MATCH(1,(GMW!$NE$2:$NE$60=H$3)*(GMW!$ND$2:$ND$60=H$4),0),$D165-1966)</f>
        <v>463</v>
      </c>
    </row>
    <row r="166" spans="1:8">
      <c r="A166" s="236">
        <f t="shared" si="8"/>
        <v>2012</v>
      </c>
      <c r="B166" s="236">
        <f t="shared" si="8"/>
        <v>2012</v>
      </c>
      <c r="C166" s="236">
        <f t="shared" si="9"/>
        <v>201204</v>
      </c>
      <c r="D166" s="236">
        <f t="shared" si="7"/>
        <v>2132</v>
      </c>
      <c r="E166" s="236" cm="1">
        <f t="array" ref="E166">INDEX(GMW!$A$2:$NF$60,MATCH(1,(GMW!$NE$2:$NE$60=E$3)*(GMW!$ND$2:$ND$60=E$4),0),$D166-1966)</f>
        <v>63924.5</v>
      </c>
      <c r="F166" s="236" cm="1">
        <f t="array" ref="F166">INDEX(GMW!$A$2:$NF$60,MATCH(1,(GMW!$NE$2:$NE$60=F$3)*(GMW!$ND$2:$ND$60=F$4),0),$D166-1966)</f>
        <v>578215</v>
      </c>
      <c r="G166" s="236" cm="1">
        <f t="array" ref="G166">INDEX(GMW!$A$2:$NF$60,MATCH(1,(GMW!$NE$2:$NE$60=G$3)*(GMW!$ND$2:$ND$60=G$4),0),$D166-1966)</f>
        <v>97.266670000000005</v>
      </c>
      <c r="H166" s="236" cm="1">
        <f t="array" ref="H166">INDEX(GMW!$A$2:$NF$60,MATCH(1,(GMW!$NE$2:$NE$60=H$3)*(GMW!$ND$2:$ND$60=H$4),0),$D166-1966)</f>
        <v>462</v>
      </c>
    </row>
    <row r="167" spans="1:8">
      <c r="A167" s="236">
        <f t="shared" si="8"/>
        <v>2013</v>
      </c>
      <c r="B167" s="236">
        <f t="shared" si="8"/>
        <v>2012</v>
      </c>
      <c r="C167" s="236">
        <f t="shared" si="9"/>
        <v>201301</v>
      </c>
      <c r="D167" s="236">
        <f t="shared" si="7"/>
        <v>2133</v>
      </c>
      <c r="E167" s="236" cm="1">
        <f t="array" ref="E167">INDEX(GMW!$A$2:$NF$60,MATCH(1,(GMW!$NE$2:$NE$60=E$3)*(GMW!$ND$2:$ND$60=E$4),0),$D167-1966)</f>
        <v>64031.25</v>
      </c>
      <c r="F167" s="236" cm="1">
        <f t="array" ref="F167">INDEX(GMW!$A$2:$NF$60,MATCH(1,(GMW!$NE$2:$NE$60=F$3)*(GMW!$ND$2:$ND$60=F$4),0),$D167-1966)</f>
        <v>579749</v>
      </c>
      <c r="G167" s="236" cm="1">
        <f t="array" ref="G167">INDEX(GMW!$A$2:$NF$60,MATCH(1,(GMW!$NE$2:$NE$60=G$3)*(GMW!$ND$2:$ND$60=G$4),0),$D167-1966)</f>
        <v>97.666659999999993</v>
      </c>
      <c r="H167" s="236" cm="1">
        <f t="array" ref="H167">INDEX(GMW!$A$2:$NF$60,MATCH(1,(GMW!$NE$2:$NE$60=H$3)*(GMW!$ND$2:$ND$60=H$4),0),$D167-1966)</f>
        <v>459.33330000000001</v>
      </c>
    </row>
    <row r="168" spans="1:8">
      <c r="A168" s="236">
        <f t="shared" si="8"/>
        <v>2013</v>
      </c>
      <c r="B168" s="236">
        <f t="shared" si="8"/>
        <v>2013</v>
      </c>
      <c r="C168" s="236">
        <f t="shared" si="9"/>
        <v>201302</v>
      </c>
      <c r="D168" s="236">
        <f t="shared" si="7"/>
        <v>2134</v>
      </c>
      <c r="E168" s="236" cm="1">
        <f t="array" ref="E168">INDEX(GMW!$A$2:$NF$60,MATCH(1,(GMW!$NE$2:$NE$60=E$3)*(GMW!$ND$2:$ND$60=E$4),0),$D168-1966)</f>
        <v>64138</v>
      </c>
      <c r="F168" s="236" cm="1">
        <f t="array" ref="F168">INDEX(GMW!$A$2:$NF$60,MATCH(1,(GMW!$NE$2:$NE$60=F$3)*(GMW!$ND$2:$ND$60=F$4),0),$D168-1966)</f>
        <v>583605</v>
      </c>
      <c r="G168" s="236" cm="1">
        <f t="array" ref="G168">INDEX(GMW!$A$2:$NF$60,MATCH(1,(GMW!$NE$2:$NE$60=G$3)*(GMW!$ND$2:$ND$60=G$4),0),$D168-1966)</f>
        <v>98.366669999999999</v>
      </c>
      <c r="H168" s="236" cm="1">
        <f t="array" ref="H168">INDEX(GMW!$A$2:$NF$60,MATCH(1,(GMW!$NE$2:$NE$60=H$3)*(GMW!$ND$2:$ND$60=H$4),0),$D168-1966)</f>
        <v>470.66669999999999</v>
      </c>
    </row>
    <row r="169" spans="1:8">
      <c r="A169" s="236">
        <f t="shared" si="8"/>
        <v>2013</v>
      </c>
      <c r="B169" s="236">
        <f t="shared" si="8"/>
        <v>2013</v>
      </c>
      <c r="C169" s="236">
        <f t="shared" si="9"/>
        <v>201303</v>
      </c>
      <c r="D169" s="236">
        <f t="shared" si="7"/>
        <v>2135</v>
      </c>
      <c r="E169" s="236" cm="1">
        <f t="array" ref="E169">INDEX(GMW!$A$2:$NF$60,MATCH(1,(GMW!$NE$2:$NE$60=E$3)*(GMW!$ND$2:$ND$60=E$4),0),$D169-1966)</f>
        <v>64258.25</v>
      </c>
      <c r="F169" s="236" cm="1">
        <f t="array" ref="F169">INDEX(GMW!$A$2:$NF$60,MATCH(1,(GMW!$NE$2:$NE$60=F$3)*(GMW!$ND$2:$ND$60=F$4),0),$D169-1966)</f>
        <v>588076</v>
      </c>
      <c r="G169" s="236" cm="1">
        <f t="array" ref="G169">INDEX(GMW!$A$2:$NF$60,MATCH(1,(GMW!$NE$2:$NE$60=G$3)*(GMW!$ND$2:$ND$60=G$4),0),$D169-1966)</f>
        <v>98.7</v>
      </c>
      <c r="H169" s="236" cm="1">
        <f t="array" ref="H169">INDEX(GMW!$A$2:$NF$60,MATCH(1,(GMW!$NE$2:$NE$60=H$3)*(GMW!$ND$2:$ND$60=H$4),0),$D169-1966)</f>
        <v>466</v>
      </c>
    </row>
    <row r="170" spans="1:8">
      <c r="A170" s="236">
        <f t="shared" si="8"/>
        <v>2013</v>
      </c>
      <c r="B170" s="236">
        <f t="shared" si="8"/>
        <v>2013</v>
      </c>
      <c r="C170" s="236">
        <f t="shared" si="9"/>
        <v>201304</v>
      </c>
      <c r="D170" s="236">
        <f t="shared" si="7"/>
        <v>2136</v>
      </c>
      <c r="E170" s="236" cm="1">
        <f t="array" ref="E170">INDEX(GMW!$A$2:$NF$60,MATCH(1,(GMW!$NE$2:$NE$60=E$3)*(GMW!$ND$2:$ND$60=E$4),0),$D170-1966)</f>
        <v>64378.5</v>
      </c>
      <c r="F170" s="236" cm="1">
        <f t="array" ref="F170">INDEX(GMW!$A$2:$NF$60,MATCH(1,(GMW!$NE$2:$NE$60=F$3)*(GMW!$ND$2:$ND$60=F$4),0),$D170-1966)</f>
        <v>591954</v>
      </c>
      <c r="G170" s="236" cm="1">
        <f t="array" ref="G170">INDEX(GMW!$A$2:$NF$60,MATCH(1,(GMW!$NE$2:$NE$60=G$3)*(GMW!$ND$2:$ND$60=G$4),0),$D170-1966)</f>
        <v>99.3</v>
      </c>
      <c r="H170" s="236" cm="1">
        <f t="array" ref="H170">INDEX(GMW!$A$2:$NF$60,MATCH(1,(GMW!$NE$2:$NE$60=H$3)*(GMW!$ND$2:$ND$60=H$4),0),$D170-1966)</f>
        <v>466.66669999999999</v>
      </c>
    </row>
    <row r="171" spans="1:8">
      <c r="A171" s="236">
        <f t="shared" si="8"/>
        <v>2014</v>
      </c>
      <c r="B171" s="236">
        <f t="shared" si="8"/>
        <v>2013</v>
      </c>
      <c r="C171" s="236">
        <f t="shared" si="9"/>
        <v>201401</v>
      </c>
      <c r="D171" s="236">
        <f t="shared" si="7"/>
        <v>2137</v>
      </c>
      <c r="E171" s="236" cm="1">
        <f t="array" ref="E171">INDEX(GMW!$A$2:$NF$60,MATCH(1,(GMW!$NE$2:$NE$60=E$3)*(GMW!$ND$2:$ND$60=E$4),0),$D171-1966)</f>
        <v>64498.75</v>
      </c>
      <c r="F171" s="236" cm="1">
        <f t="array" ref="F171">INDEX(GMW!$A$2:$NF$60,MATCH(1,(GMW!$NE$2:$NE$60=F$3)*(GMW!$ND$2:$ND$60=F$4),0),$D171-1966)</f>
        <v>596696</v>
      </c>
      <c r="G171" s="236" cm="1">
        <f t="array" ref="G171">INDEX(GMW!$A$2:$NF$60,MATCH(1,(GMW!$NE$2:$NE$60=G$3)*(GMW!$ND$2:$ND$60=G$4),0),$D171-1966)</f>
        <v>99.4</v>
      </c>
      <c r="H171" s="236" cm="1">
        <f t="array" ref="H171">INDEX(GMW!$A$2:$NF$60,MATCH(1,(GMW!$NE$2:$NE$60=H$3)*(GMW!$ND$2:$ND$60=H$4),0),$D171-1966)</f>
        <v>467.33330000000001</v>
      </c>
    </row>
    <row r="172" spans="1:8">
      <c r="A172" s="236">
        <f t="shared" si="8"/>
        <v>2014</v>
      </c>
      <c r="B172" s="236">
        <f t="shared" si="8"/>
        <v>2014</v>
      </c>
      <c r="C172" s="236">
        <f t="shared" si="9"/>
        <v>201402</v>
      </c>
      <c r="D172" s="236">
        <f t="shared" si="7"/>
        <v>2138</v>
      </c>
      <c r="E172" s="236" cm="1">
        <f t="array" ref="E172">INDEX(GMW!$A$2:$NF$60,MATCH(1,(GMW!$NE$2:$NE$60=E$3)*(GMW!$ND$2:$ND$60=E$4),0),$D172-1966)</f>
        <v>64619</v>
      </c>
      <c r="F172" s="236" cm="1">
        <f t="array" ref="F172">INDEX(GMW!$A$2:$NF$60,MATCH(1,(GMW!$NE$2:$NE$60=F$3)*(GMW!$ND$2:$ND$60=F$4),0),$D172-1966)</f>
        <v>602310</v>
      </c>
      <c r="G172" s="236" cm="1">
        <f t="array" ref="G172">INDEX(GMW!$A$2:$NF$60,MATCH(1,(GMW!$NE$2:$NE$60=G$3)*(GMW!$ND$2:$ND$60=G$4),0),$D172-1966)</f>
        <v>100.1</v>
      </c>
      <c r="H172" s="236" cm="1">
        <f t="array" ref="H172">INDEX(GMW!$A$2:$NF$60,MATCH(1,(GMW!$NE$2:$NE$60=H$3)*(GMW!$ND$2:$ND$60=H$4),0),$D172-1966)</f>
        <v>469.33330000000001</v>
      </c>
    </row>
    <row r="173" spans="1:8">
      <c r="A173" s="236">
        <f t="shared" si="8"/>
        <v>2014</v>
      </c>
      <c r="B173" s="236">
        <f t="shared" si="8"/>
        <v>2014</v>
      </c>
      <c r="C173" s="236">
        <f t="shared" si="9"/>
        <v>201403</v>
      </c>
      <c r="D173" s="236">
        <f t="shared" si="7"/>
        <v>2139</v>
      </c>
      <c r="E173" s="236" cm="1">
        <f t="array" ref="E173">INDEX(GMW!$A$2:$NF$60,MATCH(1,(GMW!$NE$2:$NE$60=E$3)*(GMW!$ND$2:$ND$60=E$4),0),$D173-1966)</f>
        <v>64736</v>
      </c>
      <c r="F173" s="236" cm="1">
        <f t="array" ref="F173">INDEX(GMW!$A$2:$NF$60,MATCH(1,(GMW!$NE$2:$NE$60=F$3)*(GMW!$ND$2:$ND$60=F$4),0),$D173-1966)</f>
        <v>607213</v>
      </c>
      <c r="G173" s="236" cm="1">
        <f t="array" ref="G173">INDEX(GMW!$A$2:$NF$60,MATCH(1,(GMW!$NE$2:$NE$60=G$3)*(GMW!$ND$2:$ND$60=G$4),0),$D173-1966)</f>
        <v>100.13330000000001</v>
      </c>
      <c r="H173" s="236" cm="1">
        <f t="array" ref="H173">INDEX(GMW!$A$2:$NF$60,MATCH(1,(GMW!$NE$2:$NE$60=H$3)*(GMW!$ND$2:$ND$60=H$4),0),$D173-1966)</f>
        <v>470</v>
      </c>
    </row>
    <row r="174" spans="1:8">
      <c r="A174" s="236">
        <f t="shared" si="8"/>
        <v>2014</v>
      </c>
      <c r="B174" s="236">
        <f t="shared" si="8"/>
        <v>2014</v>
      </c>
      <c r="C174" s="236">
        <f t="shared" si="9"/>
        <v>201404</v>
      </c>
      <c r="D174" s="236">
        <f t="shared" si="7"/>
        <v>2140</v>
      </c>
      <c r="E174" s="236" cm="1">
        <f t="array" ref="E174">INDEX(GMW!$A$2:$NF$60,MATCH(1,(GMW!$NE$2:$NE$60=E$3)*(GMW!$ND$2:$ND$60=E$4),0),$D174-1966)</f>
        <v>64853</v>
      </c>
      <c r="F174" s="236" cm="1">
        <f t="array" ref="F174">INDEX(GMW!$A$2:$NF$60,MATCH(1,(GMW!$NE$2:$NE$60=F$3)*(GMW!$ND$2:$ND$60=F$4),0),$D174-1966)</f>
        <v>611220</v>
      </c>
      <c r="G174" s="236" cm="1">
        <f t="array" ref="G174">INDEX(GMW!$A$2:$NF$60,MATCH(1,(GMW!$NE$2:$NE$60=G$3)*(GMW!$ND$2:$ND$60=G$4),0),$D174-1966)</f>
        <v>100.2</v>
      </c>
      <c r="H174" s="236" cm="1">
        <f t="array" ref="H174">INDEX(GMW!$A$2:$NF$60,MATCH(1,(GMW!$NE$2:$NE$60=H$3)*(GMW!$ND$2:$ND$60=H$4),0),$D174-1966)</f>
        <v>476</v>
      </c>
    </row>
    <row r="175" spans="1:8">
      <c r="A175" s="236">
        <f t="shared" si="8"/>
        <v>2015</v>
      </c>
      <c r="B175" s="236">
        <f t="shared" si="8"/>
        <v>2014</v>
      </c>
      <c r="C175" s="236">
        <f t="shared" si="9"/>
        <v>201501</v>
      </c>
      <c r="D175" s="236">
        <f t="shared" si="7"/>
        <v>2141</v>
      </c>
      <c r="E175" s="236" cm="1">
        <f t="array" ref="E175">INDEX(GMW!$A$2:$NF$60,MATCH(1,(GMW!$NE$2:$NE$60=E$3)*(GMW!$ND$2:$ND$60=E$4),0),$D175-1966)</f>
        <v>64970</v>
      </c>
      <c r="F175" s="236" cm="1">
        <f t="array" ref="F175">INDEX(GMW!$A$2:$NF$60,MATCH(1,(GMW!$NE$2:$NE$60=F$3)*(GMW!$ND$2:$ND$60=F$4),0),$D175-1966)</f>
        <v>613076</v>
      </c>
      <c r="G175" s="236" cm="1">
        <f t="array" ref="G175">INDEX(GMW!$A$2:$NF$60,MATCH(1,(GMW!$NE$2:$NE$60=G$3)*(GMW!$ND$2:$ND$60=G$4),0),$D175-1966)</f>
        <v>99.5</v>
      </c>
      <c r="H175" s="236" cm="1">
        <f t="array" ref="H175">INDEX(GMW!$A$2:$NF$60,MATCH(1,(GMW!$NE$2:$NE$60=H$3)*(GMW!$ND$2:$ND$60=H$4),0),$D175-1966)</f>
        <v>478</v>
      </c>
    </row>
    <row r="176" spans="1:8">
      <c r="A176" s="236">
        <f t="shared" si="8"/>
        <v>2015</v>
      </c>
      <c r="B176" s="236">
        <f t="shared" si="8"/>
        <v>2015</v>
      </c>
      <c r="C176" s="236">
        <f t="shared" si="9"/>
        <v>201502</v>
      </c>
      <c r="D176" s="236">
        <f t="shared" si="7"/>
        <v>2142</v>
      </c>
      <c r="E176" s="236" cm="1">
        <f t="array" ref="E176">INDEX(GMW!$A$2:$NF$60,MATCH(1,(GMW!$NE$2:$NE$60=E$3)*(GMW!$ND$2:$ND$60=E$4),0),$D176-1966)</f>
        <v>65087</v>
      </c>
      <c r="F176" s="236" cm="1">
        <f t="array" ref="F176">INDEX(GMW!$A$2:$NF$60,MATCH(1,(GMW!$NE$2:$NE$60=F$3)*(GMW!$ND$2:$ND$60=F$4),0),$D176-1966)</f>
        <v>615875</v>
      </c>
      <c r="G176" s="236" cm="1">
        <f t="array" ref="G176">INDEX(GMW!$A$2:$NF$60,MATCH(1,(GMW!$NE$2:$NE$60=G$3)*(GMW!$ND$2:$ND$60=G$4),0),$D176-1966)</f>
        <v>100.0667</v>
      </c>
      <c r="H176" s="236" cm="1">
        <f t="array" ref="H176">INDEX(GMW!$A$2:$NF$60,MATCH(1,(GMW!$NE$2:$NE$60=H$3)*(GMW!$ND$2:$ND$60=H$4),0),$D176-1966)</f>
        <v>481.33330000000001</v>
      </c>
    </row>
    <row r="177" spans="1:8">
      <c r="A177" s="236">
        <f t="shared" si="8"/>
        <v>2015</v>
      </c>
      <c r="B177" s="236">
        <f t="shared" si="8"/>
        <v>2015</v>
      </c>
      <c r="C177" s="236">
        <f t="shared" si="9"/>
        <v>201503</v>
      </c>
      <c r="D177" s="236">
        <f t="shared" ref="D177:D240" si="10">+D176+1</f>
        <v>2143</v>
      </c>
      <c r="E177" s="236" cm="1">
        <f t="array" ref="E177">INDEX(GMW!$A$2:$NF$60,MATCH(1,(GMW!$NE$2:$NE$60=E$3)*(GMW!$ND$2:$ND$60=E$4),0),$D177-1966)</f>
        <v>65216.75</v>
      </c>
      <c r="F177" s="236" cm="1">
        <f t="array" ref="F177">INDEX(GMW!$A$2:$NF$60,MATCH(1,(GMW!$NE$2:$NE$60=F$3)*(GMW!$ND$2:$ND$60=F$4),0),$D177-1966)</f>
        <v>618263</v>
      </c>
      <c r="G177" s="236" cm="1">
        <f t="array" ref="G177">INDEX(GMW!$A$2:$NF$60,MATCH(1,(GMW!$NE$2:$NE$60=G$3)*(GMW!$ND$2:$ND$60=G$4),0),$D177-1966)</f>
        <v>100.16670000000001</v>
      </c>
      <c r="H177" s="236" cm="1">
        <f t="array" ref="H177">INDEX(GMW!$A$2:$NF$60,MATCH(1,(GMW!$NE$2:$NE$60=H$3)*(GMW!$ND$2:$ND$60=H$4),0),$D177-1966)</f>
        <v>483.66669999999999</v>
      </c>
    </row>
    <row r="178" spans="1:8">
      <c r="A178" s="236">
        <f t="shared" si="8"/>
        <v>2015</v>
      </c>
      <c r="B178" s="236">
        <f t="shared" si="8"/>
        <v>2015</v>
      </c>
      <c r="C178" s="236">
        <f t="shared" si="9"/>
        <v>201504</v>
      </c>
      <c r="D178" s="236">
        <f t="shared" si="10"/>
        <v>2144</v>
      </c>
      <c r="E178" s="236" cm="1">
        <f t="array" ref="E178">INDEX(GMW!$A$2:$NF$60,MATCH(1,(GMW!$NE$2:$NE$60=E$3)*(GMW!$ND$2:$ND$60=E$4),0),$D178-1966)</f>
        <v>65346.5</v>
      </c>
      <c r="F178" s="236" cm="1">
        <f t="array" ref="F178">INDEX(GMW!$A$2:$NF$60,MATCH(1,(GMW!$NE$2:$NE$60=F$3)*(GMW!$ND$2:$ND$60=F$4),0),$D178-1966)</f>
        <v>621968</v>
      </c>
      <c r="G178" s="236" cm="1">
        <f t="array" ref="G178">INDEX(GMW!$A$2:$NF$60,MATCH(1,(GMW!$NE$2:$NE$60=G$3)*(GMW!$ND$2:$ND$60=G$4),0),$D178-1966)</f>
        <v>100.3</v>
      </c>
      <c r="H178" s="236" cm="1">
        <f t="array" ref="H178">INDEX(GMW!$A$2:$NF$60,MATCH(1,(GMW!$NE$2:$NE$60=H$3)*(GMW!$ND$2:$ND$60=H$4),0),$D178-1966)</f>
        <v>485</v>
      </c>
    </row>
    <row r="179" spans="1:8">
      <c r="A179" s="236">
        <f t="shared" si="8"/>
        <v>2016</v>
      </c>
      <c r="B179" s="236">
        <f t="shared" si="8"/>
        <v>2015</v>
      </c>
      <c r="C179" s="236">
        <f t="shared" si="9"/>
        <v>201601</v>
      </c>
      <c r="D179" s="236">
        <f t="shared" si="10"/>
        <v>2145</v>
      </c>
      <c r="E179" s="236" cm="1">
        <f t="array" ref="E179">INDEX(GMW!$A$2:$NF$60,MATCH(1,(GMW!$NE$2:$NE$60=E$3)*(GMW!$ND$2:$ND$60=E$4),0),$D179-1966)</f>
        <v>65476.25</v>
      </c>
      <c r="F179" s="236" cm="1">
        <f t="array" ref="F179">INDEX(GMW!$A$2:$NF$60,MATCH(1,(GMW!$NE$2:$NE$60=F$3)*(GMW!$ND$2:$ND$60=F$4),0),$D179-1966)</f>
        <v>625099</v>
      </c>
      <c r="G179" s="236" cm="1">
        <f t="array" ref="G179">INDEX(GMW!$A$2:$NF$60,MATCH(1,(GMW!$NE$2:$NE$60=G$3)*(GMW!$ND$2:$ND$60=G$4),0),$D179-1966)</f>
        <v>99.833340000000007</v>
      </c>
      <c r="H179" s="236" cm="1">
        <f t="array" ref="H179">INDEX(GMW!$A$2:$NF$60,MATCH(1,(GMW!$NE$2:$NE$60=H$3)*(GMW!$ND$2:$ND$60=H$4),0),$D179-1966)</f>
        <v>488.33330000000001</v>
      </c>
    </row>
    <row r="180" spans="1:8">
      <c r="A180" s="236">
        <f t="shared" si="8"/>
        <v>2016</v>
      </c>
      <c r="B180" s="236">
        <f t="shared" si="8"/>
        <v>2016</v>
      </c>
      <c r="C180" s="236">
        <f t="shared" si="9"/>
        <v>201602</v>
      </c>
      <c r="D180" s="236">
        <f t="shared" si="10"/>
        <v>2146</v>
      </c>
      <c r="E180" s="236" cm="1">
        <f t="array" ref="E180">INDEX(GMW!$A$2:$NF$60,MATCH(1,(GMW!$NE$2:$NE$60=E$3)*(GMW!$ND$2:$ND$60=E$4),0),$D180-1966)</f>
        <v>65606</v>
      </c>
      <c r="F180" s="236" cm="1">
        <f t="array" ref="F180">INDEX(GMW!$A$2:$NF$60,MATCH(1,(GMW!$NE$2:$NE$60=F$3)*(GMW!$ND$2:$ND$60=F$4),0),$D180-1966)</f>
        <v>629697</v>
      </c>
      <c r="G180" s="236" cm="1">
        <f t="array" ref="G180">INDEX(GMW!$A$2:$NF$60,MATCH(1,(GMW!$NE$2:$NE$60=G$3)*(GMW!$ND$2:$ND$60=G$4),0),$D180-1966)</f>
        <v>100.4</v>
      </c>
      <c r="H180" s="236" cm="1">
        <f t="array" ref="H180">INDEX(GMW!$A$2:$NF$60,MATCH(1,(GMW!$NE$2:$NE$60=H$3)*(GMW!$ND$2:$ND$60=H$4),0),$D180-1966)</f>
        <v>493.66669999999999</v>
      </c>
    </row>
    <row r="181" spans="1:8">
      <c r="A181" s="236">
        <f t="shared" si="8"/>
        <v>2016</v>
      </c>
      <c r="B181" s="236">
        <f t="shared" si="8"/>
        <v>2016</v>
      </c>
      <c r="C181" s="236">
        <f t="shared" si="9"/>
        <v>201603</v>
      </c>
      <c r="D181" s="236">
        <f t="shared" si="10"/>
        <v>2147</v>
      </c>
      <c r="E181" s="236" cm="1">
        <f t="array" ref="E181">INDEX(GMW!$A$2:$NF$60,MATCH(1,(GMW!$NE$2:$NE$60=E$3)*(GMW!$ND$2:$ND$60=E$4),0),$D181-1966)</f>
        <v>65695.5</v>
      </c>
      <c r="F181" s="236" cm="1">
        <f t="array" ref="F181">INDEX(GMW!$A$2:$NF$60,MATCH(1,(GMW!$NE$2:$NE$60=F$3)*(GMW!$ND$2:$ND$60=F$4),0),$D181-1966)</f>
        <v>632477</v>
      </c>
      <c r="G181" s="236" cm="1">
        <f t="array" ref="G181">INDEX(GMW!$A$2:$NF$60,MATCH(1,(GMW!$NE$2:$NE$60=G$3)*(GMW!$ND$2:$ND$60=G$4),0),$D181-1966)</f>
        <v>100.86669999999999</v>
      </c>
      <c r="H181" s="236" cm="1">
        <f t="array" ref="H181">INDEX(GMW!$A$2:$NF$60,MATCH(1,(GMW!$NE$2:$NE$60=H$3)*(GMW!$ND$2:$ND$60=H$4),0),$D181-1966)</f>
        <v>495</v>
      </c>
    </row>
    <row r="182" spans="1:8">
      <c r="A182" s="236">
        <f t="shared" si="8"/>
        <v>2016</v>
      </c>
      <c r="B182" s="236">
        <f t="shared" si="8"/>
        <v>2016</v>
      </c>
      <c r="C182" s="236">
        <f t="shared" si="9"/>
        <v>201604</v>
      </c>
      <c r="D182" s="236">
        <f t="shared" si="10"/>
        <v>2148</v>
      </c>
      <c r="E182" s="236" cm="1">
        <f t="array" ref="E182">INDEX(GMW!$A$2:$NF$60,MATCH(1,(GMW!$NE$2:$NE$60=E$3)*(GMW!$ND$2:$ND$60=E$4),0),$D182-1966)</f>
        <v>65785</v>
      </c>
      <c r="F182" s="236" cm="1">
        <f t="array" ref="F182">INDEX(GMW!$A$2:$NF$60,MATCH(1,(GMW!$NE$2:$NE$60=F$3)*(GMW!$ND$2:$ND$60=F$4),0),$D182-1966)</f>
        <v>636392</v>
      </c>
      <c r="G182" s="236" cm="1">
        <f t="array" ref="G182">INDEX(GMW!$A$2:$NF$60,MATCH(1,(GMW!$NE$2:$NE$60=G$3)*(GMW!$ND$2:$ND$60=G$4),0),$D182-1966)</f>
        <v>101.5</v>
      </c>
      <c r="H182" s="236" cm="1">
        <f t="array" ref="H182">INDEX(GMW!$A$2:$NF$60,MATCH(1,(GMW!$NE$2:$NE$60=H$3)*(GMW!$ND$2:$ND$60=H$4),0),$D182-1966)</f>
        <v>497</v>
      </c>
    </row>
    <row r="183" spans="1:8">
      <c r="A183" s="236">
        <f t="shared" si="8"/>
        <v>2017</v>
      </c>
      <c r="B183" s="236">
        <f t="shared" si="8"/>
        <v>2016</v>
      </c>
      <c r="C183" s="236">
        <f t="shared" si="9"/>
        <v>201701</v>
      </c>
      <c r="D183" s="236">
        <f t="shared" si="10"/>
        <v>2149</v>
      </c>
      <c r="E183" s="236" cm="1">
        <f t="array" ref="E183">INDEX(GMW!$A$2:$NF$60,MATCH(1,(GMW!$NE$2:$NE$60=E$3)*(GMW!$ND$2:$ND$60=E$4),0),$D183-1966)</f>
        <v>65874.5</v>
      </c>
      <c r="F183" s="236" cm="1">
        <f t="array" ref="F183">INDEX(GMW!$A$2:$NF$60,MATCH(1,(GMW!$NE$2:$NE$60=F$3)*(GMW!$ND$2:$ND$60=F$4),0),$D183-1966)</f>
        <v>642463</v>
      </c>
      <c r="G183" s="236" cm="1">
        <f t="array" ref="G183">INDEX(GMW!$A$2:$NF$60,MATCH(1,(GMW!$NE$2:$NE$60=G$3)*(GMW!$ND$2:$ND$60=G$4),0),$D183-1966)</f>
        <v>102</v>
      </c>
      <c r="H183" s="236" cm="1">
        <f t="array" ref="H183">INDEX(GMW!$A$2:$NF$60,MATCH(1,(GMW!$NE$2:$NE$60=H$3)*(GMW!$ND$2:$ND$60=H$4),0),$D183-1966)</f>
        <v>499</v>
      </c>
    </row>
    <row r="184" spans="1:8">
      <c r="A184" s="236">
        <f t="shared" si="8"/>
        <v>2017</v>
      </c>
      <c r="B184" s="236">
        <f t="shared" si="8"/>
        <v>2017</v>
      </c>
      <c r="C184" s="236">
        <f t="shared" si="9"/>
        <v>201702</v>
      </c>
      <c r="D184" s="236">
        <f t="shared" si="10"/>
        <v>2150</v>
      </c>
      <c r="E184" s="236" cm="1">
        <f t="array" ref="E184">INDEX(GMW!$A$2:$NF$60,MATCH(1,(GMW!$NE$2:$NE$60=E$3)*(GMW!$ND$2:$ND$60=E$4),0),$D184-1966)</f>
        <v>65964</v>
      </c>
      <c r="F184" s="236" cm="1">
        <f t="array" ref="F184">INDEX(GMW!$A$2:$NF$60,MATCH(1,(GMW!$NE$2:$NE$60=F$3)*(GMW!$ND$2:$ND$60=F$4),0),$D184-1966)</f>
        <v>647944</v>
      </c>
      <c r="G184" s="236" cm="1">
        <f t="array" ref="G184">INDEX(GMW!$A$2:$NF$60,MATCH(1,(GMW!$NE$2:$NE$60=G$3)*(GMW!$ND$2:$ND$60=G$4),0),$D184-1966)</f>
        <v>103.16670000000001</v>
      </c>
      <c r="H184" s="236" cm="1">
        <f t="array" ref="H184">INDEX(GMW!$A$2:$NF$60,MATCH(1,(GMW!$NE$2:$NE$60=H$3)*(GMW!$ND$2:$ND$60=H$4),0),$D184-1966)</f>
        <v>504.33330000000001</v>
      </c>
    </row>
    <row r="185" spans="1:8">
      <c r="A185" s="236">
        <f t="shared" si="8"/>
        <v>2017</v>
      </c>
      <c r="B185" s="236">
        <f t="shared" si="8"/>
        <v>2017</v>
      </c>
      <c r="C185" s="236">
        <f t="shared" si="9"/>
        <v>201703</v>
      </c>
      <c r="D185" s="236">
        <f t="shared" si="10"/>
        <v>2151</v>
      </c>
      <c r="E185" s="236" cm="1">
        <f t="array" ref="E185">INDEX(GMW!$A$2:$NF$60,MATCH(1,(GMW!$NE$2:$NE$60=E$3)*(GMW!$ND$2:$ND$60=E$4),0),$D185-1966)</f>
        <v>66044.75</v>
      </c>
      <c r="F185" s="236" cm="1">
        <f t="array" ref="F185">INDEX(GMW!$A$2:$NF$60,MATCH(1,(GMW!$NE$2:$NE$60=F$3)*(GMW!$ND$2:$ND$60=F$4),0),$D185-1966)</f>
        <v>652329</v>
      </c>
      <c r="G185" s="236" cm="1">
        <f t="array" ref="G185">INDEX(GMW!$A$2:$NF$60,MATCH(1,(GMW!$NE$2:$NE$60=G$3)*(GMW!$ND$2:$ND$60=G$4),0),$D185-1966)</f>
        <v>103.7</v>
      </c>
      <c r="H185" s="236" cm="1">
        <f t="array" ref="H185">INDEX(GMW!$A$2:$NF$60,MATCH(1,(GMW!$NE$2:$NE$60=H$3)*(GMW!$ND$2:$ND$60=H$4),0),$D185-1966)</f>
        <v>506.66669999999999</v>
      </c>
    </row>
    <row r="186" spans="1:8">
      <c r="A186" s="236">
        <f t="shared" si="8"/>
        <v>2017</v>
      </c>
      <c r="B186" s="236">
        <f t="shared" si="8"/>
        <v>2017</v>
      </c>
      <c r="C186" s="236">
        <f t="shared" si="9"/>
        <v>201704</v>
      </c>
      <c r="D186" s="236">
        <f t="shared" si="10"/>
        <v>2152</v>
      </c>
      <c r="E186" s="236" cm="1">
        <f t="array" ref="E186">INDEX(GMW!$A$2:$NF$60,MATCH(1,(GMW!$NE$2:$NE$60=E$3)*(GMW!$ND$2:$ND$60=E$4),0),$D186-1966)</f>
        <v>66125.5</v>
      </c>
      <c r="F186" s="236" cm="1">
        <f t="array" ref="F186">INDEX(GMW!$A$2:$NF$60,MATCH(1,(GMW!$NE$2:$NE$60=F$3)*(GMW!$ND$2:$ND$60=F$4),0),$D186-1966)</f>
        <v>657225</v>
      </c>
      <c r="G186" s="236" cm="1">
        <f t="array" ref="G186">INDEX(GMW!$A$2:$NF$60,MATCH(1,(GMW!$NE$2:$NE$60=G$3)*(GMW!$ND$2:$ND$60=G$4),0),$D186-1966)</f>
        <v>104.5667</v>
      </c>
      <c r="H186" s="236" cm="1">
        <f t="array" ref="H186">INDEX(GMW!$A$2:$NF$60,MATCH(1,(GMW!$NE$2:$NE$60=H$3)*(GMW!$ND$2:$ND$60=H$4),0),$D186-1966)</f>
        <v>510.33330000000001</v>
      </c>
    </row>
    <row r="187" spans="1:8">
      <c r="A187" s="236">
        <f t="shared" si="8"/>
        <v>2018</v>
      </c>
      <c r="B187" s="236">
        <f t="shared" si="8"/>
        <v>2017</v>
      </c>
      <c r="C187" s="236">
        <f t="shared" si="9"/>
        <v>201801</v>
      </c>
      <c r="D187" s="236">
        <f t="shared" si="10"/>
        <v>2153</v>
      </c>
      <c r="E187" s="236" cm="1">
        <f t="array" ref="E187">INDEX(GMW!$A$2:$NF$60,MATCH(1,(GMW!$NE$2:$NE$60=E$3)*(GMW!$ND$2:$ND$60=E$4),0),$D187-1966)</f>
        <v>66206.25</v>
      </c>
      <c r="F187" s="236" cm="1">
        <f t="array" ref="F187">INDEX(GMW!$A$2:$NF$60,MATCH(1,(GMW!$NE$2:$NE$60=F$3)*(GMW!$ND$2:$ND$60=F$4),0),$D187-1966)</f>
        <v>657741</v>
      </c>
      <c r="G187" s="236" cm="1">
        <f t="array" ref="G187">INDEX(GMW!$A$2:$NF$60,MATCH(1,(GMW!$NE$2:$NE$60=G$3)*(GMW!$ND$2:$ND$60=G$4),0),$D187-1966)</f>
        <v>104.7667</v>
      </c>
      <c r="H187" s="236" cm="1">
        <f t="array" ref="H187">INDEX(GMW!$A$2:$NF$60,MATCH(1,(GMW!$NE$2:$NE$60=H$3)*(GMW!$ND$2:$ND$60=H$4),0),$D187-1966)</f>
        <v>512</v>
      </c>
    </row>
    <row r="188" spans="1:8">
      <c r="A188" s="236">
        <f t="shared" si="8"/>
        <v>2018</v>
      </c>
      <c r="B188" s="236">
        <f t="shared" si="8"/>
        <v>2018</v>
      </c>
      <c r="C188" s="236">
        <f t="shared" si="9"/>
        <v>201802</v>
      </c>
      <c r="D188" s="236">
        <f t="shared" si="10"/>
        <v>2154</v>
      </c>
      <c r="E188" s="236" cm="1">
        <f t="array" ref="E188">INDEX(GMW!$A$2:$NF$60,MATCH(1,(GMW!$NE$2:$NE$60=E$3)*(GMW!$ND$2:$ND$60=E$4),0),$D188-1966)</f>
        <v>66287</v>
      </c>
      <c r="F188" s="236" cm="1">
        <f t="array" ref="F188">INDEX(GMW!$A$2:$NF$60,MATCH(1,(GMW!$NE$2:$NE$60=F$3)*(GMW!$ND$2:$ND$60=F$4),0),$D188-1966)</f>
        <v>659172</v>
      </c>
      <c r="G188" s="236" cm="1">
        <f t="array" ref="G188">INDEX(GMW!$A$2:$NF$60,MATCH(1,(GMW!$NE$2:$NE$60=G$3)*(GMW!$ND$2:$ND$60=G$4),0),$D188-1966)</f>
        <v>105.66670000000001</v>
      </c>
      <c r="H188" s="236" cm="1">
        <f t="array" ref="H188">INDEX(GMW!$A$2:$NF$60,MATCH(1,(GMW!$NE$2:$NE$60=H$3)*(GMW!$ND$2:$ND$60=H$4),0),$D188-1966)</f>
        <v>516.66669999999999</v>
      </c>
    </row>
    <row r="189" spans="1:8">
      <c r="A189" s="236">
        <f t="shared" si="8"/>
        <v>2018</v>
      </c>
      <c r="B189" s="236">
        <f t="shared" si="8"/>
        <v>2018</v>
      </c>
      <c r="C189" s="236">
        <f t="shared" si="9"/>
        <v>201803</v>
      </c>
      <c r="D189" s="236">
        <f t="shared" si="10"/>
        <v>2155</v>
      </c>
      <c r="E189" s="236" cm="1">
        <f t="array" ref="E189">INDEX(GMW!$A$2:$NF$60,MATCH(1,(GMW!$NE$2:$NE$60=E$3)*(GMW!$ND$2:$ND$60=E$4),0),$D189-1966)</f>
        <v>66372.25</v>
      </c>
      <c r="F189" s="236" cm="1">
        <f t="array" ref="F189">INDEX(GMW!$A$2:$NF$60,MATCH(1,(GMW!$NE$2:$NE$60=F$3)*(GMW!$ND$2:$ND$60=F$4),0),$D189-1966)</f>
        <v>661262</v>
      </c>
      <c r="G189" s="236" cm="1">
        <f t="array" ref="G189">INDEX(GMW!$A$2:$NF$60,MATCH(1,(GMW!$NE$2:$NE$60=G$3)*(GMW!$ND$2:$ND$60=G$4),0),$D189-1966)</f>
        <v>106.3</v>
      </c>
      <c r="H189" s="236" cm="1">
        <f t="array" ref="H189">INDEX(GMW!$A$2:$NF$60,MATCH(1,(GMW!$NE$2:$NE$60=H$3)*(GMW!$ND$2:$ND$60=H$4),0),$D189-1966)</f>
        <v>522.33330000000001</v>
      </c>
    </row>
    <row r="190" spans="1:8">
      <c r="A190" s="236">
        <f t="shared" si="8"/>
        <v>2018</v>
      </c>
      <c r="B190" s="236">
        <f t="shared" si="8"/>
        <v>2018</v>
      </c>
      <c r="C190" s="236">
        <f t="shared" si="9"/>
        <v>201804</v>
      </c>
      <c r="D190" s="236">
        <f t="shared" si="10"/>
        <v>2156</v>
      </c>
      <c r="E190" s="236" cm="1">
        <f t="array" ref="E190">INDEX(GMW!$A$2:$NF$60,MATCH(1,(GMW!$NE$2:$NE$60=E$3)*(GMW!$ND$2:$ND$60=E$4),0),$D190-1966)</f>
        <v>66457.5</v>
      </c>
      <c r="F190" s="236" cm="1">
        <f t="array" ref="F190">INDEX(GMW!$A$2:$NF$60,MATCH(1,(GMW!$NE$2:$NE$60=F$3)*(GMW!$ND$2:$ND$60=F$4),0),$D190-1966)</f>
        <v>662120</v>
      </c>
      <c r="G190" s="236" cm="1">
        <f t="array" ref="G190">INDEX(GMW!$A$2:$NF$60,MATCH(1,(GMW!$NE$2:$NE$60=G$3)*(GMW!$ND$2:$ND$60=G$4),0),$D190-1966)</f>
        <v>106.9333</v>
      </c>
      <c r="H190" s="236" cm="1">
        <f t="array" ref="H190">INDEX(GMW!$A$2:$NF$60,MATCH(1,(GMW!$NE$2:$NE$60=H$3)*(GMW!$ND$2:$ND$60=H$4),0),$D190-1966)</f>
        <v>528</v>
      </c>
    </row>
    <row r="191" spans="1:8">
      <c r="A191" s="236">
        <f t="shared" si="8"/>
        <v>2019</v>
      </c>
      <c r="B191" s="236">
        <f t="shared" si="8"/>
        <v>2018</v>
      </c>
      <c r="C191" s="236">
        <f t="shared" si="9"/>
        <v>201901</v>
      </c>
      <c r="D191" s="236">
        <f t="shared" si="10"/>
        <v>2157</v>
      </c>
      <c r="E191" s="236" cm="1">
        <f t="array" ref="E191">INDEX(GMW!$A$2:$NF$60,MATCH(1,(GMW!$NE$2:$NE$60=E$3)*(GMW!$ND$2:$ND$60=E$4),0),$D191-1966)</f>
        <v>66542.75</v>
      </c>
      <c r="F191" s="236" cm="1">
        <f t="array" ref="F191">INDEX(GMW!$A$2:$NF$60,MATCH(1,(GMW!$NE$2:$NE$60=F$3)*(GMW!$ND$2:$ND$60=F$4),0),$D191-1966)</f>
        <v>665456</v>
      </c>
      <c r="G191" s="236" cm="1">
        <f t="array" ref="G191">INDEX(GMW!$A$2:$NF$60,MATCH(1,(GMW!$NE$2:$NE$60=G$3)*(GMW!$ND$2:$ND$60=G$4),0),$D191-1966)</f>
        <v>106.7</v>
      </c>
      <c r="H191" s="236" cm="1">
        <f t="array" ref="H191">INDEX(GMW!$A$2:$NF$60,MATCH(1,(GMW!$NE$2:$NE$60=H$3)*(GMW!$ND$2:$ND$60=H$4),0),$D191-1966)</f>
        <v>529</v>
      </c>
    </row>
    <row r="192" spans="1:8">
      <c r="A192" s="236">
        <f t="shared" si="8"/>
        <v>2019</v>
      </c>
      <c r="B192" s="236">
        <f t="shared" si="8"/>
        <v>2019</v>
      </c>
      <c r="C192" s="236">
        <f t="shared" si="9"/>
        <v>201902</v>
      </c>
      <c r="D192" s="236">
        <f t="shared" si="10"/>
        <v>2158</v>
      </c>
      <c r="E192" s="236" cm="1">
        <f t="array" ref="E192">INDEX(GMW!$A$2:$NF$60,MATCH(1,(GMW!$NE$2:$NE$60=E$3)*(GMW!$ND$2:$ND$60=E$4),0),$D192-1966)</f>
        <v>66628</v>
      </c>
      <c r="F192" s="236" cm="1">
        <f t="array" ref="F192">INDEX(GMW!$A$2:$NF$60,MATCH(1,(GMW!$NE$2:$NE$60=F$3)*(GMW!$ND$2:$ND$60=F$4),0),$D192-1966)</f>
        <v>666875</v>
      </c>
      <c r="G192" s="236" cm="1">
        <f t="array" ref="G192">INDEX(GMW!$A$2:$NF$60,MATCH(1,(GMW!$NE$2:$NE$60=G$3)*(GMW!$ND$2:$ND$60=G$4),0),$D192-1966)</f>
        <v>107.8</v>
      </c>
      <c r="H192" s="236" cm="1">
        <f t="array" ref="H192">INDEX(GMW!$A$2:$NF$60,MATCH(1,(GMW!$NE$2:$NE$60=H$3)*(GMW!$ND$2:$ND$60=H$4),0),$D192-1966)</f>
        <v>537</v>
      </c>
    </row>
    <row r="193" spans="1:8">
      <c r="A193" s="236">
        <f t="shared" si="8"/>
        <v>2019</v>
      </c>
      <c r="B193" s="236">
        <f t="shared" si="8"/>
        <v>2019</v>
      </c>
      <c r="C193" s="236">
        <f t="shared" si="9"/>
        <v>201903</v>
      </c>
      <c r="D193" s="236">
        <f t="shared" si="10"/>
        <v>2159</v>
      </c>
      <c r="E193" s="236" cm="1">
        <f t="array" ref="E193">INDEX(GMW!$A$2:$NF$60,MATCH(1,(GMW!$NE$2:$NE$60=E$3)*(GMW!$ND$2:$ND$60=E$4),0),$D193-1966)</f>
        <v>66656</v>
      </c>
      <c r="F193" s="236" cm="1">
        <f t="array" ref="F193">INDEX(GMW!$A$2:$NF$60,MATCH(1,(GMW!$NE$2:$NE$60=F$3)*(GMW!$ND$2:$ND$60=F$4),0),$D193-1966)</f>
        <v>670547</v>
      </c>
      <c r="G193" s="236" cm="1">
        <f t="array" ref="G193">INDEX(GMW!$A$2:$NF$60,MATCH(1,(GMW!$NE$2:$NE$60=G$3)*(GMW!$ND$2:$ND$60=G$4),0),$D193-1966)</f>
        <v>108.2667</v>
      </c>
      <c r="H193" s="236" cm="1">
        <f t="array" ref="H193">INDEX(GMW!$A$2:$NF$60,MATCH(1,(GMW!$NE$2:$NE$60=H$3)*(GMW!$ND$2:$ND$60=H$4),0),$D193-1966)</f>
        <v>542.33330000000001</v>
      </c>
    </row>
    <row r="194" spans="1:8">
      <c r="A194" s="236">
        <f t="shared" si="8"/>
        <v>2019</v>
      </c>
      <c r="B194" s="236">
        <f t="shared" si="8"/>
        <v>2019</v>
      </c>
      <c r="C194" s="236">
        <f t="shared" si="9"/>
        <v>201904</v>
      </c>
      <c r="D194" s="236">
        <f t="shared" si="10"/>
        <v>2160</v>
      </c>
      <c r="E194" s="236" cm="1">
        <f t="array" ref="E194">INDEX(GMW!$A$2:$NF$60,MATCH(1,(GMW!$NE$2:$NE$60=E$3)*(GMW!$ND$2:$ND$60=E$4),0),$D194-1966)</f>
        <v>66684</v>
      </c>
      <c r="F194" s="236" cm="1">
        <f t="array" ref="F194">INDEX(GMW!$A$2:$NF$60,MATCH(1,(GMW!$NE$2:$NE$60=F$3)*(GMW!$ND$2:$ND$60=F$4),0),$D194-1966)</f>
        <v>670587</v>
      </c>
      <c r="G194" s="236" cm="1">
        <f t="array" ref="G194">INDEX(GMW!$A$2:$NF$60,MATCH(1,(GMW!$NE$2:$NE$60=G$3)*(GMW!$ND$2:$ND$60=G$4),0),$D194-1966)</f>
        <v>108.4333</v>
      </c>
      <c r="H194" s="236" cm="1">
        <f t="array" ref="H194">INDEX(GMW!$A$2:$NF$60,MATCH(1,(GMW!$NE$2:$NE$60=H$3)*(GMW!$ND$2:$ND$60=H$4),0),$D194-1966)</f>
        <v>542.66669999999999</v>
      </c>
    </row>
    <row r="195" spans="1:8">
      <c r="A195" s="236">
        <f t="shared" si="8"/>
        <v>2020</v>
      </c>
      <c r="B195" s="236">
        <f t="shared" si="8"/>
        <v>2019</v>
      </c>
      <c r="C195" s="236">
        <f t="shared" si="9"/>
        <v>202001</v>
      </c>
      <c r="D195" s="236">
        <f t="shared" si="10"/>
        <v>2161</v>
      </c>
      <c r="E195" s="236" cm="1">
        <f t="array" ref="E195">INDEX(GMW!$A$2:$NF$60,MATCH(1,(GMW!$NE$2:$NE$60=E$3)*(GMW!$ND$2:$ND$60=E$4),0),$D195-1966)</f>
        <v>66712</v>
      </c>
      <c r="F195" s="236" cm="1">
        <f t="array" ref="F195">INDEX(GMW!$A$2:$NF$60,MATCH(1,(GMW!$NE$2:$NE$60=F$3)*(GMW!$ND$2:$ND$60=F$4),0),$D195-1966)</f>
        <v>652180</v>
      </c>
      <c r="G195" s="236" cm="1">
        <f t="array" ref="G195">INDEX(GMW!$A$2:$NF$60,MATCH(1,(GMW!$NE$2:$NE$60=G$3)*(GMW!$ND$2:$ND$60=G$4),0),$D195-1966)</f>
        <v>108.4667</v>
      </c>
      <c r="H195" s="236" cm="1">
        <f t="array" ref="H195">INDEX(GMW!$A$2:$NF$60,MATCH(1,(GMW!$NE$2:$NE$60=H$3)*(GMW!$ND$2:$ND$60=H$4),0),$D195-1966)</f>
        <v>540.66669999999999</v>
      </c>
    </row>
    <row r="196" spans="1:8">
      <c r="A196" s="236">
        <f t="shared" si="8"/>
        <v>2020</v>
      </c>
      <c r="B196" s="236">
        <f t="shared" si="8"/>
        <v>2020</v>
      </c>
      <c r="C196" s="236">
        <f t="shared" si="9"/>
        <v>202002</v>
      </c>
      <c r="D196" s="236">
        <f t="shared" si="10"/>
        <v>2162</v>
      </c>
      <c r="E196" s="236" cm="1">
        <f t="array" ref="E196">INDEX(GMW!$A$2:$NF$60,MATCH(1,(GMW!$NE$2:$NE$60=E$3)*(GMW!$ND$2:$ND$60=E$4),0),$D196-1966)</f>
        <v>66740</v>
      </c>
      <c r="F196" s="236" cm="1">
        <f t="array" ref="F196">INDEX(GMW!$A$2:$NF$60,MATCH(1,(GMW!$NE$2:$NE$60=F$3)*(GMW!$ND$2:$ND$60=F$4),0),$D196-1966)</f>
        <v>522356</v>
      </c>
      <c r="G196" s="236" cm="1">
        <f t="array" ref="G196">INDEX(GMW!$A$2:$NF$60,MATCH(1,(GMW!$NE$2:$NE$60=G$3)*(GMW!$ND$2:$ND$60=G$4),0),$D196-1966)</f>
        <v>108.5333</v>
      </c>
      <c r="H196" s="236" cm="1">
        <f t="array" ref="H196">INDEX(GMW!$A$2:$NF$60,MATCH(1,(GMW!$NE$2:$NE$60=H$3)*(GMW!$ND$2:$ND$60=H$4),0),$D196-1966)</f>
        <v>531</v>
      </c>
    </row>
    <row r="197" spans="1:8">
      <c r="A197" s="236">
        <f t="shared" si="8"/>
        <v>2020</v>
      </c>
      <c r="B197" s="236">
        <f t="shared" si="8"/>
        <v>2020</v>
      </c>
      <c r="C197" s="236">
        <f t="shared" si="9"/>
        <v>202003</v>
      </c>
      <c r="D197" s="236">
        <f t="shared" si="10"/>
        <v>2163</v>
      </c>
      <c r="E197" s="236" cm="1">
        <f t="array" ref="E197">INDEX(GMW!$A$2:$NF$60,MATCH(1,(GMW!$NE$2:$NE$60=E$3)*(GMW!$ND$2:$ND$60=E$4),0),$D197-1966)</f>
        <v>66799.5</v>
      </c>
      <c r="F197" s="236" cm="1">
        <f t="array" ref="F197">INDEX(GMW!$A$2:$NF$60,MATCH(1,(GMW!$NE$2:$NE$60=F$3)*(GMW!$ND$2:$ND$60=F$4),0),$D197-1966)</f>
        <v>610972</v>
      </c>
      <c r="G197" s="236" cm="1">
        <f t="array" ref="G197">INDEX(GMW!$A$2:$NF$60,MATCH(1,(GMW!$NE$2:$NE$60=G$3)*(GMW!$ND$2:$ND$60=G$4),0),$D197-1966)</f>
        <v>108.9333</v>
      </c>
      <c r="H197" s="236" cm="1">
        <f t="array" ref="H197">INDEX(GMW!$A$2:$NF$60,MATCH(1,(GMW!$NE$2:$NE$60=H$3)*(GMW!$ND$2:$ND$60=H$4),0),$D197-1966)</f>
        <v>550.33330000000001</v>
      </c>
    </row>
    <row r="198" spans="1:8">
      <c r="A198" s="236">
        <f t="shared" si="8"/>
        <v>2020</v>
      </c>
      <c r="B198" s="236">
        <f t="shared" si="8"/>
        <v>2020</v>
      </c>
      <c r="C198" s="236">
        <f t="shared" si="9"/>
        <v>202004</v>
      </c>
      <c r="D198" s="236">
        <f t="shared" si="10"/>
        <v>2164</v>
      </c>
      <c r="E198" s="236" cm="1">
        <f t="array" ref="E198">INDEX(GMW!$A$2:$NF$60,MATCH(1,(GMW!$NE$2:$NE$60=E$3)*(GMW!$ND$2:$ND$60=E$4),0),$D198-1966)</f>
        <v>66859</v>
      </c>
      <c r="F198" s="236" cm="1">
        <f t="array" ref="F198">INDEX(GMW!$A$2:$NF$60,MATCH(1,(GMW!$NE$2:$NE$60=F$3)*(GMW!$ND$2:$ND$60=F$4),0),$D198-1966)</f>
        <v>619330</v>
      </c>
      <c r="G198" s="236" cm="1">
        <f t="array" ref="G198">INDEX(GMW!$A$2:$NF$60,MATCH(1,(GMW!$NE$2:$NE$60=G$3)*(GMW!$ND$2:$ND$60=G$4),0),$D198-1966)</f>
        <v>109.0667</v>
      </c>
      <c r="H198" s="236" cm="1">
        <f t="array" ref="H198">INDEX(GMW!$A$2:$NF$60,MATCH(1,(GMW!$NE$2:$NE$60=H$3)*(GMW!$ND$2:$ND$60=H$4),0),$D198-1966)</f>
        <v>567</v>
      </c>
    </row>
    <row r="199" spans="1:8">
      <c r="A199" s="236">
        <f t="shared" si="8"/>
        <v>2021</v>
      </c>
      <c r="B199" s="236">
        <f t="shared" si="8"/>
        <v>2020</v>
      </c>
      <c r="C199" s="236">
        <f t="shared" si="9"/>
        <v>202101</v>
      </c>
      <c r="D199" s="236">
        <f t="shared" si="10"/>
        <v>2165</v>
      </c>
      <c r="E199" s="236" cm="1">
        <f t="array" ref="E199">INDEX(GMW!$A$2:$NF$60,MATCH(1,(GMW!$NE$2:$NE$60=E$3)*(GMW!$ND$2:$ND$60=E$4),0),$D199-1966)</f>
        <v>66918.5</v>
      </c>
      <c r="F199" s="236" cm="1">
        <f t="array" ref="F199">INDEX(GMW!$A$2:$NF$60,MATCH(1,(GMW!$NE$2:$NE$60=F$3)*(GMW!$ND$2:$ND$60=F$4),0),$D199-1966)</f>
        <v>612665</v>
      </c>
      <c r="G199" s="236" cm="1">
        <f t="array" ref="G199">INDEX(GMW!$A$2:$NF$60,MATCH(1,(GMW!$NE$2:$NE$60=G$3)*(GMW!$ND$2:$ND$60=G$4),0),$D199-1966)</f>
        <v>109.16670000000001</v>
      </c>
      <c r="H199" s="236" cm="1">
        <f t="array" ref="H199">INDEX(GMW!$A$2:$NF$60,MATCH(1,(GMW!$NE$2:$NE$60=H$3)*(GMW!$ND$2:$ND$60=H$4),0),$D199-1966)</f>
        <v>563.33330000000001</v>
      </c>
    </row>
    <row r="200" spans="1:8">
      <c r="A200" s="236">
        <f t="shared" si="8"/>
        <v>2021</v>
      </c>
      <c r="B200" s="236">
        <f t="shared" si="8"/>
        <v>2021</v>
      </c>
      <c r="C200" s="236">
        <f t="shared" si="9"/>
        <v>202102</v>
      </c>
      <c r="D200" s="236">
        <f t="shared" si="10"/>
        <v>2166</v>
      </c>
      <c r="E200" s="236" cm="1">
        <f t="array" ref="E200">INDEX(GMW!$A$2:$NF$60,MATCH(1,(GMW!$NE$2:$NE$60=E$3)*(GMW!$ND$2:$ND$60=E$4),0),$D200-1966)</f>
        <v>66978</v>
      </c>
      <c r="F200" s="236" cm="1">
        <f t="array" ref="F200">INDEX(GMW!$A$2:$NF$60,MATCH(1,(GMW!$NE$2:$NE$60=F$3)*(GMW!$ND$2:$ND$60=F$4),0),$D200-1966)</f>
        <v>655443</v>
      </c>
      <c r="G200" s="236" cm="1">
        <f t="array" ref="G200">INDEX(GMW!$A$2:$NF$60,MATCH(1,(GMW!$NE$2:$NE$60=G$3)*(GMW!$ND$2:$ND$60=G$4),0),$D200-1966)</f>
        <v>110.7333</v>
      </c>
      <c r="H200" s="236" cm="1">
        <f t="array" ref="H200">INDEX(GMW!$A$2:$NF$60,MATCH(1,(GMW!$NE$2:$NE$60=H$3)*(GMW!$ND$2:$ND$60=H$4),0),$D200-1966)</f>
        <v>578.33330000000001</v>
      </c>
    </row>
    <row r="201" spans="1:8">
      <c r="A201" s="236">
        <f t="shared" si="8"/>
        <v>2021</v>
      </c>
      <c r="B201" s="236">
        <f t="shared" si="8"/>
        <v>2021</v>
      </c>
      <c r="C201" s="236">
        <f t="shared" si="9"/>
        <v>202103</v>
      </c>
      <c r="D201" s="236">
        <f t="shared" si="10"/>
        <v>2167</v>
      </c>
      <c r="E201" s="236" cm="1">
        <f t="array" ref="E201">INDEX(GMW!$A$2:$NF$60,MATCH(1,(GMW!$NE$2:$NE$60=E$3)*(GMW!$ND$2:$ND$60=E$4),0),$D201-1966)</f>
        <v>67142.5</v>
      </c>
      <c r="F201" s="236" cm="1">
        <f t="array" ref="F201">INDEX(GMW!$A$2:$NF$60,MATCH(1,(GMW!$NE$2:$NE$60=F$3)*(GMW!$ND$2:$ND$60=F$4),0),$D201-1966)</f>
        <v>666498</v>
      </c>
      <c r="G201" s="236" cm="1">
        <f t="array" ref="G201">INDEX(GMW!$A$2:$NF$60,MATCH(1,(GMW!$NE$2:$NE$60=G$3)*(GMW!$ND$2:$ND$60=G$4),0),$D201-1966)</f>
        <v>111.9333</v>
      </c>
      <c r="H201" s="236" cm="1">
        <f t="array" ref="H201">INDEX(GMW!$A$2:$NF$60,MATCH(1,(GMW!$NE$2:$NE$60=H$3)*(GMW!$ND$2:$ND$60=H$4),0),$D201-1966)</f>
        <v>583</v>
      </c>
    </row>
    <row r="202" spans="1:8">
      <c r="A202" s="236">
        <f t="shared" si="8"/>
        <v>2021</v>
      </c>
      <c r="B202" s="236">
        <f t="shared" si="8"/>
        <v>2021</v>
      </c>
      <c r="C202" s="236">
        <f t="shared" si="9"/>
        <v>202104</v>
      </c>
      <c r="D202" s="236">
        <f t="shared" si="10"/>
        <v>2168</v>
      </c>
      <c r="E202" s="236" cm="1">
        <f t="array" ref="E202">INDEX(GMW!$A$2:$NF$60,MATCH(1,(GMW!$NE$2:$NE$60=E$3)*(GMW!$ND$2:$ND$60=E$4),0),$D202-1966)</f>
        <v>67307</v>
      </c>
      <c r="F202" s="236" cm="1">
        <f t="array" ref="F202">INDEX(GMW!$A$2:$NF$60,MATCH(1,(GMW!$NE$2:$NE$60=F$3)*(GMW!$ND$2:$ND$60=F$4),0),$D202-1966)</f>
        <v>675680</v>
      </c>
      <c r="G202" s="236" cm="1">
        <f t="array" ref="G202">INDEX(GMW!$A$2:$NF$60,MATCH(1,(GMW!$NE$2:$NE$60=G$3)*(GMW!$ND$2:$ND$60=G$4),0),$D202-1966)</f>
        <v>114.4</v>
      </c>
      <c r="H202" s="236" cm="1">
        <f t="array" ref="H202">INDEX(GMW!$A$2:$NF$60,MATCH(1,(GMW!$NE$2:$NE$60=H$3)*(GMW!$ND$2:$ND$60=H$4),0),$D202-1966)</f>
        <v>595</v>
      </c>
    </row>
    <row r="203" spans="1:8">
      <c r="A203" s="236">
        <f t="shared" si="8"/>
        <v>2022</v>
      </c>
      <c r="B203" s="236">
        <f t="shared" si="8"/>
        <v>2021</v>
      </c>
      <c r="C203" s="236">
        <f t="shared" si="9"/>
        <v>202201</v>
      </c>
      <c r="D203" s="236">
        <f t="shared" si="10"/>
        <v>2169</v>
      </c>
      <c r="E203" s="236" cm="1">
        <f t="array" ref="E203">INDEX(GMW!$A$2:$NF$60,MATCH(1,(GMW!$NE$2:$NE$60=E$3)*(GMW!$ND$2:$ND$60=E$4),0),$D203-1966)</f>
        <v>67471.5</v>
      </c>
      <c r="F203" s="236" cm="1">
        <f t="array" ref="F203">INDEX(GMW!$A$2:$NF$60,MATCH(1,(GMW!$NE$2:$NE$60=F$3)*(GMW!$ND$2:$ND$60=F$4),0),$D203-1966)</f>
        <v>682527</v>
      </c>
      <c r="G203" s="236" cm="1">
        <f t="array" ref="G203">INDEX(GMW!$A$2:$NF$60,MATCH(1,(GMW!$NE$2:$NE$60=G$3)*(GMW!$ND$2:$ND$60=G$4),0),$D203-1966)</f>
        <v>115.9333</v>
      </c>
      <c r="H203" s="236" cm="1">
        <f t="array" ref="H203">INDEX(GMW!$A$2:$NF$60,MATCH(1,(GMW!$NE$2:$NE$60=H$3)*(GMW!$ND$2:$ND$60=H$4),0),$D203-1966)</f>
        <v>604.33330000000001</v>
      </c>
    </row>
    <row r="204" spans="1:8">
      <c r="A204" s="236">
        <f t="shared" ref="A204:B267" si="11">+A200+1</f>
        <v>2022</v>
      </c>
      <c r="B204" s="236">
        <f t="shared" si="11"/>
        <v>2022</v>
      </c>
      <c r="C204" s="236">
        <f t="shared" ref="C204:C267" si="12">+C200+100</f>
        <v>202202</v>
      </c>
      <c r="D204" s="236">
        <f t="shared" si="10"/>
        <v>2170</v>
      </c>
      <c r="E204" s="236" cm="1">
        <f t="array" ref="E204">INDEX(GMW!$A$2:$NF$60,MATCH(1,(GMW!$NE$2:$NE$60=E$3)*(GMW!$ND$2:$ND$60=E$4),0),$D204-1966)</f>
        <v>67636</v>
      </c>
      <c r="F204" s="236" cm="1">
        <f t="array" ref="F204">INDEX(GMW!$A$2:$NF$60,MATCH(1,(GMW!$NE$2:$NE$60=F$3)*(GMW!$ND$2:$ND$60=F$4),0),$D204-1966)</f>
        <v>686335</v>
      </c>
      <c r="G204" s="236" cm="1">
        <f t="array" ref="G204">INDEX(GMW!$A$2:$NF$60,MATCH(1,(GMW!$NE$2:$NE$60=G$3)*(GMW!$ND$2:$ND$60=G$4),0),$D204-1966)</f>
        <v>120.86669999999999</v>
      </c>
      <c r="H204" s="236" cm="1">
        <f t="array" ref="H204">INDEX(GMW!$A$2:$NF$60,MATCH(1,(GMW!$NE$2:$NE$60=H$3)*(GMW!$ND$2:$ND$60=H$4),0),$D204-1966)</f>
        <v>609</v>
      </c>
    </row>
    <row r="205" spans="1:8">
      <c r="A205" s="236">
        <f t="shared" si="11"/>
        <v>2022</v>
      </c>
      <c r="B205" s="236">
        <f t="shared" si="11"/>
        <v>2022</v>
      </c>
      <c r="C205" s="236">
        <f t="shared" si="12"/>
        <v>202203</v>
      </c>
      <c r="D205" s="236">
        <f t="shared" si="10"/>
        <v>2171</v>
      </c>
      <c r="E205" s="236" cm="1">
        <f t="array" ref="E205">INDEX(GMW!$A$2:$NF$60,MATCH(1,(GMW!$NE$2:$NE$60=E$3)*(GMW!$ND$2:$ND$60=E$4),0),$D205-1966)</f>
        <v>67858.5</v>
      </c>
      <c r="F205" s="236" cm="1">
        <f t="array" ref="F205">INDEX(GMW!$A$2:$NF$60,MATCH(1,(GMW!$NE$2:$NE$60=F$3)*(GMW!$ND$2:$ND$60=F$4),0),$D205-1966)</f>
        <v>687029</v>
      </c>
      <c r="G205" s="236" cm="1">
        <f t="array" ref="G205">INDEX(GMW!$A$2:$NF$60,MATCH(1,(GMW!$NE$2:$NE$60=G$3)*(GMW!$ND$2:$ND$60=G$4),0),$D205-1966)</f>
        <v>123.13330000000001</v>
      </c>
      <c r="H205" s="236" cm="1">
        <f t="array" ref="H205">INDEX(GMW!$A$2:$NF$60,MATCH(1,(GMW!$NE$2:$NE$60=H$3)*(GMW!$ND$2:$ND$60=H$4),0),$D205-1966)</f>
        <v>617.66669999999999</v>
      </c>
    </row>
    <row r="206" spans="1:8">
      <c r="A206" s="236">
        <f t="shared" si="11"/>
        <v>2022</v>
      </c>
      <c r="B206" s="236">
        <f t="shared" si="11"/>
        <v>2022</v>
      </c>
      <c r="C206" s="236">
        <f t="shared" si="12"/>
        <v>202204</v>
      </c>
      <c r="D206" s="236">
        <f t="shared" si="10"/>
        <v>2172</v>
      </c>
      <c r="E206" s="236" cm="1">
        <f t="array" ref="E206">INDEX(GMW!$A$2:$NF$60,MATCH(1,(GMW!$NE$2:$NE$60=E$3)*(GMW!$ND$2:$ND$60=E$4),0),$D206-1966)</f>
        <v>68081</v>
      </c>
      <c r="F206" s="236" cm="1">
        <f t="array" ref="F206">INDEX(GMW!$A$2:$NF$60,MATCH(1,(GMW!$NE$2:$NE$60=F$3)*(GMW!$ND$2:$ND$60=F$4),0),$D206-1966)</f>
        <v>688817</v>
      </c>
      <c r="G206" s="236" cm="1">
        <f t="array" ref="G206">INDEX(GMW!$A$2:$NF$60,MATCH(1,(GMW!$NE$2:$NE$60=G$3)*(GMW!$ND$2:$ND$60=G$4),0),$D206-1966)</f>
        <v>126.7</v>
      </c>
      <c r="H206" s="236" cm="1">
        <f t="array" ref="H206">INDEX(GMW!$A$2:$NF$60,MATCH(1,(GMW!$NE$2:$NE$60=H$3)*(GMW!$ND$2:$ND$60=H$4),0),$D206-1966)</f>
        <v>632</v>
      </c>
    </row>
    <row r="207" spans="1:8">
      <c r="A207" s="236">
        <f t="shared" si="11"/>
        <v>2023</v>
      </c>
      <c r="B207" s="236">
        <f t="shared" si="11"/>
        <v>2022</v>
      </c>
      <c r="C207" s="236">
        <f t="shared" si="12"/>
        <v>202301</v>
      </c>
      <c r="D207" s="236">
        <f t="shared" si="10"/>
        <v>2173</v>
      </c>
      <c r="E207" s="236" cm="1">
        <f t="array" ref="E207">INDEX(GMW!$A$2:$NF$60,MATCH(1,(GMW!$NE$2:$NE$60=E$3)*(GMW!$ND$2:$ND$60=E$4),0),$D207-1966)</f>
        <v>68303.5</v>
      </c>
      <c r="F207" s="236" cm="1">
        <f t="array" ref="F207">INDEX(GMW!$A$2:$NF$60,MATCH(1,(GMW!$NE$2:$NE$60=F$3)*(GMW!$ND$2:$ND$60=F$4),0),$D207-1966)</f>
        <v>689206</v>
      </c>
      <c r="G207" s="236" cm="1">
        <f t="array" ref="G207">INDEX(GMW!$A$2:$NF$60,MATCH(1,(GMW!$NE$2:$NE$60=G$3)*(GMW!$ND$2:$ND$60=G$4),0),$D207-1966)</f>
        <v>127.7333</v>
      </c>
      <c r="H207" s="236" cm="1">
        <f t="array" ref="H207">INDEX(GMW!$A$2:$NF$60,MATCH(1,(GMW!$NE$2:$NE$60=H$3)*(GMW!$ND$2:$ND$60=H$4),0),$D207-1966)</f>
        <v>642</v>
      </c>
    </row>
    <row r="208" spans="1:8">
      <c r="A208" s="236">
        <f t="shared" si="11"/>
        <v>2023</v>
      </c>
      <c r="B208" s="236">
        <f t="shared" si="11"/>
        <v>2023</v>
      </c>
      <c r="C208" s="236">
        <f t="shared" si="12"/>
        <v>202302</v>
      </c>
      <c r="D208" s="236">
        <f t="shared" si="10"/>
        <v>2174</v>
      </c>
      <c r="E208" s="236" cm="1">
        <f t="array" ref="E208">INDEX(GMW!$A$2:$NF$60,MATCH(1,(GMW!$NE$2:$NE$60=E$3)*(GMW!$ND$2:$ND$60=E$4),0),$D208-1966)</f>
        <v>68526</v>
      </c>
      <c r="F208" s="236" cm="1">
        <f t="array" ref="F208">INDEX(GMW!$A$2:$NF$60,MATCH(1,(GMW!$NE$2:$NE$60=F$3)*(GMW!$ND$2:$ND$60=F$4),0),$D208-1966)</f>
        <v>689491</v>
      </c>
      <c r="G208" s="236" cm="1">
        <f t="array" ref="G208">INDEX(GMW!$A$2:$NF$60,MATCH(1,(GMW!$NE$2:$NE$60=G$3)*(GMW!$ND$2:$ND$60=G$4),0),$D208-1966)</f>
        <v>131.0667</v>
      </c>
      <c r="H208" s="236" cm="1">
        <f t="array" ref="H208">INDEX(GMW!$A$2:$NF$60,MATCH(1,(GMW!$NE$2:$NE$60=H$3)*(GMW!$ND$2:$ND$60=H$4),0),$D208-1966)</f>
        <v>659</v>
      </c>
    </row>
    <row r="209" spans="1:8">
      <c r="A209" s="236">
        <f t="shared" si="11"/>
        <v>2023</v>
      </c>
      <c r="B209" s="236">
        <f t="shared" si="11"/>
        <v>2023</v>
      </c>
      <c r="C209" s="236">
        <f t="shared" si="12"/>
        <v>202303</v>
      </c>
      <c r="D209" s="236">
        <f t="shared" si="10"/>
        <v>2175</v>
      </c>
      <c r="E209" s="236" cm="1">
        <f t="array" ref="E209">INDEX(GMW!$A$2:$NF$60,MATCH(1,(GMW!$NE$2:$NE$60=E$3)*(GMW!$ND$2:$ND$60=E$4),0),$D209-1966)</f>
        <v>68714.75</v>
      </c>
      <c r="F209" s="236" cm="1">
        <f t="array" ref="F209">INDEX(GMW!$A$2:$NF$60,MATCH(1,(GMW!$NE$2:$NE$60=F$3)*(GMW!$ND$2:$ND$60=F$4),0),$D209-1966)</f>
        <v>687839</v>
      </c>
      <c r="G209" s="236" cm="1">
        <f t="array" ref="G209">INDEX(GMW!$A$2:$NF$60,MATCH(1,(GMW!$NE$2:$NE$60=G$3)*(GMW!$ND$2:$ND$60=G$4),0),$D209-1966)</f>
        <v>131.4</v>
      </c>
      <c r="H209" s="236" cm="1">
        <f t="array" ref="H209">INDEX(GMW!$A$2:$NF$60,MATCH(1,(GMW!$NE$2:$NE$60=H$3)*(GMW!$ND$2:$ND$60=H$4),0),$D209-1966)</f>
        <v>666.66669999999999</v>
      </c>
    </row>
    <row r="210" spans="1:8">
      <c r="A210" s="236">
        <f t="shared" si="11"/>
        <v>2023</v>
      </c>
      <c r="B210" s="236">
        <f t="shared" si="11"/>
        <v>2023</v>
      </c>
      <c r="C210" s="236">
        <f t="shared" si="12"/>
        <v>202304</v>
      </c>
      <c r="D210" s="236">
        <f t="shared" si="10"/>
        <v>2176</v>
      </c>
      <c r="E210" s="236" cm="1">
        <f t="array" ref="E210">INDEX(GMW!$A$2:$NF$60,MATCH(1,(GMW!$NE$2:$NE$60=E$3)*(GMW!$ND$2:$ND$60=E$4),0),$D210-1966)</f>
        <v>68903.5</v>
      </c>
      <c r="F210" s="236" cm="1">
        <f t="array" ref="F210">INDEX(GMW!$A$2:$NF$60,MATCH(1,(GMW!$NE$2:$NE$60=F$3)*(GMW!$ND$2:$ND$60=F$4),0),$D210-1966)</f>
        <v>685628</v>
      </c>
      <c r="G210" s="236" cm="1">
        <f t="array" ref="G210">INDEX(GMW!$A$2:$NF$60,MATCH(1,(GMW!$NE$2:$NE$60=G$3)*(GMW!$ND$2:$ND$60=G$4),0),$D210-1966)</f>
        <v>131.9667</v>
      </c>
      <c r="H210" s="236" cm="1">
        <f t="array" ref="H210">INDEX(GMW!$A$2:$NF$60,MATCH(1,(GMW!$NE$2:$NE$60=H$3)*(GMW!$ND$2:$ND$60=H$4),0),$D210-1966)</f>
        <v>669</v>
      </c>
    </row>
    <row r="211" spans="1:8">
      <c r="A211" s="236">
        <f t="shared" si="11"/>
        <v>2024</v>
      </c>
      <c r="B211" s="236">
        <f t="shared" si="11"/>
        <v>2023</v>
      </c>
      <c r="C211" s="236">
        <f t="shared" si="12"/>
        <v>202401</v>
      </c>
      <c r="D211" s="236">
        <f t="shared" si="10"/>
        <v>2177</v>
      </c>
      <c r="E211" s="236" cm="1">
        <f t="array" ref="E211">INDEX(GMW!$A$2:$NF$60,MATCH(1,(GMW!$NE$2:$NE$60=E$3)*(GMW!$ND$2:$ND$60=E$4),0),$D211-1966)</f>
        <v>69092.25</v>
      </c>
      <c r="F211" s="236" cm="1">
        <f t="array" ref="F211">INDEX(GMW!$A$2:$NF$60,MATCH(1,(GMW!$NE$2:$NE$60=F$3)*(GMW!$ND$2:$ND$60=F$4),0),$D211-1966)</f>
        <v>691337</v>
      </c>
      <c r="G211" s="236" cm="1">
        <f t="array" ref="G211">INDEX(GMW!$A$2:$NF$60,MATCH(1,(GMW!$NE$2:$NE$60=G$3)*(GMW!$ND$2:$ND$60=G$4),0),$D211-1966)</f>
        <v>132.26669999999999</v>
      </c>
      <c r="H211" s="236" cm="1">
        <f t="array" ref="H211">INDEX(GMW!$A$2:$NF$60,MATCH(1,(GMW!$NE$2:$NE$60=H$3)*(GMW!$ND$2:$ND$60=H$4),0),$D211-1966)</f>
        <v>680</v>
      </c>
    </row>
    <row r="212" spans="1:8">
      <c r="A212" s="236">
        <f t="shared" si="11"/>
        <v>2024</v>
      </c>
      <c r="B212" s="236">
        <f t="shared" si="11"/>
        <v>2024</v>
      </c>
      <c r="C212" s="236">
        <f t="shared" si="12"/>
        <v>202402</v>
      </c>
      <c r="D212" s="236">
        <f t="shared" si="10"/>
        <v>2178</v>
      </c>
      <c r="E212" s="236" cm="1">
        <f t="array" ref="E212">INDEX(GMW!$A$2:$NF$60,MATCH(1,(GMW!$NE$2:$NE$60=E$3)*(GMW!$ND$2:$ND$60=E$4),0),$D212-1966)</f>
        <v>69281</v>
      </c>
      <c r="F212" s="236" cm="1">
        <f t="array" ref="F212">INDEX(GMW!$A$2:$NF$60,MATCH(1,(GMW!$NE$2:$NE$60=F$3)*(GMW!$ND$2:$ND$60=F$4),0),$D212-1966)</f>
        <v>695578</v>
      </c>
      <c r="G212" s="236" cm="1">
        <f t="array" ref="G212">INDEX(GMW!$A$2:$NF$60,MATCH(1,(GMW!$NE$2:$NE$60=G$3)*(GMW!$ND$2:$ND$60=G$4),0),$D212-1966)</f>
        <v>133.83330000000001</v>
      </c>
      <c r="H212" s="236" cm="1">
        <f t="array" ref="H212">INDEX(GMW!$A$2:$NF$60,MATCH(1,(GMW!$NE$2:$NE$60=H$3)*(GMW!$ND$2:$ND$60=H$4),0),$D212-1966)</f>
        <v>690.33330000000001</v>
      </c>
    </row>
    <row r="213" spans="1:8">
      <c r="A213" s="236">
        <f t="shared" si="11"/>
        <v>2024</v>
      </c>
      <c r="B213" s="236">
        <f t="shared" si="11"/>
        <v>2024</v>
      </c>
      <c r="C213" s="236">
        <f t="shared" si="12"/>
        <v>202403</v>
      </c>
      <c r="D213" s="236">
        <f t="shared" si="10"/>
        <v>2179</v>
      </c>
      <c r="E213" s="236" cm="1">
        <f t="array" ref="E213">INDEX(GMW!$A$2:$NF$60,MATCH(1,(GMW!$NE$2:$NE$60=E$3)*(GMW!$ND$2:$ND$60=E$4),0),$D213-1966)</f>
        <v>69391.649999999994</v>
      </c>
      <c r="F213" s="236" cm="1">
        <f t="array" ref="F213">INDEX(GMW!$A$2:$NF$60,MATCH(1,(GMW!$NE$2:$NE$60=F$3)*(GMW!$ND$2:$ND$60=F$4),0),$D213-1966)</f>
        <v>697248</v>
      </c>
      <c r="G213" s="236" cm="1">
        <f t="array" ref="G213">INDEX(GMW!$A$2:$NF$60,MATCH(1,(GMW!$NE$2:$NE$60=G$3)*(GMW!$ND$2:$ND$60=G$4),0),$D213-1966)</f>
        <v>134.1</v>
      </c>
      <c r="H213" s="236" cm="1">
        <f t="array" ref="H213">INDEX(GMW!$A$2:$NF$60,MATCH(1,(GMW!$NE$2:$NE$60=H$3)*(GMW!$ND$2:$ND$60=H$4),0),$D213-1966)</f>
        <v>698</v>
      </c>
    </row>
    <row r="214" spans="1:8">
      <c r="A214" s="236">
        <f t="shared" si="11"/>
        <v>2024</v>
      </c>
      <c r="B214" s="236">
        <f t="shared" si="11"/>
        <v>2024</v>
      </c>
      <c r="C214" s="236">
        <f t="shared" si="12"/>
        <v>202404</v>
      </c>
      <c r="D214" s="236">
        <f t="shared" si="10"/>
        <v>2180</v>
      </c>
      <c r="E214" s="236" cm="1">
        <f t="array" ref="E214">INDEX(GMW!$A$2:$NF$60,MATCH(1,(GMW!$NE$2:$NE$60=E$3)*(GMW!$ND$2:$ND$60=E$4),0),$D214-1966)</f>
        <v>69501.86</v>
      </c>
      <c r="F214" s="236" cm="1">
        <f t="array" ref="F214">INDEX(GMW!$A$2:$NF$60,MATCH(1,(GMW!$NE$2:$NE$60=F$3)*(GMW!$ND$2:$ND$60=F$4),0),$D214-1966)</f>
        <v>698912</v>
      </c>
      <c r="G214" s="236" cm="1">
        <f t="array" ref="G214">INDEX(GMW!$A$2:$NF$60,MATCH(1,(GMW!$NE$2:$NE$60=G$3)*(GMW!$ND$2:$ND$60=G$4),0),$D214-1966)</f>
        <v>135.23330000000001</v>
      </c>
      <c r="H214" s="236" cm="1">
        <f t="array" ref="H214">INDEX(GMW!$A$2:$NF$60,MATCH(1,(GMW!$NE$2:$NE$60=H$3)*(GMW!$ND$2:$ND$60=H$4),0),$D214-1966)</f>
        <v>709</v>
      </c>
    </row>
    <row r="215" spans="1:8">
      <c r="A215" s="236">
        <f t="shared" si="11"/>
        <v>2025</v>
      </c>
      <c r="B215" s="236">
        <f t="shared" si="11"/>
        <v>2024</v>
      </c>
      <c r="C215" s="236">
        <f t="shared" si="12"/>
        <v>202501</v>
      </c>
      <c r="D215" s="236">
        <f t="shared" si="10"/>
        <v>2181</v>
      </c>
      <c r="E215" s="236" cm="1">
        <f t="array" ref="E215">INDEX(GMW!$A$2:$NF$60,MATCH(1,(GMW!$NE$2:$NE$60=E$3)*(GMW!$ND$2:$ND$60=E$4),0),$D215-1966)</f>
        <v>69612.070000000007</v>
      </c>
      <c r="F215" s="236" cm="1">
        <f t="array" ref="F215">INDEX(GMW!$A$2:$NF$60,MATCH(1,(GMW!$NE$2:$NE$60=F$3)*(GMW!$ND$2:$ND$60=F$4),0),$D215-1966)</f>
        <v>703532</v>
      </c>
      <c r="G215" s="236" cm="1">
        <f t="array" ref="G215">INDEX(GMW!$A$2:$NF$60,MATCH(1,(GMW!$NE$2:$NE$60=G$3)*(GMW!$ND$2:$ND$60=G$4),0),$D215-1966)</f>
        <v>135.9667</v>
      </c>
      <c r="H215" s="236" cm="1">
        <f t="array" ref="H215">INDEX(GMW!$A$2:$NF$60,MATCH(1,(GMW!$NE$2:$NE$60=H$3)*(GMW!$ND$2:$ND$60=H$4),0),$D215-1966)</f>
        <v>718</v>
      </c>
    </row>
    <row r="216" spans="1:8">
      <c r="A216" s="236">
        <f t="shared" si="11"/>
        <v>2025</v>
      </c>
      <c r="B216" s="236">
        <f t="shared" si="11"/>
        <v>2025</v>
      </c>
      <c r="C216" s="236">
        <f t="shared" si="12"/>
        <v>202502</v>
      </c>
      <c r="D216" s="236">
        <f t="shared" si="10"/>
        <v>2182</v>
      </c>
      <c r="E216" s="236" cm="1">
        <f t="array" ref="E216">INDEX(GMW!$A$2:$NF$60,MATCH(1,(GMW!$NE$2:$NE$60=E$3)*(GMW!$ND$2:$ND$60=E$4),0),$D216-1966)</f>
        <v>69722.28</v>
      </c>
      <c r="F216" s="236" cm="1">
        <f t="array" ref="F216">INDEX(GMW!$A$2:$NF$60,MATCH(1,(GMW!$NE$2:$NE$60=F$3)*(GMW!$ND$2:$ND$60=F$4),0),$D216-1966)</f>
        <v>705486</v>
      </c>
      <c r="G216" s="236" cm="1">
        <f t="array" ref="G216">INDEX(GMW!$A$2:$NF$60,MATCH(1,(GMW!$NE$2:$NE$60=G$3)*(GMW!$ND$2:$ND$60=G$4),0),$D216-1966)</f>
        <v>138.5</v>
      </c>
      <c r="H216" s="236" cm="1">
        <f t="array" ref="H216">INDEX(GMW!$A$2:$NF$60,MATCH(1,(GMW!$NE$2:$NE$60=H$3)*(GMW!$ND$2:$ND$60=H$4),0),$D216-1966)</f>
        <v>722.66669999999999</v>
      </c>
    </row>
    <row r="217" spans="1:8">
      <c r="A217" s="236">
        <f t="shared" si="11"/>
        <v>2025</v>
      </c>
      <c r="B217" s="236">
        <f t="shared" si="11"/>
        <v>2025</v>
      </c>
      <c r="C217" s="236">
        <f t="shared" si="12"/>
        <v>202503</v>
      </c>
      <c r="D217" s="236">
        <f t="shared" si="10"/>
        <v>2183</v>
      </c>
      <c r="E217" s="236" cm="1">
        <f t="array" ref="E217">INDEX(GMW!$A$2:$NF$60,MATCH(1,(GMW!$NE$2:$NE$60=E$3)*(GMW!$ND$2:$ND$60=E$4),0),$D217-1966)</f>
        <v>69822.84</v>
      </c>
      <c r="F217" s="236" cm="1">
        <f t="array" ref="F217">INDEX(GMW!$A$2:$NF$60,MATCH(1,(GMW!$NE$2:$NE$60=F$3)*(GMW!$ND$2:$ND$60=F$4),0),$D217-1966)</f>
        <v>706062</v>
      </c>
      <c r="G217" s="236" cm="1">
        <f t="array" ref="G217">INDEX(GMW!$A$2:$NF$60,MATCH(1,(GMW!$NE$2:$NE$60=G$3)*(GMW!$ND$2:$ND$60=G$4),0),$D217-1966)</f>
        <v>139.19999999999999</v>
      </c>
      <c r="H217" s="236" cm="1">
        <f t="array" ref="H217">INDEX(GMW!$A$2:$NF$60,MATCH(1,(GMW!$NE$2:$NE$60=H$3)*(GMW!$ND$2:$ND$60=H$4),0),$D217-1966)</f>
        <v>731.33330000000001</v>
      </c>
    </row>
    <row r="218" spans="1:8">
      <c r="A218" s="236">
        <f t="shared" si="11"/>
        <v>2025</v>
      </c>
      <c r="B218" s="236">
        <f t="shared" si="11"/>
        <v>2025</v>
      </c>
      <c r="C218" s="236">
        <f t="shared" si="12"/>
        <v>202504</v>
      </c>
      <c r="D218" s="236">
        <f t="shared" si="10"/>
        <v>2184</v>
      </c>
      <c r="E218" s="236" cm="1">
        <f t="array" ref="E218">INDEX(GMW!$A$2:$NF$60,MATCH(1,(GMW!$NE$2:$NE$60=E$3)*(GMW!$ND$2:$ND$60=E$4),0),$D218-1966)</f>
        <v>69923.38</v>
      </c>
      <c r="F218" s="236" cm="1">
        <f t="array" ref="F218">INDEX(GMW!$A$2:$NF$60,MATCH(1,(GMW!$NE$2:$NE$60=F$3)*(GMW!$ND$2:$ND$60=F$4),0),$D218-1966)</f>
        <v>707438.8</v>
      </c>
      <c r="G218" s="236" cm="1">
        <f t="array" ref="G218">INDEX(GMW!$A$2:$NF$60,MATCH(1,(GMW!$NE$2:$NE$60=G$3)*(GMW!$ND$2:$ND$60=G$4),0),$D218-1966)</f>
        <v>140.12880000000001</v>
      </c>
      <c r="H218" s="236" cm="1">
        <f t="array" ref="H218">INDEX(GMW!$A$2:$NF$60,MATCH(1,(GMW!$NE$2:$NE$60=H$3)*(GMW!$ND$2:$ND$60=H$4),0),$D218-1966)</f>
        <v>736.0806</v>
      </c>
    </row>
    <row r="219" spans="1:8">
      <c r="A219" s="236">
        <f t="shared" si="11"/>
        <v>2026</v>
      </c>
      <c r="B219" s="236">
        <f t="shared" si="11"/>
        <v>2025</v>
      </c>
      <c r="C219" s="236">
        <f t="shared" si="12"/>
        <v>202601</v>
      </c>
      <c r="D219" s="236">
        <f t="shared" si="10"/>
        <v>2185</v>
      </c>
      <c r="E219" s="236" cm="1">
        <f t="array" ref="E219">INDEX(GMW!$A$2:$NF$60,MATCH(1,(GMW!$NE$2:$NE$60=E$3)*(GMW!$ND$2:$ND$60=E$4),0),$D219-1966)</f>
        <v>70023.94</v>
      </c>
      <c r="F219" s="236" cm="1">
        <f t="array" ref="F219">INDEX(GMW!$A$2:$NF$60,MATCH(1,(GMW!$NE$2:$NE$60=F$3)*(GMW!$ND$2:$ND$60=F$4),0),$D219-1966)</f>
        <v>709335.8</v>
      </c>
      <c r="G219" s="236" cm="1">
        <f t="array" ref="G219">INDEX(GMW!$A$2:$NF$60,MATCH(1,(GMW!$NE$2:$NE$60=G$3)*(GMW!$ND$2:$ND$60=G$4),0),$D219-1966)</f>
        <v>140.50749999999999</v>
      </c>
      <c r="H219" s="236" cm="1">
        <f t="array" ref="H219">INDEX(GMW!$A$2:$NF$60,MATCH(1,(GMW!$NE$2:$NE$60=H$3)*(GMW!$ND$2:$ND$60=H$4),0),$D219-1966)</f>
        <v>741.601</v>
      </c>
    </row>
    <row r="220" spans="1:8">
      <c r="A220" s="236">
        <f t="shared" si="11"/>
        <v>2026</v>
      </c>
      <c r="B220" s="236">
        <f t="shared" si="11"/>
        <v>2026</v>
      </c>
      <c r="C220" s="236">
        <f t="shared" si="12"/>
        <v>202602</v>
      </c>
      <c r="D220" s="236">
        <f t="shared" si="10"/>
        <v>2186</v>
      </c>
      <c r="E220" s="236" cm="1">
        <f t="array" ref="E220">INDEX(GMW!$A$2:$NF$60,MATCH(1,(GMW!$NE$2:$NE$60=E$3)*(GMW!$ND$2:$ND$60=E$4),0),$D220-1966)</f>
        <v>70124.479999999996</v>
      </c>
      <c r="F220" s="236" cm="1">
        <f t="array" ref="F220">INDEX(GMW!$A$2:$NF$60,MATCH(1,(GMW!$NE$2:$NE$60=F$3)*(GMW!$ND$2:$ND$60=F$4),0),$D220-1966)</f>
        <v>711025.3</v>
      </c>
      <c r="G220" s="236" cm="1">
        <f t="array" ref="G220">INDEX(GMW!$A$2:$NF$60,MATCH(1,(GMW!$NE$2:$NE$60=G$3)*(GMW!$ND$2:$ND$60=G$4),0),$D220-1966)</f>
        <v>142.02770000000001</v>
      </c>
      <c r="H220" s="236" cm="1">
        <f t="array" ref="H220">INDEX(GMW!$A$2:$NF$60,MATCH(1,(GMW!$NE$2:$NE$60=H$3)*(GMW!$ND$2:$ND$60=H$4),0),$D220-1966)</f>
        <v>746.79259999999999</v>
      </c>
    </row>
    <row r="221" spans="1:8">
      <c r="A221" s="236">
        <f t="shared" si="11"/>
        <v>2026</v>
      </c>
      <c r="B221" s="236">
        <f t="shared" si="11"/>
        <v>2026</v>
      </c>
      <c r="C221" s="236">
        <f t="shared" si="12"/>
        <v>202603</v>
      </c>
      <c r="D221" s="236">
        <f t="shared" si="10"/>
        <v>2187</v>
      </c>
      <c r="E221" s="236" cm="1">
        <f t="array" ref="E221">INDEX(GMW!$A$2:$NF$60,MATCH(1,(GMW!$NE$2:$NE$60=E$3)*(GMW!$ND$2:$ND$60=E$4),0),$D221-1966)</f>
        <v>70214.55</v>
      </c>
      <c r="F221" s="236" cm="1">
        <f t="array" ref="F221">INDEX(GMW!$A$2:$NF$60,MATCH(1,(GMW!$NE$2:$NE$60=F$3)*(GMW!$ND$2:$ND$60=F$4),0),$D221-1966)</f>
        <v>712848.6</v>
      </c>
      <c r="G221" s="236" cm="1">
        <f t="array" ref="G221">INDEX(GMW!$A$2:$NF$60,MATCH(1,(GMW!$NE$2:$NE$60=G$3)*(GMW!$ND$2:$ND$60=G$4),0),$D221-1966)</f>
        <v>142.90960000000001</v>
      </c>
      <c r="H221" s="236" cm="1">
        <f t="array" ref="H221">INDEX(GMW!$A$2:$NF$60,MATCH(1,(GMW!$NE$2:$NE$60=H$3)*(GMW!$ND$2:$ND$60=H$4),0),$D221-1966)</f>
        <v>752.01980000000003</v>
      </c>
    </row>
    <row r="222" spans="1:8">
      <c r="A222" s="236">
        <f t="shared" si="11"/>
        <v>2026</v>
      </c>
      <c r="B222" s="236">
        <f t="shared" si="11"/>
        <v>2026</v>
      </c>
      <c r="C222" s="236">
        <f t="shared" si="12"/>
        <v>202604</v>
      </c>
      <c r="D222" s="236">
        <f t="shared" si="10"/>
        <v>2188</v>
      </c>
      <c r="E222" s="236" cm="1">
        <f t="array" ref="E222">INDEX(GMW!$A$2:$NF$60,MATCH(1,(GMW!$NE$2:$NE$60=E$3)*(GMW!$ND$2:$ND$60=E$4),0),$D222-1966)</f>
        <v>70304.63</v>
      </c>
      <c r="F222" s="236" cm="1">
        <f t="array" ref="F222">INDEX(GMW!$A$2:$NF$60,MATCH(1,(GMW!$NE$2:$NE$60=F$3)*(GMW!$ND$2:$ND$60=F$4),0),$D222-1966)</f>
        <v>714836.9</v>
      </c>
      <c r="G222" s="236" cm="1">
        <f t="array" ref="G222">INDEX(GMW!$A$2:$NF$60,MATCH(1,(GMW!$NE$2:$NE$60=G$3)*(GMW!$ND$2:$ND$60=G$4),0),$D222-1966)</f>
        <v>143.815</v>
      </c>
      <c r="H222" s="236" cm="1">
        <f t="array" ref="H222">INDEX(GMW!$A$2:$NF$60,MATCH(1,(GMW!$NE$2:$NE$60=H$3)*(GMW!$ND$2:$ND$60=H$4),0),$D222-1966)</f>
        <v>757.28359999999998</v>
      </c>
    </row>
    <row r="223" spans="1:8">
      <c r="A223" s="236">
        <f t="shared" si="11"/>
        <v>2027</v>
      </c>
      <c r="B223" s="236">
        <f t="shared" si="11"/>
        <v>2026</v>
      </c>
      <c r="C223" s="236">
        <f t="shared" si="12"/>
        <v>202701</v>
      </c>
      <c r="D223" s="236">
        <f t="shared" si="10"/>
        <v>2189</v>
      </c>
      <c r="E223" s="236" cm="1">
        <f t="array" ref="E223">INDEX(GMW!$A$2:$NF$60,MATCH(1,(GMW!$NE$2:$NE$60=E$3)*(GMW!$ND$2:$ND$60=E$4),0),$D223-1966)</f>
        <v>70394.69</v>
      </c>
      <c r="F223" s="236" cm="1">
        <f t="array" ref="F223">INDEX(GMW!$A$2:$NF$60,MATCH(1,(GMW!$NE$2:$NE$60=F$3)*(GMW!$ND$2:$ND$60=F$4),0),$D223-1966)</f>
        <v>717052.9</v>
      </c>
      <c r="G223" s="236" cm="1">
        <f t="array" ref="G223">INDEX(GMW!$A$2:$NF$60,MATCH(1,(GMW!$NE$2:$NE$60=G$3)*(GMW!$ND$2:$ND$60=G$4),0),$D223-1966)</f>
        <v>144.21119999999999</v>
      </c>
      <c r="H223" s="236" cm="1">
        <f t="array" ref="H223">INDEX(GMW!$A$2:$NF$60,MATCH(1,(GMW!$NE$2:$NE$60=H$3)*(GMW!$ND$2:$ND$60=H$4),0),$D223-1966)</f>
        <v>762.58500000000004</v>
      </c>
    </row>
    <row r="224" spans="1:8">
      <c r="A224" s="236">
        <f t="shared" si="11"/>
        <v>2027</v>
      </c>
      <c r="B224" s="236">
        <f t="shared" si="11"/>
        <v>2027</v>
      </c>
      <c r="C224" s="236">
        <f t="shared" si="12"/>
        <v>202702</v>
      </c>
      <c r="D224" s="236">
        <f t="shared" si="10"/>
        <v>2190</v>
      </c>
      <c r="E224" s="236" cm="1">
        <f t="array" ref="E224">INDEX(GMW!$A$2:$NF$60,MATCH(1,(GMW!$NE$2:$NE$60=E$3)*(GMW!$ND$2:$ND$60=E$4),0),$D224-1966)</f>
        <v>70484.759999999995</v>
      </c>
      <c r="F224" s="236" cm="1">
        <f t="array" ref="F224">INDEX(GMW!$A$2:$NF$60,MATCH(1,(GMW!$NE$2:$NE$60=F$3)*(GMW!$ND$2:$ND$60=F$4),0),$D224-1966)</f>
        <v>719581.1</v>
      </c>
      <c r="G224" s="236" cm="1">
        <f t="array" ref="G224">INDEX(GMW!$A$2:$NF$60,MATCH(1,(GMW!$NE$2:$NE$60=G$3)*(GMW!$ND$2:$ND$60=G$4),0),$D224-1966)</f>
        <v>145.68049999999999</v>
      </c>
      <c r="H224" s="236" cm="1">
        <f t="array" ref="H224">INDEX(GMW!$A$2:$NF$60,MATCH(1,(GMW!$NE$2:$NE$60=H$3)*(GMW!$ND$2:$ND$60=H$4),0),$D224-1966)</f>
        <v>768.03700000000003</v>
      </c>
    </row>
    <row r="225" spans="1:8">
      <c r="A225" s="236">
        <f t="shared" si="11"/>
        <v>2027</v>
      </c>
      <c r="B225" s="236">
        <f t="shared" si="11"/>
        <v>2027</v>
      </c>
      <c r="C225" s="236">
        <f t="shared" si="12"/>
        <v>202703</v>
      </c>
      <c r="D225" s="236">
        <f t="shared" si="10"/>
        <v>2191</v>
      </c>
      <c r="E225" s="236" cm="1">
        <f t="array" ref="E225">INDEX(GMW!$A$2:$NF$60,MATCH(1,(GMW!$NE$2:$NE$60=E$3)*(GMW!$ND$2:$ND$60=E$4),0),$D225-1966)</f>
        <v>70554.3</v>
      </c>
      <c r="F225" s="236" cm="1">
        <f t="array" ref="F225">INDEX(GMW!$A$2:$NF$60,MATCH(1,(GMW!$NE$2:$NE$60=F$3)*(GMW!$ND$2:$ND$60=F$4),0),$D225-1966)</f>
        <v>722315.3</v>
      </c>
      <c r="G225" s="236" cm="1">
        <f t="array" ref="G225">INDEX(GMW!$A$2:$NF$60,MATCH(1,(GMW!$NE$2:$NE$60=G$3)*(GMW!$ND$2:$ND$60=G$4),0),$D225-1966)</f>
        <v>146.5034</v>
      </c>
      <c r="H225" s="236" cm="1">
        <f t="array" ref="H225">INDEX(GMW!$A$2:$NF$60,MATCH(1,(GMW!$NE$2:$NE$60=H$3)*(GMW!$ND$2:$ND$60=H$4),0),$D225-1966)</f>
        <v>773.42690000000005</v>
      </c>
    </row>
    <row r="226" spans="1:8">
      <c r="A226" s="236">
        <f t="shared" si="11"/>
        <v>2027</v>
      </c>
      <c r="B226" s="236">
        <f t="shared" si="11"/>
        <v>2027</v>
      </c>
      <c r="C226" s="236">
        <f t="shared" si="12"/>
        <v>202704</v>
      </c>
      <c r="D226" s="236">
        <f t="shared" si="10"/>
        <v>2192</v>
      </c>
      <c r="E226" s="236" cm="1">
        <f t="array" ref="E226">INDEX(GMW!$A$2:$NF$60,MATCH(1,(GMW!$NE$2:$NE$60=E$3)*(GMW!$ND$2:$ND$60=E$4),0),$D226-1966)</f>
        <v>70623.850000000006</v>
      </c>
      <c r="F226" s="236" cm="1">
        <f t="array" ref="F226">INDEX(GMW!$A$2:$NF$60,MATCH(1,(GMW!$NE$2:$NE$60=F$3)*(GMW!$ND$2:$ND$60=F$4),0),$D226-1966)</f>
        <v>725276.6</v>
      </c>
      <c r="G226" s="236" cm="1">
        <f t="array" ref="G226">INDEX(GMW!$A$2:$NF$60,MATCH(1,(GMW!$NE$2:$NE$60=G$3)*(GMW!$ND$2:$ND$60=G$4),0),$D226-1966)</f>
        <v>147.30549999999999</v>
      </c>
      <c r="H226" s="236" cm="1">
        <f t="array" ref="H226">INDEX(GMW!$A$2:$NF$60,MATCH(1,(GMW!$NE$2:$NE$60=H$3)*(GMW!$ND$2:$ND$60=H$4),0),$D226-1966)</f>
        <v>778.65719999999999</v>
      </c>
    </row>
    <row r="227" spans="1:8">
      <c r="A227" s="236">
        <f t="shared" si="11"/>
        <v>2028</v>
      </c>
      <c r="B227" s="236">
        <f t="shared" si="11"/>
        <v>2027</v>
      </c>
      <c r="C227" s="236">
        <f t="shared" si="12"/>
        <v>202801</v>
      </c>
      <c r="D227" s="236">
        <f t="shared" si="10"/>
        <v>2193</v>
      </c>
      <c r="E227" s="236" cm="1">
        <f t="array" ref="E227">INDEX(GMW!$A$2:$NF$60,MATCH(1,(GMW!$NE$2:$NE$60=E$3)*(GMW!$ND$2:$ND$60=E$4),0),$D227-1966)</f>
        <v>70693.399999999994</v>
      </c>
      <c r="F227" s="236" cm="1">
        <f t="array" ref="F227">INDEX(GMW!$A$2:$NF$60,MATCH(1,(GMW!$NE$2:$NE$60=F$3)*(GMW!$ND$2:$ND$60=F$4),0),$D227-1966)</f>
        <v>728250.5</v>
      </c>
      <c r="G227" s="236" cm="1">
        <f t="array" ref="G227">INDEX(GMW!$A$2:$NF$60,MATCH(1,(GMW!$NE$2:$NE$60=G$3)*(GMW!$ND$2:$ND$60=G$4),0),$D227-1966)</f>
        <v>147.53309999999999</v>
      </c>
      <c r="H227" s="236" cm="1">
        <f t="array" ref="H227">INDEX(GMW!$A$2:$NF$60,MATCH(1,(GMW!$NE$2:$NE$60=H$3)*(GMW!$ND$2:$ND$60=H$4),0),$D227-1966)</f>
        <v>783.72019999999998</v>
      </c>
    </row>
    <row r="228" spans="1:8">
      <c r="A228" s="236">
        <f t="shared" si="11"/>
        <v>2028</v>
      </c>
      <c r="B228" s="236">
        <f t="shared" si="11"/>
        <v>2028</v>
      </c>
      <c r="C228" s="236">
        <f t="shared" si="12"/>
        <v>202802</v>
      </c>
      <c r="D228" s="236">
        <f t="shared" si="10"/>
        <v>2194</v>
      </c>
      <c r="E228" s="236" cm="1">
        <f t="array" ref="E228">INDEX(GMW!$A$2:$NF$60,MATCH(1,(GMW!$NE$2:$NE$60=E$3)*(GMW!$ND$2:$ND$60=E$4),0),$D228-1966)</f>
        <v>70762.95</v>
      </c>
      <c r="F228" s="236" cm="1">
        <f t="array" ref="F228">INDEX(GMW!$A$2:$NF$60,MATCH(1,(GMW!$NE$2:$NE$60=F$3)*(GMW!$ND$2:$ND$60=F$4),0),$D228-1966)</f>
        <v>731163.1</v>
      </c>
      <c r="G228" s="236" cm="1">
        <f t="array" ref="G228">INDEX(GMW!$A$2:$NF$60,MATCH(1,(GMW!$NE$2:$NE$60=G$3)*(GMW!$ND$2:$ND$60=G$4),0),$D228-1966)</f>
        <v>148.94880000000001</v>
      </c>
      <c r="H228" s="236" cm="1">
        <f t="array" ref="H228">INDEX(GMW!$A$2:$NF$60,MATCH(1,(GMW!$NE$2:$NE$60=H$3)*(GMW!$ND$2:$ND$60=H$4),0),$D228-1966)</f>
        <v>788.76570000000004</v>
      </c>
    </row>
    <row r="229" spans="1:8">
      <c r="A229" s="236">
        <f t="shared" si="11"/>
        <v>2028</v>
      </c>
      <c r="B229" s="236">
        <f t="shared" si="11"/>
        <v>2028</v>
      </c>
      <c r="C229" s="236">
        <f t="shared" si="12"/>
        <v>202803</v>
      </c>
      <c r="D229" s="236">
        <f t="shared" si="10"/>
        <v>2195</v>
      </c>
      <c r="E229" s="236" cm="1">
        <f t="array" ref="E229">INDEX(GMW!$A$2:$NF$60,MATCH(1,(GMW!$NE$2:$NE$60=E$3)*(GMW!$ND$2:$ND$60=E$4),0),$D229-1966)</f>
        <v>70830.84</v>
      </c>
      <c r="F229" s="236" cm="1">
        <f t="array" ref="F229">INDEX(GMW!$A$2:$NF$60,MATCH(1,(GMW!$NE$2:$NE$60=F$3)*(GMW!$ND$2:$ND$60=F$4),0),$D229-1966)</f>
        <v>734416.8</v>
      </c>
      <c r="G229" s="236" cm="1">
        <f t="array" ref="G229">INDEX(GMW!$A$2:$NF$60,MATCH(1,(GMW!$NE$2:$NE$60=G$3)*(GMW!$ND$2:$ND$60=G$4),0),$D229-1966)</f>
        <v>149.76130000000001</v>
      </c>
      <c r="H229" s="236" cm="1">
        <f t="array" ref="H229">INDEX(GMW!$A$2:$NF$60,MATCH(1,(GMW!$NE$2:$NE$60=H$3)*(GMW!$ND$2:$ND$60=H$4),0),$D229-1966)</f>
        <v>793.86329999999998</v>
      </c>
    </row>
    <row r="230" spans="1:8">
      <c r="A230" s="236">
        <f t="shared" si="11"/>
        <v>2028</v>
      </c>
      <c r="B230" s="236">
        <f t="shared" si="11"/>
        <v>2028</v>
      </c>
      <c r="C230" s="236">
        <f t="shared" si="12"/>
        <v>202804</v>
      </c>
      <c r="D230" s="236">
        <f t="shared" si="10"/>
        <v>2196</v>
      </c>
      <c r="E230" s="236" cm="1">
        <f t="array" ref="E230">INDEX(GMW!$A$2:$NF$60,MATCH(1,(GMW!$NE$2:$NE$60=E$3)*(GMW!$ND$2:$ND$60=E$4),0),$D230-1966)</f>
        <v>70898.73</v>
      </c>
      <c r="F230" s="236" cm="1">
        <f t="array" ref="F230">INDEX(GMW!$A$2:$NF$60,MATCH(1,(GMW!$NE$2:$NE$60=F$3)*(GMW!$ND$2:$ND$60=F$4),0),$D230-1966)</f>
        <v>737575</v>
      </c>
      <c r="G230" s="236" cm="1">
        <f t="array" ref="G230">INDEX(GMW!$A$2:$NF$60,MATCH(1,(GMW!$NE$2:$NE$60=G$3)*(GMW!$ND$2:$ND$60=G$4),0),$D230-1966)</f>
        <v>150.50149999999999</v>
      </c>
      <c r="H230" s="236" cm="1">
        <f t="array" ref="H230">INDEX(GMW!$A$2:$NF$60,MATCH(1,(GMW!$NE$2:$NE$60=H$3)*(GMW!$ND$2:$ND$60=H$4),0),$D230-1966)</f>
        <v>798.95360000000005</v>
      </c>
    </row>
    <row r="231" spans="1:8">
      <c r="A231" s="236">
        <f t="shared" si="11"/>
        <v>2029</v>
      </c>
      <c r="B231" s="236">
        <f t="shared" si="11"/>
        <v>2028</v>
      </c>
      <c r="C231" s="236">
        <f t="shared" si="12"/>
        <v>202901</v>
      </c>
      <c r="D231" s="236">
        <f t="shared" si="10"/>
        <v>2197</v>
      </c>
      <c r="E231" s="236" cm="1">
        <f t="array" ref="E231">INDEX(GMW!$A$2:$NF$60,MATCH(1,(GMW!$NE$2:$NE$60=E$3)*(GMW!$ND$2:$ND$60=E$4),0),$D231-1966)</f>
        <v>70966.62</v>
      </c>
      <c r="F231" s="236" cm="1">
        <f t="array" ref="F231">INDEX(GMW!$A$2:$NF$60,MATCH(1,(GMW!$NE$2:$NE$60=F$3)*(GMW!$ND$2:$ND$60=F$4),0),$D231-1966)</f>
        <v>740599</v>
      </c>
      <c r="G231" s="236" cm="1">
        <f t="array" ref="G231">INDEX(GMW!$A$2:$NF$60,MATCH(1,(GMW!$NE$2:$NE$60=G$3)*(GMW!$ND$2:$ND$60=G$4),0),$D231-1966)</f>
        <v>150.78880000000001</v>
      </c>
      <c r="H231" s="236" cm="1">
        <f t="array" ref="H231">INDEX(GMW!$A$2:$NF$60,MATCH(1,(GMW!$NE$2:$NE$60=H$3)*(GMW!$ND$2:$ND$60=H$4),0),$D231-1966)</f>
        <v>804.19839999999999</v>
      </c>
    </row>
    <row r="232" spans="1:8">
      <c r="A232" s="236">
        <f t="shared" si="11"/>
        <v>2029</v>
      </c>
      <c r="B232" s="236">
        <f t="shared" si="11"/>
        <v>2029</v>
      </c>
      <c r="C232" s="236">
        <f t="shared" si="12"/>
        <v>202902</v>
      </c>
      <c r="D232" s="236">
        <f t="shared" si="10"/>
        <v>2198</v>
      </c>
      <c r="E232" s="236" cm="1">
        <f t="array" ref="E232">INDEX(GMW!$A$2:$NF$60,MATCH(1,(GMW!$NE$2:$NE$60=E$3)*(GMW!$ND$2:$ND$60=E$4),0),$D232-1966)</f>
        <v>71034.509999999995</v>
      </c>
      <c r="F232" s="236" cm="1">
        <f t="array" ref="F232">INDEX(GMW!$A$2:$NF$60,MATCH(1,(GMW!$NE$2:$NE$60=F$3)*(GMW!$ND$2:$ND$60=F$4),0),$D232-1966)</f>
        <v>743524.2</v>
      </c>
      <c r="G232" s="236" cm="1">
        <f t="array" ref="G232">INDEX(GMW!$A$2:$NF$60,MATCH(1,(GMW!$NE$2:$NE$60=G$3)*(GMW!$ND$2:$ND$60=G$4),0),$D232-1966)</f>
        <v>152.2261</v>
      </c>
      <c r="H232" s="236" cm="1">
        <f t="array" ref="H232">INDEX(GMW!$A$2:$NF$60,MATCH(1,(GMW!$NE$2:$NE$60=H$3)*(GMW!$ND$2:$ND$60=H$4),0),$D232-1966)</f>
        <v>809.54250000000002</v>
      </c>
    </row>
    <row r="233" spans="1:8">
      <c r="A233" s="236">
        <f t="shared" si="11"/>
        <v>2029</v>
      </c>
      <c r="B233" s="236">
        <f t="shared" si="11"/>
        <v>2029</v>
      </c>
      <c r="C233" s="236">
        <f t="shared" si="12"/>
        <v>202903</v>
      </c>
      <c r="D233" s="236">
        <f t="shared" si="10"/>
        <v>2199</v>
      </c>
      <c r="E233" s="236" cm="1">
        <f t="array" ref="E233">INDEX(GMW!$A$2:$NF$60,MATCH(1,(GMW!$NE$2:$NE$60=E$3)*(GMW!$ND$2:$ND$60=E$4),0),$D233-1966)</f>
        <v>71100.59</v>
      </c>
      <c r="F233" s="236" cm="1">
        <f t="array" ref="F233">INDEX(GMW!$A$2:$NF$60,MATCH(1,(GMW!$NE$2:$NE$60=F$3)*(GMW!$ND$2:$ND$60=F$4),0),$D233-1966)</f>
        <v>746498.4</v>
      </c>
      <c r="G233" s="236" cm="1">
        <f t="array" ref="G233">INDEX(GMW!$A$2:$NF$60,MATCH(1,(GMW!$NE$2:$NE$60=G$3)*(GMW!$ND$2:$ND$60=G$4),0),$D233-1966)</f>
        <v>153.05269999999999</v>
      </c>
      <c r="H233" s="236" cm="1">
        <f t="array" ref="H233">INDEX(GMW!$A$2:$NF$60,MATCH(1,(GMW!$NE$2:$NE$60=H$3)*(GMW!$ND$2:$ND$60=H$4),0),$D233-1966)</f>
        <v>815.00369999999998</v>
      </c>
    </row>
    <row r="234" spans="1:8">
      <c r="A234" s="236">
        <f t="shared" si="11"/>
        <v>2029</v>
      </c>
      <c r="B234" s="236">
        <f t="shared" si="11"/>
        <v>2029</v>
      </c>
      <c r="C234" s="236">
        <f t="shared" si="12"/>
        <v>202904</v>
      </c>
      <c r="D234" s="236">
        <f t="shared" si="10"/>
        <v>2200</v>
      </c>
      <c r="E234" s="236" cm="1">
        <f t="array" ref="E234">INDEX(GMW!$A$2:$NF$60,MATCH(1,(GMW!$NE$2:$NE$60=E$3)*(GMW!$ND$2:$ND$60=E$4),0),$D234-1966)</f>
        <v>71166.67</v>
      </c>
      <c r="F234" s="236" cm="1">
        <f t="array" ref="F234">INDEX(GMW!$A$2:$NF$60,MATCH(1,(GMW!$NE$2:$NE$60=F$3)*(GMW!$ND$2:$ND$60=F$4),0),$D234-1966)</f>
        <v>749484.4</v>
      </c>
      <c r="G234" s="236" cm="1">
        <f t="array" ref="G234">INDEX(GMW!$A$2:$NF$60,MATCH(1,(GMW!$NE$2:$NE$60=G$3)*(GMW!$ND$2:$ND$60=G$4),0),$D234-1966)</f>
        <v>153.73689999999999</v>
      </c>
      <c r="H234" s="236" cm="1">
        <f t="array" ref="H234">INDEX(GMW!$A$2:$NF$60,MATCH(1,(GMW!$NE$2:$NE$60=H$3)*(GMW!$ND$2:$ND$60=H$4),0),$D234-1966)</f>
        <v>820.49400000000003</v>
      </c>
    </row>
    <row r="235" spans="1:8">
      <c r="A235" s="236">
        <f t="shared" si="11"/>
        <v>2030</v>
      </c>
      <c r="B235" s="236">
        <f t="shared" si="11"/>
        <v>2029</v>
      </c>
      <c r="C235" s="236">
        <f t="shared" si="12"/>
        <v>203001</v>
      </c>
      <c r="D235" s="236">
        <f t="shared" si="10"/>
        <v>2201</v>
      </c>
      <c r="E235" s="236" cm="1">
        <f t="array" ref="E235">INDEX(GMW!$A$2:$NF$60,MATCH(1,(GMW!$NE$2:$NE$60=E$3)*(GMW!$ND$2:$ND$60=E$4),0),$D235-1966)</f>
        <v>71232.75</v>
      </c>
      <c r="F235" s="236" cm="1">
        <f t="array" ref="F235">INDEX(GMW!$A$2:$NF$60,MATCH(1,(GMW!$NE$2:$NE$60=F$3)*(GMW!$ND$2:$ND$60=F$4),0),$D235-1966)</f>
        <v>752370</v>
      </c>
      <c r="G235" s="236" cm="1">
        <f t="array" ref="G235">INDEX(GMW!$A$2:$NF$60,MATCH(1,(GMW!$NE$2:$NE$60=G$3)*(GMW!$ND$2:$ND$60=G$4),0),$D235-1966)</f>
        <v>153.96709999999999</v>
      </c>
      <c r="H235" s="236" cm="1">
        <f t="array" ref="H235">INDEX(GMW!$A$2:$NF$60,MATCH(1,(GMW!$NE$2:$NE$60=H$3)*(GMW!$ND$2:$ND$60=H$4),0),$D235-1966)</f>
        <v>826.02980000000002</v>
      </c>
    </row>
    <row r="236" spans="1:8">
      <c r="A236" s="236">
        <f t="shared" si="11"/>
        <v>2030</v>
      </c>
      <c r="B236" s="236">
        <f t="shared" si="11"/>
        <v>2030</v>
      </c>
      <c r="C236" s="236">
        <f t="shared" si="12"/>
        <v>203002</v>
      </c>
      <c r="D236" s="236">
        <f t="shared" si="10"/>
        <v>2202</v>
      </c>
      <c r="E236" s="236" cm="1">
        <f t="array" ref="E236">INDEX(GMW!$A$2:$NF$60,MATCH(1,(GMW!$NE$2:$NE$60=E$3)*(GMW!$ND$2:$ND$60=E$4),0),$D236-1966)</f>
        <v>71298.84</v>
      </c>
      <c r="F236" s="236" cm="1">
        <f t="array" ref="F236">INDEX(GMW!$A$2:$NF$60,MATCH(1,(GMW!$NE$2:$NE$60=F$3)*(GMW!$ND$2:$ND$60=F$4),0),$D236-1966)</f>
        <v>755304.3</v>
      </c>
      <c r="G236" s="236" cm="1">
        <f t="array" ref="G236">INDEX(GMW!$A$2:$NF$60,MATCH(1,(GMW!$NE$2:$NE$60=G$3)*(GMW!$ND$2:$ND$60=G$4),0),$D236-1966)</f>
        <v>155.3997</v>
      </c>
      <c r="H236" s="236" cm="1">
        <f t="array" ref="H236">INDEX(GMW!$A$2:$NF$60,MATCH(1,(GMW!$NE$2:$NE$60=H$3)*(GMW!$ND$2:$ND$60=H$4),0),$D236-1966)</f>
        <v>831.66819999999996</v>
      </c>
    </row>
    <row r="237" spans="1:8">
      <c r="A237" s="236">
        <f t="shared" si="11"/>
        <v>2030</v>
      </c>
      <c r="B237" s="236">
        <f t="shared" si="11"/>
        <v>2030</v>
      </c>
      <c r="C237" s="236">
        <f t="shared" si="12"/>
        <v>203003</v>
      </c>
      <c r="D237" s="236">
        <f t="shared" si="10"/>
        <v>2203</v>
      </c>
      <c r="E237" s="236" cm="1">
        <f t="array" ref="E237">INDEX(GMW!$A$2:$NF$60,MATCH(1,(GMW!$NE$2:$NE$60=E$3)*(GMW!$ND$2:$ND$60=E$4),0),$D237-1966)</f>
        <v>71362.98</v>
      </c>
      <c r="F237" s="236" cm="1">
        <f t="array" ref="F237">INDEX(GMW!$A$2:$NF$60,MATCH(1,(GMW!$NE$2:$NE$60=F$3)*(GMW!$ND$2:$ND$60=F$4),0),$D237-1966)</f>
        <v>758249.9</v>
      </c>
      <c r="G237" s="236" cm="1">
        <f t="array" ref="G237">INDEX(GMW!$A$2:$NF$60,MATCH(1,(GMW!$NE$2:$NE$60=G$3)*(GMW!$ND$2:$ND$60=G$4),0),$D237-1966)</f>
        <v>156.23740000000001</v>
      </c>
      <c r="H237" s="236" cm="1">
        <f t="array" ref="H237">INDEX(GMW!$A$2:$NF$60,MATCH(1,(GMW!$NE$2:$NE$60=H$3)*(GMW!$ND$2:$ND$60=H$4),0),$D237-1966)</f>
        <v>837.43989999999997</v>
      </c>
    </row>
    <row r="238" spans="1:8">
      <c r="A238" s="236">
        <f t="shared" si="11"/>
        <v>2030</v>
      </c>
      <c r="B238" s="236">
        <f t="shared" si="11"/>
        <v>2030</v>
      </c>
      <c r="C238" s="236">
        <f t="shared" si="12"/>
        <v>203004</v>
      </c>
      <c r="D238" s="236">
        <f t="shared" si="10"/>
        <v>2204</v>
      </c>
      <c r="E238" s="236" cm="1">
        <f t="array" ref="E238">INDEX(GMW!$A$2:$NF$60,MATCH(1,(GMW!$NE$2:$NE$60=E$3)*(GMW!$ND$2:$ND$60=E$4),0),$D238-1966)</f>
        <v>71427.13</v>
      </c>
      <c r="F238" s="236" cm="1">
        <f t="array" ref="F238">INDEX(GMW!$A$2:$NF$60,MATCH(1,(GMW!$NE$2:$NE$60=F$3)*(GMW!$ND$2:$ND$60=F$4),0),$D238-1966)</f>
        <v>761282.9</v>
      </c>
      <c r="G238" s="236" cm="1">
        <f t="array" ref="G238">INDEX(GMW!$A$2:$NF$60,MATCH(1,(GMW!$NE$2:$NE$60=G$3)*(GMW!$ND$2:$ND$60=G$4),0),$D238-1966)</f>
        <v>156.88380000000001</v>
      </c>
      <c r="H238" s="236" cm="1">
        <f t="array" ref="H238">INDEX(GMW!$A$2:$NF$60,MATCH(1,(GMW!$NE$2:$NE$60=H$3)*(GMW!$ND$2:$ND$60=H$4),0),$D238-1966)</f>
        <v>843.26139999999998</v>
      </c>
    </row>
    <row r="239" spans="1:8">
      <c r="A239" s="236">
        <f t="shared" si="11"/>
        <v>2031</v>
      </c>
      <c r="B239" s="236">
        <f t="shared" si="11"/>
        <v>2030</v>
      </c>
      <c r="C239" s="236">
        <f t="shared" si="12"/>
        <v>203101</v>
      </c>
      <c r="D239" s="236">
        <f t="shared" si="10"/>
        <v>2205</v>
      </c>
      <c r="E239" s="236" cm="1">
        <f t="array" ref="E239">INDEX(GMW!$A$2:$NF$60,MATCH(1,(GMW!$NE$2:$NE$60=E$3)*(GMW!$ND$2:$ND$60=E$4),0),$D239-1966)</f>
        <v>71491.27</v>
      </c>
      <c r="F239" s="236" cm="1">
        <f t="array" ref="F239">INDEX(GMW!$A$2:$NF$60,MATCH(1,(GMW!$NE$2:$NE$60=F$3)*(GMW!$ND$2:$ND$60=F$4),0),$D239-1966)</f>
        <v>764328.1</v>
      </c>
      <c r="G239" s="236" cm="1">
        <f t="array" ref="G239">INDEX(GMW!$A$2:$NF$60,MATCH(1,(GMW!$NE$2:$NE$60=G$3)*(GMW!$ND$2:$ND$60=G$4),0),$D239-1966)</f>
        <v>157.09180000000001</v>
      </c>
      <c r="H239" s="236" cm="1">
        <f t="array" ref="H239">INDEX(GMW!$A$2:$NF$60,MATCH(1,(GMW!$NE$2:$NE$60=H$3)*(GMW!$ND$2:$ND$60=H$4),0),$D239-1966)</f>
        <v>849.1404</v>
      </c>
    </row>
    <row r="240" spans="1:8">
      <c r="A240" s="236">
        <f t="shared" si="11"/>
        <v>2031</v>
      </c>
      <c r="B240" s="236">
        <f t="shared" si="11"/>
        <v>2031</v>
      </c>
      <c r="C240" s="236">
        <f t="shared" si="12"/>
        <v>203102</v>
      </c>
      <c r="D240" s="236">
        <f t="shared" si="10"/>
        <v>2206</v>
      </c>
      <c r="E240" s="236" cm="1">
        <f t="array" ref="E240">INDEX(GMW!$A$2:$NF$60,MATCH(1,(GMW!$NE$2:$NE$60=E$3)*(GMW!$ND$2:$ND$60=E$4),0),$D240-1966)</f>
        <v>71555.42</v>
      </c>
      <c r="F240" s="236" cm="1">
        <f t="array" ref="F240">INDEX(GMW!$A$2:$NF$60,MATCH(1,(GMW!$NE$2:$NE$60=F$3)*(GMW!$ND$2:$ND$60=F$4),0),$D240-1966)</f>
        <v>767385.4</v>
      </c>
      <c r="G240" s="236" cm="1">
        <f t="array" ref="G240">INDEX(GMW!$A$2:$NF$60,MATCH(1,(GMW!$NE$2:$NE$60=G$3)*(GMW!$ND$2:$ND$60=G$4),0),$D240-1966)</f>
        <v>158.55410000000001</v>
      </c>
      <c r="H240" s="236" cm="1">
        <f t="array" ref="H240">INDEX(GMW!$A$2:$NF$60,MATCH(1,(GMW!$NE$2:$NE$60=H$3)*(GMW!$ND$2:$ND$60=H$4),0),$D240-1966)</f>
        <v>855.07420000000002</v>
      </c>
    </row>
    <row r="241" spans="1:8">
      <c r="A241" s="236">
        <f t="shared" si="11"/>
        <v>2031</v>
      </c>
      <c r="B241" s="236">
        <f t="shared" si="11"/>
        <v>2031</v>
      </c>
      <c r="C241" s="236">
        <f t="shared" si="12"/>
        <v>203103</v>
      </c>
      <c r="D241" s="236">
        <f t="shared" ref="D241:D304" si="13">+D240+1</f>
        <v>2207</v>
      </c>
      <c r="E241" s="236" cm="1">
        <f t="array" ref="E241">INDEX(GMW!$A$2:$NF$60,MATCH(1,(GMW!$NE$2:$NE$60=E$3)*(GMW!$ND$2:$ND$60=E$4),0),$D241-1966)</f>
        <v>71617.570000000007</v>
      </c>
      <c r="F241" s="236" cm="1">
        <f t="array" ref="F241">INDEX(GMW!$A$2:$NF$60,MATCH(1,(GMW!$NE$2:$NE$60=F$3)*(GMW!$ND$2:$ND$60=F$4),0),$D241-1966)</f>
        <v>770378.1</v>
      </c>
      <c r="G241" s="236" cm="1">
        <f t="array" ref="G241">INDEX(GMW!$A$2:$NF$60,MATCH(1,(GMW!$NE$2:$NE$60=G$3)*(GMW!$ND$2:$ND$60=G$4),0),$D241-1966)</f>
        <v>159.4264</v>
      </c>
      <c r="H241" s="236" cm="1">
        <f t="array" ref="H241">INDEX(GMW!$A$2:$NF$60,MATCH(1,(GMW!$NE$2:$NE$60=H$3)*(GMW!$ND$2:$ND$60=H$4),0),$D241-1966)</f>
        <v>861.09140000000002</v>
      </c>
    </row>
    <row r="242" spans="1:8">
      <c r="A242" s="236">
        <f t="shared" si="11"/>
        <v>2031</v>
      </c>
      <c r="B242" s="236">
        <f t="shared" si="11"/>
        <v>2031</v>
      </c>
      <c r="C242" s="236">
        <f t="shared" si="12"/>
        <v>203104</v>
      </c>
      <c r="D242" s="236">
        <f t="shared" si="13"/>
        <v>2208</v>
      </c>
      <c r="E242" s="236" cm="1">
        <f t="array" ref="E242">INDEX(GMW!$A$2:$NF$60,MATCH(1,(GMW!$NE$2:$NE$60=E$3)*(GMW!$ND$2:$ND$60=E$4),0),$D242-1966)</f>
        <v>71679.72</v>
      </c>
      <c r="F242" s="236" cm="1">
        <f t="array" ref="F242">INDEX(GMW!$A$2:$NF$60,MATCH(1,(GMW!$NE$2:$NE$60=F$3)*(GMW!$ND$2:$ND$60=F$4),0),$D242-1966)</f>
        <v>773421.1</v>
      </c>
      <c r="G242" s="236" cm="1">
        <f t="array" ref="G242">INDEX(GMW!$A$2:$NF$60,MATCH(1,(GMW!$NE$2:$NE$60=G$3)*(GMW!$ND$2:$ND$60=G$4),0),$D242-1966)</f>
        <v>160.0367</v>
      </c>
      <c r="H242" s="236" cm="1">
        <f t="array" ref="H242">INDEX(GMW!$A$2:$NF$60,MATCH(1,(GMW!$NE$2:$NE$60=H$3)*(GMW!$ND$2:$ND$60=H$4),0),$D242-1966)</f>
        <v>867.10209999999995</v>
      </c>
    </row>
    <row r="243" spans="1:8">
      <c r="A243" s="236">
        <f t="shared" si="11"/>
        <v>2032</v>
      </c>
      <c r="B243" s="236">
        <f t="shared" si="11"/>
        <v>2031</v>
      </c>
      <c r="C243" s="236">
        <f t="shared" si="12"/>
        <v>203201</v>
      </c>
      <c r="D243" s="236">
        <f t="shared" si="13"/>
        <v>2209</v>
      </c>
      <c r="E243" s="236" cm="1">
        <f t="array" ref="E243">INDEX(GMW!$A$2:$NF$60,MATCH(1,(GMW!$NE$2:$NE$60=E$3)*(GMW!$ND$2:$ND$60=E$4),0),$D243-1966)</f>
        <v>71741.87</v>
      </c>
      <c r="F243" s="236" cm="1">
        <f t="array" ref="F243">INDEX(GMW!$A$2:$NF$60,MATCH(1,(GMW!$NE$2:$NE$60=F$3)*(GMW!$ND$2:$ND$60=F$4),0),$D243-1966)</f>
        <v>776514.8</v>
      </c>
      <c r="G243" s="236" cm="1">
        <f t="array" ref="G243">INDEX(GMW!$A$2:$NF$60,MATCH(1,(GMW!$NE$2:$NE$60=G$3)*(GMW!$ND$2:$ND$60=G$4),0),$D243-1966)</f>
        <v>160.2166</v>
      </c>
      <c r="H243" s="236" cm="1">
        <f t="array" ref="H243">INDEX(GMW!$A$2:$NF$60,MATCH(1,(GMW!$NE$2:$NE$60=H$3)*(GMW!$ND$2:$ND$60=H$4),0),$D243-1966)</f>
        <v>873.14980000000003</v>
      </c>
    </row>
    <row r="244" spans="1:8">
      <c r="A244" s="236">
        <f t="shared" si="11"/>
        <v>2032</v>
      </c>
      <c r="B244" s="236">
        <f t="shared" si="11"/>
        <v>2032</v>
      </c>
      <c r="C244" s="236">
        <f t="shared" si="12"/>
        <v>203202</v>
      </c>
      <c r="D244" s="236">
        <f t="shared" si="13"/>
        <v>2210</v>
      </c>
      <c r="E244" s="236" cm="1">
        <f t="array" ref="E244">INDEX(GMW!$A$2:$NF$60,MATCH(1,(GMW!$NE$2:$NE$60=E$3)*(GMW!$ND$2:$ND$60=E$4),0),$D244-1966)</f>
        <v>71804.02</v>
      </c>
      <c r="F244" s="236" cm="1">
        <f t="array" ref="F244">INDEX(GMW!$A$2:$NF$60,MATCH(1,(GMW!$NE$2:$NE$60=F$3)*(GMW!$ND$2:$ND$60=F$4),0),$D244-1966)</f>
        <v>779543.3</v>
      </c>
      <c r="G244" s="236" cm="1">
        <f t="array" ref="G244">INDEX(GMW!$A$2:$NF$60,MATCH(1,(GMW!$NE$2:$NE$60=G$3)*(GMW!$ND$2:$ND$60=G$4),0),$D244-1966)</f>
        <v>161.71639999999999</v>
      </c>
      <c r="H244" s="236" cm="1">
        <f t="array" ref="H244">INDEX(GMW!$A$2:$NF$60,MATCH(1,(GMW!$NE$2:$NE$60=H$3)*(GMW!$ND$2:$ND$60=H$4),0),$D244-1966)</f>
        <v>879.28489999999999</v>
      </c>
    </row>
    <row r="245" spans="1:8">
      <c r="A245" s="236">
        <f t="shared" si="11"/>
        <v>2032</v>
      </c>
      <c r="B245" s="236">
        <f t="shared" si="11"/>
        <v>2032</v>
      </c>
      <c r="C245" s="236">
        <f t="shared" si="12"/>
        <v>203203</v>
      </c>
      <c r="D245" s="236">
        <f t="shared" si="13"/>
        <v>2211</v>
      </c>
      <c r="E245" s="236" cm="1">
        <f t="array" ref="E245">INDEX(GMW!$A$2:$NF$60,MATCH(1,(GMW!$NE$2:$NE$60=E$3)*(GMW!$ND$2:$ND$60=E$4),0),$D245-1966)</f>
        <v>71864.23</v>
      </c>
      <c r="F245" s="236" cm="1">
        <f t="array" ref="F245">INDEX(GMW!$A$2:$NF$60,MATCH(1,(GMW!$NE$2:$NE$60=F$3)*(GMW!$ND$2:$ND$60=F$4),0),$D245-1966)</f>
        <v>782583.4</v>
      </c>
      <c r="G245" s="236" cm="1">
        <f t="array" ref="G245">INDEX(GMW!$A$2:$NF$60,MATCH(1,(GMW!$NE$2:$NE$60=G$3)*(GMW!$ND$2:$ND$60=G$4),0),$D245-1966)</f>
        <v>162.63980000000001</v>
      </c>
      <c r="H245" s="236" cm="1">
        <f t="array" ref="H245">INDEX(GMW!$A$2:$NF$60,MATCH(1,(GMW!$NE$2:$NE$60=H$3)*(GMW!$ND$2:$ND$60=H$4),0),$D245-1966)</f>
        <v>885.54340000000002</v>
      </c>
    </row>
    <row r="246" spans="1:8">
      <c r="A246" s="236">
        <f t="shared" si="11"/>
        <v>2032</v>
      </c>
      <c r="B246" s="236">
        <f t="shared" si="11"/>
        <v>2032</v>
      </c>
      <c r="C246" s="236">
        <f t="shared" si="12"/>
        <v>203204</v>
      </c>
      <c r="D246" s="236">
        <f t="shared" si="13"/>
        <v>2212</v>
      </c>
      <c r="E246" s="236" cm="1">
        <f t="array" ref="E246">INDEX(GMW!$A$2:$NF$60,MATCH(1,(GMW!$NE$2:$NE$60=E$3)*(GMW!$ND$2:$ND$60=E$4),0),$D246-1966)</f>
        <v>71924.45</v>
      </c>
      <c r="F246" s="236" cm="1">
        <f t="array" ref="F246">INDEX(GMW!$A$2:$NF$60,MATCH(1,(GMW!$NE$2:$NE$60=F$3)*(GMW!$ND$2:$ND$60=F$4),0),$D246-1966)</f>
        <v>785674.7</v>
      </c>
      <c r="G246" s="236" cm="1">
        <f t="array" ref="G246">INDEX(GMW!$A$2:$NF$60,MATCH(1,(GMW!$NE$2:$NE$60=G$3)*(GMW!$ND$2:$ND$60=G$4),0),$D246-1966)</f>
        <v>163.23079999999999</v>
      </c>
      <c r="H246" s="236" cm="1">
        <f t="array" ref="H246">INDEX(GMW!$A$2:$NF$60,MATCH(1,(GMW!$NE$2:$NE$60=H$3)*(GMW!$ND$2:$ND$60=H$4),0),$D246-1966)</f>
        <v>891.82939999999996</v>
      </c>
    </row>
    <row r="247" spans="1:8">
      <c r="A247" s="236">
        <f t="shared" si="11"/>
        <v>2033</v>
      </c>
      <c r="B247" s="236">
        <f t="shared" si="11"/>
        <v>2032</v>
      </c>
      <c r="C247" s="236">
        <f t="shared" si="12"/>
        <v>203301</v>
      </c>
      <c r="D247" s="236">
        <f t="shared" si="13"/>
        <v>2213</v>
      </c>
      <c r="E247" s="236" cm="1">
        <f t="array" ref="E247">INDEX(GMW!$A$2:$NF$60,MATCH(1,(GMW!$NE$2:$NE$60=E$3)*(GMW!$ND$2:$ND$60=E$4),0),$D247-1966)</f>
        <v>71984.66</v>
      </c>
      <c r="F247" s="236" cm="1">
        <f t="array" ref="F247">INDEX(GMW!$A$2:$NF$60,MATCH(1,(GMW!$NE$2:$NE$60=F$3)*(GMW!$ND$2:$ND$60=F$4),0),$D247-1966)</f>
        <v>788668.2</v>
      </c>
      <c r="G247" s="236" cm="1">
        <f t="array" ref="G247">INDEX(GMW!$A$2:$NF$60,MATCH(1,(GMW!$NE$2:$NE$60=G$3)*(GMW!$ND$2:$ND$60=G$4),0),$D247-1966)</f>
        <v>163.39830000000001</v>
      </c>
      <c r="H247" s="236" cm="1">
        <f t="array" ref="H247">INDEX(GMW!$A$2:$NF$60,MATCH(1,(GMW!$NE$2:$NE$60=H$3)*(GMW!$ND$2:$ND$60=H$4),0),$D247-1966)</f>
        <v>898.13779999999997</v>
      </c>
    </row>
    <row r="248" spans="1:8">
      <c r="A248" s="236">
        <f t="shared" si="11"/>
        <v>2033</v>
      </c>
      <c r="B248" s="236">
        <f t="shared" si="11"/>
        <v>2033</v>
      </c>
      <c r="C248" s="236">
        <f t="shared" si="12"/>
        <v>203302</v>
      </c>
      <c r="D248" s="236">
        <f t="shared" si="13"/>
        <v>2214</v>
      </c>
      <c r="E248" s="236" cm="1">
        <f t="array" ref="E248">INDEX(GMW!$A$2:$NF$60,MATCH(1,(GMW!$NE$2:$NE$60=E$3)*(GMW!$ND$2:$ND$60=E$4),0),$D248-1966)</f>
        <v>72044.87</v>
      </c>
      <c r="F248" s="236" cm="1">
        <f t="array" ref="F248">INDEX(GMW!$A$2:$NF$60,MATCH(1,(GMW!$NE$2:$NE$60=F$3)*(GMW!$ND$2:$ND$60=F$4),0),$D248-1966)</f>
        <v>791678.2</v>
      </c>
      <c r="G248" s="236" cm="1">
        <f t="array" ref="G248">INDEX(GMW!$A$2:$NF$60,MATCH(1,(GMW!$NE$2:$NE$60=G$3)*(GMW!$ND$2:$ND$60=G$4),0),$D248-1966)</f>
        <v>164.95359999999999</v>
      </c>
      <c r="H248" s="236" cm="1">
        <f t="array" ref="H248">INDEX(GMW!$A$2:$NF$60,MATCH(1,(GMW!$NE$2:$NE$60=H$3)*(GMW!$ND$2:$ND$60=H$4),0),$D248-1966)</f>
        <v>904.54510000000005</v>
      </c>
    </row>
    <row r="249" spans="1:8">
      <c r="A249" s="236">
        <f t="shared" si="11"/>
        <v>2033</v>
      </c>
      <c r="B249" s="236">
        <f t="shared" si="11"/>
        <v>2033</v>
      </c>
      <c r="C249" s="236">
        <f t="shared" si="12"/>
        <v>203303</v>
      </c>
      <c r="D249" s="236">
        <f t="shared" si="13"/>
        <v>2215</v>
      </c>
      <c r="E249" s="236" cm="1">
        <f t="array" ref="E249">INDEX(GMW!$A$2:$NF$60,MATCH(1,(GMW!$NE$2:$NE$60=E$3)*(GMW!$ND$2:$ND$60=E$4),0),$D249-1966)</f>
        <v>72103.259999999995</v>
      </c>
      <c r="F249" s="236" cm="1">
        <f t="array" ref="F249">INDEX(GMW!$A$2:$NF$60,MATCH(1,(GMW!$NE$2:$NE$60=F$3)*(GMW!$ND$2:$ND$60=F$4),0),$D249-1966)</f>
        <v>794734.4</v>
      </c>
      <c r="G249" s="236" cm="1">
        <f t="array" ref="G249">INDEX(GMW!$A$2:$NF$60,MATCH(1,(GMW!$NE$2:$NE$60=G$3)*(GMW!$ND$2:$ND$60=G$4),0),$D249-1966)</f>
        <v>165.93620000000001</v>
      </c>
      <c r="H249" s="236" cm="1">
        <f t="array" ref="H249">INDEX(GMW!$A$2:$NF$60,MATCH(1,(GMW!$NE$2:$NE$60=H$3)*(GMW!$ND$2:$ND$60=H$4),0),$D249-1966)</f>
        <v>911.09460000000001</v>
      </c>
    </row>
    <row r="250" spans="1:8">
      <c r="A250" s="236">
        <f t="shared" si="11"/>
        <v>2033</v>
      </c>
      <c r="B250" s="236">
        <f t="shared" si="11"/>
        <v>2033</v>
      </c>
      <c r="C250" s="236">
        <f t="shared" si="12"/>
        <v>203304</v>
      </c>
      <c r="D250" s="236">
        <f t="shared" si="13"/>
        <v>2216</v>
      </c>
      <c r="E250" s="236" cm="1">
        <f t="array" ref="E250">INDEX(GMW!$A$2:$NF$60,MATCH(1,(GMW!$NE$2:$NE$60=E$3)*(GMW!$ND$2:$ND$60=E$4),0),$D250-1966)</f>
        <v>72161.66</v>
      </c>
      <c r="F250" s="236" cm="1">
        <f t="array" ref="F250">INDEX(GMW!$A$2:$NF$60,MATCH(1,(GMW!$NE$2:$NE$60=F$3)*(GMW!$ND$2:$ND$60=F$4),0),$D250-1966)</f>
        <v>797738.4</v>
      </c>
      <c r="G250" s="236" cm="1">
        <f t="array" ref="G250">INDEX(GMW!$A$2:$NF$60,MATCH(1,(GMW!$NE$2:$NE$60=G$3)*(GMW!$ND$2:$ND$60=G$4),0),$D250-1966)</f>
        <v>166.494</v>
      </c>
      <c r="H250" s="236" cm="1">
        <f t="array" ref="H250">INDEX(GMW!$A$2:$NF$60,MATCH(1,(GMW!$NE$2:$NE$60=H$3)*(GMW!$ND$2:$ND$60=H$4),0),$D250-1966)</f>
        <v>917.66089999999997</v>
      </c>
    </row>
    <row r="251" spans="1:8">
      <c r="A251" s="236">
        <f t="shared" si="11"/>
        <v>2034</v>
      </c>
      <c r="B251" s="236">
        <f t="shared" si="11"/>
        <v>2033</v>
      </c>
      <c r="C251" s="236">
        <f t="shared" si="12"/>
        <v>203401</v>
      </c>
      <c r="D251" s="236">
        <f t="shared" si="13"/>
        <v>2217</v>
      </c>
      <c r="E251" s="236" cm="1">
        <f t="array" ref="E251">INDEX(GMW!$A$2:$NF$60,MATCH(1,(GMW!$NE$2:$NE$60=E$3)*(GMW!$ND$2:$ND$60=E$4),0),$D251-1966)</f>
        <v>72220.05</v>
      </c>
      <c r="F251" s="236" cm="1">
        <f t="array" ref="F251">INDEX(GMW!$A$2:$NF$60,MATCH(1,(GMW!$NE$2:$NE$60=F$3)*(GMW!$ND$2:$ND$60=F$4),0),$D251-1966)</f>
        <v>800822.5</v>
      </c>
      <c r="G251" s="236" cm="1">
        <f t="array" ref="G251">INDEX(GMW!$A$2:$NF$60,MATCH(1,(GMW!$NE$2:$NE$60=G$3)*(GMW!$ND$2:$ND$60=G$4),0),$D251-1966)</f>
        <v>166.6343</v>
      </c>
      <c r="H251" s="236" cm="1">
        <f t="array" ref="H251">INDEX(GMW!$A$2:$NF$60,MATCH(1,(GMW!$NE$2:$NE$60=H$3)*(GMW!$ND$2:$ND$60=H$4),0),$D251-1966)</f>
        <v>924.27359999999999</v>
      </c>
    </row>
    <row r="252" spans="1:8">
      <c r="A252" s="236">
        <f t="shared" si="11"/>
        <v>2034</v>
      </c>
      <c r="B252" s="236">
        <f t="shared" si="11"/>
        <v>2034</v>
      </c>
      <c r="C252" s="236">
        <f t="shared" si="12"/>
        <v>203402</v>
      </c>
      <c r="D252" s="236">
        <f t="shared" si="13"/>
        <v>2218</v>
      </c>
      <c r="E252" s="236" cm="1">
        <f t="array" ref="E252">INDEX(GMW!$A$2:$NF$60,MATCH(1,(GMW!$NE$2:$NE$60=E$3)*(GMW!$ND$2:$ND$60=E$4),0),$D252-1966)</f>
        <v>72278.45</v>
      </c>
      <c r="F252" s="236" cm="1">
        <f t="array" ref="F252">INDEX(GMW!$A$2:$NF$60,MATCH(1,(GMW!$NE$2:$NE$60=F$3)*(GMW!$ND$2:$ND$60=F$4),0),$D252-1966)</f>
        <v>803846.1</v>
      </c>
      <c r="G252" s="236" cm="1">
        <f t="array" ref="G252">INDEX(GMW!$A$2:$NF$60,MATCH(1,(GMW!$NE$2:$NE$60=G$3)*(GMW!$ND$2:$ND$60=G$4),0),$D252-1966)</f>
        <v>168.2397</v>
      </c>
      <c r="H252" s="236" cm="1">
        <f t="array" ref="H252">INDEX(GMW!$A$2:$NF$60,MATCH(1,(GMW!$NE$2:$NE$60=H$3)*(GMW!$ND$2:$ND$60=H$4),0),$D252-1966)</f>
        <v>931.02719999999999</v>
      </c>
    </row>
    <row r="253" spans="1:8">
      <c r="A253" s="236">
        <f t="shared" si="11"/>
        <v>2034</v>
      </c>
      <c r="B253" s="236">
        <f t="shared" si="11"/>
        <v>2034</v>
      </c>
      <c r="C253" s="236">
        <f t="shared" si="12"/>
        <v>203403</v>
      </c>
      <c r="D253" s="236">
        <f t="shared" si="13"/>
        <v>2219</v>
      </c>
      <c r="E253" s="236" cm="1">
        <f t="array" ref="E253">INDEX(GMW!$A$2:$NF$60,MATCH(1,(GMW!$NE$2:$NE$60=E$3)*(GMW!$ND$2:$ND$60=E$4),0),$D253-1966)</f>
        <v>72335.09</v>
      </c>
      <c r="F253" s="236" cm="1">
        <f t="array" ref="F253">INDEX(GMW!$A$2:$NF$60,MATCH(1,(GMW!$NE$2:$NE$60=F$3)*(GMW!$ND$2:$ND$60=F$4),0),$D253-1966)</f>
        <v>806845.6</v>
      </c>
      <c r="G253" s="236" cm="1">
        <f t="array" ref="G253">INDEX(GMW!$A$2:$NF$60,MATCH(1,(GMW!$NE$2:$NE$60=G$3)*(GMW!$ND$2:$ND$60=G$4),0),$D253-1966)</f>
        <v>169.2868</v>
      </c>
      <c r="H253" s="236" cm="1">
        <f t="array" ref="H253">INDEX(GMW!$A$2:$NF$60,MATCH(1,(GMW!$NE$2:$NE$60=H$3)*(GMW!$ND$2:$ND$60=H$4),0),$D253-1966)</f>
        <v>937.94899999999996</v>
      </c>
    </row>
    <row r="254" spans="1:8">
      <c r="A254" s="236">
        <f t="shared" si="11"/>
        <v>2034</v>
      </c>
      <c r="B254" s="236">
        <f t="shared" si="11"/>
        <v>2034</v>
      </c>
      <c r="C254" s="236">
        <f t="shared" si="12"/>
        <v>203404</v>
      </c>
      <c r="D254" s="236">
        <f t="shared" si="13"/>
        <v>2220</v>
      </c>
      <c r="E254" s="236" cm="1">
        <f t="array" ref="E254">INDEX(GMW!$A$2:$NF$60,MATCH(1,(GMW!$NE$2:$NE$60=E$3)*(GMW!$ND$2:$ND$60=E$4),0),$D254-1966)</f>
        <v>72391.73</v>
      </c>
      <c r="F254" s="236" cm="1">
        <f t="array" ref="F254">INDEX(GMW!$A$2:$NF$60,MATCH(1,(GMW!$NE$2:$NE$60=F$3)*(GMW!$ND$2:$ND$60=F$4),0),$D254-1966)</f>
        <v>809805.3</v>
      </c>
      <c r="G254" s="236" cm="1">
        <f t="array" ref="G254">INDEX(GMW!$A$2:$NF$60,MATCH(1,(GMW!$NE$2:$NE$60=G$3)*(GMW!$ND$2:$ND$60=G$4),0),$D254-1966)</f>
        <v>169.81280000000001</v>
      </c>
      <c r="H254" s="236" cm="1">
        <f t="array" ref="H254">INDEX(GMW!$A$2:$NF$60,MATCH(1,(GMW!$NE$2:$NE$60=H$3)*(GMW!$ND$2:$ND$60=H$4),0),$D254-1966)</f>
        <v>944.89179999999999</v>
      </c>
    </row>
    <row r="255" spans="1:8">
      <c r="A255" s="236">
        <f t="shared" si="11"/>
        <v>2035</v>
      </c>
      <c r="B255" s="236">
        <f t="shared" si="11"/>
        <v>2034</v>
      </c>
      <c r="C255" s="236">
        <f t="shared" si="12"/>
        <v>203501</v>
      </c>
      <c r="D255" s="236">
        <f t="shared" si="13"/>
        <v>2221</v>
      </c>
      <c r="E255" s="236" cm="1">
        <f t="array" ref="E255">INDEX(GMW!$A$2:$NF$60,MATCH(1,(GMW!$NE$2:$NE$60=E$3)*(GMW!$ND$2:$ND$60=E$4),0),$D255-1966)</f>
        <v>72448.38</v>
      </c>
      <c r="F255" s="236" cm="1">
        <f t="array" ref="F255">INDEX(GMW!$A$2:$NF$60,MATCH(1,(GMW!$NE$2:$NE$60=F$3)*(GMW!$ND$2:$ND$60=F$4),0),$D255-1966)</f>
        <v>812870.9</v>
      </c>
      <c r="G255" s="236" cm="1">
        <f t="array" ref="G255">INDEX(GMW!$A$2:$NF$60,MATCH(1,(GMW!$NE$2:$NE$60=G$3)*(GMW!$ND$2:$ND$60=G$4),0),$D255-1966)</f>
        <v>169.93199999999999</v>
      </c>
      <c r="H255" s="236" cm="1">
        <f t="array" ref="H255">INDEX(GMW!$A$2:$NF$60,MATCH(1,(GMW!$NE$2:$NE$60=H$3)*(GMW!$ND$2:$ND$60=H$4),0),$D255-1966)</f>
        <v>951.91039999999998</v>
      </c>
    </row>
    <row r="256" spans="1:8">
      <c r="A256" s="236">
        <f t="shared" si="11"/>
        <v>2035</v>
      </c>
      <c r="B256" s="236">
        <f t="shared" si="11"/>
        <v>2035</v>
      </c>
      <c r="C256" s="236">
        <f t="shared" si="12"/>
        <v>203502</v>
      </c>
      <c r="D256" s="236">
        <f t="shared" si="13"/>
        <v>2222</v>
      </c>
      <c r="E256" s="236" cm="1">
        <f t="array" ref="E256">INDEX(GMW!$A$2:$NF$60,MATCH(1,(GMW!$NE$2:$NE$60=E$3)*(GMW!$ND$2:$ND$60=E$4),0),$D256-1966)</f>
        <v>72505.02</v>
      </c>
      <c r="F256" s="236" cm="1">
        <f t="array" ref="F256">INDEX(GMW!$A$2:$NF$60,MATCH(1,(GMW!$NE$2:$NE$60=F$3)*(GMW!$ND$2:$ND$60=F$4),0),$D256-1966)</f>
        <v>815949.8</v>
      </c>
      <c r="G256" s="236" cm="1">
        <f t="array" ref="G256">INDEX(GMW!$A$2:$NF$60,MATCH(1,(GMW!$NE$2:$NE$60=G$3)*(GMW!$ND$2:$ND$60=G$4),0),$D256-1966)</f>
        <v>171.5994</v>
      </c>
      <c r="H256" s="236" cm="1">
        <f t="array" ref="H256">INDEX(GMW!$A$2:$NF$60,MATCH(1,(GMW!$NE$2:$NE$60=H$3)*(GMW!$ND$2:$ND$60=H$4),0),$D256-1966)</f>
        <v>959.06989999999996</v>
      </c>
    </row>
    <row r="257" spans="1:8">
      <c r="A257" s="236">
        <f t="shared" si="11"/>
        <v>2035</v>
      </c>
      <c r="B257" s="236">
        <f t="shared" si="11"/>
        <v>2035</v>
      </c>
      <c r="C257" s="236">
        <f t="shared" si="12"/>
        <v>203503</v>
      </c>
      <c r="D257" s="236">
        <f t="shared" si="13"/>
        <v>2223</v>
      </c>
      <c r="E257" s="236" cm="1">
        <f t="array" ref="E257">INDEX(GMW!$A$2:$NF$60,MATCH(1,(GMW!$NE$2:$NE$60=E$3)*(GMW!$ND$2:$ND$60=E$4),0),$D257-1966)</f>
        <v>72559.990000000005</v>
      </c>
      <c r="F257" s="236" cm="1">
        <f t="array" ref="F257">INDEX(GMW!$A$2:$NF$60,MATCH(1,(GMW!$NE$2:$NE$60=F$3)*(GMW!$ND$2:$ND$60=F$4),0),$D257-1966)</f>
        <v>819041.6</v>
      </c>
      <c r="G257" s="236" cm="1">
        <f t="array" ref="G257">INDEX(GMW!$A$2:$NF$60,MATCH(1,(GMW!$NE$2:$NE$60=G$3)*(GMW!$ND$2:$ND$60=G$4),0),$D257-1966)</f>
        <v>172.71899999999999</v>
      </c>
      <c r="H257" s="236" cm="1">
        <f t="array" ref="H257">INDEX(GMW!$A$2:$NF$60,MATCH(1,(GMW!$NE$2:$NE$60=H$3)*(GMW!$ND$2:$ND$60=H$4),0),$D257-1966)</f>
        <v>966.38919999999996</v>
      </c>
    </row>
    <row r="258" spans="1:8">
      <c r="A258" s="236">
        <f t="shared" si="11"/>
        <v>2035</v>
      </c>
      <c r="B258" s="236">
        <f t="shared" si="11"/>
        <v>2035</v>
      </c>
      <c r="C258" s="236">
        <f t="shared" si="12"/>
        <v>203504</v>
      </c>
      <c r="D258" s="236">
        <f t="shared" si="13"/>
        <v>2224</v>
      </c>
      <c r="E258" s="236" cm="1">
        <f t="array" ref="E258">INDEX(GMW!$A$2:$NF$60,MATCH(1,(GMW!$NE$2:$NE$60=E$3)*(GMW!$ND$2:$ND$60=E$4),0),$D258-1966)</f>
        <v>72614.98</v>
      </c>
      <c r="F258" s="236" cm="1">
        <f t="array" ref="F258">INDEX(GMW!$A$2:$NF$60,MATCH(1,(GMW!$NE$2:$NE$60=F$3)*(GMW!$ND$2:$ND$60=F$4),0),$D258-1966)</f>
        <v>822146.2</v>
      </c>
      <c r="G258" s="236" cm="1">
        <f t="array" ref="G258">INDEX(GMW!$A$2:$NF$60,MATCH(1,(GMW!$NE$2:$NE$60=G$3)*(GMW!$ND$2:$ND$60=G$4),0),$D258-1966)</f>
        <v>173.20359999999999</v>
      </c>
      <c r="H258" s="236" cm="1">
        <f t="array" ref="H258">INDEX(GMW!$A$2:$NF$60,MATCH(1,(GMW!$NE$2:$NE$60=H$3)*(GMW!$ND$2:$ND$60=H$4),0),$D258-1966)</f>
        <v>973.7133</v>
      </c>
    </row>
    <row r="259" spans="1:8">
      <c r="A259" s="236">
        <f t="shared" si="11"/>
        <v>2036</v>
      </c>
      <c r="B259" s="236">
        <f t="shared" si="11"/>
        <v>2035</v>
      </c>
      <c r="C259" s="236">
        <f t="shared" si="12"/>
        <v>203601</v>
      </c>
      <c r="D259" s="236">
        <f t="shared" si="13"/>
        <v>2225</v>
      </c>
      <c r="E259" s="236" cm="1">
        <f t="array" ref="E259">INDEX(GMW!$A$2:$NF$60,MATCH(1,(GMW!$NE$2:$NE$60=E$3)*(GMW!$ND$2:$ND$60=E$4),0),$D259-1966)</f>
        <v>72669.95</v>
      </c>
      <c r="F259" s="236" cm="1">
        <f t="array" ref="F259">INDEX(GMW!$A$2:$NF$60,MATCH(1,(GMW!$NE$2:$NE$60=F$3)*(GMW!$ND$2:$ND$60=F$4),0),$D259-1966)</f>
        <v>825332.6</v>
      </c>
      <c r="G259" s="236" cm="1">
        <f t="array" ref="G259">INDEX(GMW!$A$2:$NF$60,MATCH(1,(GMW!$NE$2:$NE$60=G$3)*(GMW!$ND$2:$ND$60=G$4),0),$D259-1966)</f>
        <v>173.33070000000001</v>
      </c>
      <c r="H259" s="236" cm="1">
        <f t="array" ref="H259">INDEX(GMW!$A$2:$NF$60,MATCH(1,(GMW!$NE$2:$NE$60=H$3)*(GMW!$ND$2:$ND$60=H$4),0),$D259-1966)</f>
        <v>981.10969999999998</v>
      </c>
    </row>
    <row r="260" spans="1:8">
      <c r="A260" s="236">
        <f t="shared" si="11"/>
        <v>2036</v>
      </c>
      <c r="B260" s="236">
        <f t="shared" si="11"/>
        <v>2036</v>
      </c>
      <c r="C260" s="236">
        <f t="shared" si="12"/>
        <v>203602</v>
      </c>
      <c r="D260" s="236">
        <f t="shared" si="13"/>
        <v>2226</v>
      </c>
      <c r="E260" s="236" cm="1">
        <f t="array" ref="E260">INDEX(GMW!$A$2:$NF$60,MATCH(1,(GMW!$NE$2:$NE$60=E$3)*(GMW!$ND$2:$ND$60=E$4),0),$D260-1966)</f>
        <v>72724.94</v>
      </c>
      <c r="F260" s="236" cm="1">
        <f t="array" ref="F260">INDEX(GMW!$A$2:$NF$60,MATCH(1,(GMW!$NE$2:$NE$60=F$3)*(GMW!$ND$2:$ND$60=F$4),0),$D260-1966)</f>
        <v>828535.6</v>
      </c>
      <c r="G260" s="236" cm="1">
        <f t="array" ref="G260">INDEX(GMW!$A$2:$NF$60,MATCH(1,(GMW!$NE$2:$NE$60=G$3)*(GMW!$ND$2:$ND$60=G$4),0),$D260-1966)</f>
        <v>175.03139999999999</v>
      </c>
      <c r="H260" s="236" cm="1">
        <f t="array" ref="H260">INDEX(GMW!$A$2:$NF$60,MATCH(1,(GMW!$NE$2:$NE$60=H$3)*(GMW!$ND$2:$ND$60=H$4),0),$D260-1966)</f>
        <v>988.58780000000002</v>
      </c>
    </row>
    <row r="261" spans="1:8">
      <c r="A261" s="236">
        <f t="shared" si="11"/>
        <v>2036</v>
      </c>
      <c r="B261" s="236">
        <f t="shared" si="11"/>
        <v>2036</v>
      </c>
      <c r="C261" s="236">
        <f t="shared" si="12"/>
        <v>203603</v>
      </c>
      <c r="D261" s="236">
        <f t="shared" si="13"/>
        <v>2227</v>
      </c>
      <c r="E261" s="236" cm="1">
        <f t="array" ref="E261">INDEX(GMW!$A$2:$NF$60,MATCH(1,(GMW!$NE$2:$NE$60=E$3)*(GMW!$ND$2:$ND$60=E$4),0),$D261-1966)</f>
        <v>72778.399999999994</v>
      </c>
      <c r="F261" s="236" cm="1">
        <f t="array" ref="F261">INDEX(GMW!$A$2:$NF$60,MATCH(1,(GMW!$NE$2:$NE$60=F$3)*(GMW!$ND$2:$ND$60=F$4),0),$D261-1966)</f>
        <v>831754.9</v>
      </c>
      <c r="G261" s="236" cm="1">
        <f t="array" ref="G261">INDEX(GMW!$A$2:$NF$60,MATCH(1,(GMW!$NE$2:$NE$60=G$3)*(GMW!$ND$2:$ND$60=G$4),0),$D261-1966)</f>
        <v>176.17339999999999</v>
      </c>
      <c r="H261" s="236" cm="1">
        <f t="array" ref="H261">INDEX(GMW!$A$2:$NF$60,MATCH(1,(GMW!$NE$2:$NE$60=H$3)*(GMW!$ND$2:$ND$60=H$4),0),$D261-1966)</f>
        <v>996.14750000000004</v>
      </c>
    </row>
    <row r="262" spans="1:8">
      <c r="A262" s="236">
        <f t="shared" si="11"/>
        <v>2036</v>
      </c>
      <c r="B262" s="236">
        <f t="shared" si="11"/>
        <v>2036</v>
      </c>
      <c r="C262" s="236">
        <f t="shared" si="12"/>
        <v>203604</v>
      </c>
      <c r="D262" s="236">
        <f t="shared" si="13"/>
        <v>2228</v>
      </c>
      <c r="E262" s="236" cm="1">
        <f t="array" ref="E262">INDEX(GMW!$A$2:$NF$60,MATCH(1,(GMW!$NE$2:$NE$60=E$3)*(GMW!$ND$2:$ND$60=E$4),0),$D262-1966)</f>
        <v>72831.86</v>
      </c>
      <c r="F262" s="236" cm="1">
        <f t="array" ref="F262">INDEX(GMW!$A$2:$NF$60,MATCH(1,(GMW!$NE$2:$NE$60=F$3)*(GMW!$ND$2:$ND$60=F$4),0),$D262-1966)</f>
        <v>834990.6</v>
      </c>
      <c r="G262" s="236" cm="1">
        <f t="array" ref="G262">INDEX(GMW!$A$2:$NF$60,MATCH(1,(GMW!$NE$2:$NE$60=G$3)*(GMW!$ND$2:$ND$60=G$4),0),$D262-1966)</f>
        <v>176.6677</v>
      </c>
      <c r="H262" s="236" cm="1">
        <f t="array" ref="H262">INDEX(GMW!$A$2:$NF$60,MATCH(1,(GMW!$NE$2:$NE$60=H$3)*(GMW!$ND$2:$ND$60=H$4),0),$D262-1966)</f>
        <v>1003.792</v>
      </c>
    </row>
    <row r="263" spans="1:8">
      <c r="A263" s="236">
        <f t="shared" si="11"/>
        <v>2037</v>
      </c>
      <c r="B263" s="236">
        <f t="shared" si="11"/>
        <v>2036</v>
      </c>
      <c r="C263" s="236">
        <f t="shared" si="12"/>
        <v>203701</v>
      </c>
      <c r="D263" s="236">
        <f t="shared" si="13"/>
        <v>2229</v>
      </c>
      <c r="E263" s="236" cm="1">
        <f t="array" ref="E263">INDEX(GMW!$A$2:$NF$60,MATCH(1,(GMW!$NE$2:$NE$60=E$3)*(GMW!$ND$2:$ND$60=E$4),0),$D263-1966)</f>
        <v>72885.320000000007</v>
      </c>
      <c r="F263" s="236" cm="1">
        <f t="array" ref="F263">INDEX(GMW!$A$2:$NF$60,MATCH(1,(GMW!$NE$2:$NE$60=F$3)*(GMW!$ND$2:$ND$60=F$4),0),$D263-1966)</f>
        <v>838242.6</v>
      </c>
      <c r="G263" s="236" cm="1">
        <f t="array" ref="G263">INDEX(GMW!$A$2:$NF$60,MATCH(1,(GMW!$NE$2:$NE$60=G$3)*(GMW!$ND$2:$ND$60=G$4),0),$D263-1966)</f>
        <v>176.79730000000001</v>
      </c>
      <c r="H263" s="236" cm="1">
        <f t="array" ref="H263">INDEX(GMW!$A$2:$NF$60,MATCH(1,(GMW!$NE$2:$NE$60=H$3)*(GMW!$ND$2:$ND$60=H$4),0),$D263-1966)</f>
        <v>1011.502</v>
      </c>
    </row>
    <row r="264" spans="1:8">
      <c r="A264" s="236">
        <f t="shared" si="11"/>
        <v>2037</v>
      </c>
      <c r="B264" s="236">
        <f t="shared" si="11"/>
        <v>2037</v>
      </c>
      <c r="C264" s="236">
        <f t="shared" si="12"/>
        <v>203702</v>
      </c>
      <c r="D264" s="236">
        <f t="shared" si="13"/>
        <v>2230</v>
      </c>
      <c r="E264" s="236" cm="1">
        <f t="array" ref="E264">INDEX(GMW!$A$2:$NF$60,MATCH(1,(GMW!$NE$2:$NE$60=E$3)*(GMW!$ND$2:$ND$60=E$4),0),$D264-1966)</f>
        <v>72938.789999999994</v>
      </c>
      <c r="F264" s="236" cm="1">
        <f t="array" ref="F264">INDEX(GMW!$A$2:$NF$60,MATCH(1,(GMW!$NE$2:$NE$60=F$3)*(GMW!$ND$2:$ND$60=F$4),0),$D264-1966)</f>
        <v>841510.7</v>
      </c>
      <c r="G264" s="236" cm="1">
        <f t="array" ref="G264">INDEX(GMW!$A$2:$NF$60,MATCH(1,(GMW!$NE$2:$NE$60=G$3)*(GMW!$ND$2:$ND$60=G$4),0),$D264-1966)</f>
        <v>178.53200000000001</v>
      </c>
      <c r="H264" s="236" cm="1">
        <f t="array" ref="H264">INDEX(GMW!$A$2:$NF$60,MATCH(1,(GMW!$NE$2:$NE$60=H$3)*(GMW!$ND$2:$ND$60=H$4),0),$D264-1966)</f>
        <v>1019.277</v>
      </c>
    </row>
    <row r="265" spans="1:8">
      <c r="A265" s="236">
        <f t="shared" si="11"/>
        <v>2037</v>
      </c>
      <c r="B265" s="236">
        <f t="shared" si="11"/>
        <v>2037</v>
      </c>
      <c r="C265" s="236">
        <f t="shared" si="12"/>
        <v>203703</v>
      </c>
      <c r="D265" s="236">
        <f t="shared" si="13"/>
        <v>2231</v>
      </c>
      <c r="E265" s="236" cm="1">
        <f t="array" ref="E265">INDEX(GMW!$A$2:$NF$60,MATCH(1,(GMW!$NE$2:$NE$60=E$3)*(GMW!$ND$2:$ND$60=E$4),0),$D265-1966)</f>
        <v>72990.880000000005</v>
      </c>
      <c r="F265" s="236" cm="1">
        <f t="array" ref="F265">INDEX(GMW!$A$2:$NF$60,MATCH(1,(GMW!$NE$2:$NE$60=F$3)*(GMW!$ND$2:$ND$60=F$4),0),$D265-1966)</f>
        <v>844795.3</v>
      </c>
      <c r="G265" s="236" cm="1">
        <f t="array" ref="G265">INDEX(GMW!$A$2:$NF$60,MATCH(1,(GMW!$NE$2:$NE$60=G$3)*(GMW!$ND$2:$ND$60=G$4),0),$D265-1966)</f>
        <v>179.6969</v>
      </c>
      <c r="H265" s="236" cm="1">
        <f t="array" ref="H265">INDEX(GMW!$A$2:$NF$60,MATCH(1,(GMW!$NE$2:$NE$60=H$3)*(GMW!$ND$2:$ND$60=H$4),0),$D265-1966)</f>
        <v>1027.1179999999999</v>
      </c>
    </row>
    <row r="266" spans="1:8">
      <c r="A266" s="236">
        <f t="shared" si="11"/>
        <v>2037</v>
      </c>
      <c r="B266" s="236">
        <f t="shared" si="11"/>
        <v>2037</v>
      </c>
      <c r="C266" s="236">
        <f t="shared" si="12"/>
        <v>203704</v>
      </c>
      <c r="D266" s="236">
        <f t="shared" si="13"/>
        <v>2232</v>
      </c>
      <c r="E266" s="236" cm="1">
        <f t="array" ref="E266">INDEX(GMW!$A$2:$NF$60,MATCH(1,(GMW!$NE$2:$NE$60=E$3)*(GMW!$ND$2:$ND$60=E$4),0),$D266-1966)</f>
        <v>73042.98</v>
      </c>
      <c r="F266" s="236" cm="1">
        <f t="array" ref="F266">INDEX(GMW!$A$2:$NF$60,MATCH(1,(GMW!$NE$2:$NE$60=F$3)*(GMW!$ND$2:$ND$60=F$4),0),$D266-1966)</f>
        <v>848096.3</v>
      </c>
      <c r="G266" s="236" cm="1">
        <f t="array" ref="G266">INDEX(GMW!$A$2:$NF$60,MATCH(1,(GMW!$NE$2:$NE$60=G$3)*(GMW!$ND$2:$ND$60=G$4),0),$D266-1966)</f>
        <v>180.2011</v>
      </c>
      <c r="H266" s="236" cm="1">
        <f t="array" ref="H266">INDEX(GMW!$A$2:$NF$60,MATCH(1,(GMW!$NE$2:$NE$60=H$3)*(GMW!$ND$2:$ND$60=H$4),0),$D266-1966)</f>
        <v>1035.0250000000001</v>
      </c>
    </row>
    <row r="267" spans="1:8">
      <c r="A267" s="236">
        <f t="shared" si="11"/>
        <v>2038</v>
      </c>
      <c r="B267" s="236">
        <f t="shared" si="11"/>
        <v>2037</v>
      </c>
      <c r="C267" s="236">
        <f t="shared" si="12"/>
        <v>203801</v>
      </c>
      <c r="D267" s="236">
        <f t="shared" si="13"/>
        <v>2233</v>
      </c>
      <c r="E267" s="236" cm="1">
        <f t="array" ref="E267">INDEX(GMW!$A$2:$NF$60,MATCH(1,(GMW!$NE$2:$NE$60=E$3)*(GMW!$ND$2:$ND$60=E$4),0),$D267-1966)</f>
        <v>73095.08</v>
      </c>
      <c r="F267" s="236" cm="1">
        <f t="array" ref="F267">INDEX(GMW!$A$2:$NF$60,MATCH(1,(GMW!$NE$2:$NE$60=F$3)*(GMW!$ND$2:$ND$60=F$4),0),$D267-1966)</f>
        <v>851413.8</v>
      </c>
      <c r="G267" s="236" cm="1">
        <f t="array" ref="G267">INDEX(GMW!$A$2:$NF$60,MATCH(1,(GMW!$NE$2:$NE$60=G$3)*(GMW!$ND$2:$ND$60=G$4),0),$D267-1966)</f>
        <v>180.33320000000001</v>
      </c>
      <c r="H267" s="236" cm="1">
        <f t="array" ref="H267">INDEX(GMW!$A$2:$NF$60,MATCH(1,(GMW!$NE$2:$NE$60=H$3)*(GMW!$ND$2:$ND$60=H$4),0),$D267-1966)</f>
        <v>1043</v>
      </c>
    </row>
    <row r="268" spans="1:8">
      <c r="A268" s="236">
        <f t="shared" ref="A268:B331" si="14">+A264+1</f>
        <v>2038</v>
      </c>
      <c r="B268" s="236">
        <f t="shared" si="14"/>
        <v>2038</v>
      </c>
      <c r="C268" s="236">
        <f t="shared" ref="C268:C331" si="15">+C264+100</f>
        <v>203802</v>
      </c>
      <c r="D268" s="236">
        <f t="shared" si="13"/>
        <v>2234</v>
      </c>
      <c r="E268" s="236" cm="1">
        <f t="array" ref="E268">INDEX(GMW!$A$2:$NF$60,MATCH(1,(GMW!$NE$2:$NE$60=E$3)*(GMW!$ND$2:$ND$60=E$4),0),$D268-1966)</f>
        <v>73147.179999999993</v>
      </c>
      <c r="F268" s="236" cm="1">
        <f t="array" ref="F268">INDEX(GMW!$A$2:$NF$60,MATCH(1,(GMW!$NE$2:$NE$60=F$3)*(GMW!$ND$2:$ND$60=F$4),0),$D268-1966)</f>
        <v>854747.4</v>
      </c>
      <c r="G268" s="236" cm="1">
        <f t="array" ref="G268">INDEX(GMW!$A$2:$NF$60,MATCH(1,(GMW!$NE$2:$NE$60=G$3)*(GMW!$ND$2:$ND$60=G$4),0),$D268-1966)</f>
        <v>182.1026</v>
      </c>
      <c r="H268" s="236" cm="1">
        <f t="array" ref="H268">INDEX(GMW!$A$2:$NF$60,MATCH(1,(GMW!$NE$2:$NE$60=H$3)*(GMW!$ND$2:$ND$60=H$4),0),$D268-1966)</f>
        <v>1051.0409999999999</v>
      </c>
    </row>
    <row r="269" spans="1:8">
      <c r="A269" s="236">
        <f t="shared" si="14"/>
        <v>2038</v>
      </c>
      <c r="B269" s="236">
        <f t="shared" si="14"/>
        <v>2038</v>
      </c>
      <c r="C269" s="236">
        <f t="shared" si="15"/>
        <v>203803</v>
      </c>
      <c r="D269" s="236">
        <f t="shared" si="13"/>
        <v>2235</v>
      </c>
      <c r="E269" s="236" cm="1">
        <f t="array" ref="E269">INDEX(GMW!$A$2:$NF$60,MATCH(1,(GMW!$NE$2:$NE$60=E$3)*(GMW!$ND$2:$ND$60=E$4),0),$D269-1966)</f>
        <v>73198.03</v>
      </c>
      <c r="F269" s="236" cm="1">
        <f t="array" ref="F269">INDEX(GMW!$A$2:$NF$60,MATCH(1,(GMW!$NE$2:$NE$60=F$3)*(GMW!$ND$2:$ND$60=F$4),0),$D269-1966)</f>
        <v>858097.9</v>
      </c>
      <c r="G269" s="236" cm="1">
        <f t="array" ref="G269">INDEX(GMW!$A$2:$NF$60,MATCH(1,(GMW!$NE$2:$NE$60=G$3)*(GMW!$ND$2:$ND$60=G$4),0),$D269-1966)</f>
        <v>183.29079999999999</v>
      </c>
      <c r="H269" s="236" cm="1">
        <f t="array" ref="H269">INDEX(GMW!$A$2:$NF$60,MATCH(1,(GMW!$NE$2:$NE$60=H$3)*(GMW!$ND$2:$ND$60=H$4),0),$D269-1966)</f>
        <v>1059.1510000000001</v>
      </c>
    </row>
    <row r="270" spans="1:8">
      <c r="A270" s="236">
        <f t="shared" si="14"/>
        <v>2038</v>
      </c>
      <c r="B270" s="236">
        <f t="shared" si="14"/>
        <v>2038</v>
      </c>
      <c r="C270" s="236">
        <f t="shared" si="15"/>
        <v>203804</v>
      </c>
      <c r="D270" s="236">
        <f t="shared" si="13"/>
        <v>2236</v>
      </c>
      <c r="E270" s="236" cm="1">
        <f t="array" ref="E270">INDEX(GMW!$A$2:$NF$60,MATCH(1,(GMW!$NE$2:$NE$60=E$3)*(GMW!$ND$2:$ND$60=E$4),0),$D270-1966)</f>
        <v>73248.88</v>
      </c>
      <c r="F270" s="236" cm="1">
        <f t="array" ref="F270">INDEX(GMW!$A$2:$NF$60,MATCH(1,(GMW!$NE$2:$NE$60=F$3)*(GMW!$ND$2:$ND$60=F$4),0),$D270-1966)</f>
        <v>861465.5</v>
      </c>
      <c r="G270" s="236" cm="1">
        <f t="array" ref="G270">INDEX(GMW!$A$2:$NF$60,MATCH(1,(GMW!$NE$2:$NE$60=G$3)*(GMW!$ND$2:$ND$60=G$4),0),$D270-1966)</f>
        <v>183.80510000000001</v>
      </c>
      <c r="H270" s="236" cm="1">
        <f t="array" ref="H270">INDEX(GMW!$A$2:$NF$60,MATCH(1,(GMW!$NE$2:$NE$60=H$3)*(GMW!$ND$2:$ND$60=H$4),0),$D270-1966)</f>
        <v>1067.33</v>
      </c>
    </row>
    <row r="271" spans="1:8">
      <c r="A271" s="236">
        <f t="shared" si="14"/>
        <v>2039</v>
      </c>
      <c r="B271" s="236">
        <f t="shared" si="14"/>
        <v>2038</v>
      </c>
      <c r="C271" s="236">
        <f t="shared" si="15"/>
        <v>203901</v>
      </c>
      <c r="D271" s="236">
        <f t="shared" si="13"/>
        <v>2237</v>
      </c>
      <c r="E271" s="236" cm="1">
        <f t="array" ref="E271">INDEX(GMW!$A$2:$NF$60,MATCH(1,(GMW!$NE$2:$NE$60=E$3)*(GMW!$ND$2:$ND$60=E$4),0),$D271-1966)</f>
        <v>73299.73</v>
      </c>
      <c r="F271" s="236" cm="1">
        <f t="array" ref="F271">INDEX(GMW!$A$2:$NF$60,MATCH(1,(GMW!$NE$2:$NE$60=F$3)*(GMW!$ND$2:$ND$60=F$4),0),$D271-1966)</f>
        <v>864850.1</v>
      </c>
      <c r="G271" s="236" cm="1">
        <f t="array" ref="G271">INDEX(GMW!$A$2:$NF$60,MATCH(1,(GMW!$NE$2:$NE$60=G$3)*(GMW!$ND$2:$ND$60=G$4),0),$D271-1966)</f>
        <v>183.93989999999999</v>
      </c>
      <c r="H271" s="236" cm="1">
        <f t="array" ref="H271">INDEX(GMW!$A$2:$NF$60,MATCH(1,(GMW!$NE$2:$NE$60=H$3)*(GMW!$ND$2:$ND$60=H$4),0),$D271-1966)</f>
        <v>1075.579</v>
      </c>
    </row>
    <row r="272" spans="1:8">
      <c r="A272" s="236">
        <f t="shared" si="14"/>
        <v>2039</v>
      </c>
      <c r="B272" s="236">
        <f t="shared" si="14"/>
        <v>2039</v>
      </c>
      <c r="C272" s="236">
        <f t="shared" si="15"/>
        <v>203902</v>
      </c>
      <c r="D272" s="236">
        <f t="shared" si="13"/>
        <v>2238</v>
      </c>
      <c r="E272" s="236" cm="1">
        <f t="array" ref="E272">INDEX(GMW!$A$2:$NF$60,MATCH(1,(GMW!$NE$2:$NE$60=E$3)*(GMW!$ND$2:$ND$60=E$4),0),$D272-1966)</f>
        <v>73350.59</v>
      </c>
      <c r="F272" s="236" cm="1">
        <f t="array" ref="F272">INDEX(GMW!$A$2:$NF$60,MATCH(1,(GMW!$NE$2:$NE$60=F$3)*(GMW!$ND$2:$ND$60=F$4),0),$D272-1966)</f>
        <v>868251.3</v>
      </c>
      <c r="G272" s="236" cm="1">
        <f t="array" ref="G272">INDEX(GMW!$A$2:$NF$60,MATCH(1,(GMW!$NE$2:$NE$60=G$3)*(GMW!$ND$2:$ND$60=G$4),0),$D272-1966)</f>
        <v>185.74469999999999</v>
      </c>
      <c r="H272" s="236" cm="1">
        <f t="array" ref="H272">INDEX(GMW!$A$2:$NF$60,MATCH(1,(GMW!$NE$2:$NE$60=H$3)*(GMW!$ND$2:$ND$60=H$4),0),$D272-1966)</f>
        <v>1083.8969999999999</v>
      </c>
    </row>
    <row r="273" spans="1:8">
      <c r="A273" s="236">
        <f t="shared" si="14"/>
        <v>2039</v>
      </c>
      <c r="B273" s="236">
        <f t="shared" si="14"/>
        <v>2039</v>
      </c>
      <c r="C273" s="236">
        <f t="shared" si="15"/>
        <v>203903</v>
      </c>
      <c r="D273" s="236">
        <f t="shared" si="13"/>
        <v>2239</v>
      </c>
      <c r="E273" s="236" cm="1">
        <f t="array" ref="E273">INDEX(GMW!$A$2:$NF$60,MATCH(1,(GMW!$NE$2:$NE$60=E$3)*(GMW!$ND$2:$ND$60=E$4),0),$D273-1966)</f>
        <v>73400.27</v>
      </c>
      <c r="F273" s="236" cm="1">
        <f t="array" ref="F273">INDEX(GMW!$A$2:$NF$60,MATCH(1,(GMW!$NE$2:$NE$60=F$3)*(GMW!$ND$2:$ND$60=F$4),0),$D273-1966)</f>
        <v>871669.8</v>
      </c>
      <c r="G273" s="236" cm="1">
        <f t="array" ref="G273">INDEX(GMW!$A$2:$NF$60,MATCH(1,(GMW!$NE$2:$NE$60=G$3)*(GMW!$ND$2:$ND$60=G$4),0),$D273-1966)</f>
        <v>186.95660000000001</v>
      </c>
      <c r="H273" s="236" cm="1">
        <f t="array" ref="H273">INDEX(GMW!$A$2:$NF$60,MATCH(1,(GMW!$NE$2:$NE$60=H$3)*(GMW!$ND$2:$ND$60=H$4),0),$D273-1966)</f>
        <v>1092.2860000000001</v>
      </c>
    </row>
    <row r="274" spans="1:8">
      <c r="A274" s="236">
        <f t="shared" si="14"/>
        <v>2039</v>
      </c>
      <c r="B274" s="236">
        <f t="shared" si="14"/>
        <v>2039</v>
      </c>
      <c r="C274" s="236">
        <f t="shared" si="15"/>
        <v>203904</v>
      </c>
      <c r="D274" s="236">
        <f t="shared" si="13"/>
        <v>2240</v>
      </c>
      <c r="E274" s="236" cm="1">
        <f t="array" ref="E274">INDEX(GMW!$A$2:$NF$60,MATCH(1,(GMW!$NE$2:$NE$60=E$3)*(GMW!$ND$2:$ND$60=E$4),0),$D274-1966)</f>
        <v>73449.95</v>
      </c>
      <c r="F274" s="236" cm="1">
        <f t="array" ref="F274">INDEX(GMW!$A$2:$NF$60,MATCH(1,(GMW!$NE$2:$NE$60=F$3)*(GMW!$ND$2:$ND$60=F$4),0),$D274-1966)</f>
        <v>875105.4</v>
      </c>
      <c r="G274" s="236" cm="1">
        <f t="array" ref="G274">INDEX(GMW!$A$2:$NF$60,MATCH(1,(GMW!$NE$2:$NE$60=G$3)*(GMW!$ND$2:$ND$60=G$4),0),$D274-1966)</f>
        <v>187.4812</v>
      </c>
      <c r="H274" s="236" cm="1">
        <f t="array" ref="H274">INDEX(GMW!$A$2:$NF$60,MATCH(1,(GMW!$NE$2:$NE$60=H$3)*(GMW!$ND$2:$ND$60=H$4),0),$D274-1966)</f>
        <v>1100.7470000000001</v>
      </c>
    </row>
    <row r="275" spans="1:8">
      <c r="A275" s="236">
        <f t="shared" si="14"/>
        <v>2040</v>
      </c>
      <c r="B275" s="236">
        <f t="shared" si="14"/>
        <v>2039</v>
      </c>
      <c r="C275" s="236">
        <f t="shared" si="15"/>
        <v>204001</v>
      </c>
      <c r="D275" s="236">
        <f t="shared" si="13"/>
        <v>2241</v>
      </c>
      <c r="E275" s="236" cm="1">
        <f t="array" ref="E275">INDEX(GMW!$A$2:$NF$60,MATCH(1,(GMW!$NE$2:$NE$60=E$3)*(GMW!$ND$2:$ND$60=E$4),0),$D275-1966)</f>
        <v>73499.64</v>
      </c>
      <c r="F275" s="236" cm="1">
        <f t="array" ref="F275">INDEX(GMW!$A$2:$NF$60,MATCH(1,(GMW!$NE$2:$NE$60=F$3)*(GMW!$ND$2:$ND$60=F$4),0),$D275-1966)</f>
        <v>878558.1</v>
      </c>
      <c r="G275" s="236" cm="1">
        <f t="array" ref="G275">INDEX(GMW!$A$2:$NF$60,MATCH(1,(GMW!$NE$2:$NE$60=G$3)*(GMW!$ND$2:$ND$60=G$4),0),$D275-1966)</f>
        <v>187.61869999999999</v>
      </c>
      <c r="H275" s="236" cm="1">
        <f t="array" ref="H275">INDEX(GMW!$A$2:$NF$60,MATCH(1,(GMW!$NE$2:$NE$60=H$3)*(GMW!$ND$2:$ND$60=H$4),0),$D275-1966)</f>
        <v>1109.28</v>
      </c>
    </row>
    <row r="276" spans="1:8">
      <c r="A276" s="236">
        <f t="shared" si="14"/>
        <v>2040</v>
      </c>
      <c r="B276" s="236">
        <f t="shared" si="14"/>
        <v>2040</v>
      </c>
      <c r="C276" s="236">
        <f t="shared" si="15"/>
        <v>204002</v>
      </c>
      <c r="D276" s="236">
        <f t="shared" si="13"/>
        <v>2242</v>
      </c>
      <c r="E276" s="236" cm="1">
        <f t="array" ref="E276">INDEX(GMW!$A$2:$NF$60,MATCH(1,(GMW!$NE$2:$NE$60=E$3)*(GMW!$ND$2:$ND$60=E$4),0),$D276-1966)</f>
        <v>73549.320000000007</v>
      </c>
      <c r="F276" s="236" cm="1">
        <f t="array" ref="F276">INDEX(GMW!$A$2:$NF$60,MATCH(1,(GMW!$NE$2:$NE$60=F$3)*(GMW!$ND$2:$ND$60=F$4),0),$D276-1966)</f>
        <v>882026.5</v>
      </c>
      <c r="G276" s="236" cm="1">
        <f t="array" ref="G276">INDEX(GMW!$A$2:$NF$60,MATCH(1,(GMW!$NE$2:$NE$60=G$3)*(GMW!$ND$2:$ND$60=G$4),0),$D276-1966)</f>
        <v>189.45959999999999</v>
      </c>
      <c r="H276" s="236" cm="1">
        <f t="array" ref="H276">INDEX(GMW!$A$2:$NF$60,MATCH(1,(GMW!$NE$2:$NE$60=H$3)*(GMW!$ND$2:$ND$60=H$4),0),$D276-1966)</f>
        <v>1117.884</v>
      </c>
    </row>
    <row r="277" spans="1:8">
      <c r="A277" s="236">
        <f t="shared" si="14"/>
        <v>2040</v>
      </c>
      <c r="B277" s="236">
        <f t="shared" si="14"/>
        <v>2040</v>
      </c>
      <c r="C277" s="236">
        <f t="shared" si="15"/>
        <v>204003</v>
      </c>
      <c r="D277" s="236">
        <f t="shared" si="13"/>
        <v>2243</v>
      </c>
      <c r="E277" s="236" cm="1">
        <f t="array" ref="E277">INDEX(GMW!$A$2:$NF$60,MATCH(1,(GMW!$NE$2:$NE$60=E$3)*(GMW!$ND$2:$ND$60=E$4),0),$D277-1966)</f>
        <v>73597.929999999993</v>
      </c>
      <c r="F277" s="236" cm="1">
        <f t="array" ref="F277">INDEX(GMW!$A$2:$NF$60,MATCH(1,(GMW!$NE$2:$NE$60=F$3)*(GMW!$ND$2:$ND$60=F$4),0),$D277-1966)</f>
        <v>885510.6</v>
      </c>
      <c r="G277" s="236" cm="1">
        <f t="array" ref="G277">INDEX(GMW!$A$2:$NF$60,MATCH(1,(GMW!$NE$2:$NE$60=G$3)*(GMW!$ND$2:$ND$60=G$4),0),$D277-1966)</f>
        <v>190.69569999999999</v>
      </c>
      <c r="H277" s="236" cm="1">
        <f t="array" ref="H277">INDEX(GMW!$A$2:$NF$60,MATCH(1,(GMW!$NE$2:$NE$60=H$3)*(GMW!$ND$2:$ND$60=H$4),0),$D277-1966)</f>
        <v>1126.56</v>
      </c>
    </row>
    <row r="278" spans="1:8">
      <c r="A278" s="236">
        <f t="shared" si="14"/>
        <v>2040</v>
      </c>
      <c r="B278" s="236">
        <f t="shared" si="14"/>
        <v>2040</v>
      </c>
      <c r="C278" s="236">
        <f t="shared" si="15"/>
        <v>204004</v>
      </c>
      <c r="D278" s="236">
        <f t="shared" si="13"/>
        <v>2244</v>
      </c>
      <c r="E278" s="236" cm="1">
        <f t="array" ref="E278">INDEX(GMW!$A$2:$NF$60,MATCH(1,(GMW!$NE$2:$NE$60=E$3)*(GMW!$ND$2:$ND$60=E$4),0),$D278-1966)</f>
        <v>73646.53</v>
      </c>
      <c r="F278" s="236" cm="1">
        <f t="array" ref="F278">INDEX(GMW!$A$2:$NF$60,MATCH(1,(GMW!$NE$2:$NE$60=F$3)*(GMW!$ND$2:$ND$60=F$4),0),$D278-1966)</f>
        <v>889010.3</v>
      </c>
      <c r="G278" s="236" cm="1">
        <f t="array" ref="G278">INDEX(GMW!$A$2:$NF$60,MATCH(1,(GMW!$NE$2:$NE$60=G$3)*(GMW!$ND$2:$ND$60=G$4),0),$D278-1966)</f>
        <v>191.23079999999999</v>
      </c>
      <c r="H278" s="236" cm="1">
        <f t="array" ref="H278">INDEX(GMW!$A$2:$NF$60,MATCH(1,(GMW!$NE$2:$NE$60=H$3)*(GMW!$ND$2:$ND$60=H$4),0),$D278-1966)</f>
        <v>1135.309</v>
      </c>
    </row>
    <row r="279" spans="1:8">
      <c r="A279" s="236">
        <f t="shared" si="14"/>
        <v>2041</v>
      </c>
      <c r="B279" s="236">
        <f t="shared" si="14"/>
        <v>2040</v>
      </c>
      <c r="C279" s="236">
        <f t="shared" si="15"/>
        <v>204101</v>
      </c>
      <c r="D279" s="236">
        <f t="shared" si="13"/>
        <v>2245</v>
      </c>
      <c r="E279" s="236" cm="1">
        <f t="array" ref="E279">INDEX(GMW!$A$2:$NF$60,MATCH(1,(GMW!$NE$2:$NE$60=E$3)*(GMW!$ND$2:$ND$60=E$4),0),$D279-1966)</f>
        <v>73695.13</v>
      </c>
      <c r="F279" s="236" cm="1">
        <f t="array" ref="F279">INDEX(GMW!$A$2:$NF$60,MATCH(1,(GMW!$NE$2:$NE$60=F$3)*(GMW!$ND$2:$ND$60=F$4),0),$D279-1966)</f>
        <v>892595.1</v>
      </c>
      <c r="G279" s="236" cm="1">
        <f t="array" ref="G279">INDEX(GMW!$A$2:$NF$60,MATCH(1,(GMW!$NE$2:$NE$60=G$3)*(GMW!$ND$2:$ND$60=G$4),0),$D279-1966)</f>
        <v>191.37110000000001</v>
      </c>
      <c r="H279" s="236" cm="1">
        <f t="array" ref="H279">INDEX(GMW!$A$2:$NF$60,MATCH(1,(GMW!$NE$2:$NE$60=H$3)*(GMW!$ND$2:$ND$60=H$4),0),$D279-1966)</f>
        <v>1144.116</v>
      </c>
    </row>
    <row r="280" spans="1:8">
      <c r="A280" s="236">
        <f t="shared" si="14"/>
        <v>2041</v>
      </c>
      <c r="B280" s="236">
        <f t="shared" si="14"/>
        <v>2041</v>
      </c>
      <c r="C280" s="236">
        <f t="shared" si="15"/>
        <v>204102</v>
      </c>
      <c r="D280" s="236">
        <f t="shared" si="13"/>
        <v>2246</v>
      </c>
      <c r="E280" s="236" cm="1">
        <f t="array" ref="E280">INDEX(GMW!$A$2:$NF$60,MATCH(1,(GMW!$NE$2:$NE$60=E$3)*(GMW!$ND$2:$ND$60=E$4),0),$D280-1966)</f>
        <v>73743.73</v>
      </c>
      <c r="F280" s="236" cm="1">
        <f t="array" ref="F280">INDEX(GMW!$A$2:$NF$60,MATCH(1,(GMW!$NE$2:$NE$60=F$3)*(GMW!$ND$2:$ND$60=F$4),0),$D280-1966)</f>
        <v>896196.6</v>
      </c>
      <c r="G280" s="236" cm="1">
        <f t="array" ref="G280">INDEX(GMW!$A$2:$NF$60,MATCH(1,(GMW!$NE$2:$NE$60=G$3)*(GMW!$ND$2:$ND$60=G$4),0),$D280-1966)</f>
        <v>193.24879999999999</v>
      </c>
      <c r="H280" s="236" cm="1">
        <f t="array" ref="H280">INDEX(GMW!$A$2:$NF$60,MATCH(1,(GMW!$NE$2:$NE$60=H$3)*(GMW!$ND$2:$ND$60=H$4),0),$D280-1966)</f>
        <v>1152.9829999999999</v>
      </c>
    </row>
    <row r="281" spans="1:8">
      <c r="A281" s="236">
        <f t="shared" si="14"/>
        <v>2041</v>
      </c>
      <c r="B281" s="236">
        <f t="shared" si="14"/>
        <v>2041</v>
      </c>
      <c r="C281" s="236">
        <f t="shared" si="15"/>
        <v>204103</v>
      </c>
      <c r="D281" s="236">
        <f t="shared" si="13"/>
        <v>2247</v>
      </c>
      <c r="E281" s="236" cm="1">
        <f t="array" ref="E281">INDEX(GMW!$A$2:$NF$60,MATCH(1,(GMW!$NE$2:$NE$60=E$3)*(GMW!$ND$2:$ND$60=E$4),0),$D281-1966)</f>
        <v>73791.320000000007</v>
      </c>
      <c r="F281" s="236" cm="1">
        <f t="array" ref="F281">INDEX(GMW!$A$2:$NF$60,MATCH(1,(GMW!$NE$2:$NE$60=F$3)*(GMW!$ND$2:$ND$60=F$4),0),$D281-1966)</f>
        <v>899826.2</v>
      </c>
      <c r="G281" s="236" cm="1">
        <f t="array" ref="G281">INDEX(GMW!$A$2:$NF$60,MATCH(1,(GMW!$NE$2:$NE$60=G$3)*(GMW!$ND$2:$ND$60=G$4),0),$D281-1966)</f>
        <v>194.50960000000001</v>
      </c>
      <c r="H281" s="236" cm="1">
        <f t="array" ref="H281">INDEX(GMW!$A$2:$NF$60,MATCH(1,(GMW!$NE$2:$NE$60=H$3)*(GMW!$ND$2:$ND$60=H$4),0),$D281-1966)</f>
        <v>1161.9090000000001</v>
      </c>
    </row>
    <row r="282" spans="1:8">
      <c r="A282" s="236">
        <f t="shared" si="14"/>
        <v>2041</v>
      </c>
      <c r="B282" s="236">
        <f t="shared" si="14"/>
        <v>2041</v>
      </c>
      <c r="C282" s="236">
        <f t="shared" si="15"/>
        <v>204104</v>
      </c>
      <c r="D282" s="236">
        <f t="shared" si="13"/>
        <v>2248</v>
      </c>
      <c r="E282" s="236" cm="1">
        <f t="array" ref="E282">INDEX(GMW!$A$2:$NF$60,MATCH(1,(GMW!$NE$2:$NE$60=E$3)*(GMW!$ND$2:$ND$60=E$4),0),$D282-1966)</f>
        <v>73838.899999999994</v>
      </c>
      <c r="F282" s="236" cm="1">
        <f t="array" ref="F282">INDEX(GMW!$A$2:$NF$60,MATCH(1,(GMW!$NE$2:$NE$60=F$3)*(GMW!$ND$2:$ND$60=F$4),0),$D282-1966)</f>
        <v>903472.6</v>
      </c>
      <c r="G282" s="236" cm="1">
        <f t="array" ref="G282">INDEX(GMW!$A$2:$NF$60,MATCH(1,(GMW!$NE$2:$NE$60=G$3)*(GMW!$ND$2:$ND$60=G$4),0),$D282-1966)</f>
        <v>195.05539999999999</v>
      </c>
      <c r="H282" s="236" cm="1">
        <f t="array" ref="H282">INDEX(GMW!$A$2:$NF$60,MATCH(1,(GMW!$NE$2:$NE$60=H$3)*(GMW!$ND$2:$ND$60=H$4),0),$D282-1966)</f>
        <v>1170.8920000000001</v>
      </c>
    </row>
    <row r="283" spans="1:8">
      <c r="A283" s="236">
        <f t="shared" si="14"/>
        <v>2042</v>
      </c>
      <c r="B283" s="236">
        <f t="shared" si="14"/>
        <v>2041</v>
      </c>
      <c r="C283" s="236">
        <f t="shared" si="15"/>
        <v>204201</v>
      </c>
      <c r="D283" s="236">
        <f t="shared" si="13"/>
        <v>2249</v>
      </c>
      <c r="E283" s="236" cm="1">
        <f t="array" ref="E283">INDEX(GMW!$A$2:$NF$60,MATCH(1,(GMW!$NE$2:$NE$60=E$3)*(GMW!$ND$2:$ND$60=E$4),0),$D283-1966)</f>
        <v>73886.48</v>
      </c>
      <c r="F283" s="236" cm="1">
        <f t="array" ref="F283">INDEX(GMW!$A$2:$NF$60,MATCH(1,(GMW!$NE$2:$NE$60=F$3)*(GMW!$ND$2:$ND$60=F$4),0),$D283-1966)</f>
        <v>907136</v>
      </c>
      <c r="G283" s="236" cm="1">
        <f t="array" ref="G283">INDEX(GMW!$A$2:$NF$60,MATCH(1,(GMW!$NE$2:$NE$60=G$3)*(GMW!$ND$2:$ND$60=G$4),0),$D283-1966)</f>
        <v>195.1985</v>
      </c>
      <c r="H283" s="236" cm="1">
        <f t="array" ref="H283">INDEX(GMW!$A$2:$NF$60,MATCH(1,(GMW!$NE$2:$NE$60=H$3)*(GMW!$ND$2:$ND$60=H$4),0),$D283-1966)</f>
        <v>1179.9480000000001</v>
      </c>
    </row>
    <row r="284" spans="1:8">
      <c r="A284" s="236">
        <f t="shared" si="14"/>
        <v>2042</v>
      </c>
      <c r="B284" s="236">
        <f t="shared" si="14"/>
        <v>2042</v>
      </c>
      <c r="C284" s="236">
        <f t="shared" si="15"/>
        <v>204202</v>
      </c>
      <c r="D284" s="236">
        <f t="shared" si="13"/>
        <v>2250</v>
      </c>
      <c r="E284" s="236" cm="1">
        <f t="array" ref="E284">INDEX(GMW!$A$2:$NF$60,MATCH(1,(GMW!$NE$2:$NE$60=E$3)*(GMW!$ND$2:$ND$60=E$4),0),$D284-1966)</f>
        <v>73934.05</v>
      </c>
      <c r="F284" s="236" cm="1">
        <f t="array" ref="F284">INDEX(GMW!$A$2:$NF$60,MATCH(1,(GMW!$NE$2:$NE$60=F$3)*(GMW!$ND$2:$ND$60=F$4),0),$D284-1966)</f>
        <v>910816.2</v>
      </c>
      <c r="G284" s="236" cm="1">
        <f t="array" ref="G284">INDEX(GMW!$A$2:$NF$60,MATCH(1,(GMW!$NE$2:$NE$60=G$3)*(GMW!$ND$2:$ND$60=G$4),0),$D284-1966)</f>
        <v>197.1138</v>
      </c>
      <c r="H284" s="236" cm="1">
        <f t="array" ref="H284">INDEX(GMW!$A$2:$NF$60,MATCH(1,(GMW!$NE$2:$NE$60=H$3)*(GMW!$ND$2:$ND$60=H$4),0),$D284-1966)</f>
        <v>1189.079</v>
      </c>
    </row>
    <row r="285" spans="1:8">
      <c r="A285" s="236">
        <f t="shared" si="14"/>
        <v>2042</v>
      </c>
      <c r="B285" s="236">
        <f t="shared" si="14"/>
        <v>2042</v>
      </c>
      <c r="C285" s="236">
        <f t="shared" si="15"/>
        <v>204203</v>
      </c>
      <c r="D285" s="236">
        <f t="shared" si="13"/>
        <v>2251</v>
      </c>
      <c r="E285" s="236" cm="1">
        <f t="array" ref="E285">INDEX(GMW!$A$2:$NF$60,MATCH(1,(GMW!$NE$2:$NE$60=E$3)*(GMW!$ND$2:$ND$60=E$4),0),$D285-1966)</f>
        <v>73980.56</v>
      </c>
      <c r="F285" s="236" cm="1">
        <f t="array" ref="F285">INDEX(GMW!$A$2:$NF$60,MATCH(1,(GMW!$NE$2:$NE$60=F$3)*(GMW!$ND$2:$ND$60=F$4),0),$D285-1966)</f>
        <v>914438.8</v>
      </c>
      <c r="G285" s="236" cm="1">
        <f t="array" ref="G285">INDEX(GMW!$A$2:$NF$60,MATCH(1,(GMW!$NE$2:$NE$60=G$3)*(GMW!$ND$2:$ND$60=G$4),0),$D285-1966)</f>
        <v>198.3998</v>
      </c>
      <c r="H285" s="236" cm="1">
        <f t="array" ref="H285">INDEX(GMW!$A$2:$NF$60,MATCH(1,(GMW!$NE$2:$NE$60=H$3)*(GMW!$ND$2:$ND$60=H$4),0),$D285-1966)</f>
        <v>1198.297</v>
      </c>
    </row>
    <row r="286" spans="1:8">
      <c r="A286" s="236">
        <f t="shared" si="14"/>
        <v>2042</v>
      </c>
      <c r="B286" s="236">
        <f t="shared" si="14"/>
        <v>2042</v>
      </c>
      <c r="C286" s="236">
        <f t="shared" si="15"/>
        <v>204204</v>
      </c>
      <c r="D286" s="236">
        <f t="shared" si="13"/>
        <v>2252</v>
      </c>
      <c r="E286" s="236" cm="1">
        <f t="array" ref="E286">INDEX(GMW!$A$2:$NF$60,MATCH(1,(GMW!$NE$2:$NE$60=E$3)*(GMW!$ND$2:$ND$60=E$4),0),$D286-1966)</f>
        <v>74027.070000000007</v>
      </c>
      <c r="F286" s="236" cm="1">
        <f t="array" ref="F286">INDEX(GMW!$A$2:$NF$60,MATCH(1,(GMW!$NE$2:$NE$60=F$3)*(GMW!$ND$2:$ND$60=F$4),0),$D286-1966)</f>
        <v>918076.8</v>
      </c>
      <c r="G286" s="236" cm="1">
        <f t="array" ref="G286">INDEX(GMW!$A$2:$NF$60,MATCH(1,(GMW!$NE$2:$NE$60=G$3)*(GMW!$ND$2:$ND$60=G$4),0),$D286-1966)</f>
        <v>198.95650000000001</v>
      </c>
      <c r="H286" s="236" cm="1">
        <f t="array" ref="H286">INDEX(GMW!$A$2:$NF$60,MATCH(1,(GMW!$NE$2:$NE$60=H$3)*(GMW!$ND$2:$ND$60=H$4),0),$D286-1966)</f>
        <v>1207.604</v>
      </c>
    </row>
    <row r="287" spans="1:8">
      <c r="A287" s="236">
        <f t="shared" si="14"/>
        <v>2043</v>
      </c>
      <c r="B287" s="236">
        <f t="shared" si="14"/>
        <v>2042</v>
      </c>
      <c r="C287" s="236">
        <f t="shared" si="15"/>
        <v>204301</v>
      </c>
      <c r="D287" s="236">
        <f t="shared" si="13"/>
        <v>2253</v>
      </c>
      <c r="E287" s="236" cm="1">
        <f t="array" ref="E287">INDEX(GMW!$A$2:$NF$60,MATCH(1,(GMW!$NE$2:$NE$60=E$3)*(GMW!$ND$2:$ND$60=E$4),0),$D287-1966)</f>
        <v>74073.58</v>
      </c>
      <c r="F287" s="236" cm="1">
        <f t="array" ref="F287">INDEX(GMW!$A$2:$NF$60,MATCH(1,(GMW!$NE$2:$NE$60=F$3)*(GMW!$ND$2:$ND$60=F$4),0),$D287-1966)</f>
        <v>921730.4</v>
      </c>
      <c r="G287" s="236" cm="1">
        <f t="array" ref="G287">INDEX(GMW!$A$2:$NF$60,MATCH(1,(GMW!$NE$2:$NE$60=G$3)*(GMW!$ND$2:$ND$60=G$4),0),$D287-1966)</f>
        <v>199.10249999999999</v>
      </c>
      <c r="H287" s="236" cm="1">
        <f t="array" ref="H287">INDEX(GMW!$A$2:$NF$60,MATCH(1,(GMW!$NE$2:$NE$60=H$3)*(GMW!$ND$2:$ND$60=H$4),0),$D287-1966)</f>
        <v>1217</v>
      </c>
    </row>
    <row r="288" spans="1:8">
      <c r="A288" s="236">
        <f t="shared" si="14"/>
        <v>2043</v>
      </c>
      <c r="B288" s="236">
        <f t="shared" si="14"/>
        <v>2043</v>
      </c>
      <c r="C288" s="236">
        <f t="shared" si="15"/>
        <v>204302</v>
      </c>
      <c r="D288" s="236">
        <f t="shared" si="13"/>
        <v>2254</v>
      </c>
      <c r="E288" s="236" cm="1">
        <f t="array" ref="E288">INDEX(GMW!$A$2:$NF$60,MATCH(1,(GMW!$NE$2:$NE$60=E$3)*(GMW!$ND$2:$ND$60=E$4),0),$D288-1966)</f>
        <v>74120.08</v>
      </c>
      <c r="F288" s="236" cm="1">
        <f t="array" ref="F288">INDEX(GMW!$A$2:$NF$60,MATCH(1,(GMW!$NE$2:$NE$60=F$3)*(GMW!$ND$2:$ND$60=F$4),0),$D288-1966)</f>
        <v>925399.6</v>
      </c>
      <c r="G288" s="236" cm="1">
        <f t="array" ref="G288">INDEX(GMW!$A$2:$NF$60,MATCH(1,(GMW!$NE$2:$NE$60=G$3)*(GMW!$ND$2:$ND$60=G$4),0),$D288-1966)</f>
        <v>201.05600000000001</v>
      </c>
      <c r="H288" s="236" cm="1">
        <f t="array" ref="H288">INDEX(GMW!$A$2:$NF$60,MATCH(1,(GMW!$NE$2:$NE$60=H$3)*(GMW!$ND$2:$ND$60=H$4),0),$D288-1966)</f>
        <v>1226.4849999999999</v>
      </c>
    </row>
    <row r="289" spans="1:8">
      <c r="A289" s="236">
        <f t="shared" si="14"/>
        <v>2043</v>
      </c>
      <c r="B289" s="236">
        <f t="shared" si="14"/>
        <v>2043</v>
      </c>
      <c r="C289" s="236">
        <f t="shared" si="15"/>
        <v>204303</v>
      </c>
      <c r="D289" s="236">
        <f t="shared" si="13"/>
        <v>2255</v>
      </c>
      <c r="E289" s="236" cm="1">
        <f t="array" ref="E289">INDEX(GMW!$A$2:$NF$60,MATCH(1,(GMW!$NE$2:$NE$60=E$3)*(GMW!$ND$2:$ND$60=E$4),0),$D289-1966)</f>
        <v>74165.399999999994</v>
      </c>
      <c r="F289" s="236" cm="1">
        <f t="array" ref="F289">INDEX(GMW!$A$2:$NF$60,MATCH(1,(GMW!$NE$2:$NE$60=F$3)*(GMW!$ND$2:$ND$60=F$4),0),$D289-1966)</f>
        <v>928921.3</v>
      </c>
      <c r="G289" s="236" cm="1">
        <f t="array" ref="G289">INDEX(GMW!$A$2:$NF$60,MATCH(1,(GMW!$NE$2:$NE$60=G$3)*(GMW!$ND$2:$ND$60=G$4),0),$D289-1966)</f>
        <v>202.36779999999999</v>
      </c>
      <c r="H289" s="236" cm="1">
        <f t="array" ref="H289">INDEX(GMW!$A$2:$NF$60,MATCH(1,(GMW!$NE$2:$NE$60=H$3)*(GMW!$ND$2:$ND$60=H$4),0),$D289-1966)</f>
        <v>1236.077</v>
      </c>
    </row>
    <row r="290" spans="1:8">
      <c r="A290" s="236">
        <f t="shared" si="14"/>
        <v>2043</v>
      </c>
      <c r="B290" s="236">
        <f t="shared" si="14"/>
        <v>2043</v>
      </c>
      <c r="C290" s="236">
        <f t="shared" si="15"/>
        <v>204304</v>
      </c>
      <c r="D290" s="236">
        <f t="shared" si="13"/>
        <v>2256</v>
      </c>
      <c r="E290" s="236" cm="1">
        <f t="array" ref="E290">INDEX(GMW!$A$2:$NF$60,MATCH(1,(GMW!$NE$2:$NE$60=E$3)*(GMW!$ND$2:$ND$60=E$4),0),$D290-1966)</f>
        <v>74210.720000000001</v>
      </c>
      <c r="F290" s="236" cm="1">
        <f t="array" ref="F290">INDEX(GMW!$A$2:$NF$60,MATCH(1,(GMW!$NE$2:$NE$60=F$3)*(GMW!$ND$2:$ND$60=F$4),0),$D290-1966)</f>
        <v>932455.2</v>
      </c>
      <c r="G290" s="236" cm="1">
        <f t="array" ref="G290">INDEX(GMW!$A$2:$NF$60,MATCH(1,(GMW!$NE$2:$NE$60=G$3)*(GMW!$ND$2:$ND$60=G$4),0),$D290-1966)</f>
        <v>202.9357</v>
      </c>
      <c r="H290" s="236" cm="1">
        <f t="array" ref="H290">INDEX(GMW!$A$2:$NF$60,MATCH(1,(GMW!$NE$2:$NE$60=H$3)*(GMW!$ND$2:$ND$60=H$4),0),$D290-1966)</f>
        <v>1245.7739999999999</v>
      </c>
    </row>
    <row r="291" spans="1:8">
      <c r="A291" s="236">
        <f t="shared" si="14"/>
        <v>2044</v>
      </c>
      <c r="B291" s="236">
        <f t="shared" si="14"/>
        <v>2043</v>
      </c>
      <c r="C291" s="236">
        <f t="shared" si="15"/>
        <v>204401</v>
      </c>
      <c r="D291" s="236">
        <f t="shared" si="13"/>
        <v>2257</v>
      </c>
      <c r="E291" s="236" cm="1">
        <f t="array" ref="E291">INDEX(GMW!$A$2:$NF$60,MATCH(1,(GMW!$NE$2:$NE$60=E$3)*(GMW!$ND$2:$ND$60=E$4),0),$D291-1966)</f>
        <v>74256.039999999994</v>
      </c>
      <c r="F291" s="236" cm="1">
        <f t="array" ref="F291">INDEX(GMW!$A$2:$NF$60,MATCH(1,(GMW!$NE$2:$NE$60=F$3)*(GMW!$ND$2:$ND$60=F$4),0),$D291-1966)</f>
        <v>936001.4</v>
      </c>
      <c r="G291" s="236" cm="1">
        <f t="array" ref="G291">INDEX(GMW!$A$2:$NF$60,MATCH(1,(GMW!$NE$2:$NE$60=G$3)*(GMW!$ND$2:$ND$60=G$4),0),$D291-1966)</f>
        <v>203.08449999999999</v>
      </c>
      <c r="H291" s="236" cm="1">
        <f t="array" ref="H291">INDEX(GMW!$A$2:$NF$60,MATCH(1,(GMW!$NE$2:$NE$60=H$3)*(GMW!$ND$2:$ND$60=H$4),0),$D291-1966)</f>
        <v>1255.577</v>
      </c>
    </row>
    <row r="292" spans="1:8">
      <c r="A292" s="236">
        <f t="shared" si="14"/>
        <v>2044</v>
      </c>
      <c r="B292" s="236">
        <f t="shared" si="14"/>
        <v>2044</v>
      </c>
      <c r="C292" s="236">
        <f t="shared" si="15"/>
        <v>204402</v>
      </c>
      <c r="D292" s="236">
        <f t="shared" si="13"/>
        <v>2258</v>
      </c>
      <c r="E292" s="236" cm="1">
        <f t="array" ref="E292">INDEX(GMW!$A$2:$NF$60,MATCH(1,(GMW!$NE$2:$NE$60=E$3)*(GMW!$ND$2:$ND$60=E$4),0),$D292-1966)</f>
        <v>74301.350000000006</v>
      </c>
      <c r="F292" s="236" cm="1">
        <f t="array" ref="F292">INDEX(GMW!$A$2:$NF$60,MATCH(1,(GMW!$NE$2:$NE$60=F$3)*(GMW!$ND$2:$ND$60=F$4),0),$D292-1966)</f>
        <v>939559.5</v>
      </c>
      <c r="G292" s="236" cm="1">
        <f t="array" ref="G292">INDEX(GMW!$A$2:$NF$60,MATCH(1,(GMW!$NE$2:$NE$60=G$3)*(GMW!$ND$2:$ND$60=G$4),0),$D292-1966)</f>
        <v>205.0772</v>
      </c>
      <c r="H292" s="236" cm="1">
        <f t="array" ref="H292">INDEX(GMW!$A$2:$NF$60,MATCH(1,(GMW!$NE$2:$NE$60=H$3)*(GMW!$ND$2:$ND$60=H$4),0),$D292-1966)</f>
        <v>1265.4860000000001</v>
      </c>
    </row>
    <row r="293" spans="1:8">
      <c r="A293" s="236">
        <f t="shared" si="14"/>
        <v>2044</v>
      </c>
      <c r="B293" s="236">
        <f t="shared" si="14"/>
        <v>2044</v>
      </c>
      <c r="C293" s="236">
        <f t="shared" si="15"/>
        <v>204403</v>
      </c>
      <c r="D293" s="236">
        <f t="shared" si="13"/>
        <v>2259</v>
      </c>
      <c r="E293" s="236" cm="1">
        <f t="array" ref="E293">INDEX(GMW!$A$2:$NF$60,MATCH(1,(GMW!$NE$2:$NE$60=E$3)*(GMW!$ND$2:$ND$60=E$4),0),$D293-1966)</f>
        <v>74345.399999999994</v>
      </c>
      <c r="F293" s="236" cm="1">
        <f t="array" ref="F293">INDEX(GMW!$A$2:$NF$60,MATCH(1,(GMW!$NE$2:$NE$60=F$3)*(GMW!$ND$2:$ND$60=F$4),0),$D293-1966)</f>
        <v>942980.4</v>
      </c>
      <c r="G293" s="236" cm="1">
        <f t="array" ref="G293">INDEX(GMW!$A$2:$NF$60,MATCH(1,(GMW!$NE$2:$NE$60=G$3)*(GMW!$ND$2:$ND$60=G$4),0),$D293-1966)</f>
        <v>206.4152</v>
      </c>
      <c r="H293" s="236" cm="1">
        <f t="array" ref="H293">INDEX(GMW!$A$2:$NF$60,MATCH(1,(GMW!$NE$2:$NE$60=H$3)*(GMW!$ND$2:$ND$60=H$4),0),$D293-1966)</f>
        <v>1275.499</v>
      </c>
    </row>
    <row r="294" spans="1:8">
      <c r="A294" s="236">
        <f t="shared" si="14"/>
        <v>2044</v>
      </c>
      <c r="B294" s="236">
        <f t="shared" si="14"/>
        <v>2044</v>
      </c>
      <c r="C294" s="236">
        <f t="shared" si="15"/>
        <v>204404</v>
      </c>
      <c r="D294" s="236">
        <f t="shared" si="13"/>
        <v>2260</v>
      </c>
      <c r="E294" s="236" cm="1">
        <f t="array" ref="E294">INDEX(GMW!$A$2:$NF$60,MATCH(1,(GMW!$NE$2:$NE$60=E$3)*(GMW!$ND$2:$ND$60=E$4),0),$D294-1966)</f>
        <v>74389.45</v>
      </c>
      <c r="F294" s="236" cm="1">
        <f t="array" ref="F294">INDEX(GMW!$A$2:$NF$60,MATCH(1,(GMW!$NE$2:$NE$60=F$3)*(GMW!$ND$2:$ND$60=F$4),0),$D294-1966)</f>
        <v>946410.9</v>
      </c>
      <c r="G294" s="236" cm="1">
        <f t="array" ref="G294">INDEX(GMW!$A$2:$NF$60,MATCH(1,(GMW!$NE$2:$NE$60=G$3)*(GMW!$ND$2:$ND$60=G$4),0),$D294-1966)</f>
        <v>206.99440000000001</v>
      </c>
      <c r="H294" s="236" cm="1">
        <f t="array" ref="H294">INDEX(GMW!$A$2:$NF$60,MATCH(1,(GMW!$NE$2:$NE$60=H$3)*(GMW!$ND$2:$ND$60=H$4),0),$D294-1966)</f>
        <v>1285.617</v>
      </c>
    </row>
    <row r="295" spans="1:8">
      <c r="A295" s="236">
        <f t="shared" si="14"/>
        <v>2045</v>
      </c>
      <c r="B295" s="236">
        <f t="shared" si="14"/>
        <v>2044</v>
      </c>
      <c r="C295" s="236">
        <f t="shared" si="15"/>
        <v>204501</v>
      </c>
      <c r="D295" s="236">
        <f t="shared" si="13"/>
        <v>2261</v>
      </c>
      <c r="E295" s="236" cm="1">
        <f t="array" ref="E295">INDEX(GMW!$A$2:$NF$60,MATCH(1,(GMW!$NE$2:$NE$60=E$3)*(GMW!$ND$2:$ND$60=E$4),0),$D295-1966)</f>
        <v>74433.48</v>
      </c>
      <c r="F295" s="236" cm="1">
        <f t="array" ref="F295">INDEX(GMW!$A$2:$NF$60,MATCH(1,(GMW!$NE$2:$NE$60=F$3)*(GMW!$ND$2:$ND$60=F$4),0),$D295-1966)</f>
        <v>949850.8</v>
      </c>
      <c r="G295" s="236" cm="1">
        <f t="array" ref="G295">INDEX(GMW!$A$2:$NF$60,MATCH(1,(GMW!$NE$2:$NE$60=G$3)*(GMW!$ND$2:$ND$60=G$4),0),$D295-1966)</f>
        <v>207.14619999999999</v>
      </c>
      <c r="H295" s="236" cm="1">
        <f t="array" ref="H295">INDEX(GMW!$A$2:$NF$60,MATCH(1,(GMW!$NE$2:$NE$60=H$3)*(GMW!$ND$2:$ND$60=H$4),0),$D295-1966)</f>
        <v>1295.8389999999999</v>
      </c>
    </row>
    <row r="296" spans="1:8">
      <c r="A296" s="236">
        <f t="shared" si="14"/>
        <v>2045</v>
      </c>
      <c r="B296" s="236">
        <f t="shared" si="14"/>
        <v>2045</v>
      </c>
      <c r="C296" s="236">
        <f t="shared" si="15"/>
        <v>204502</v>
      </c>
      <c r="D296" s="236">
        <f t="shared" si="13"/>
        <v>2262</v>
      </c>
      <c r="E296" s="236" cm="1">
        <f t="array" ref="E296">INDEX(GMW!$A$2:$NF$60,MATCH(1,(GMW!$NE$2:$NE$60=E$3)*(GMW!$ND$2:$ND$60=E$4),0),$D296-1966)</f>
        <v>74477.53</v>
      </c>
      <c r="F296" s="236" cm="1">
        <f t="array" ref="F296">INDEX(GMW!$A$2:$NF$60,MATCH(1,(GMW!$NE$2:$NE$60=F$3)*(GMW!$ND$2:$ND$60=F$4),0),$D296-1966)</f>
        <v>953300.2</v>
      </c>
      <c r="G296" s="236" cm="1">
        <f t="array" ref="G296">INDEX(GMW!$A$2:$NF$60,MATCH(1,(GMW!$NE$2:$NE$60=G$3)*(GMW!$ND$2:$ND$60=G$4),0),$D296-1966)</f>
        <v>209.17869999999999</v>
      </c>
      <c r="H296" s="236" cm="1">
        <f t="array" ref="H296">INDEX(GMW!$A$2:$NF$60,MATCH(1,(GMW!$NE$2:$NE$60=H$3)*(GMW!$ND$2:$ND$60=H$4),0),$D296-1966)</f>
        <v>1306.1669999999999</v>
      </c>
    </row>
    <row r="297" spans="1:8">
      <c r="A297" s="236">
        <f t="shared" si="14"/>
        <v>2045</v>
      </c>
      <c r="B297" s="236">
        <f t="shared" si="14"/>
        <v>2045</v>
      </c>
      <c r="C297" s="236">
        <f t="shared" si="15"/>
        <v>204503</v>
      </c>
      <c r="D297" s="236">
        <f t="shared" si="13"/>
        <v>2263</v>
      </c>
      <c r="E297" s="236" cm="1">
        <f t="array" ref="E297">INDEX(GMW!$A$2:$NF$60,MATCH(1,(GMW!$NE$2:$NE$60=E$3)*(GMW!$ND$2:$ND$60=E$4),0),$D297-1966)</f>
        <v>74520.23</v>
      </c>
      <c r="F297" s="236" cm="1">
        <f t="array" ref="F297">INDEX(GMW!$A$2:$NF$60,MATCH(1,(GMW!$NE$2:$NE$60=F$3)*(GMW!$ND$2:$ND$60=F$4),0),$D297-1966)</f>
        <v>956694.8</v>
      </c>
      <c r="G297" s="236" cm="1">
        <f t="array" ref="G297">INDEX(GMW!$A$2:$NF$60,MATCH(1,(GMW!$NE$2:$NE$60=G$3)*(GMW!$ND$2:$ND$60=G$4),0),$D297-1966)</f>
        <v>210.54349999999999</v>
      </c>
      <c r="H297" s="236" cm="1">
        <f t="array" ref="H297">INDEX(GMW!$A$2:$NF$60,MATCH(1,(GMW!$NE$2:$NE$60=H$3)*(GMW!$ND$2:$ND$60=H$4),0),$D297-1966)</f>
        <v>1316.587</v>
      </c>
    </row>
    <row r="298" spans="1:8">
      <c r="A298" s="236">
        <f t="shared" si="14"/>
        <v>2045</v>
      </c>
      <c r="B298" s="236">
        <f t="shared" si="14"/>
        <v>2045</v>
      </c>
      <c r="C298" s="236">
        <f t="shared" si="15"/>
        <v>204504</v>
      </c>
      <c r="D298" s="236">
        <f t="shared" si="13"/>
        <v>2264</v>
      </c>
      <c r="E298" s="236" cm="1">
        <f t="array" ref="E298">INDEX(GMW!$A$2:$NF$60,MATCH(1,(GMW!$NE$2:$NE$60=E$3)*(GMW!$ND$2:$ND$60=E$4),0),$D298-1966)</f>
        <v>74562.929999999993</v>
      </c>
      <c r="F298" s="236" cm="1">
        <f t="array" ref="F298">INDEX(GMW!$A$2:$NF$60,MATCH(1,(GMW!$NE$2:$NE$60=F$3)*(GMW!$ND$2:$ND$60=F$4),0),$D298-1966)</f>
        <v>960097.6</v>
      </c>
      <c r="G298" s="236" cm="1">
        <f t="array" ref="G298">INDEX(GMW!$A$2:$NF$60,MATCH(1,(GMW!$NE$2:$NE$60=G$3)*(GMW!$ND$2:$ND$60=G$4),0),$D298-1966)</f>
        <v>211.1343</v>
      </c>
      <c r="H298" s="236" cm="1">
        <f t="array" ref="H298">INDEX(GMW!$A$2:$NF$60,MATCH(1,(GMW!$NE$2:$NE$60=H$3)*(GMW!$ND$2:$ND$60=H$4),0),$D298-1966)</f>
        <v>1327.097</v>
      </c>
    </row>
    <row r="299" spans="1:8">
      <c r="A299" s="236">
        <f t="shared" si="14"/>
        <v>2046</v>
      </c>
      <c r="B299" s="236">
        <f t="shared" si="14"/>
        <v>2045</v>
      </c>
      <c r="C299" s="236">
        <f t="shared" si="15"/>
        <v>204601</v>
      </c>
      <c r="D299" s="236">
        <f t="shared" si="13"/>
        <v>2265</v>
      </c>
      <c r="E299" s="236" cm="1">
        <f t="array" ref="E299">INDEX(GMW!$A$2:$NF$60,MATCH(1,(GMW!$NE$2:$NE$60=E$3)*(GMW!$ND$2:$ND$60=E$4),0),$D299-1966)</f>
        <v>74605.63</v>
      </c>
      <c r="F299" s="236" cm="1">
        <f t="array" ref="F299">INDEX(GMW!$A$2:$NF$60,MATCH(1,(GMW!$NE$2:$NE$60=F$3)*(GMW!$ND$2:$ND$60=F$4),0),$D299-1966)</f>
        <v>963509.2</v>
      </c>
      <c r="G299" s="236" cm="1">
        <f t="array" ref="G299">INDEX(GMW!$A$2:$NF$60,MATCH(1,(GMW!$NE$2:$NE$60=G$3)*(GMW!$ND$2:$ND$60=G$4),0),$D299-1966)</f>
        <v>211.28909999999999</v>
      </c>
      <c r="H299" s="236" cm="1">
        <f t="array" ref="H299">INDEX(GMW!$A$2:$NF$60,MATCH(1,(GMW!$NE$2:$NE$60=H$3)*(GMW!$ND$2:$ND$60=H$4),0),$D299-1966)</f>
        <v>1337.6980000000001</v>
      </c>
    </row>
    <row r="300" spans="1:8">
      <c r="A300" s="236">
        <f t="shared" si="14"/>
        <v>2046</v>
      </c>
      <c r="B300" s="236">
        <f t="shared" si="14"/>
        <v>2046</v>
      </c>
      <c r="C300" s="236">
        <f t="shared" si="15"/>
        <v>204602</v>
      </c>
      <c r="D300" s="236">
        <f t="shared" si="13"/>
        <v>2266</v>
      </c>
      <c r="E300" s="236" cm="1">
        <f t="array" ref="E300">INDEX(GMW!$A$2:$NF$60,MATCH(1,(GMW!$NE$2:$NE$60=E$3)*(GMW!$ND$2:$ND$60=E$4),0),$D300-1966)</f>
        <v>74648.33</v>
      </c>
      <c r="F300" s="236" cm="1">
        <f t="array" ref="F300">INDEX(GMW!$A$2:$NF$60,MATCH(1,(GMW!$NE$2:$NE$60=F$3)*(GMW!$ND$2:$ND$60=F$4),0),$D300-1966)</f>
        <v>966929.1</v>
      </c>
      <c r="G300" s="236" cm="1">
        <f t="array" ref="G300">INDEX(GMW!$A$2:$NF$60,MATCH(1,(GMW!$NE$2:$NE$60=G$3)*(GMW!$ND$2:$ND$60=G$4),0),$D300-1966)</f>
        <v>213.3623</v>
      </c>
      <c r="H300" s="236" cm="1">
        <f t="array" ref="H300">INDEX(GMW!$A$2:$NF$60,MATCH(1,(GMW!$NE$2:$NE$60=H$3)*(GMW!$ND$2:$ND$60=H$4),0),$D300-1966)</f>
        <v>1348.393</v>
      </c>
    </row>
    <row r="301" spans="1:8">
      <c r="A301" s="236">
        <f t="shared" si="14"/>
        <v>2046</v>
      </c>
      <c r="B301" s="236">
        <f t="shared" si="14"/>
        <v>2046</v>
      </c>
      <c r="C301" s="236">
        <f t="shared" si="15"/>
        <v>204603</v>
      </c>
      <c r="D301" s="236">
        <f t="shared" si="13"/>
        <v>2267</v>
      </c>
      <c r="E301" s="236" cm="1">
        <f t="array" ref="E301">INDEX(GMW!$A$2:$NF$60,MATCH(1,(GMW!$NE$2:$NE$60=E$3)*(GMW!$ND$2:$ND$60=E$4),0),$D301-1966)</f>
        <v>74689.59</v>
      </c>
      <c r="F301" s="236" cm="1">
        <f t="array" ref="F301">INDEX(GMW!$A$2:$NF$60,MATCH(1,(GMW!$NE$2:$NE$60=F$3)*(GMW!$ND$2:$ND$60=F$4),0),$D301-1966)</f>
        <v>970391.1</v>
      </c>
      <c r="G301" s="236" cm="1">
        <f t="array" ref="G301">INDEX(GMW!$A$2:$NF$60,MATCH(1,(GMW!$NE$2:$NE$60=G$3)*(GMW!$ND$2:$ND$60=G$4),0),$D301-1966)</f>
        <v>214.7544</v>
      </c>
      <c r="H301" s="236" cm="1">
        <f t="array" ref="H301">INDEX(GMW!$A$2:$NF$60,MATCH(1,(GMW!$NE$2:$NE$60=H$3)*(GMW!$ND$2:$ND$60=H$4),0),$D301-1966)</f>
        <v>1359.162</v>
      </c>
    </row>
    <row r="302" spans="1:8">
      <c r="A302" s="236">
        <f t="shared" si="14"/>
        <v>2046</v>
      </c>
      <c r="B302" s="236">
        <f t="shared" si="14"/>
        <v>2046</v>
      </c>
      <c r="C302" s="236">
        <f t="shared" si="15"/>
        <v>204604</v>
      </c>
      <c r="D302" s="236">
        <f t="shared" si="13"/>
        <v>2268</v>
      </c>
      <c r="E302" s="236" cm="1">
        <f t="array" ref="E302">INDEX(GMW!$A$2:$NF$60,MATCH(1,(GMW!$NE$2:$NE$60=E$3)*(GMW!$ND$2:$ND$60=E$4),0),$D302-1966)</f>
        <v>74730.850000000006</v>
      </c>
      <c r="F302" s="236" cm="1">
        <f t="array" ref="F302">INDEX(GMW!$A$2:$NF$60,MATCH(1,(GMW!$NE$2:$NE$60=F$3)*(GMW!$ND$2:$ND$60=F$4),0),$D302-1966)</f>
        <v>973862.5</v>
      </c>
      <c r="G302" s="236" cm="1">
        <f t="array" ref="G302">INDEX(GMW!$A$2:$NF$60,MATCH(1,(GMW!$NE$2:$NE$60=G$3)*(GMW!$ND$2:$ND$60=G$4),0),$D302-1966)</f>
        <v>215.3569</v>
      </c>
      <c r="H302" s="236" cm="1">
        <f t="array" ref="H302">INDEX(GMW!$A$2:$NF$60,MATCH(1,(GMW!$NE$2:$NE$60=H$3)*(GMW!$ND$2:$ND$60=H$4),0),$D302-1966)</f>
        <v>1370.0060000000001</v>
      </c>
    </row>
    <row r="303" spans="1:8">
      <c r="A303" s="236">
        <f t="shared" si="14"/>
        <v>2047</v>
      </c>
      <c r="B303" s="236">
        <f t="shared" si="14"/>
        <v>2046</v>
      </c>
      <c r="C303" s="236">
        <f t="shared" si="15"/>
        <v>204701</v>
      </c>
      <c r="D303" s="236">
        <f t="shared" si="13"/>
        <v>2269</v>
      </c>
      <c r="E303" s="236" cm="1">
        <f t="array" ref="E303">INDEX(GMW!$A$2:$NF$60,MATCH(1,(GMW!$NE$2:$NE$60=E$3)*(GMW!$ND$2:$ND$60=E$4),0),$D303-1966)</f>
        <v>74772.12</v>
      </c>
      <c r="F303" s="236" cm="1">
        <f t="array" ref="F303">INDEX(GMW!$A$2:$NF$60,MATCH(1,(GMW!$NE$2:$NE$60=F$3)*(GMW!$ND$2:$ND$60=F$4),0),$D303-1966)</f>
        <v>977343</v>
      </c>
      <c r="G303" s="236" cm="1">
        <f t="array" ref="G303">INDEX(GMW!$A$2:$NF$60,MATCH(1,(GMW!$NE$2:$NE$60=G$3)*(GMW!$ND$2:$ND$60=G$4),0),$D303-1966)</f>
        <v>215.51490000000001</v>
      </c>
      <c r="H303" s="236" cm="1">
        <f t="array" ref="H303">INDEX(GMW!$A$2:$NF$60,MATCH(1,(GMW!$NE$2:$NE$60=H$3)*(GMW!$ND$2:$ND$60=H$4),0),$D303-1966)</f>
        <v>1380.9280000000001</v>
      </c>
    </row>
    <row r="304" spans="1:8">
      <c r="A304" s="236">
        <f t="shared" si="14"/>
        <v>2047</v>
      </c>
      <c r="B304" s="236">
        <f t="shared" si="14"/>
        <v>2047</v>
      </c>
      <c r="C304" s="236">
        <f t="shared" si="15"/>
        <v>204702</v>
      </c>
      <c r="D304" s="236">
        <f t="shared" si="13"/>
        <v>2270</v>
      </c>
      <c r="E304" s="236" cm="1">
        <f t="array" ref="E304">INDEX(GMW!$A$2:$NF$60,MATCH(1,(GMW!$NE$2:$NE$60=E$3)*(GMW!$ND$2:$ND$60=E$4),0),$D304-1966)</f>
        <v>74813.38</v>
      </c>
      <c r="F304" s="236" cm="1">
        <f t="array" ref="F304">INDEX(GMW!$A$2:$NF$60,MATCH(1,(GMW!$NE$2:$NE$60=F$3)*(GMW!$ND$2:$ND$60=F$4),0),$D304-1966)</f>
        <v>980832.9</v>
      </c>
      <c r="G304" s="236" cm="1">
        <f t="array" ref="G304">INDEX(GMW!$A$2:$NF$60,MATCH(1,(GMW!$NE$2:$NE$60=G$3)*(GMW!$ND$2:$ND$60=G$4),0),$D304-1966)</f>
        <v>217.62950000000001</v>
      </c>
      <c r="H304" s="236" cm="1">
        <f t="array" ref="H304">INDEX(GMW!$A$2:$NF$60,MATCH(1,(GMW!$NE$2:$NE$60=H$3)*(GMW!$ND$2:$ND$60=H$4),0),$D304-1966)</f>
        <v>1391.924</v>
      </c>
    </row>
    <row r="305" spans="1:8">
      <c r="A305" s="236">
        <f t="shared" si="14"/>
        <v>2047</v>
      </c>
      <c r="B305" s="236">
        <f t="shared" si="14"/>
        <v>2047</v>
      </c>
      <c r="C305" s="236">
        <f t="shared" si="15"/>
        <v>204703</v>
      </c>
      <c r="D305" s="236">
        <f t="shared" ref="D305:D358" si="16">+D304+1</f>
        <v>2271</v>
      </c>
      <c r="E305" s="236" cm="1">
        <f t="array" ref="E305">INDEX(GMW!$A$2:$NF$60,MATCH(1,(GMW!$NE$2:$NE$60=E$3)*(GMW!$ND$2:$ND$60=E$4),0),$D305-1966)</f>
        <v>74852.86</v>
      </c>
      <c r="F305" s="236" cm="1">
        <f t="array" ref="F305">INDEX(GMW!$A$2:$NF$60,MATCH(1,(GMW!$NE$2:$NE$60=F$3)*(GMW!$ND$2:$ND$60=F$4),0),$D305-1966)</f>
        <v>984275.8</v>
      </c>
      <c r="G305" s="236" cm="1">
        <f t="array" ref="G305">INDEX(GMW!$A$2:$NF$60,MATCH(1,(GMW!$NE$2:$NE$60=G$3)*(GMW!$ND$2:$ND$60=G$4),0),$D305-1966)</f>
        <v>219.04949999999999</v>
      </c>
      <c r="H305" s="236" cm="1">
        <f t="array" ref="H305">INDEX(GMW!$A$2:$NF$60,MATCH(1,(GMW!$NE$2:$NE$60=H$3)*(GMW!$ND$2:$ND$60=H$4),0),$D305-1966)</f>
        <v>1403.0160000000001</v>
      </c>
    </row>
    <row r="306" spans="1:8">
      <c r="A306" s="236">
        <f t="shared" si="14"/>
        <v>2047</v>
      </c>
      <c r="B306" s="236">
        <f t="shared" si="14"/>
        <v>2047</v>
      </c>
      <c r="C306" s="236">
        <f t="shared" si="15"/>
        <v>204704</v>
      </c>
      <c r="D306" s="236">
        <f t="shared" si="16"/>
        <v>2272</v>
      </c>
      <c r="E306" s="236" cm="1">
        <f t="array" ref="E306">INDEX(GMW!$A$2:$NF$60,MATCH(1,(GMW!$NE$2:$NE$60=E$3)*(GMW!$ND$2:$ND$60=E$4),0),$D306-1966)</f>
        <v>74892.34</v>
      </c>
      <c r="F306" s="236" cm="1">
        <f t="array" ref="F306">INDEX(GMW!$A$2:$NF$60,MATCH(1,(GMW!$NE$2:$NE$60=F$3)*(GMW!$ND$2:$ND$60=F$4),0),$D306-1966)</f>
        <v>987727.3</v>
      </c>
      <c r="G306" s="236" cm="1">
        <f t="array" ref="G306">INDEX(GMW!$A$2:$NF$60,MATCH(1,(GMW!$NE$2:$NE$60=G$3)*(GMW!$ND$2:$ND$60=G$4),0),$D306-1966)</f>
        <v>219.66409999999999</v>
      </c>
      <c r="H306" s="236" cm="1">
        <f t="array" ref="H306">INDEX(GMW!$A$2:$NF$60,MATCH(1,(GMW!$NE$2:$NE$60=H$3)*(GMW!$ND$2:$ND$60=H$4),0),$D306-1966)</f>
        <v>1414.203</v>
      </c>
    </row>
    <row r="307" spans="1:8">
      <c r="A307" s="236">
        <f t="shared" si="14"/>
        <v>2048</v>
      </c>
      <c r="B307" s="236">
        <f t="shared" si="14"/>
        <v>2047</v>
      </c>
      <c r="C307" s="236">
        <f t="shared" si="15"/>
        <v>204801</v>
      </c>
      <c r="D307" s="236">
        <f t="shared" si="16"/>
        <v>2273</v>
      </c>
      <c r="E307" s="236" cm="1">
        <f t="array" ref="E307">INDEX(GMW!$A$2:$NF$60,MATCH(1,(GMW!$NE$2:$NE$60=E$3)*(GMW!$ND$2:$ND$60=E$4),0),$D307-1966)</f>
        <v>74931.83</v>
      </c>
      <c r="F307" s="236" cm="1">
        <f t="array" ref="F307">INDEX(GMW!$A$2:$NF$60,MATCH(1,(GMW!$NE$2:$NE$60=F$3)*(GMW!$ND$2:$ND$60=F$4),0),$D307-1966)</f>
        <v>991187.3</v>
      </c>
      <c r="G307" s="236" cm="1">
        <f t="array" ref="G307">INDEX(GMW!$A$2:$NF$60,MATCH(1,(GMW!$NE$2:$NE$60=G$3)*(GMW!$ND$2:$ND$60=G$4),0),$D307-1966)</f>
        <v>219.8252</v>
      </c>
      <c r="H307" s="236" cm="1">
        <f t="array" ref="H307">INDEX(GMW!$A$2:$NF$60,MATCH(1,(GMW!$NE$2:$NE$60=H$3)*(GMW!$ND$2:$ND$60=H$4),0),$D307-1966)</f>
        <v>1425.4849999999999</v>
      </c>
    </row>
    <row r="308" spans="1:8">
      <c r="A308" s="236">
        <f t="shared" si="14"/>
        <v>2048</v>
      </c>
      <c r="B308" s="236">
        <f t="shared" si="14"/>
        <v>2048</v>
      </c>
      <c r="C308" s="236">
        <f t="shared" si="15"/>
        <v>204802</v>
      </c>
      <c r="D308" s="236">
        <f t="shared" si="16"/>
        <v>2274</v>
      </c>
      <c r="E308" s="236" cm="1">
        <f t="array" ref="E308">INDEX(GMW!$A$2:$NF$60,MATCH(1,(GMW!$NE$2:$NE$60=E$3)*(GMW!$ND$2:$ND$60=E$4),0),$D308-1966)</f>
        <v>74971.3</v>
      </c>
      <c r="F308" s="236" cm="1">
        <f t="array" ref="F308">INDEX(GMW!$A$2:$NF$60,MATCH(1,(GMW!$NE$2:$NE$60=F$3)*(GMW!$ND$2:$ND$60=F$4),0),$D308-1966)</f>
        <v>994655.9</v>
      </c>
      <c r="G308" s="236" cm="1">
        <f t="array" ref="G308">INDEX(GMW!$A$2:$NF$60,MATCH(1,(GMW!$NE$2:$NE$60=G$3)*(GMW!$ND$2:$ND$60=G$4),0),$D308-1966)</f>
        <v>221.9821</v>
      </c>
      <c r="H308" s="236" cm="1">
        <f t="array" ref="H308">INDEX(GMW!$A$2:$NF$60,MATCH(1,(GMW!$NE$2:$NE$60=H$3)*(GMW!$ND$2:$ND$60=H$4),0),$D308-1966)</f>
        <v>1436.864</v>
      </c>
    </row>
    <row r="309" spans="1:8">
      <c r="A309" s="236">
        <f t="shared" si="14"/>
        <v>2048</v>
      </c>
      <c r="B309" s="236">
        <f t="shared" si="14"/>
        <v>2048</v>
      </c>
      <c r="C309" s="236">
        <f t="shared" si="15"/>
        <v>204803</v>
      </c>
      <c r="D309" s="236">
        <f t="shared" si="16"/>
        <v>2275</v>
      </c>
      <c r="E309" s="236" cm="1">
        <f t="array" ref="E309">INDEX(GMW!$A$2:$NF$60,MATCH(1,(GMW!$NE$2:$NE$60=E$3)*(GMW!$ND$2:$ND$60=E$4),0),$D309-1966)</f>
        <v>75008.600000000006</v>
      </c>
      <c r="F309" s="236" cm="1">
        <f t="array" ref="F309">INDEX(GMW!$A$2:$NF$60,MATCH(1,(GMW!$NE$2:$NE$60=F$3)*(GMW!$ND$2:$ND$60=F$4),0),$D309-1966)</f>
        <v>998108.8</v>
      </c>
      <c r="G309" s="236" cm="1">
        <f t="array" ref="G309">INDEX(GMW!$A$2:$NF$60,MATCH(1,(GMW!$NE$2:$NE$60=G$3)*(GMW!$ND$2:$ND$60=G$4),0),$D309-1966)</f>
        <v>223.43049999999999</v>
      </c>
      <c r="H309" s="236" cm="1">
        <f t="array" ref="H309">INDEX(GMW!$A$2:$NF$60,MATCH(1,(GMW!$NE$2:$NE$60=H$3)*(GMW!$ND$2:$ND$60=H$4),0),$D309-1966)</f>
        <v>1448.3320000000001</v>
      </c>
    </row>
    <row r="310" spans="1:8">
      <c r="A310" s="236">
        <f t="shared" si="14"/>
        <v>2048</v>
      </c>
      <c r="B310" s="236">
        <f t="shared" si="14"/>
        <v>2048</v>
      </c>
      <c r="C310" s="236">
        <f t="shared" si="15"/>
        <v>204804</v>
      </c>
      <c r="D310" s="236">
        <f t="shared" si="16"/>
        <v>2276</v>
      </c>
      <c r="E310" s="236" cm="1">
        <f t="array" ref="E310">INDEX(GMW!$A$2:$NF$60,MATCH(1,(GMW!$NE$2:$NE$60=E$3)*(GMW!$ND$2:$ND$60=E$4),0),$D310-1966)</f>
        <v>75045.89</v>
      </c>
      <c r="F310" s="236" cm="1">
        <f t="array" ref="F310">INDEX(GMW!$A$2:$NF$60,MATCH(1,(GMW!$NE$2:$NE$60=F$3)*(GMW!$ND$2:$ND$60=F$4),0),$D310-1966)</f>
        <v>1001570</v>
      </c>
      <c r="G310" s="236" cm="1">
        <f t="array" ref="G310">INDEX(GMW!$A$2:$NF$60,MATCH(1,(GMW!$NE$2:$NE$60=G$3)*(GMW!$ND$2:$ND$60=G$4),0),$D310-1966)</f>
        <v>224.0574</v>
      </c>
      <c r="H310" s="236" cm="1">
        <f t="array" ref="H310">INDEX(GMW!$A$2:$NF$60,MATCH(1,(GMW!$NE$2:$NE$60=H$3)*(GMW!$ND$2:$ND$60=H$4),0),$D310-1966)</f>
        <v>1459.8920000000001</v>
      </c>
    </row>
    <row r="311" spans="1:8">
      <c r="A311" s="236">
        <f t="shared" si="14"/>
        <v>2049</v>
      </c>
      <c r="B311" s="236">
        <f t="shared" si="14"/>
        <v>2048</v>
      </c>
      <c r="C311" s="236">
        <f t="shared" si="15"/>
        <v>204901</v>
      </c>
      <c r="D311" s="236">
        <f t="shared" si="16"/>
        <v>2277</v>
      </c>
      <c r="E311" s="236" cm="1">
        <f t="array" ref="E311">INDEX(GMW!$A$2:$NF$60,MATCH(1,(GMW!$NE$2:$NE$60=E$3)*(GMW!$ND$2:$ND$60=E$4),0),$D311-1966)</f>
        <v>75083.19</v>
      </c>
      <c r="F311" s="236" cm="1">
        <f t="array" ref="F311">INDEX(GMW!$A$2:$NF$60,MATCH(1,(GMW!$NE$2:$NE$60=F$3)*(GMW!$ND$2:$ND$60=F$4),0),$D311-1966)</f>
        <v>1005039</v>
      </c>
      <c r="G311" s="236" cm="1">
        <f t="array" ref="G311">INDEX(GMW!$A$2:$NF$60,MATCH(1,(GMW!$NE$2:$NE$60=G$3)*(GMW!$ND$2:$ND$60=G$4),0),$D311-1966)</f>
        <v>224.2217</v>
      </c>
      <c r="H311" s="236" cm="1">
        <f t="array" ref="H311">INDEX(GMW!$A$2:$NF$60,MATCH(1,(GMW!$NE$2:$NE$60=H$3)*(GMW!$ND$2:$ND$60=H$4),0),$D311-1966)</f>
        <v>1471.5440000000001</v>
      </c>
    </row>
    <row r="312" spans="1:8">
      <c r="A312" s="236">
        <f t="shared" si="14"/>
        <v>2049</v>
      </c>
      <c r="B312" s="236">
        <f t="shared" si="14"/>
        <v>2049</v>
      </c>
      <c r="C312" s="236">
        <f t="shared" si="15"/>
        <v>204902</v>
      </c>
      <c r="D312" s="236">
        <f t="shared" si="16"/>
        <v>2278</v>
      </c>
      <c r="E312" s="236" cm="1">
        <f t="array" ref="E312">INDEX(GMW!$A$2:$NF$60,MATCH(1,(GMW!$NE$2:$NE$60=E$3)*(GMW!$ND$2:$ND$60=E$4),0),$D312-1966)</f>
        <v>75120.479999999996</v>
      </c>
      <c r="F312" s="236" cm="1">
        <f t="array" ref="F312">INDEX(GMW!$A$2:$NF$60,MATCH(1,(GMW!$NE$2:$NE$60=F$3)*(GMW!$ND$2:$ND$60=F$4),0),$D312-1966)</f>
        <v>1008516</v>
      </c>
      <c r="G312" s="236" cm="1">
        <f t="array" ref="G312">INDEX(GMW!$A$2:$NF$60,MATCH(1,(GMW!$NE$2:$NE$60=G$3)*(GMW!$ND$2:$ND$60=G$4),0),$D312-1966)</f>
        <v>226.42179999999999</v>
      </c>
      <c r="H312" s="236" cm="1">
        <f t="array" ref="H312">INDEX(GMW!$A$2:$NF$60,MATCH(1,(GMW!$NE$2:$NE$60=H$3)*(GMW!$ND$2:$ND$60=H$4),0),$D312-1966)</f>
        <v>1483.289</v>
      </c>
    </row>
    <row r="313" spans="1:8">
      <c r="A313" s="236">
        <f t="shared" si="14"/>
        <v>2049</v>
      </c>
      <c r="B313" s="236">
        <f t="shared" si="14"/>
        <v>2049</v>
      </c>
      <c r="C313" s="236">
        <f t="shared" si="15"/>
        <v>204903</v>
      </c>
      <c r="D313" s="236">
        <f t="shared" si="16"/>
        <v>2279</v>
      </c>
      <c r="E313" s="236" cm="1">
        <f t="array" ref="E313">INDEX(GMW!$A$2:$NF$60,MATCH(1,(GMW!$NE$2:$NE$60=E$3)*(GMW!$ND$2:$ND$60=E$4),0),$D313-1966)</f>
        <v>75155.45</v>
      </c>
      <c r="F313" s="236" cm="1">
        <f t="array" ref="F313">INDEX(GMW!$A$2:$NF$60,MATCH(1,(GMW!$NE$2:$NE$60=F$3)*(GMW!$ND$2:$ND$60=F$4),0),$D313-1966)</f>
        <v>1011923</v>
      </c>
      <c r="G313" s="236" cm="1">
        <f t="array" ref="G313">INDEX(GMW!$A$2:$NF$60,MATCH(1,(GMW!$NE$2:$NE$60=G$3)*(GMW!$ND$2:$ND$60=G$4),0),$D313-1966)</f>
        <v>227.899</v>
      </c>
      <c r="H313" s="236" cm="1">
        <f t="array" ref="H313">INDEX(GMW!$A$2:$NF$60,MATCH(1,(GMW!$NE$2:$NE$60=H$3)*(GMW!$ND$2:$ND$60=H$4),0),$D313-1966)</f>
        <v>1495.1379999999999</v>
      </c>
    </row>
    <row r="314" spans="1:8">
      <c r="A314" s="236">
        <f t="shared" si="14"/>
        <v>2049</v>
      </c>
      <c r="B314" s="236">
        <f t="shared" si="14"/>
        <v>2049</v>
      </c>
      <c r="C314" s="236">
        <f t="shared" si="15"/>
        <v>204904</v>
      </c>
      <c r="D314" s="236">
        <f t="shared" si="16"/>
        <v>2280</v>
      </c>
      <c r="E314" s="236" cm="1">
        <f t="array" ref="E314">INDEX(GMW!$A$2:$NF$60,MATCH(1,(GMW!$NE$2:$NE$60=E$3)*(GMW!$ND$2:$ND$60=E$4),0),$D314-1966)</f>
        <v>75190.41</v>
      </c>
      <c r="F314" s="236" cm="1">
        <f t="array" ref="F314">INDEX(GMW!$A$2:$NF$60,MATCH(1,(GMW!$NE$2:$NE$60=F$3)*(GMW!$ND$2:$ND$60=F$4),0),$D314-1966)</f>
        <v>1015336</v>
      </c>
      <c r="G314" s="236" cm="1">
        <f t="array" ref="G314">INDEX(GMW!$A$2:$NF$60,MATCH(1,(GMW!$NE$2:$NE$60=G$3)*(GMW!$ND$2:$ND$60=G$4),0),$D314-1966)</f>
        <v>228.5385</v>
      </c>
      <c r="H314" s="236" cm="1">
        <f t="array" ref="H314">INDEX(GMW!$A$2:$NF$60,MATCH(1,(GMW!$NE$2:$NE$60=H$3)*(GMW!$ND$2:$ND$60=H$4),0),$D314-1966)</f>
        <v>1507.09</v>
      </c>
    </row>
    <row r="315" spans="1:8">
      <c r="A315" s="236">
        <f t="shared" si="14"/>
        <v>2050</v>
      </c>
      <c r="B315" s="236">
        <f t="shared" si="14"/>
        <v>2049</v>
      </c>
      <c r="C315" s="236">
        <f t="shared" si="15"/>
        <v>205001</v>
      </c>
      <c r="D315" s="236">
        <f t="shared" si="16"/>
        <v>2281</v>
      </c>
      <c r="E315" s="236" cm="1">
        <f t="array" ref="E315">INDEX(GMW!$A$2:$NF$60,MATCH(1,(GMW!$NE$2:$NE$60=E$3)*(GMW!$ND$2:$ND$60=E$4),0),$D315-1966)</f>
        <v>75225.37</v>
      </c>
      <c r="F315" s="236" cm="1">
        <f t="array" ref="F315">INDEX(GMW!$A$2:$NF$60,MATCH(1,(GMW!$NE$2:$NE$60=F$3)*(GMW!$ND$2:$ND$60=F$4),0),$D315-1966)</f>
        <v>1018757</v>
      </c>
      <c r="G315" s="236" cm="1">
        <f t="array" ref="G315">INDEX(GMW!$A$2:$NF$60,MATCH(1,(GMW!$NE$2:$NE$60=G$3)*(GMW!$ND$2:$ND$60=G$4),0),$D315-1966)</f>
        <v>228.70609999999999</v>
      </c>
      <c r="H315" s="236" cm="1">
        <f t="array" ref="H315">INDEX(GMW!$A$2:$NF$60,MATCH(1,(GMW!$NE$2:$NE$60=H$3)*(GMW!$ND$2:$ND$60=H$4),0),$D315-1966)</f>
        <v>1519.146</v>
      </c>
    </row>
    <row r="316" spans="1:8">
      <c r="A316" s="236">
        <f t="shared" si="14"/>
        <v>2050</v>
      </c>
      <c r="B316" s="236">
        <f t="shared" si="14"/>
        <v>2050</v>
      </c>
      <c r="C316" s="236">
        <f t="shared" si="15"/>
        <v>205002</v>
      </c>
      <c r="D316" s="236">
        <f t="shared" si="16"/>
        <v>2282</v>
      </c>
      <c r="E316" s="236" cm="1">
        <f t="array" ref="E316">INDEX(GMW!$A$2:$NF$60,MATCH(1,(GMW!$NE$2:$NE$60=E$3)*(GMW!$ND$2:$ND$60=E$4),0),$D316-1966)</f>
        <v>75260.33</v>
      </c>
      <c r="F316" s="236" cm="1">
        <f t="array" ref="F316">INDEX(GMW!$A$2:$NF$60,MATCH(1,(GMW!$NE$2:$NE$60=F$3)*(GMW!$ND$2:$ND$60=F$4),0),$D316-1966)</f>
        <v>1022182</v>
      </c>
      <c r="G316" s="236" cm="1">
        <f t="array" ref="G316">INDEX(GMW!$A$2:$NF$60,MATCH(1,(GMW!$NE$2:$NE$60=G$3)*(GMW!$ND$2:$ND$60=G$4),0),$D316-1966)</f>
        <v>230.9502</v>
      </c>
      <c r="H316" s="236" cm="1">
        <f t="array" ref="H316">INDEX(GMW!$A$2:$NF$60,MATCH(1,(GMW!$NE$2:$NE$60=H$3)*(GMW!$ND$2:$ND$60=H$4),0),$D316-1966)</f>
        <v>1531.308</v>
      </c>
    </row>
    <row r="317" spans="1:8">
      <c r="A317" s="236">
        <f t="shared" si="14"/>
        <v>2050</v>
      </c>
      <c r="B317" s="236">
        <f t="shared" si="14"/>
        <v>2050</v>
      </c>
      <c r="C317" s="236">
        <f t="shared" si="15"/>
        <v>205003</v>
      </c>
      <c r="D317" s="236">
        <f t="shared" si="16"/>
        <v>2283</v>
      </c>
      <c r="E317" s="236" cm="1">
        <f t="array" ref="E317">INDEX(GMW!$A$2:$NF$60,MATCH(1,(GMW!$NE$2:$NE$60=E$3)*(GMW!$ND$2:$ND$60=E$4),0),$D317-1966)</f>
        <v>75292.87</v>
      </c>
      <c r="F317" s="236" cm="1">
        <f t="array" ref="F317">INDEX(GMW!$A$2:$NF$60,MATCH(1,(GMW!$NE$2:$NE$60=F$3)*(GMW!$ND$2:$ND$60=F$4),0),$D317-1966)</f>
        <v>1025587</v>
      </c>
      <c r="G317" s="236" cm="1">
        <f t="array" ref="G317">INDEX(GMW!$A$2:$NF$60,MATCH(1,(GMW!$NE$2:$NE$60=G$3)*(GMW!$ND$2:$ND$60=G$4),0),$D317-1966)</f>
        <v>232.45699999999999</v>
      </c>
      <c r="H317" s="236" cm="1">
        <f t="array" ref="H317">INDEX(GMW!$A$2:$NF$60,MATCH(1,(GMW!$NE$2:$NE$60=H$3)*(GMW!$ND$2:$ND$60=H$4),0),$D317-1966)</f>
        <v>1543.5640000000001</v>
      </c>
    </row>
    <row r="318" spans="1:8">
      <c r="A318" s="236">
        <f t="shared" si="14"/>
        <v>2050</v>
      </c>
      <c r="B318" s="236">
        <f t="shared" si="14"/>
        <v>2050</v>
      </c>
      <c r="C318" s="236">
        <f t="shared" si="15"/>
        <v>205004</v>
      </c>
      <c r="D318" s="236">
        <f t="shared" si="16"/>
        <v>2284</v>
      </c>
      <c r="E318" s="236" cm="1">
        <f t="array" ref="E318">INDEX(GMW!$A$2:$NF$60,MATCH(1,(GMW!$NE$2:$NE$60=E$3)*(GMW!$ND$2:$ND$60=E$4),0),$D318-1966)</f>
        <v>75325.41</v>
      </c>
      <c r="F318" s="236" cm="1">
        <f t="array" ref="F318">INDEX(GMW!$A$2:$NF$60,MATCH(1,(GMW!$NE$2:$NE$60=F$3)*(GMW!$ND$2:$ND$60=F$4),0),$D318-1966)</f>
        <v>1028997</v>
      </c>
      <c r="G318" s="236" cm="1">
        <f t="array" ref="G318">INDEX(GMW!$A$2:$NF$60,MATCH(1,(GMW!$NE$2:$NE$60=G$3)*(GMW!$ND$2:$ND$60=G$4),0),$D318-1966)</f>
        <v>233.10929999999999</v>
      </c>
      <c r="H318" s="236" cm="1">
        <f t="array" ref="H318">INDEX(GMW!$A$2:$NF$60,MATCH(1,(GMW!$NE$2:$NE$60=H$3)*(GMW!$ND$2:$ND$60=H$4),0),$D318-1966)</f>
        <v>1555.915</v>
      </c>
    </row>
    <row r="319" spans="1:8">
      <c r="A319" s="236">
        <f t="shared" si="14"/>
        <v>2051</v>
      </c>
      <c r="B319" s="236">
        <f t="shared" si="14"/>
        <v>2050</v>
      </c>
      <c r="C319" s="236">
        <f t="shared" si="15"/>
        <v>205101</v>
      </c>
      <c r="D319" s="236">
        <f t="shared" si="16"/>
        <v>2285</v>
      </c>
      <c r="E319" s="236" cm="1">
        <f t="array" ref="E319">INDEX(GMW!$A$2:$NF$60,MATCH(1,(GMW!$NE$2:$NE$60=E$3)*(GMW!$ND$2:$ND$60=E$4),0),$D319-1966)</f>
        <v>75357.95</v>
      </c>
      <c r="F319" s="236" cm="1">
        <f t="array" ref="F319">INDEX(GMW!$A$2:$NF$60,MATCH(1,(GMW!$NE$2:$NE$60=F$3)*(GMW!$ND$2:$ND$60=F$4),0),$D319-1966)</f>
        <v>1032413</v>
      </c>
      <c r="G319" s="236" cm="1">
        <f t="array" ref="G319">INDEX(GMW!$A$2:$NF$60,MATCH(1,(GMW!$NE$2:$NE$60=G$3)*(GMW!$ND$2:$ND$60=G$4),0),$D319-1966)</f>
        <v>233.28030000000001</v>
      </c>
      <c r="H319" s="236" cm="1">
        <f t="array" ref="H319">INDEX(GMW!$A$2:$NF$60,MATCH(1,(GMW!$NE$2:$NE$60=H$3)*(GMW!$ND$2:$ND$60=H$4),0),$D319-1966)</f>
        <v>1568.3589999999999</v>
      </c>
    </row>
    <row r="320" spans="1:8">
      <c r="A320" s="236">
        <f t="shared" si="14"/>
        <v>2051</v>
      </c>
      <c r="B320" s="236">
        <f t="shared" si="14"/>
        <v>2051</v>
      </c>
      <c r="C320" s="236">
        <f t="shared" si="15"/>
        <v>205102</v>
      </c>
      <c r="D320" s="236">
        <f t="shared" si="16"/>
        <v>2286</v>
      </c>
      <c r="E320" s="236" cm="1">
        <f t="array" ref="E320">INDEX(GMW!$A$2:$NF$60,MATCH(1,(GMW!$NE$2:$NE$60=E$3)*(GMW!$ND$2:$ND$60=E$4),0),$D320-1966)</f>
        <v>75390.490000000005</v>
      </c>
      <c r="F320" s="236" cm="1">
        <f t="array" ref="F320">INDEX(GMW!$A$2:$NF$60,MATCH(1,(GMW!$NE$2:$NE$60=F$3)*(GMW!$ND$2:$ND$60=F$4),0),$D320-1966)</f>
        <v>1035834</v>
      </c>
      <c r="G320" s="236" cm="1">
        <f t="array" ref="G320">INDEX(GMW!$A$2:$NF$60,MATCH(1,(GMW!$NE$2:$NE$60=G$3)*(GMW!$ND$2:$ND$60=G$4),0),$D320-1966)</f>
        <v>235.5692</v>
      </c>
      <c r="H320" s="236" cm="1">
        <f t="array" ref="H320">INDEX(GMW!$A$2:$NF$60,MATCH(1,(GMW!$NE$2:$NE$60=H$3)*(GMW!$ND$2:$ND$60=H$4),0),$D320-1966)</f>
        <v>1580.9</v>
      </c>
    </row>
    <row r="321" spans="1:8">
      <c r="A321" s="236">
        <f t="shared" si="14"/>
        <v>2051</v>
      </c>
      <c r="B321" s="236">
        <f t="shared" si="14"/>
        <v>2051</v>
      </c>
      <c r="C321" s="236">
        <f t="shared" si="15"/>
        <v>205103</v>
      </c>
      <c r="D321" s="236">
        <f t="shared" si="16"/>
        <v>2287</v>
      </c>
      <c r="E321" s="236" cm="1">
        <f t="array" ref="E321">INDEX(GMW!$A$2:$NF$60,MATCH(1,(GMW!$NE$2:$NE$60=E$3)*(GMW!$ND$2:$ND$60=E$4),0),$D321-1966)</f>
        <v>75420.59</v>
      </c>
      <c r="F321" s="236" cm="1">
        <f t="array" ref="F321">INDEX(GMW!$A$2:$NF$60,MATCH(1,(GMW!$NE$2:$NE$60=F$3)*(GMW!$ND$2:$ND$60=F$4),0),$D321-1966)</f>
        <v>1039222</v>
      </c>
      <c r="G321" s="236" cm="1">
        <f t="array" ref="G321">INDEX(GMW!$A$2:$NF$60,MATCH(1,(GMW!$NE$2:$NE$60=G$3)*(GMW!$ND$2:$ND$60=G$4),0),$D321-1966)</f>
        <v>237.1062</v>
      </c>
      <c r="H321" s="236" cm="1">
        <f t="array" ref="H321">INDEX(GMW!$A$2:$NF$60,MATCH(1,(GMW!$NE$2:$NE$60=H$3)*(GMW!$ND$2:$ND$60=H$4),0),$D321-1966)</f>
        <v>1593.539</v>
      </c>
    </row>
    <row r="322" spans="1:8">
      <c r="A322" s="236">
        <f t="shared" si="14"/>
        <v>2051</v>
      </c>
      <c r="B322" s="236">
        <f t="shared" si="14"/>
        <v>2051</v>
      </c>
      <c r="C322" s="236">
        <f t="shared" si="15"/>
        <v>205104</v>
      </c>
      <c r="D322" s="236">
        <f t="shared" si="16"/>
        <v>2288</v>
      </c>
      <c r="E322" s="236" cm="1">
        <f t="array" ref="E322">INDEX(GMW!$A$2:$NF$60,MATCH(1,(GMW!$NE$2:$NE$60=E$3)*(GMW!$ND$2:$ND$60=E$4),0),$D322-1966)</f>
        <v>75450.7</v>
      </c>
      <c r="F322" s="236" cm="1">
        <f t="array" ref="F322">INDEX(GMW!$A$2:$NF$60,MATCH(1,(GMW!$NE$2:$NE$60=F$3)*(GMW!$ND$2:$ND$60=F$4),0),$D322-1966)</f>
        <v>1042614</v>
      </c>
      <c r="G322" s="236" cm="1">
        <f t="array" ref="G322">INDEX(GMW!$A$2:$NF$60,MATCH(1,(GMW!$NE$2:$NE$60=G$3)*(GMW!$ND$2:$ND$60=G$4),0),$D322-1966)</f>
        <v>237.7715</v>
      </c>
      <c r="H322" s="236" cm="1">
        <f t="array" ref="H322">INDEX(GMW!$A$2:$NF$60,MATCH(1,(GMW!$NE$2:$NE$60=H$3)*(GMW!$ND$2:$ND$60=H$4),0),$D322-1966)</f>
        <v>1606.278</v>
      </c>
    </row>
    <row r="323" spans="1:8">
      <c r="A323" s="236">
        <f t="shared" si="14"/>
        <v>2052</v>
      </c>
      <c r="B323" s="236">
        <f t="shared" si="14"/>
        <v>2051</v>
      </c>
      <c r="C323" s="236">
        <f t="shared" si="15"/>
        <v>205201</v>
      </c>
      <c r="D323" s="236">
        <f t="shared" si="16"/>
        <v>2289</v>
      </c>
      <c r="E323" s="236" cm="1">
        <f t="array" ref="E323">INDEX(GMW!$A$2:$NF$60,MATCH(1,(GMW!$NE$2:$NE$60=E$3)*(GMW!$ND$2:$ND$60=E$4),0),$D323-1966)</f>
        <v>75480.800000000003</v>
      </c>
      <c r="F323" s="236" cm="1">
        <f t="array" ref="F323">INDEX(GMW!$A$2:$NF$60,MATCH(1,(GMW!$NE$2:$NE$60=F$3)*(GMW!$ND$2:$ND$60=F$4),0),$D323-1966)</f>
        <v>1046011</v>
      </c>
      <c r="G323" s="236" cm="1">
        <f t="array" ref="G323">INDEX(GMW!$A$2:$NF$60,MATCH(1,(GMW!$NE$2:$NE$60=G$3)*(GMW!$ND$2:$ND$60=G$4),0),$D323-1966)</f>
        <v>237.94589999999999</v>
      </c>
      <c r="H323" s="236" cm="1">
        <f t="array" ref="H323">INDEX(GMW!$A$2:$NF$60,MATCH(1,(GMW!$NE$2:$NE$60=H$3)*(GMW!$ND$2:$ND$60=H$4),0),$D323-1966)</f>
        <v>1619.12</v>
      </c>
    </row>
    <row r="324" spans="1:8">
      <c r="A324" s="236">
        <f t="shared" si="14"/>
        <v>2052</v>
      </c>
      <c r="B324" s="236">
        <f t="shared" si="14"/>
        <v>2052</v>
      </c>
      <c r="C324" s="236">
        <f t="shared" si="15"/>
        <v>205202</v>
      </c>
      <c r="D324" s="236">
        <f t="shared" si="16"/>
        <v>2290</v>
      </c>
      <c r="E324" s="236" cm="1">
        <f t="array" ref="E324">INDEX(GMW!$A$2:$NF$60,MATCH(1,(GMW!$NE$2:$NE$60=E$3)*(GMW!$ND$2:$ND$60=E$4),0),$D324-1966)</f>
        <v>75510.899999999994</v>
      </c>
      <c r="F324" s="236" cm="1">
        <f t="array" ref="F324">INDEX(GMW!$A$2:$NF$60,MATCH(1,(GMW!$NE$2:$NE$60=F$3)*(GMW!$ND$2:$ND$60=F$4),0),$D324-1966)</f>
        <v>1049414</v>
      </c>
      <c r="G324" s="236" cm="1">
        <f t="array" ref="G324">INDEX(GMW!$A$2:$NF$60,MATCH(1,(GMW!$NE$2:$NE$60=G$3)*(GMW!$ND$2:$ND$60=G$4),0),$D324-1966)</f>
        <v>240.28059999999999</v>
      </c>
      <c r="H324" s="236" cm="1">
        <f t="array" ref="H324">INDEX(GMW!$A$2:$NF$60,MATCH(1,(GMW!$NE$2:$NE$60=H$3)*(GMW!$ND$2:$ND$60=H$4),0),$D324-1966)</f>
        <v>1632.0619999999999</v>
      </c>
    </row>
    <row r="325" spans="1:8">
      <c r="A325" s="236">
        <f t="shared" si="14"/>
        <v>2052</v>
      </c>
      <c r="B325" s="236">
        <f t="shared" si="14"/>
        <v>2052</v>
      </c>
      <c r="C325" s="236">
        <f t="shared" si="15"/>
        <v>205203</v>
      </c>
      <c r="D325" s="236">
        <f t="shared" si="16"/>
        <v>2291</v>
      </c>
      <c r="E325" s="236" cm="1">
        <f t="array" ref="E325">INDEX(GMW!$A$2:$NF$60,MATCH(1,(GMW!$NE$2:$NE$60=E$3)*(GMW!$ND$2:$ND$60=E$4),0),$D325-1966)</f>
        <v>75538.559999999998</v>
      </c>
      <c r="F325" s="236" cm="1">
        <f t="array" ref="F325">INDEX(GMW!$A$2:$NF$60,MATCH(1,(GMW!$NE$2:$NE$60=F$3)*(GMW!$ND$2:$ND$60=F$4),0),$D325-1966)</f>
        <v>1052740</v>
      </c>
      <c r="G325" s="236" cm="1">
        <f t="array" ref="G325">INDEX(GMW!$A$2:$NF$60,MATCH(1,(GMW!$NE$2:$NE$60=G$3)*(GMW!$ND$2:$ND$60=G$4),0),$D325-1966)</f>
        <v>241.84829999999999</v>
      </c>
      <c r="H325" s="236" cm="1">
        <f t="array" ref="H325">INDEX(GMW!$A$2:$NF$60,MATCH(1,(GMW!$NE$2:$NE$60=H$3)*(GMW!$ND$2:$ND$60=H$4),0),$D325-1966)</f>
        <v>1645.116</v>
      </c>
    </row>
    <row r="326" spans="1:8">
      <c r="A326" s="236">
        <f t="shared" si="14"/>
        <v>2052</v>
      </c>
      <c r="B326" s="236">
        <f t="shared" si="14"/>
        <v>2052</v>
      </c>
      <c r="C326" s="236">
        <f t="shared" si="15"/>
        <v>205204</v>
      </c>
      <c r="D326" s="236">
        <f t="shared" si="16"/>
        <v>2292</v>
      </c>
      <c r="E326" s="236" cm="1">
        <f t="array" ref="E326">INDEX(GMW!$A$2:$NF$60,MATCH(1,(GMW!$NE$2:$NE$60=E$3)*(GMW!$ND$2:$ND$60=E$4),0),$D326-1966)</f>
        <v>75566.23</v>
      </c>
      <c r="F326" s="236" cm="1">
        <f t="array" ref="F326">INDEX(GMW!$A$2:$NF$60,MATCH(1,(GMW!$NE$2:$NE$60=F$3)*(GMW!$ND$2:$ND$60=F$4),0),$D326-1966)</f>
        <v>1056070</v>
      </c>
      <c r="G326" s="236" cm="1">
        <f t="array" ref="G326">INDEX(GMW!$A$2:$NF$60,MATCH(1,(GMW!$NE$2:$NE$60=G$3)*(GMW!$ND$2:$ND$60=G$4),0),$D326-1966)</f>
        <v>242.52690000000001</v>
      </c>
      <c r="H326" s="236" cm="1">
        <f t="array" ref="H326">INDEX(GMW!$A$2:$NF$60,MATCH(1,(GMW!$NE$2:$NE$60=H$3)*(GMW!$ND$2:$ND$60=H$4),0),$D326-1966)</f>
        <v>1658.2809999999999</v>
      </c>
    </row>
    <row r="327" spans="1:8">
      <c r="A327" s="236">
        <f t="shared" si="14"/>
        <v>2053</v>
      </c>
      <c r="B327" s="236">
        <f t="shared" si="14"/>
        <v>2052</v>
      </c>
      <c r="C327" s="236">
        <f t="shared" si="15"/>
        <v>205301</v>
      </c>
      <c r="D327" s="236">
        <f t="shared" si="16"/>
        <v>2293</v>
      </c>
      <c r="E327" s="236" cm="1">
        <f t="array" ref="E327">INDEX(GMW!$A$2:$NF$60,MATCH(1,(GMW!$NE$2:$NE$60=E$3)*(GMW!$ND$2:$ND$60=E$4),0),$D327-1966)</f>
        <v>75593.89</v>
      </c>
      <c r="F327" s="236" cm="1">
        <f t="array" ref="F327">INDEX(GMW!$A$2:$NF$60,MATCH(1,(GMW!$NE$2:$NE$60=F$3)*(GMW!$ND$2:$ND$60=F$4),0),$D327-1966)</f>
        <v>1059403</v>
      </c>
      <c r="G327" s="236" cm="1">
        <f t="array" ref="G327">INDEX(GMW!$A$2:$NF$60,MATCH(1,(GMW!$NE$2:$NE$60=G$3)*(GMW!$ND$2:$ND$60=G$4),0),$D327-1966)</f>
        <v>242.70480000000001</v>
      </c>
      <c r="H327" s="236" cm="1">
        <f t="array" ref="H327">INDEX(GMW!$A$2:$NF$60,MATCH(1,(GMW!$NE$2:$NE$60=H$3)*(GMW!$ND$2:$ND$60=H$4),0),$D327-1966)</f>
        <v>1671.56</v>
      </c>
    </row>
    <row r="328" spans="1:8">
      <c r="A328" s="236">
        <f t="shared" si="14"/>
        <v>2053</v>
      </c>
      <c r="B328" s="236">
        <f t="shared" si="14"/>
        <v>2053</v>
      </c>
      <c r="C328" s="236">
        <f t="shared" si="15"/>
        <v>205302</v>
      </c>
      <c r="D328" s="236">
        <f t="shared" si="16"/>
        <v>2294</v>
      </c>
      <c r="E328" s="236" cm="1">
        <f t="array" ref="E328">INDEX(GMW!$A$2:$NF$60,MATCH(1,(GMW!$NE$2:$NE$60=E$3)*(GMW!$ND$2:$ND$60=E$4),0),$D328-1966)</f>
        <v>75621.55</v>
      </c>
      <c r="F328" s="236" cm="1">
        <f t="array" ref="F328">INDEX(GMW!$A$2:$NF$60,MATCH(1,(GMW!$NE$2:$NE$60=F$3)*(GMW!$ND$2:$ND$60=F$4),0),$D328-1966)</f>
        <v>1062739</v>
      </c>
      <c r="G328" s="236" cm="1">
        <f t="array" ref="G328">INDEX(GMW!$A$2:$NF$60,MATCH(1,(GMW!$NE$2:$NE$60=G$3)*(GMW!$ND$2:$ND$60=G$4),0),$D328-1966)</f>
        <v>245.08619999999999</v>
      </c>
      <c r="H328" s="236" cm="1">
        <f t="array" ref="H328">INDEX(GMW!$A$2:$NF$60,MATCH(1,(GMW!$NE$2:$NE$60=H$3)*(GMW!$ND$2:$ND$60=H$4),0),$D328-1966)</f>
        <v>1684.95</v>
      </c>
    </row>
    <row r="329" spans="1:8">
      <c r="A329" s="236">
        <f t="shared" si="14"/>
        <v>2053</v>
      </c>
      <c r="B329" s="236">
        <f t="shared" si="14"/>
        <v>2053</v>
      </c>
      <c r="C329" s="236">
        <f t="shared" si="15"/>
        <v>205303</v>
      </c>
      <c r="D329" s="236">
        <f t="shared" si="16"/>
        <v>2295</v>
      </c>
      <c r="E329" s="236" cm="1">
        <f t="array" ref="E329">INDEX(GMW!$A$2:$NF$60,MATCH(1,(GMW!$NE$2:$NE$60=E$3)*(GMW!$ND$2:$ND$60=E$4),0),$D329-1966)</f>
        <v>75646.84</v>
      </c>
      <c r="F329" s="236" cm="1">
        <f t="array" ref="F329">INDEX(GMW!$A$2:$NF$60,MATCH(1,(GMW!$NE$2:$NE$60=F$3)*(GMW!$ND$2:$ND$60=F$4),0),$D329-1966)</f>
        <v>1066079</v>
      </c>
      <c r="G329" s="236" cm="1">
        <f t="array" ref="G329">INDEX(GMW!$A$2:$NF$60,MATCH(1,(GMW!$NE$2:$NE$60=G$3)*(GMW!$ND$2:$ND$60=G$4),0),$D329-1966)</f>
        <v>246.68530000000001</v>
      </c>
      <c r="H329" s="236" cm="1">
        <f t="array" ref="H329">INDEX(GMW!$A$2:$NF$60,MATCH(1,(GMW!$NE$2:$NE$60=H$3)*(GMW!$ND$2:$ND$60=H$4),0),$D329-1966)</f>
        <v>1698.4359999999999</v>
      </c>
    </row>
    <row r="330" spans="1:8">
      <c r="A330" s="236">
        <f t="shared" si="14"/>
        <v>2053</v>
      </c>
      <c r="B330" s="236">
        <f t="shared" si="14"/>
        <v>2053</v>
      </c>
      <c r="C330" s="236">
        <f t="shared" si="15"/>
        <v>205304</v>
      </c>
      <c r="D330" s="236">
        <f t="shared" si="16"/>
        <v>2296</v>
      </c>
      <c r="E330" s="236" cm="1">
        <f t="array" ref="E330">INDEX(GMW!$A$2:$NF$60,MATCH(1,(GMW!$NE$2:$NE$60=E$3)*(GMW!$ND$2:$ND$60=E$4),0),$D330-1966)</f>
        <v>75672.12</v>
      </c>
      <c r="F330" s="236" cm="1">
        <f t="array" ref="F330">INDEX(GMW!$A$2:$NF$60,MATCH(1,(GMW!$NE$2:$NE$60=F$3)*(GMW!$ND$2:$ND$60=F$4),0),$D330-1966)</f>
        <v>1069422</v>
      </c>
      <c r="G330" s="236" cm="1">
        <f t="array" ref="G330">INDEX(GMW!$A$2:$NF$60,MATCH(1,(GMW!$NE$2:$NE$60=G$3)*(GMW!$ND$2:$ND$60=G$4),0),$D330-1966)</f>
        <v>247.37739999999999</v>
      </c>
      <c r="H330" s="236" cm="1">
        <f t="array" ref="H330">INDEX(GMW!$A$2:$NF$60,MATCH(1,(GMW!$NE$2:$NE$60=H$3)*(GMW!$ND$2:$ND$60=H$4),0),$D330-1966)</f>
        <v>1712.021</v>
      </c>
    </row>
    <row r="331" spans="1:8">
      <c r="A331" s="236">
        <f t="shared" si="14"/>
        <v>2054</v>
      </c>
      <c r="B331" s="236">
        <f t="shared" si="14"/>
        <v>2053</v>
      </c>
      <c r="C331" s="236">
        <f t="shared" si="15"/>
        <v>205401</v>
      </c>
      <c r="D331" s="236">
        <f t="shared" si="16"/>
        <v>2297</v>
      </c>
      <c r="E331" s="236" cm="1">
        <f t="array" ref="E331">INDEX(GMW!$A$2:$NF$60,MATCH(1,(GMW!$NE$2:$NE$60=E$3)*(GMW!$ND$2:$ND$60=E$4),0),$D331-1966)</f>
        <v>75697.399999999994</v>
      </c>
      <c r="F331" s="236" cm="1">
        <f t="array" ref="F331">INDEX(GMW!$A$2:$NF$60,MATCH(1,(GMW!$NE$2:$NE$60=F$3)*(GMW!$ND$2:$ND$60=F$4),0),$D331-1966)</f>
        <v>1072769</v>
      </c>
      <c r="G331" s="236" cm="1">
        <f t="array" ref="G331">INDEX(GMW!$A$2:$NF$60,MATCH(1,(GMW!$NE$2:$NE$60=G$3)*(GMW!$ND$2:$ND$60=G$4),0),$D331-1966)</f>
        <v>247.55889999999999</v>
      </c>
      <c r="H331" s="236" cm="1">
        <f t="array" ref="H331">INDEX(GMW!$A$2:$NF$60,MATCH(1,(GMW!$NE$2:$NE$60=H$3)*(GMW!$ND$2:$ND$60=H$4),0),$D331-1966)</f>
        <v>1725.702</v>
      </c>
    </row>
    <row r="332" spans="1:8">
      <c r="A332" s="236">
        <f t="shared" ref="A332:B358" si="17">+A328+1</f>
        <v>2054</v>
      </c>
      <c r="B332" s="236">
        <f t="shared" si="17"/>
        <v>2054</v>
      </c>
      <c r="C332" s="236">
        <f t="shared" ref="C332:C358" si="18">+C328+100</f>
        <v>205402</v>
      </c>
      <c r="D332" s="236">
        <f t="shared" si="16"/>
        <v>2298</v>
      </c>
      <c r="E332" s="236" cm="1">
        <f t="array" ref="E332">INDEX(GMW!$A$2:$NF$60,MATCH(1,(GMW!$NE$2:$NE$60=E$3)*(GMW!$ND$2:$ND$60=E$4),0),$D332-1966)</f>
        <v>75722.679999999993</v>
      </c>
      <c r="F332" s="236" cm="1">
        <f t="array" ref="F332">INDEX(GMW!$A$2:$NF$60,MATCH(1,(GMW!$NE$2:$NE$60=F$3)*(GMW!$ND$2:$ND$60=F$4),0),$D332-1966)</f>
        <v>1076120</v>
      </c>
      <c r="G332" s="236" cm="1">
        <f t="array" ref="G332">INDEX(GMW!$A$2:$NF$60,MATCH(1,(GMW!$NE$2:$NE$60=G$3)*(GMW!$ND$2:$ND$60=G$4),0),$D332-1966)</f>
        <v>249.9879</v>
      </c>
      <c r="H332" s="236" cm="1">
        <f t="array" ref="H332">INDEX(GMW!$A$2:$NF$60,MATCH(1,(GMW!$NE$2:$NE$60=H$3)*(GMW!$ND$2:$ND$60=H$4),0),$D332-1966)</f>
        <v>1739.4839999999999</v>
      </c>
    </row>
    <row r="333" spans="1:8">
      <c r="A333" s="236">
        <f t="shared" si="17"/>
        <v>2054</v>
      </c>
      <c r="B333" s="236">
        <f t="shared" si="17"/>
        <v>2054</v>
      </c>
      <c r="C333" s="236">
        <f t="shared" si="18"/>
        <v>205403</v>
      </c>
      <c r="D333" s="236">
        <f t="shared" si="16"/>
        <v>2299</v>
      </c>
      <c r="E333" s="236" cm="1">
        <f t="array" ref="E333">INDEX(GMW!$A$2:$NF$60,MATCH(1,(GMW!$NE$2:$NE$60=E$3)*(GMW!$ND$2:$ND$60=E$4),0),$D333-1966)</f>
        <v>75745.759999999995</v>
      </c>
      <c r="F333" s="236" cm="1">
        <f t="array" ref="F333">INDEX(GMW!$A$2:$NF$60,MATCH(1,(GMW!$NE$2:$NE$60=F$3)*(GMW!$ND$2:$ND$60=F$4),0),$D333-1966)</f>
        <v>1079439</v>
      </c>
      <c r="G333" s="236" cm="1">
        <f t="array" ref="G333">INDEX(GMW!$A$2:$NF$60,MATCH(1,(GMW!$NE$2:$NE$60=G$3)*(GMW!$ND$2:$ND$60=G$4),0),$D333-1966)</f>
        <v>251.619</v>
      </c>
      <c r="H333" s="236" cm="1">
        <f t="array" ref="H333">INDEX(GMW!$A$2:$NF$60,MATCH(1,(GMW!$NE$2:$NE$60=H$3)*(GMW!$ND$2:$ND$60=H$4),0),$D333-1966)</f>
        <v>1753.373</v>
      </c>
    </row>
    <row r="334" spans="1:8">
      <c r="A334" s="236">
        <f t="shared" si="17"/>
        <v>2054</v>
      </c>
      <c r="B334" s="236">
        <f t="shared" si="17"/>
        <v>2054</v>
      </c>
      <c r="C334" s="236">
        <f t="shared" si="18"/>
        <v>205404</v>
      </c>
      <c r="D334" s="236">
        <f t="shared" si="16"/>
        <v>2300</v>
      </c>
      <c r="E334" s="236" cm="1">
        <f t="array" ref="E334">INDEX(GMW!$A$2:$NF$60,MATCH(1,(GMW!$NE$2:$NE$60=E$3)*(GMW!$ND$2:$ND$60=E$4),0),$D334-1966)</f>
        <v>75768.83</v>
      </c>
      <c r="F334" s="236" cm="1">
        <f t="array" ref="F334">INDEX(GMW!$A$2:$NF$60,MATCH(1,(GMW!$NE$2:$NE$60=F$3)*(GMW!$ND$2:$ND$60=F$4),0),$D334-1966)</f>
        <v>1082761</v>
      </c>
      <c r="G334" s="236" cm="1">
        <f t="array" ref="G334">INDEX(GMW!$A$2:$NF$60,MATCH(1,(GMW!$NE$2:$NE$60=G$3)*(GMW!$ND$2:$ND$60=G$4),0),$D334-1966)</f>
        <v>252.32499999999999</v>
      </c>
      <c r="H334" s="236" cm="1">
        <f t="array" ref="H334">INDEX(GMW!$A$2:$NF$60,MATCH(1,(GMW!$NE$2:$NE$60=H$3)*(GMW!$ND$2:$ND$60=H$4),0),$D334-1966)</f>
        <v>1767.367</v>
      </c>
    </row>
    <row r="335" spans="1:8">
      <c r="A335" s="236">
        <f t="shared" si="17"/>
        <v>2055</v>
      </c>
      <c r="B335" s="236">
        <f t="shared" si="17"/>
        <v>2054</v>
      </c>
      <c r="C335" s="236">
        <f t="shared" si="18"/>
        <v>205501</v>
      </c>
      <c r="D335" s="236">
        <f t="shared" si="16"/>
        <v>2301</v>
      </c>
      <c r="E335" s="236" cm="1">
        <f t="array" ref="E335">INDEX(GMW!$A$2:$NF$60,MATCH(1,(GMW!$NE$2:$NE$60=E$3)*(GMW!$ND$2:$ND$60=E$4),0),$D335-1966)</f>
        <v>75791.91</v>
      </c>
      <c r="F335" s="236" cm="1">
        <f t="array" ref="F335">INDEX(GMW!$A$2:$NF$60,MATCH(1,(GMW!$NE$2:$NE$60=F$3)*(GMW!$ND$2:$ND$60=F$4),0),$D335-1966)</f>
        <v>1086087</v>
      </c>
      <c r="G335" s="236" cm="1">
        <f t="array" ref="G335">INDEX(GMW!$A$2:$NF$60,MATCH(1,(GMW!$NE$2:$NE$60=G$3)*(GMW!$ND$2:$ND$60=G$4),0),$D335-1966)</f>
        <v>252.51009999999999</v>
      </c>
      <c r="H335" s="236" cm="1">
        <f t="array" ref="H335">INDEX(GMW!$A$2:$NF$60,MATCH(1,(GMW!$NE$2:$NE$60=H$3)*(GMW!$ND$2:$ND$60=H$4),0),$D335-1966)</f>
        <v>1781.472</v>
      </c>
    </row>
    <row r="336" spans="1:8">
      <c r="A336" s="236">
        <f t="shared" si="17"/>
        <v>2055</v>
      </c>
      <c r="B336" s="236">
        <f t="shared" si="17"/>
        <v>2055</v>
      </c>
      <c r="C336" s="236">
        <f t="shared" si="18"/>
        <v>205502</v>
      </c>
      <c r="D336" s="236">
        <f t="shared" si="16"/>
        <v>2302</v>
      </c>
      <c r="E336" s="236" cm="1">
        <f t="array" ref="E336">INDEX(GMW!$A$2:$NF$60,MATCH(1,(GMW!$NE$2:$NE$60=E$3)*(GMW!$ND$2:$ND$60=E$4),0),$D336-1966)</f>
        <v>75814.98</v>
      </c>
      <c r="F336" s="236" cm="1">
        <f t="array" ref="F336">INDEX(GMW!$A$2:$NF$60,MATCH(1,(GMW!$NE$2:$NE$60=F$3)*(GMW!$ND$2:$ND$60=F$4),0),$D336-1966)</f>
        <v>1089416</v>
      </c>
      <c r="G336" s="236" cm="1">
        <f t="array" ref="G336">INDEX(GMW!$A$2:$NF$60,MATCH(1,(GMW!$NE$2:$NE$60=G$3)*(GMW!$ND$2:$ND$60=G$4),0),$D336-1966)</f>
        <v>254.98769999999999</v>
      </c>
      <c r="H336" s="236" cm="1">
        <f t="array" ref="H336">INDEX(GMW!$A$2:$NF$60,MATCH(1,(GMW!$NE$2:$NE$60=H$3)*(GMW!$ND$2:$ND$60=H$4),0),$D336-1966)</f>
        <v>1795.684</v>
      </c>
    </row>
    <row r="337" spans="1:8">
      <c r="A337" s="236">
        <f t="shared" si="17"/>
        <v>2055</v>
      </c>
      <c r="B337" s="236">
        <f t="shared" si="17"/>
        <v>2055</v>
      </c>
      <c r="C337" s="236">
        <f t="shared" si="18"/>
        <v>205503</v>
      </c>
      <c r="D337" s="236">
        <f t="shared" si="16"/>
        <v>2303</v>
      </c>
      <c r="E337" s="236" cm="1">
        <f t="array" ref="E337">INDEX(GMW!$A$2:$NF$60,MATCH(1,(GMW!$NE$2:$NE$60=E$3)*(GMW!$ND$2:$ND$60=E$4),0),$D337-1966)</f>
        <v>75836.13</v>
      </c>
      <c r="F337" s="236" cm="1">
        <f t="array" ref="F337">INDEX(GMW!$A$2:$NF$60,MATCH(1,(GMW!$NE$2:$NE$60=F$3)*(GMW!$ND$2:$ND$60=F$4),0),$D337-1966)</f>
        <v>1092714</v>
      </c>
      <c r="G337" s="236" cm="1">
        <f t="array" ref="G337">INDEX(GMW!$A$2:$NF$60,MATCH(1,(GMW!$NE$2:$NE$60=G$3)*(GMW!$ND$2:$ND$60=G$4),0),$D337-1966)</f>
        <v>256.65129999999999</v>
      </c>
      <c r="H337" s="236" cm="1">
        <f t="array" ref="H337">INDEX(GMW!$A$2:$NF$60,MATCH(1,(GMW!$NE$2:$NE$60=H$3)*(GMW!$ND$2:$ND$60=H$4),0),$D337-1966)</f>
        <v>1810.0060000000001</v>
      </c>
    </row>
    <row r="338" spans="1:8">
      <c r="A338" s="236">
        <f t="shared" si="17"/>
        <v>2055</v>
      </c>
      <c r="B338" s="236">
        <f t="shared" si="17"/>
        <v>2055</v>
      </c>
      <c r="C338" s="236">
        <f t="shared" si="18"/>
        <v>205504</v>
      </c>
      <c r="D338" s="236">
        <f t="shared" si="16"/>
        <v>2304</v>
      </c>
      <c r="E338" s="236" cm="1">
        <f t="array" ref="E338">INDEX(GMW!$A$2:$NF$60,MATCH(1,(GMW!$NE$2:$NE$60=E$3)*(GMW!$ND$2:$ND$60=E$4),0),$D338-1966)</f>
        <v>75857.289999999994</v>
      </c>
      <c r="F338" s="236" cm="1">
        <f t="array" ref="F338">INDEX(GMW!$A$2:$NF$60,MATCH(1,(GMW!$NE$2:$NE$60=F$3)*(GMW!$ND$2:$ND$60=F$4),0),$D338-1966)</f>
        <v>1096014</v>
      </c>
      <c r="G338" s="236" cm="1">
        <f t="array" ref="G338">INDEX(GMW!$A$2:$NF$60,MATCH(1,(GMW!$NE$2:$NE$60=G$3)*(GMW!$ND$2:$ND$60=G$4),0),$D338-1966)</f>
        <v>257.37150000000003</v>
      </c>
      <c r="H338" s="236" cm="1">
        <f t="array" ref="H338">INDEX(GMW!$A$2:$NF$60,MATCH(1,(GMW!$NE$2:$NE$60=H$3)*(GMW!$ND$2:$ND$60=H$4),0),$D338-1966)</f>
        <v>1824.4369999999999</v>
      </c>
    </row>
    <row r="339" spans="1:8">
      <c r="A339" s="236">
        <f t="shared" si="17"/>
        <v>2056</v>
      </c>
      <c r="B339" s="236">
        <f t="shared" si="17"/>
        <v>2055</v>
      </c>
      <c r="C339" s="236">
        <f t="shared" si="18"/>
        <v>205601</v>
      </c>
      <c r="D339" s="236">
        <f t="shared" si="16"/>
        <v>2305</v>
      </c>
      <c r="E339" s="236" cm="1">
        <f t="array" ref="E339">INDEX(GMW!$A$2:$NF$60,MATCH(1,(GMW!$NE$2:$NE$60=E$3)*(GMW!$ND$2:$ND$60=E$4),0),$D339-1966)</f>
        <v>75878.45</v>
      </c>
      <c r="F339" s="236" cm="1">
        <f t="array" ref="F339">INDEX(GMW!$A$2:$NF$60,MATCH(1,(GMW!$NE$2:$NE$60=F$3)*(GMW!$ND$2:$ND$60=F$4),0),$D339-1966)</f>
        <v>1099318</v>
      </c>
      <c r="G339" s="236" cm="1">
        <f t="array" ref="G339">INDEX(GMW!$A$2:$NF$60,MATCH(1,(GMW!$NE$2:$NE$60=G$3)*(GMW!$ND$2:$ND$60=G$4),0),$D339-1966)</f>
        <v>257.56029999999998</v>
      </c>
      <c r="H339" s="236" cm="1">
        <f t="array" ref="H339">INDEX(GMW!$A$2:$NF$60,MATCH(1,(GMW!$NE$2:$NE$60=H$3)*(GMW!$ND$2:$ND$60=H$4),0),$D339-1966)</f>
        <v>1838.981</v>
      </c>
    </row>
    <row r="340" spans="1:8">
      <c r="A340" s="236">
        <f t="shared" si="17"/>
        <v>2056</v>
      </c>
      <c r="B340" s="236">
        <f t="shared" si="17"/>
        <v>2056</v>
      </c>
      <c r="C340" s="236">
        <f t="shared" si="18"/>
        <v>205602</v>
      </c>
      <c r="D340" s="236">
        <f t="shared" si="16"/>
        <v>2306</v>
      </c>
      <c r="E340" s="236" cm="1">
        <f t="array" ref="E340">INDEX(GMW!$A$2:$NF$60,MATCH(1,(GMW!$NE$2:$NE$60=E$3)*(GMW!$ND$2:$ND$60=E$4),0),$D340-1966)</f>
        <v>75899.600000000006</v>
      </c>
      <c r="F340" s="236" cm="1">
        <f t="array" ref="F340">INDEX(GMW!$A$2:$NF$60,MATCH(1,(GMW!$NE$2:$NE$60=F$3)*(GMW!$ND$2:$ND$60=F$4),0),$D340-1966)</f>
        <v>1102624</v>
      </c>
      <c r="G340" s="236" cm="1">
        <f t="array" ref="G340">INDEX(GMW!$A$2:$NF$60,MATCH(1,(GMW!$NE$2:$NE$60=G$3)*(GMW!$ND$2:$ND$60=G$4),0),$D340-1966)</f>
        <v>260.0874</v>
      </c>
      <c r="H340" s="236" cm="1">
        <f t="array" ref="H340">INDEX(GMW!$A$2:$NF$60,MATCH(1,(GMW!$NE$2:$NE$60=H$3)*(GMW!$ND$2:$ND$60=H$4),0),$D340-1966)</f>
        <v>1853.636</v>
      </c>
    </row>
    <row r="341" spans="1:8">
      <c r="A341" s="236">
        <f t="shared" si="17"/>
        <v>2056</v>
      </c>
      <c r="B341" s="236">
        <f t="shared" si="17"/>
        <v>2056</v>
      </c>
      <c r="C341" s="236">
        <f t="shared" si="18"/>
        <v>205603</v>
      </c>
      <c r="D341" s="236">
        <f t="shared" si="16"/>
        <v>2307</v>
      </c>
      <c r="E341" s="236" cm="1">
        <f t="array" ref="E341">INDEX(GMW!$A$2:$NF$60,MATCH(1,(GMW!$NE$2:$NE$60=E$3)*(GMW!$ND$2:$ND$60=E$4),0),$D341-1966)</f>
        <v>75919.14</v>
      </c>
      <c r="F341" s="236" cm="1">
        <f t="array" ref="F341">INDEX(GMW!$A$2:$NF$60,MATCH(1,(GMW!$NE$2:$NE$60=F$3)*(GMW!$ND$2:$ND$60=F$4),0),$D341-1966)</f>
        <v>1105932</v>
      </c>
      <c r="G341" s="236" cm="1">
        <f t="array" ref="G341">INDEX(GMW!$A$2:$NF$60,MATCH(1,(GMW!$NE$2:$NE$60=G$3)*(GMW!$ND$2:$ND$60=G$4),0),$D341-1966)</f>
        <v>261.78440000000001</v>
      </c>
      <c r="H341" s="236" cm="1">
        <f t="array" ref="H341">INDEX(GMW!$A$2:$NF$60,MATCH(1,(GMW!$NE$2:$NE$60=H$3)*(GMW!$ND$2:$ND$60=H$4),0),$D341-1966)</f>
        <v>1868.395</v>
      </c>
    </row>
    <row r="342" spans="1:8">
      <c r="A342" s="236">
        <f t="shared" si="17"/>
        <v>2056</v>
      </c>
      <c r="B342" s="236">
        <f t="shared" si="17"/>
        <v>2056</v>
      </c>
      <c r="C342" s="236">
        <f t="shared" si="18"/>
        <v>205604</v>
      </c>
      <c r="D342" s="236">
        <f t="shared" si="16"/>
        <v>2308</v>
      </c>
      <c r="E342" s="236" cm="1">
        <f t="array" ref="E342">INDEX(GMW!$A$2:$NF$60,MATCH(1,(GMW!$NE$2:$NE$60=E$3)*(GMW!$ND$2:$ND$60=E$4),0),$D342-1966)</f>
        <v>75938.67</v>
      </c>
      <c r="F342" s="236" cm="1">
        <f t="array" ref="F342">INDEX(GMW!$A$2:$NF$60,MATCH(1,(GMW!$NE$2:$NE$60=F$3)*(GMW!$ND$2:$ND$60=F$4),0),$D342-1966)</f>
        <v>1109243</v>
      </c>
      <c r="G342" s="236" cm="1">
        <f t="array" ref="G342">INDEX(GMW!$A$2:$NF$60,MATCH(1,(GMW!$NE$2:$NE$60=G$3)*(GMW!$ND$2:$ND$60=G$4),0),$D342-1966)</f>
        <v>262.51889999999997</v>
      </c>
      <c r="H342" s="236" cm="1">
        <f t="array" ref="H342">INDEX(GMW!$A$2:$NF$60,MATCH(1,(GMW!$NE$2:$NE$60=H$3)*(GMW!$ND$2:$ND$60=H$4),0),$D342-1966)</f>
        <v>1883.261</v>
      </c>
    </row>
    <row r="343" spans="1:8">
      <c r="A343" s="236">
        <f t="shared" si="17"/>
        <v>2057</v>
      </c>
      <c r="B343" s="236">
        <f t="shared" si="17"/>
        <v>2056</v>
      </c>
      <c r="C343" s="236">
        <f t="shared" si="18"/>
        <v>205701</v>
      </c>
      <c r="D343" s="236">
        <f t="shared" si="16"/>
        <v>2309</v>
      </c>
      <c r="E343" s="236" cm="1">
        <f t="array" ref="E343">INDEX(GMW!$A$2:$NF$60,MATCH(1,(GMW!$NE$2:$NE$60=E$3)*(GMW!$ND$2:$ND$60=E$4),0),$D343-1966)</f>
        <v>75958.210000000006</v>
      </c>
      <c r="F343" s="236" cm="1">
        <f t="array" ref="F343">INDEX(GMW!$A$2:$NF$60,MATCH(1,(GMW!$NE$2:$NE$60=F$3)*(GMW!$ND$2:$ND$60=F$4),0),$D343-1966)</f>
        <v>1112557</v>
      </c>
      <c r="G343" s="236" cm="1">
        <f t="array" ref="G343">INDEX(GMW!$A$2:$NF$60,MATCH(1,(GMW!$NE$2:$NE$60=G$3)*(GMW!$ND$2:$ND$60=G$4),0),$D343-1966)</f>
        <v>262.7115</v>
      </c>
      <c r="H343" s="236" cm="1">
        <f t="array" ref="H343">INDEX(GMW!$A$2:$NF$60,MATCH(1,(GMW!$NE$2:$NE$60=H$3)*(GMW!$ND$2:$ND$60=H$4),0),$D343-1966)</f>
        <v>1898.232</v>
      </c>
    </row>
    <row r="344" spans="1:8">
      <c r="A344" s="236">
        <f t="shared" si="17"/>
        <v>2057</v>
      </c>
      <c r="B344" s="236">
        <f t="shared" si="17"/>
        <v>2057</v>
      </c>
      <c r="C344" s="236">
        <f t="shared" si="18"/>
        <v>205702</v>
      </c>
      <c r="D344" s="236">
        <f t="shared" si="16"/>
        <v>2310</v>
      </c>
      <c r="E344" s="236" cm="1">
        <f t="array" ref="E344">INDEX(GMW!$A$2:$NF$60,MATCH(1,(GMW!$NE$2:$NE$60=E$3)*(GMW!$ND$2:$ND$60=E$4),0),$D344-1966)</f>
        <v>75977.740000000005</v>
      </c>
      <c r="F344" s="236" cm="1">
        <f t="array" ref="F344">INDEX(GMW!$A$2:$NF$60,MATCH(1,(GMW!$NE$2:$NE$60=F$3)*(GMW!$ND$2:$ND$60=F$4),0),$D344-1966)</f>
        <v>1115874</v>
      </c>
      <c r="G344" s="236" cm="1">
        <f t="array" ref="G344">INDEX(GMW!$A$2:$NF$60,MATCH(1,(GMW!$NE$2:$NE$60=G$3)*(GMW!$ND$2:$ND$60=G$4),0),$D344-1966)</f>
        <v>265.28919999999999</v>
      </c>
      <c r="H344" s="236" cm="1">
        <f t="array" ref="H344">INDEX(GMW!$A$2:$NF$60,MATCH(1,(GMW!$NE$2:$NE$60=H$3)*(GMW!$ND$2:$ND$60=H$4),0),$D344-1966)</f>
        <v>1913.3119999999999</v>
      </c>
    </row>
    <row r="345" spans="1:8">
      <c r="A345" s="236">
        <f t="shared" si="17"/>
        <v>2057</v>
      </c>
      <c r="B345" s="236">
        <f t="shared" si="17"/>
        <v>2057</v>
      </c>
      <c r="C345" s="236">
        <f t="shared" si="18"/>
        <v>205703</v>
      </c>
      <c r="D345" s="236">
        <f t="shared" si="16"/>
        <v>2311</v>
      </c>
      <c r="E345" s="236" cm="1">
        <f t="array" ref="E345">INDEX(GMW!$A$2:$NF$60,MATCH(1,(GMW!$NE$2:$NE$60=E$3)*(GMW!$ND$2:$ND$60=E$4),0),$D345-1966)</f>
        <v>75995.92</v>
      </c>
      <c r="F345" s="236" cm="1">
        <f t="array" ref="F345">INDEX(GMW!$A$2:$NF$60,MATCH(1,(GMW!$NE$2:$NE$60=F$3)*(GMW!$ND$2:$ND$60=F$4),0),$D345-1966)</f>
        <v>1119221</v>
      </c>
      <c r="G345" s="236" cm="1">
        <f t="array" ref="G345">INDEX(GMW!$A$2:$NF$60,MATCH(1,(GMW!$NE$2:$NE$60=G$3)*(GMW!$ND$2:$ND$60=G$4),0),$D345-1966)</f>
        <v>267.02010000000001</v>
      </c>
      <c r="H345" s="236" cm="1">
        <f t="array" ref="H345">INDEX(GMW!$A$2:$NF$60,MATCH(1,(GMW!$NE$2:$NE$60=H$3)*(GMW!$ND$2:$ND$60=H$4),0),$D345-1966)</f>
        <v>1928.4949999999999</v>
      </c>
    </row>
    <row r="346" spans="1:8">
      <c r="A346" s="236">
        <f t="shared" si="17"/>
        <v>2057</v>
      </c>
      <c r="B346" s="236">
        <f t="shared" si="17"/>
        <v>2057</v>
      </c>
      <c r="C346" s="236">
        <f t="shared" si="18"/>
        <v>205704</v>
      </c>
      <c r="D346" s="236">
        <f t="shared" si="16"/>
        <v>2312</v>
      </c>
      <c r="E346" s="236" cm="1">
        <f t="array" ref="E346">INDEX(GMW!$A$2:$NF$60,MATCH(1,(GMW!$NE$2:$NE$60=E$3)*(GMW!$ND$2:$ND$60=E$4),0),$D346-1966)</f>
        <v>76014.100000000006</v>
      </c>
      <c r="F346" s="236" cm="1">
        <f t="array" ref="F346">INDEX(GMW!$A$2:$NF$60,MATCH(1,(GMW!$NE$2:$NE$60=F$3)*(GMW!$ND$2:$ND$60=F$4),0),$D346-1966)</f>
        <v>1122571</v>
      </c>
      <c r="G346" s="236" cm="1">
        <f t="array" ref="G346">INDEX(GMW!$A$2:$NF$60,MATCH(1,(GMW!$NE$2:$NE$60=G$3)*(GMW!$ND$2:$ND$60=G$4),0),$D346-1966)</f>
        <v>267.76929999999999</v>
      </c>
      <c r="H346" s="236" cm="1">
        <f t="array" ref="H346">INDEX(GMW!$A$2:$NF$60,MATCH(1,(GMW!$NE$2:$NE$60=H$3)*(GMW!$ND$2:$ND$60=H$4),0),$D346-1966)</f>
        <v>1943.7829999999999</v>
      </c>
    </row>
    <row r="347" spans="1:8">
      <c r="A347" s="236">
        <f t="shared" si="17"/>
        <v>2058</v>
      </c>
      <c r="B347" s="236">
        <f t="shared" si="17"/>
        <v>2057</v>
      </c>
      <c r="C347" s="236">
        <f t="shared" si="18"/>
        <v>205801</v>
      </c>
      <c r="D347" s="236">
        <f t="shared" si="16"/>
        <v>2313</v>
      </c>
      <c r="E347" s="236" cm="1">
        <f t="array" ref="E347">INDEX(GMW!$A$2:$NF$60,MATCH(1,(GMW!$NE$2:$NE$60=E$3)*(GMW!$ND$2:$ND$60=E$4),0),$D347-1966)</f>
        <v>76032.28</v>
      </c>
      <c r="F347" s="236" cm="1">
        <f t="array" ref="F347">INDEX(GMW!$A$2:$NF$60,MATCH(1,(GMW!$NE$2:$NE$60=F$3)*(GMW!$ND$2:$ND$60=F$4),0),$D347-1966)</f>
        <v>1125926</v>
      </c>
      <c r="G347" s="236" cm="1">
        <f t="array" ref="G347">INDEX(GMW!$A$2:$NF$60,MATCH(1,(GMW!$NE$2:$NE$60=G$3)*(GMW!$ND$2:$ND$60=G$4),0),$D347-1966)</f>
        <v>267.96570000000003</v>
      </c>
      <c r="H347" s="236" cm="1">
        <f t="array" ref="H347">INDEX(GMW!$A$2:$NF$60,MATCH(1,(GMW!$NE$2:$NE$60=H$3)*(GMW!$ND$2:$ND$60=H$4),0),$D347-1966)</f>
        <v>1959.174</v>
      </c>
    </row>
    <row r="348" spans="1:8">
      <c r="A348" s="236">
        <f t="shared" si="17"/>
        <v>2058</v>
      </c>
      <c r="B348" s="236">
        <f t="shared" si="17"/>
        <v>2058</v>
      </c>
      <c r="C348" s="236">
        <f t="shared" si="18"/>
        <v>205802</v>
      </c>
      <c r="D348" s="236">
        <f t="shared" si="16"/>
        <v>2314</v>
      </c>
      <c r="E348" s="236" cm="1">
        <f t="array" ref="E348">INDEX(GMW!$A$2:$NF$60,MATCH(1,(GMW!$NE$2:$NE$60=E$3)*(GMW!$ND$2:$ND$60=E$4),0),$D348-1966)</f>
        <v>76050.45</v>
      </c>
      <c r="F348" s="236" cm="1">
        <f t="array" ref="F348">INDEX(GMW!$A$2:$NF$60,MATCH(1,(GMW!$NE$2:$NE$60=F$3)*(GMW!$ND$2:$ND$60=F$4),0),$D348-1966)</f>
        <v>1129284</v>
      </c>
      <c r="G348" s="236" cm="1">
        <f t="array" ref="G348">INDEX(GMW!$A$2:$NF$60,MATCH(1,(GMW!$NE$2:$NE$60=G$3)*(GMW!$ND$2:$ND$60=G$4),0),$D348-1966)</f>
        <v>270.5949</v>
      </c>
      <c r="H348" s="236" cm="1">
        <f t="array" ref="H348">INDEX(GMW!$A$2:$NF$60,MATCH(1,(GMW!$NE$2:$NE$60=H$3)*(GMW!$ND$2:$ND$60=H$4),0),$D348-1966)</f>
        <v>1974.6679999999999</v>
      </c>
    </row>
    <row r="349" spans="1:8">
      <c r="A349" s="236">
        <f t="shared" si="17"/>
        <v>2058</v>
      </c>
      <c r="B349" s="236">
        <f t="shared" si="17"/>
        <v>2058</v>
      </c>
      <c r="C349" s="236">
        <f t="shared" si="18"/>
        <v>205803</v>
      </c>
      <c r="D349" s="236">
        <f t="shared" si="16"/>
        <v>2315</v>
      </c>
      <c r="E349" s="236" cm="1">
        <f t="array" ref="E349">INDEX(GMW!$A$2:$NF$60,MATCH(1,(GMW!$NE$2:$NE$60=E$3)*(GMW!$ND$2:$ND$60=E$4),0),$D349-1966)</f>
        <v>76067.56</v>
      </c>
      <c r="F349" s="236" cm="1">
        <f t="array" ref="F349">INDEX(GMW!$A$2:$NF$60,MATCH(1,(GMW!$NE$2:$NE$60=F$3)*(GMW!$ND$2:$ND$60=F$4),0),$D349-1966)</f>
        <v>1132624</v>
      </c>
      <c r="G349" s="236" cm="1">
        <f t="array" ref="G349">INDEX(GMW!$A$2:$NF$60,MATCH(1,(GMW!$NE$2:$NE$60=G$3)*(GMW!$ND$2:$ND$60=G$4),0),$D349-1966)</f>
        <v>272.3605</v>
      </c>
      <c r="H349" s="236" cm="1">
        <f t="array" ref="H349">INDEX(GMW!$A$2:$NF$60,MATCH(1,(GMW!$NE$2:$NE$60=H$3)*(GMW!$ND$2:$ND$60=H$4),0),$D349-1966)</f>
        <v>1990.2809999999999</v>
      </c>
    </row>
    <row r="350" spans="1:8">
      <c r="A350" s="236">
        <f t="shared" si="17"/>
        <v>2058</v>
      </c>
      <c r="B350" s="236">
        <f t="shared" si="17"/>
        <v>2058</v>
      </c>
      <c r="C350" s="236">
        <f t="shared" si="18"/>
        <v>205804</v>
      </c>
      <c r="D350" s="236">
        <f t="shared" si="16"/>
        <v>2316</v>
      </c>
      <c r="E350" s="236" cm="1">
        <f t="array" ref="E350">INDEX(GMW!$A$2:$NF$60,MATCH(1,(GMW!$NE$2:$NE$60=E$3)*(GMW!$ND$2:$ND$60=E$4),0),$D350-1966)</f>
        <v>76084.67</v>
      </c>
      <c r="F350" s="236" cm="1">
        <f t="array" ref="F350">INDEX(GMW!$A$2:$NF$60,MATCH(1,(GMW!$NE$2:$NE$60=F$3)*(GMW!$ND$2:$ND$60=F$4),0),$D350-1966)</f>
        <v>1135967</v>
      </c>
      <c r="G350" s="236" cm="1">
        <f t="array" ref="G350">INDEX(GMW!$A$2:$NF$60,MATCH(1,(GMW!$NE$2:$NE$60=G$3)*(GMW!$ND$2:$ND$60=G$4),0),$D350-1966)</f>
        <v>273.12470000000002</v>
      </c>
      <c r="H350" s="236" cm="1">
        <f t="array" ref="H350">INDEX(GMW!$A$2:$NF$60,MATCH(1,(GMW!$NE$2:$NE$60=H$3)*(GMW!$ND$2:$ND$60=H$4),0),$D350-1966)</f>
        <v>2006.0119999999999</v>
      </c>
    </row>
    <row r="351" spans="1:8">
      <c r="A351" s="236">
        <f t="shared" si="17"/>
        <v>2059</v>
      </c>
      <c r="B351" s="236">
        <f t="shared" si="17"/>
        <v>2058</v>
      </c>
      <c r="C351" s="236">
        <f t="shared" si="18"/>
        <v>205901</v>
      </c>
      <c r="D351" s="236">
        <f t="shared" si="16"/>
        <v>2317</v>
      </c>
      <c r="E351" s="236" cm="1">
        <f t="array" ref="E351">INDEX(GMW!$A$2:$NF$60,MATCH(1,(GMW!$NE$2:$NE$60=E$3)*(GMW!$ND$2:$ND$60=E$4),0),$D351-1966)</f>
        <v>76101.77</v>
      </c>
      <c r="F351" s="236" cm="1">
        <f t="array" ref="F351">INDEX(GMW!$A$2:$NF$60,MATCH(1,(GMW!$NE$2:$NE$60=F$3)*(GMW!$ND$2:$ND$60=F$4),0),$D351-1966)</f>
        <v>1139314</v>
      </c>
      <c r="G351" s="236" cm="1">
        <f t="array" ref="G351">INDEX(GMW!$A$2:$NF$60,MATCH(1,(GMW!$NE$2:$NE$60=G$3)*(GMW!$ND$2:$ND$60=G$4),0),$D351-1966)</f>
        <v>273.32499999999999</v>
      </c>
      <c r="H351" s="236" cm="1">
        <f t="array" ref="H351">INDEX(GMW!$A$2:$NF$60,MATCH(1,(GMW!$NE$2:$NE$60=H$3)*(GMW!$ND$2:$ND$60=H$4),0),$D351-1966)</f>
        <v>2021.8630000000001</v>
      </c>
    </row>
    <row r="352" spans="1:8">
      <c r="A352" s="236">
        <f t="shared" si="17"/>
        <v>2059</v>
      </c>
      <c r="B352" s="236">
        <f t="shared" si="17"/>
        <v>2059</v>
      </c>
      <c r="C352" s="236">
        <f t="shared" si="18"/>
        <v>205902</v>
      </c>
      <c r="D352" s="236">
        <f t="shared" si="16"/>
        <v>2318</v>
      </c>
      <c r="E352" s="236" cm="1">
        <f t="array" ref="E352">INDEX(GMW!$A$2:$NF$60,MATCH(1,(GMW!$NE$2:$NE$60=E$3)*(GMW!$ND$2:$ND$60=E$4),0),$D352-1966)</f>
        <v>76118.880000000005</v>
      </c>
      <c r="F352" s="236" cm="1">
        <f t="array" ref="F352">INDEX(GMW!$A$2:$NF$60,MATCH(1,(GMW!$NE$2:$NE$60=F$3)*(GMW!$ND$2:$ND$60=F$4),0),$D352-1966)</f>
        <v>1142665</v>
      </c>
      <c r="G352" s="236" cm="1">
        <f t="array" ref="G352">INDEX(GMW!$A$2:$NF$60,MATCH(1,(GMW!$NE$2:$NE$60=G$3)*(GMW!$ND$2:$ND$60=G$4),0),$D352-1966)</f>
        <v>276.00689999999997</v>
      </c>
      <c r="H352" s="236" cm="1">
        <f t="array" ref="H352">INDEX(GMW!$A$2:$NF$60,MATCH(1,(GMW!$NE$2:$NE$60=H$3)*(GMW!$ND$2:$ND$60=H$4),0),$D352-1966)</f>
        <v>2037.8309999999999</v>
      </c>
    </row>
    <row r="353" spans="1:8">
      <c r="A353" s="236">
        <f t="shared" si="17"/>
        <v>2059</v>
      </c>
      <c r="B353" s="236">
        <f t="shared" si="17"/>
        <v>2059</v>
      </c>
      <c r="C353" s="236">
        <f t="shared" si="18"/>
        <v>205903</v>
      </c>
      <c r="D353" s="236">
        <f t="shared" si="16"/>
        <v>2319</v>
      </c>
      <c r="E353" s="236" cm="1">
        <f t="array" ref="E353">INDEX(GMW!$A$2:$NF$60,MATCH(1,(GMW!$NE$2:$NE$60=E$3)*(GMW!$ND$2:$ND$60=E$4),0),$D353-1966)</f>
        <v>76135.199999999997</v>
      </c>
      <c r="F353" s="236" cm="1">
        <f t="array" ref="F353">INDEX(GMW!$A$2:$NF$60,MATCH(1,(GMW!$NE$2:$NE$60=F$3)*(GMW!$ND$2:$ND$60=F$4),0),$D353-1966)</f>
        <v>1146044</v>
      </c>
      <c r="G353" s="236" cm="1">
        <f t="array" ref="G353">INDEX(GMW!$A$2:$NF$60,MATCH(1,(GMW!$NE$2:$NE$60=G$3)*(GMW!$ND$2:$ND$60=G$4),0),$D353-1966)</f>
        <v>277.80770000000001</v>
      </c>
      <c r="H353" s="236" cm="1">
        <f t="array" ref="H353">INDEX(GMW!$A$2:$NF$60,MATCH(1,(GMW!$NE$2:$NE$60=H$3)*(GMW!$ND$2:$ND$60=H$4),0),$D353-1966)</f>
        <v>2053.91</v>
      </c>
    </row>
    <row r="354" spans="1:8">
      <c r="A354" s="236">
        <f t="shared" si="17"/>
        <v>2059</v>
      </c>
      <c r="B354" s="236">
        <f t="shared" si="17"/>
        <v>2059</v>
      </c>
      <c r="C354" s="236">
        <f t="shared" si="18"/>
        <v>205904</v>
      </c>
      <c r="D354" s="236">
        <f t="shared" si="16"/>
        <v>2320</v>
      </c>
      <c r="E354" s="236" cm="1">
        <f t="array" ref="E354">INDEX(GMW!$A$2:$NF$60,MATCH(1,(GMW!$NE$2:$NE$60=E$3)*(GMW!$ND$2:$ND$60=E$4),0),$D354-1966)</f>
        <v>76151.520000000004</v>
      </c>
      <c r="F354" s="236" cm="1">
        <f t="array" ref="F354">INDEX(GMW!$A$2:$NF$60,MATCH(1,(GMW!$NE$2:$NE$60=F$3)*(GMW!$ND$2:$ND$60=F$4),0),$D354-1966)</f>
        <v>1149426</v>
      </c>
      <c r="G354" s="236" cm="1">
        <f t="array" ref="G354">INDEX(GMW!$A$2:$NF$60,MATCH(1,(GMW!$NE$2:$NE$60=G$3)*(GMW!$ND$2:$ND$60=G$4),0),$D354-1966)</f>
        <v>278.5872</v>
      </c>
      <c r="H354" s="236" cm="1">
        <f t="array" ref="H354">INDEX(GMW!$A$2:$NF$60,MATCH(1,(GMW!$NE$2:$NE$60=H$3)*(GMW!$ND$2:$ND$60=H$4),0),$D354-1966)</f>
        <v>2070.098</v>
      </c>
    </row>
    <row r="355" spans="1:8">
      <c r="A355" s="236">
        <f t="shared" si="17"/>
        <v>2060</v>
      </c>
      <c r="B355" s="236">
        <f t="shared" si="17"/>
        <v>2059</v>
      </c>
      <c r="C355" s="236">
        <f t="shared" si="18"/>
        <v>206001</v>
      </c>
      <c r="D355" s="236">
        <f t="shared" si="16"/>
        <v>2321</v>
      </c>
      <c r="E355" s="236" cm="1">
        <f t="array" ref="E355">INDEX(GMW!$A$2:$NF$60,MATCH(1,(GMW!$NE$2:$NE$60=E$3)*(GMW!$ND$2:$ND$60=E$4),0),$D355-1966)</f>
        <v>76167.839999999997</v>
      </c>
      <c r="F355" s="236" cm="1">
        <f t="array" ref="F355">INDEX(GMW!$A$2:$NF$60,MATCH(1,(GMW!$NE$2:$NE$60=F$3)*(GMW!$ND$2:$ND$60=F$4),0),$D355-1966)</f>
        <v>1152814</v>
      </c>
      <c r="G355" s="236" cm="1">
        <f t="array" ref="G355">INDEX(GMW!$A$2:$NF$60,MATCH(1,(GMW!$NE$2:$NE$60=G$3)*(GMW!$ND$2:$ND$60=G$4),0),$D355-1966)</f>
        <v>278.79149999999998</v>
      </c>
      <c r="H355" s="236" cm="1">
        <f t="array" ref="H355">INDEX(GMW!$A$2:$NF$60,MATCH(1,(GMW!$NE$2:$NE$60=H$3)*(GMW!$ND$2:$ND$60=H$4),0),$D355-1966)</f>
        <v>2086.3969999999999</v>
      </c>
    </row>
    <row r="356" spans="1:8">
      <c r="A356" s="236">
        <f t="shared" si="17"/>
        <v>2060</v>
      </c>
      <c r="B356" s="236">
        <f t="shared" si="17"/>
        <v>2060</v>
      </c>
      <c r="C356" s="236">
        <f t="shared" si="18"/>
        <v>206002</v>
      </c>
      <c r="D356" s="236">
        <f t="shared" si="16"/>
        <v>2322</v>
      </c>
      <c r="E356" s="236" cm="1">
        <f t="array" ref="E356">INDEX(GMW!$A$2:$NF$60,MATCH(1,(GMW!$NE$2:$NE$60=E$3)*(GMW!$ND$2:$ND$60=E$4),0),$D356-1966)</f>
        <v>76184.160000000003</v>
      </c>
      <c r="F356" s="236" cm="1">
        <f t="array" ref="F356">INDEX(GMW!$A$2:$NF$60,MATCH(1,(GMW!$NE$2:$NE$60=F$3)*(GMW!$ND$2:$ND$60=F$4),0),$D356-1966)</f>
        <v>1156205</v>
      </c>
      <c r="G356" s="236" cm="1">
        <f t="array" ref="G356">INDEX(GMW!$A$2:$NF$60,MATCH(1,(GMW!$NE$2:$NE$60=G$3)*(GMW!$ND$2:$ND$60=G$4),0),$D356-1966)</f>
        <v>281.52699999999999</v>
      </c>
      <c r="H356" s="236" cm="1">
        <f t="array" ref="H356">INDEX(GMW!$A$2:$NF$60,MATCH(1,(GMW!$NE$2:$NE$60=H$3)*(GMW!$ND$2:$ND$60=H$4),0),$D356-1966)</f>
        <v>2102.81</v>
      </c>
    </row>
    <row r="357" spans="1:8">
      <c r="A357" s="236">
        <f t="shared" si="17"/>
        <v>2060</v>
      </c>
      <c r="B357" s="236">
        <f t="shared" si="17"/>
        <v>2060</v>
      </c>
      <c r="C357" s="236">
        <f t="shared" si="18"/>
        <v>206003</v>
      </c>
      <c r="D357" s="236">
        <f t="shared" si="16"/>
        <v>2323</v>
      </c>
      <c r="E357" s="236" cm="1">
        <f t="array" ref="E357">INDEX(GMW!$A$2:$NF$60,MATCH(1,(GMW!$NE$2:$NE$60=E$3)*(GMW!$ND$2:$ND$60=E$4),0),$D357-1966)</f>
        <v>76200.479999999996</v>
      </c>
      <c r="F357" s="236" cm="1">
        <f t="array" ref="F357">INDEX(GMW!$A$2:$NF$60,MATCH(1,(GMW!$NE$2:$NE$60=F$3)*(GMW!$ND$2:$ND$60=F$4),0),$D357-1966)</f>
        <v>1159600</v>
      </c>
      <c r="G357" s="236" cm="1">
        <f t="array" ref="G357">INDEX(GMW!$A$2:$NF$60,MATCH(1,(GMW!$NE$2:$NE$60=G$3)*(GMW!$ND$2:$ND$60=G$4),0),$D357-1966)</f>
        <v>283.36380000000003</v>
      </c>
      <c r="H357" s="236" cm="1">
        <f t="array" ref="H357">INDEX(GMW!$A$2:$NF$60,MATCH(1,(GMW!$NE$2:$NE$60=H$3)*(GMW!$ND$2:$ND$60=H$4),0),$D357-1966)</f>
        <v>2119.3380000000002</v>
      </c>
    </row>
    <row r="358" spans="1:8">
      <c r="A358" s="236">
        <f t="shared" si="17"/>
        <v>2060</v>
      </c>
      <c r="B358" s="236">
        <f t="shared" si="17"/>
        <v>2060</v>
      </c>
      <c r="C358" s="236">
        <f t="shared" si="18"/>
        <v>206004</v>
      </c>
      <c r="D358" s="236">
        <f t="shared" si="16"/>
        <v>2324</v>
      </c>
      <c r="E358" s="236" cm="1">
        <f t="array" ref="E358">INDEX(GMW!$A$2:$NF$60,MATCH(1,(GMW!$NE$2:$NE$60=E$3)*(GMW!$ND$2:$ND$60=E$4),0),$D358-1966)</f>
        <v>76216.81</v>
      </c>
      <c r="F358" s="236" cm="1">
        <f t="array" ref="F358">INDEX(GMW!$A$2:$NF$60,MATCH(1,(GMW!$NE$2:$NE$60=F$3)*(GMW!$ND$2:$ND$60=F$4),0),$D358-1966)</f>
        <v>1163001</v>
      </c>
      <c r="G358" s="236" cm="1">
        <f t="array" ref="G358">INDEX(GMW!$A$2:$NF$60,MATCH(1,(GMW!$NE$2:$NE$60=G$3)*(GMW!$ND$2:$ND$60=G$4),0),$D358-1966)</f>
        <v>284.15890000000002</v>
      </c>
      <c r="H358" s="236" cm="1">
        <f t="array" ref="H358">INDEX(GMW!$A$2:$NF$60,MATCH(1,(GMW!$NE$2:$NE$60=H$3)*(GMW!$ND$2:$ND$60=H$4),0),$D358-1966)</f>
        <v>2135.989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D0DFD-11D2-4953-A3B6-FFB80A258089}">
  <dimension ref="A1:NF5"/>
  <sheetViews>
    <sheetView workbookViewId="0">
      <pane xSplit="6" ySplit="1" topLeftCell="MX2" activePane="bottomRight" state="frozen"/>
      <selection pane="topRight" activeCell="G1" sqref="G1"/>
      <selection pane="bottomLeft" activeCell="A2" sqref="A2"/>
      <selection pane="bottomRight" activeCell="A7" sqref="A7"/>
    </sheetView>
  </sheetViews>
  <sheetFormatPr defaultRowHeight="15"/>
  <cols>
    <col min="1" max="1" width="15.7109375" customWidth="1"/>
    <col min="2" max="3" width="20.7109375" customWidth="1"/>
    <col min="4" max="5" width="10.7109375" customWidth="1"/>
    <col min="6" max="6" width="15.7109375" customWidth="1"/>
    <col min="7" max="359" width="10.7109375" customWidth="1"/>
    <col min="360" max="360" width="20.7109375" customWidth="1"/>
    <col min="361" max="362" width="15.7109375" customWidth="1"/>
    <col min="363" max="364" width="20.7109375" customWidth="1"/>
    <col min="365" max="365" width="18.7109375" customWidth="1"/>
    <col min="366" max="367" width="22.7109375" customWidth="1"/>
    <col min="368" max="368" width="13.7109375" customWidth="1"/>
    <col min="369" max="369" width="14.7109375" customWidth="1"/>
    <col min="370" max="370" width="10.7109375" customWidth="1"/>
  </cols>
  <sheetData>
    <row r="1" spans="1:370" ht="30">
      <c r="A1" s="233" t="s">
        <v>205</v>
      </c>
      <c r="B1" s="233" t="s">
        <v>206</v>
      </c>
      <c r="C1" s="233" t="s">
        <v>207</v>
      </c>
      <c r="D1" s="233" t="s">
        <v>208</v>
      </c>
      <c r="E1" s="233" t="s">
        <v>209</v>
      </c>
      <c r="F1" s="233" t="s">
        <v>210</v>
      </c>
      <c r="G1" s="233" t="s">
        <v>211</v>
      </c>
      <c r="H1" s="233" t="s">
        <v>212</v>
      </c>
      <c r="I1" s="233" t="s">
        <v>213</v>
      </c>
      <c r="J1" s="233" t="s">
        <v>214</v>
      </c>
      <c r="K1" s="233" t="s">
        <v>215</v>
      </c>
      <c r="L1" s="233" t="s">
        <v>216</v>
      </c>
      <c r="M1" s="233" t="s">
        <v>217</v>
      </c>
      <c r="N1" s="233" t="s">
        <v>218</v>
      </c>
      <c r="O1" s="233" t="s">
        <v>219</v>
      </c>
      <c r="P1" s="233" t="s">
        <v>220</v>
      </c>
      <c r="Q1" s="233" t="s">
        <v>221</v>
      </c>
      <c r="R1" s="233" t="s">
        <v>222</v>
      </c>
      <c r="S1" s="233" t="s">
        <v>223</v>
      </c>
      <c r="T1" s="233" t="s">
        <v>224</v>
      </c>
      <c r="U1" s="233" t="s">
        <v>225</v>
      </c>
      <c r="V1" s="233" t="s">
        <v>226</v>
      </c>
      <c r="W1" s="233" t="s">
        <v>227</v>
      </c>
      <c r="X1" s="233" t="s">
        <v>228</v>
      </c>
      <c r="Y1" s="233" t="s">
        <v>229</v>
      </c>
      <c r="Z1" s="233" t="s">
        <v>230</v>
      </c>
      <c r="AA1" s="233" t="s">
        <v>231</v>
      </c>
      <c r="AB1" s="233" t="s">
        <v>232</v>
      </c>
      <c r="AC1" s="233" t="s">
        <v>233</v>
      </c>
      <c r="AD1" s="233" t="s">
        <v>234</v>
      </c>
      <c r="AE1" s="233" t="s">
        <v>235</v>
      </c>
      <c r="AF1" s="233" t="s">
        <v>236</v>
      </c>
      <c r="AG1" s="233" t="s">
        <v>237</v>
      </c>
      <c r="AH1" s="233" t="s">
        <v>238</v>
      </c>
      <c r="AI1" s="233" t="s">
        <v>239</v>
      </c>
      <c r="AJ1" s="233" t="s">
        <v>240</v>
      </c>
      <c r="AK1" s="233" t="s">
        <v>241</v>
      </c>
      <c r="AL1" s="233" t="s">
        <v>242</v>
      </c>
      <c r="AM1" s="233" t="s">
        <v>243</v>
      </c>
      <c r="AN1" s="233" t="s">
        <v>244</v>
      </c>
      <c r="AO1" s="233" t="s">
        <v>245</v>
      </c>
      <c r="AP1" s="233" t="s">
        <v>246</v>
      </c>
      <c r="AQ1" s="233" t="s">
        <v>247</v>
      </c>
      <c r="AR1" s="233" t="s">
        <v>248</v>
      </c>
      <c r="AS1" s="233" t="s">
        <v>249</v>
      </c>
      <c r="AT1" s="233" t="s">
        <v>250</v>
      </c>
      <c r="AU1" s="233" t="s">
        <v>251</v>
      </c>
      <c r="AV1" s="233" t="s">
        <v>252</v>
      </c>
      <c r="AW1" s="233" t="s">
        <v>253</v>
      </c>
      <c r="AX1" s="233" t="s">
        <v>254</v>
      </c>
      <c r="AY1" s="233" t="s">
        <v>255</v>
      </c>
      <c r="AZ1" s="233" t="s">
        <v>256</v>
      </c>
      <c r="BA1" s="233" t="s">
        <v>257</v>
      </c>
      <c r="BB1" s="233" t="s">
        <v>258</v>
      </c>
      <c r="BC1" s="233" t="s">
        <v>259</v>
      </c>
      <c r="BD1" s="233" t="s">
        <v>260</v>
      </c>
      <c r="BE1" s="233" t="s">
        <v>261</v>
      </c>
      <c r="BF1" s="233" t="s">
        <v>262</v>
      </c>
      <c r="BG1" s="233" t="s">
        <v>263</v>
      </c>
      <c r="BH1" s="233" t="s">
        <v>264</v>
      </c>
      <c r="BI1" s="233" t="s">
        <v>265</v>
      </c>
      <c r="BJ1" s="233" t="s">
        <v>266</v>
      </c>
      <c r="BK1" s="233" t="s">
        <v>267</v>
      </c>
      <c r="BL1" s="233" t="s">
        <v>268</v>
      </c>
      <c r="BM1" s="233" t="s">
        <v>269</v>
      </c>
      <c r="BN1" s="233" t="s">
        <v>270</v>
      </c>
      <c r="BO1" s="233" t="s">
        <v>271</v>
      </c>
      <c r="BP1" s="233" t="s">
        <v>272</v>
      </c>
      <c r="BQ1" s="233" t="s">
        <v>273</v>
      </c>
      <c r="BR1" s="233" t="s">
        <v>274</v>
      </c>
      <c r="BS1" s="233" t="s">
        <v>275</v>
      </c>
      <c r="BT1" s="233" t="s">
        <v>276</v>
      </c>
      <c r="BU1" s="233" t="s">
        <v>277</v>
      </c>
      <c r="BV1" s="233" t="s">
        <v>278</v>
      </c>
      <c r="BW1" s="233" t="s">
        <v>279</v>
      </c>
      <c r="BX1" s="233" t="s">
        <v>280</v>
      </c>
      <c r="BY1" s="233" t="s">
        <v>281</v>
      </c>
      <c r="BZ1" s="233" t="s">
        <v>282</v>
      </c>
      <c r="CA1" s="233" t="s">
        <v>283</v>
      </c>
      <c r="CB1" s="233" t="s">
        <v>284</v>
      </c>
      <c r="CC1" s="233" t="s">
        <v>285</v>
      </c>
      <c r="CD1" s="233" t="s">
        <v>286</v>
      </c>
      <c r="CE1" s="233" t="s">
        <v>287</v>
      </c>
      <c r="CF1" s="233" t="s">
        <v>288</v>
      </c>
      <c r="CG1" s="233" t="s">
        <v>289</v>
      </c>
      <c r="CH1" s="233" t="s">
        <v>290</v>
      </c>
      <c r="CI1" s="233" t="s">
        <v>291</v>
      </c>
      <c r="CJ1" s="233" t="s">
        <v>292</v>
      </c>
      <c r="CK1" s="233" t="s">
        <v>293</v>
      </c>
      <c r="CL1" s="233" t="s">
        <v>294</v>
      </c>
      <c r="CM1" s="233" t="s">
        <v>295</v>
      </c>
      <c r="CN1" s="233" t="s">
        <v>296</v>
      </c>
      <c r="CO1" s="233" t="s">
        <v>297</v>
      </c>
      <c r="CP1" s="233" t="s">
        <v>298</v>
      </c>
      <c r="CQ1" s="233" t="s">
        <v>299</v>
      </c>
      <c r="CR1" s="233" t="s">
        <v>300</v>
      </c>
      <c r="CS1" s="233" t="s">
        <v>301</v>
      </c>
      <c r="CT1" s="233" t="s">
        <v>302</v>
      </c>
      <c r="CU1" s="233" t="s">
        <v>303</v>
      </c>
      <c r="CV1" s="233" t="s">
        <v>304</v>
      </c>
      <c r="CW1" s="233" t="s">
        <v>305</v>
      </c>
      <c r="CX1" s="233" t="s">
        <v>306</v>
      </c>
      <c r="CY1" s="233" t="s">
        <v>307</v>
      </c>
      <c r="CZ1" s="233" t="s">
        <v>308</v>
      </c>
      <c r="DA1" s="233" t="s">
        <v>309</v>
      </c>
      <c r="DB1" s="233" t="s">
        <v>310</v>
      </c>
      <c r="DC1" s="233" t="s">
        <v>311</v>
      </c>
      <c r="DD1" s="233" t="s">
        <v>312</v>
      </c>
      <c r="DE1" s="233" t="s">
        <v>313</v>
      </c>
      <c r="DF1" s="233" t="s">
        <v>314</v>
      </c>
      <c r="DG1" s="233" t="s">
        <v>315</v>
      </c>
      <c r="DH1" s="233" t="s">
        <v>316</v>
      </c>
      <c r="DI1" s="233" t="s">
        <v>317</v>
      </c>
      <c r="DJ1" s="233" t="s">
        <v>318</v>
      </c>
      <c r="DK1" s="233" t="s">
        <v>319</v>
      </c>
      <c r="DL1" s="233" t="s">
        <v>320</v>
      </c>
      <c r="DM1" s="233" t="s">
        <v>321</v>
      </c>
      <c r="DN1" s="233" t="s">
        <v>322</v>
      </c>
      <c r="DO1" s="233" t="s">
        <v>323</v>
      </c>
      <c r="DP1" s="233" t="s">
        <v>324</v>
      </c>
      <c r="DQ1" s="233" t="s">
        <v>325</v>
      </c>
      <c r="DR1" s="233" t="s">
        <v>326</v>
      </c>
      <c r="DS1" s="233" t="s">
        <v>327</v>
      </c>
      <c r="DT1" s="233" t="s">
        <v>328</v>
      </c>
      <c r="DU1" s="233" t="s">
        <v>329</v>
      </c>
      <c r="DV1" s="233" t="s">
        <v>330</v>
      </c>
      <c r="DW1" s="233" t="s">
        <v>331</v>
      </c>
      <c r="DX1" s="233" t="s">
        <v>332</v>
      </c>
      <c r="DY1" s="233" t="s">
        <v>333</v>
      </c>
      <c r="DZ1" s="233" t="s">
        <v>334</v>
      </c>
      <c r="EA1" s="233" t="s">
        <v>335</v>
      </c>
      <c r="EB1" s="233" t="s">
        <v>336</v>
      </c>
      <c r="EC1" s="233" t="s">
        <v>337</v>
      </c>
      <c r="ED1" s="233" t="s">
        <v>338</v>
      </c>
      <c r="EE1" s="233" t="s">
        <v>339</v>
      </c>
      <c r="EF1" s="233" t="s">
        <v>340</v>
      </c>
      <c r="EG1" s="233" t="s">
        <v>341</v>
      </c>
      <c r="EH1" s="233" t="s">
        <v>342</v>
      </c>
      <c r="EI1" s="233" t="s">
        <v>343</v>
      </c>
      <c r="EJ1" s="233" t="s">
        <v>344</v>
      </c>
      <c r="EK1" s="233" t="s">
        <v>345</v>
      </c>
      <c r="EL1" s="233" t="s">
        <v>346</v>
      </c>
      <c r="EM1" s="233" t="s">
        <v>347</v>
      </c>
      <c r="EN1" s="233" t="s">
        <v>348</v>
      </c>
      <c r="EO1" s="233" t="s">
        <v>349</v>
      </c>
      <c r="EP1" s="233" t="s">
        <v>350</v>
      </c>
      <c r="EQ1" s="233" t="s">
        <v>351</v>
      </c>
      <c r="ER1" s="233" t="s">
        <v>352</v>
      </c>
      <c r="ES1" s="233" t="s">
        <v>353</v>
      </c>
      <c r="ET1" s="233" t="s">
        <v>354</v>
      </c>
      <c r="EU1" s="233" t="s">
        <v>355</v>
      </c>
      <c r="EV1" s="233" t="s">
        <v>356</v>
      </c>
      <c r="EW1" s="233" t="s">
        <v>357</v>
      </c>
      <c r="EX1" s="233" t="s">
        <v>358</v>
      </c>
      <c r="EY1" s="233" t="s">
        <v>359</v>
      </c>
      <c r="EZ1" s="233" t="s">
        <v>360</v>
      </c>
      <c r="FA1" s="233" t="s">
        <v>361</v>
      </c>
      <c r="FB1" s="233" t="s">
        <v>362</v>
      </c>
      <c r="FC1" s="233" t="s">
        <v>363</v>
      </c>
      <c r="FD1" s="233" t="s">
        <v>364</v>
      </c>
      <c r="FE1" s="233" t="s">
        <v>365</v>
      </c>
      <c r="FF1" s="233" t="s">
        <v>366</v>
      </c>
      <c r="FG1" s="233" t="s">
        <v>367</v>
      </c>
      <c r="FH1" s="233" t="s">
        <v>368</v>
      </c>
      <c r="FI1" s="233" t="s">
        <v>369</v>
      </c>
      <c r="FJ1" s="233" t="s">
        <v>370</v>
      </c>
      <c r="FK1" s="233" t="s">
        <v>371</v>
      </c>
      <c r="FL1" s="233" t="s">
        <v>372</v>
      </c>
      <c r="FM1" s="233" t="s">
        <v>373</v>
      </c>
      <c r="FN1" s="233" t="s">
        <v>374</v>
      </c>
      <c r="FO1" s="233" t="s">
        <v>375</v>
      </c>
      <c r="FP1" s="233" t="s">
        <v>376</v>
      </c>
      <c r="FQ1" s="233" t="s">
        <v>377</v>
      </c>
      <c r="FR1" s="233" t="s">
        <v>378</v>
      </c>
      <c r="FS1" s="233" t="s">
        <v>379</v>
      </c>
      <c r="FT1" s="233" t="s">
        <v>380</v>
      </c>
      <c r="FU1" s="233" t="s">
        <v>381</v>
      </c>
      <c r="FV1" s="233" t="s">
        <v>382</v>
      </c>
      <c r="FW1" s="233" t="s">
        <v>383</v>
      </c>
      <c r="FX1" s="233" t="s">
        <v>384</v>
      </c>
      <c r="FY1" s="233" t="s">
        <v>385</v>
      </c>
      <c r="FZ1" s="233" t="s">
        <v>386</v>
      </c>
      <c r="GA1" s="233" t="s">
        <v>387</v>
      </c>
      <c r="GB1" s="233" t="s">
        <v>388</v>
      </c>
      <c r="GC1" s="233" t="s">
        <v>389</v>
      </c>
      <c r="GD1" s="233" t="s">
        <v>390</v>
      </c>
      <c r="GE1" s="233" t="s">
        <v>391</v>
      </c>
      <c r="GF1" s="233" t="s">
        <v>392</v>
      </c>
      <c r="GG1" s="233" t="s">
        <v>393</v>
      </c>
      <c r="GH1" s="233" t="s">
        <v>394</v>
      </c>
      <c r="GI1" s="233" t="s">
        <v>395</v>
      </c>
      <c r="GJ1" s="233" t="s">
        <v>396</v>
      </c>
      <c r="GK1" s="233" t="s">
        <v>397</v>
      </c>
      <c r="GL1" s="233" t="s">
        <v>398</v>
      </c>
      <c r="GM1" s="233" t="s">
        <v>399</v>
      </c>
      <c r="GN1" s="233" t="s">
        <v>400</v>
      </c>
      <c r="GO1" s="233" t="s">
        <v>401</v>
      </c>
      <c r="GP1" s="233" t="s">
        <v>402</v>
      </c>
      <c r="GQ1" s="233" t="s">
        <v>403</v>
      </c>
      <c r="GR1" s="233" t="s">
        <v>404</v>
      </c>
      <c r="GS1" s="233" t="s">
        <v>405</v>
      </c>
      <c r="GT1" s="233" t="s">
        <v>406</v>
      </c>
      <c r="GU1" s="233" t="s">
        <v>407</v>
      </c>
      <c r="GV1" s="233" t="s">
        <v>408</v>
      </c>
      <c r="GW1" s="233" t="s">
        <v>409</v>
      </c>
      <c r="GX1" s="233" t="s">
        <v>410</v>
      </c>
      <c r="GY1" s="233" t="s">
        <v>411</v>
      </c>
      <c r="GZ1" s="233" t="s">
        <v>412</v>
      </c>
      <c r="HA1" s="233" t="s">
        <v>413</v>
      </c>
      <c r="HB1" s="233" t="s">
        <v>414</v>
      </c>
      <c r="HC1" s="233" t="s">
        <v>415</v>
      </c>
      <c r="HD1" s="233" t="s">
        <v>416</v>
      </c>
      <c r="HE1" s="233" t="s">
        <v>417</v>
      </c>
      <c r="HF1" s="233" t="s">
        <v>418</v>
      </c>
      <c r="HG1" s="233" t="s">
        <v>419</v>
      </c>
      <c r="HH1" s="233" t="s">
        <v>420</v>
      </c>
      <c r="HI1" s="233" t="s">
        <v>421</v>
      </c>
      <c r="HJ1" s="233" t="s">
        <v>422</v>
      </c>
      <c r="HK1" s="233" t="s">
        <v>423</v>
      </c>
      <c r="HL1" s="233" t="s">
        <v>424</v>
      </c>
      <c r="HM1" s="233" t="s">
        <v>425</v>
      </c>
      <c r="HN1" s="233" t="s">
        <v>426</v>
      </c>
      <c r="HO1" s="233" t="s">
        <v>427</v>
      </c>
      <c r="HP1" s="233" t="s">
        <v>428</v>
      </c>
      <c r="HQ1" s="233" t="s">
        <v>429</v>
      </c>
      <c r="HR1" s="233" t="s">
        <v>430</v>
      </c>
      <c r="HS1" s="233" t="s">
        <v>431</v>
      </c>
      <c r="HT1" s="233" t="s">
        <v>432</v>
      </c>
      <c r="HU1" s="233" t="s">
        <v>433</v>
      </c>
      <c r="HV1" s="233" t="s">
        <v>434</v>
      </c>
      <c r="HW1" s="233" t="s">
        <v>435</v>
      </c>
      <c r="HX1" s="233" t="s">
        <v>436</v>
      </c>
      <c r="HY1" s="233" t="s">
        <v>437</v>
      </c>
      <c r="HZ1" s="233" t="s">
        <v>438</v>
      </c>
      <c r="IA1" s="233" t="s">
        <v>439</v>
      </c>
      <c r="IB1" s="233" t="s">
        <v>440</v>
      </c>
      <c r="IC1" s="233" t="s">
        <v>441</v>
      </c>
      <c r="ID1" s="233" t="s">
        <v>442</v>
      </c>
      <c r="IE1" s="233" t="s">
        <v>443</v>
      </c>
      <c r="IF1" s="233" t="s">
        <v>444</v>
      </c>
      <c r="IG1" s="233" t="s">
        <v>445</v>
      </c>
      <c r="IH1" s="233" t="s">
        <v>446</v>
      </c>
      <c r="II1" s="233" t="s">
        <v>447</v>
      </c>
      <c r="IJ1" s="233" t="s">
        <v>448</v>
      </c>
      <c r="IK1" s="233" t="s">
        <v>449</v>
      </c>
      <c r="IL1" s="233" t="s">
        <v>450</v>
      </c>
      <c r="IM1" s="233" t="s">
        <v>451</v>
      </c>
      <c r="IN1" s="233" t="s">
        <v>452</v>
      </c>
      <c r="IO1" s="233" t="s">
        <v>453</v>
      </c>
      <c r="IP1" s="233" t="s">
        <v>454</v>
      </c>
      <c r="IQ1" s="233" t="s">
        <v>455</v>
      </c>
      <c r="IR1" s="233" t="s">
        <v>456</v>
      </c>
      <c r="IS1" s="233" t="s">
        <v>457</v>
      </c>
      <c r="IT1" s="233" t="s">
        <v>458</v>
      </c>
      <c r="IU1" s="233" t="s">
        <v>459</v>
      </c>
      <c r="IV1" s="233" t="s">
        <v>460</v>
      </c>
      <c r="IW1" s="233" t="s">
        <v>461</v>
      </c>
      <c r="IX1" s="233" t="s">
        <v>462</v>
      </c>
      <c r="IY1" s="233" t="s">
        <v>463</v>
      </c>
      <c r="IZ1" s="233" t="s">
        <v>464</v>
      </c>
      <c r="JA1" s="233" t="s">
        <v>465</v>
      </c>
      <c r="JB1" s="233" t="s">
        <v>466</v>
      </c>
      <c r="JC1" s="233" t="s">
        <v>467</v>
      </c>
      <c r="JD1" s="233" t="s">
        <v>468</v>
      </c>
      <c r="JE1" s="233" t="s">
        <v>469</v>
      </c>
      <c r="JF1" s="233" t="s">
        <v>470</v>
      </c>
      <c r="JG1" s="233" t="s">
        <v>471</v>
      </c>
      <c r="JH1" s="233" t="s">
        <v>472</v>
      </c>
      <c r="JI1" s="233" t="s">
        <v>473</v>
      </c>
      <c r="JJ1" s="233" t="s">
        <v>474</v>
      </c>
      <c r="JK1" s="233" t="s">
        <v>475</v>
      </c>
      <c r="JL1" s="233" t="s">
        <v>476</v>
      </c>
      <c r="JM1" s="233" t="s">
        <v>477</v>
      </c>
      <c r="JN1" s="233" t="s">
        <v>478</v>
      </c>
      <c r="JO1" s="233" t="s">
        <v>479</v>
      </c>
      <c r="JP1" s="233" t="s">
        <v>480</v>
      </c>
      <c r="JQ1" s="233" t="s">
        <v>481</v>
      </c>
      <c r="JR1" s="233" t="s">
        <v>482</v>
      </c>
      <c r="JS1" s="233" t="s">
        <v>483</v>
      </c>
      <c r="JT1" s="233" t="s">
        <v>484</v>
      </c>
      <c r="JU1" s="233" t="s">
        <v>485</v>
      </c>
      <c r="JV1" s="233" t="s">
        <v>486</v>
      </c>
      <c r="JW1" s="233" t="s">
        <v>487</v>
      </c>
      <c r="JX1" s="233" t="s">
        <v>488</v>
      </c>
      <c r="JY1" s="233" t="s">
        <v>489</v>
      </c>
      <c r="JZ1" s="233" t="s">
        <v>490</v>
      </c>
      <c r="KA1" s="233" t="s">
        <v>491</v>
      </c>
      <c r="KB1" s="233" t="s">
        <v>492</v>
      </c>
      <c r="KC1" s="233" t="s">
        <v>493</v>
      </c>
      <c r="KD1" s="233" t="s">
        <v>494</v>
      </c>
      <c r="KE1" s="233" t="s">
        <v>495</v>
      </c>
      <c r="KF1" s="233" t="s">
        <v>496</v>
      </c>
      <c r="KG1" s="233" t="s">
        <v>497</v>
      </c>
      <c r="KH1" s="233" t="s">
        <v>498</v>
      </c>
      <c r="KI1" s="233" t="s">
        <v>499</v>
      </c>
      <c r="KJ1" s="233" t="s">
        <v>500</v>
      </c>
      <c r="KK1" s="233" t="s">
        <v>501</v>
      </c>
      <c r="KL1" s="233" t="s">
        <v>502</v>
      </c>
      <c r="KM1" s="233" t="s">
        <v>503</v>
      </c>
      <c r="KN1" s="233" t="s">
        <v>504</v>
      </c>
      <c r="KO1" s="233" t="s">
        <v>505</v>
      </c>
      <c r="KP1" s="233" t="s">
        <v>506</v>
      </c>
      <c r="KQ1" s="233" t="s">
        <v>507</v>
      </c>
      <c r="KR1" s="233" t="s">
        <v>508</v>
      </c>
      <c r="KS1" s="233" t="s">
        <v>509</v>
      </c>
      <c r="KT1" s="233" t="s">
        <v>510</v>
      </c>
      <c r="KU1" s="233" t="s">
        <v>511</v>
      </c>
      <c r="KV1" s="233" t="s">
        <v>512</v>
      </c>
      <c r="KW1" s="233" t="s">
        <v>513</v>
      </c>
      <c r="KX1" s="233" t="s">
        <v>514</v>
      </c>
      <c r="KY1" s="233" t="s">
        <v>515</v>
      </c>
      <c r="KZ1" s="233" t="s">
        <v>516</v>
      </c>
      <c r="LA1" s="233" t="s">
        <v>517</v>
      </c>
      <c r="LB1" s="233" t="s">
        <v>518</v>
      </c>
      <c r="LC1" s="233" t="s">
        <v>519</v>
      </c>
      <c r="LD1" s="233" t="s">
        <v>520</v>
      </c>
      <c r="LE1" s="233" t="s">
        <v>521</v>
      </c>
      <c r="LF1" s="233" t="s">
        <v>522</v>
      </c>
      <c r="LG1" s="233" t="s">
        <v>523</v>
      </c>
      <c r="LH1" s="233" t="s">
        <v>524</v>
      </c>
      <c r="LI1" s="233" t="s">
        <v>525</v>
      </c>
      <c r="LJ1" s="233" t="s">
        <v>526</v>
      </c>
      <c r="LK1" s="233" t="s">
        <v>527</v>
      </c>
      <c r="LL1" s="233" t="s">
        <v>528</v>
      </c>
      <c r="LM1" s="233" t="s">
        <v>529</v>
      </c>
      <c r="LN1" s="233" t="s">
        <v>530</v>
      </c>
      <c r="LO1" s="233" t="s">
        <v>531</v>
      </c>
      <c r="LP1" s="233" t="s">
        <v>532</v>
      </c>
      <c r="LQ1" s="233" t="s">
        <v>533</v>
      </c>
      <c r="LR1" s="233" t="s">
        <v>534</v>
      </c>
      <c r="LS1" s="233" t="s">
        <v>535</v>
      </c>
      <c r="LT1" s="233" t="s">
        <v>536</v>
      </c>
      <c r="LU1" s="233" t="s">
        <v>537</v>
      </c>
      <c r="LV1" s="233" t="s">
        <v>538</v>
      </c>
      <c r="LW1" s="233" t="s">
        <v>539</v>
      </c>
      <c r="LX1" s="233" t="s">
        <v>540</v>
      </c>
      <c r="LY1" s="233" t="s">
        <v>541</v>
      </c>
      <c r="LZ1" s="233" t="s">
        <v>542</v>
      </c>
      <c r="MA1" s="233" t="s">
        <v>543</v>
      </c>
      <c r="MB1" s="233" t="s">
        <v>544</v>
      </c>
      <c r="MC1" s="233" t="s">
        <v>545</v>
      </c>
      <c r="MD1" s="233" t="s">
        <v>546</v>
      </c>
      <c r="ME1" s="233" t="s">
        <v>547</v>
      </c>
      <c r="MF1" s="233" t="s">
        <v>548</v>
      </c>
      <c r="MG1" s="233" t="s">
        <v>549</v>
      </c>
      <c r="MH1" s="233" t="s">
        <v>550</v>
      </c>
      <c r="MI1" s="233" t="s">
        <v>551</v>
      </c>
      <c r="MJ1" s="233" t="s">
        <v>552</v>
      </c>
      <c r="MK1" s="233" t="s">
        <v>553</v>
      </c>
      <c r="ML1" s="233" t="s">
        <v>554</v>
      </c>
      <c r="MM1" s="233" t="s">
        <v>555</v>
      </c>
      <c r="MN1" s="233" t="s">
        <v>556</v>
      </c>
      <c r="MO1" s="233" t="s">
        <v>557</v>
      </c>
      <c r="MP1" s="233" t="s">
        <v>558</v>
      </c>
      <c r="MQ1" s="233" t="s">
        <v>559</v>
      </c>
      <c r="MR1" s="233" t="s">
        <v>560</v>
      </c>
      <c r="MS1" s="233" t="s">
        <v>561</v>
      </c>
      <c r="MT1" s="233" t="s">
        <v>562</v>
      </c>
      <c r="MU1" s="233" t="s">
        <v>563</v>
      </c>
      <c r="MV1" s="233" t="s">
        <v>564</v>
      </c>
      <c r="MW1" s="233" t="s">
        <v>565</v>
      </c>
      <c r="MX1" s="233" t="s">
        <v>566</v>
      </c>
      <c r="MY1" s="233" t="s">
        <v>567</v>
      </c>
      <c r="MZ1" s="233" t="s">
        <v>568</v>
      </c>
      <c r="NA1" s="233" t="s">
        <v>569</v>
      </c>
      <c r="NB1" s="233" t="s">
        <v>570</v>
      </c>
      <c r="NC1" s="233" t="s">
        <v>571</v>
      </c>
      <c r="ND1" s="233" t="s">
        <v>572</v>
      </c>
      <c r="NE1" s="233" t="s">
        <v>573</v>
      </c>
      <c r="NF1" s="233" t="s">
        <v>574</v>
      </c>
    </row>
    <row r="2" spans="1:370">
      <c r="A2" t="s">
        <v>575</v>
      </c>
      <c r="B2" t="s">
        <v>576</v>
      </c>
      <c r="C2" s="231" t="s">
        <v>577</v>
      </c>
      <c r="D2" t="s">
        <v>578</v>
      </c>
      <c r="E2" t="s">
        <v>579</v>
      </c>
      <c r="F2" t="s">
        <v>580</v>
      </c>
      <c r="G2" s="234">
        <v>56191.5</v>
      </c>
      <c r="H2" s="234">
        <v>56223</v>
      </c>
      <c r="I2" s="234">
        <v>56226.25</v>
      </c>
      <c r="J2" s="234">
        <v>56229.5</v>
      </c>
      <c r="K2" s="234">
        <v>56232.75</v>
      </c>
      <c r="L2" s="234">
        <v>56236</v>
      </c>
      <c r="M2" s="234">
        <v>56233.5</v>
      </c>
      <c r="N2" s="234">
        <v>56231</v>
      </c>
      <c r="O2" s="234">
        <v>56228.5</v>
      </c>
      <c r="P2" s="234">
        <v>56226</v>
      </c>
      <c r="Q2" s="234">
        <v>56223.5</v>
      </c>
      <c r="R2" s="234">
        <v>56221</v>
      </c>
      <c r="S2" s="234">
        <v>56218.5</v>
      </c>
      <c r="T2" s="234">
        <v>56216</v>
      </c>
      <c r="U2" s="234">
        <v>56209.5</v>
      </c>
      <c r="V2" s="234">
        <v>56203</v>
      </c>
      <c r="W2" s="234">
        <v>56196.5</v>
      </c>
      <c r="X2" s="234">
        <v>56190</v>
      </c>
      <c r="Y2" s="234">
        <v>56187</v>
      </c>
      <c r="Z2" s="234">
        <v>56184</v>
      </c>
      <c r="AA2" s="234">
        <v>56181</v>
      </c>
      <c r="AB2" s="234">
        <v>56178</v>
      </c>
      <c r="AC2" s="234">
        <v>56193.5</v>
      </c>
      <c r="AD2" s="234">
        <v>56209</v>
      </c>
      <c r="AE2" s="234">
        <v>56224.5</v>
      </c>
      <c r="AF2" s="234">
        <v>56240</v>
      </c>
      <c r="AG2" s="234">
        <v>56262.5</v>
      </c>
      <c r="AH2" s="234">
        <v>56285</v>
      </c>
      <c r="AI2" s="234">
        <v>56307.5</v>
      </c>
      <c r="AJ2" s="234">
        <v>56330</v>
      </c>
      <c r="AK2" s="234">
        <v>56337</v>
      </c>
      <c r="AL2" s="234">
        <v>56344</v>
      </c>
      <c r="AM2" s="234">
        <v>56351</v>
      </c>
      <c r="AN2" s="234">
        <v>56358</v>
      </c>
      <c r="AO2" s="234">
        <v>56341.25</v>
      </c>
      <c r="AP2" s="234">
        <v>56324.5</v>
      </c>
      <c r="AQ2" s="234">
        <v>56307.75</v>
      </c>
      <c r="AR2" s="234">
        <v>56291</v>
      </c>
      <c r="AS2" s="234">
        <v>56297.25</v>
      </c>
      <c r="AT2" s="234">
        <v>56303.5</v>
      </c>
      <c r="AU2" s="234">
        <v>56309.75</v>
      </c>
      <c r="AV2" s="234">
        <v>56316</v>
      </c>
      <c r="AW2" s="234">
        <v>56339.25</v>
      </c>
      <c r="AX2" s="234">
        <v>56362.5</v>
      </c>
      <c r="AY2" s="234">
        <v>56385.75</v>
      </c>
      <c r="AZ2" s="234">
        <v>56409</v>
      </c>
      <c r="BA2" s="234">
        <v>56445.25</v>
      </c>
      <c r="BB2" s="234">
        <v>56481.5</v>
      </c>
      <c r="BC2" s="234">
        <v>56517.75</v>
      </c>
      <c r="BD2" s="234">
        <v>56554</v>
      </c>
      <c r="BE2" s="234">
        <v>56586.5</v>
      </c>
      <c r="BF2" s="234">
        <v>56619</v>
      </c>
      <c r="BG2" s="234">
        <v>56651.5</v>
      </c>
      <c r="BH2" s="234">
        <v>56684</v>
      </c>
      <c r="BI2" s="234">
        <v>56714</v>
      </c>
      <c r="BJ2" s="234">
        <v>56744</v>
      </c>
      <c r="BK2" s="234">
        <v>56774</v>
      </c>
      <c r="BL2" s="234">
        <v>56804</v>
      </c>
      <c r="BM2" s="234">
        <v>56832</v>
      </c>
      <c r="BN2" s="234">
        <v>56860</v>
      </c>
      <c r="BO2" s="234">
        <v>56888</v>
      </c>
      <c r="BP2" s="234">
        <v>56916</v>
      </c>
      <c r="BQ2" s="234">
        <v>56956.25</v>
      </c>
      <c r="BR2" s="234">
        <v>56996.5</v>
      </c>
      <c r="BS2" s="234">
        <v>57036.75</v>
      </c>
      <c r="BT2" s="234">
        <v>57077</v>
      </c>
      <c r="BU2" s="234">
        <v>57117.25</v>
      </c>
      <c r="BV2" s="234">
        <v>57157.5</v>
      </c>
      <c r="BW2" s="234">
        <v>57197.75</v>
      </c>
      <c r="BX2" s="234">
        <v>57238</v>
      </c>
      <c r="BY2" s="234">
        <v>57288.25</v>
      </c>
      <c r="BZ2" s="234">
        <v>57338.5</v>
      </c>
      <c r="CA2" s="234">
        <v>57388.75</v>
      </c>
      <c r="CB2" s="234">
        <v>57439</v>
      </c>
      <c r="CC2" s="234">
        <v>57475.5</v>
      </c>
      <c r="CD2" s="234">
        <v>57512</v>
      </c>
      <c r="CE2" s="234">
        <v>57548.5</v>
      </c>
      <c r="CF2" s="234">
        <v>57585</v>
      </c>
      <c r="CG2" s="234">
        <v>57617.25</v>
      </c>
      <c r="CH2" s="234">
        <v>57649.5</v>
      </c>
      <c r="CI2" s="234">
        <v>57681.75</v>
      </c>
      <c r="CJ2" s="234">
        <v>57714</v>
      </c>
      <c r="CK2" s="234">
        <v>57751</v>
      </c>
      <c r="CL2" s="234">
        <v>57788</v>
      </c>
      <c r="CM2" s="234">
        <v>57825</v>
      </c>
      <c r="CN2" s="234">
        <v>57862</v>
      </c>
      <c r="CO2" s="234">
        <v>57902.75</v>
      </c>
      <c r="CP2" s="234">
        <v>57943.5</v>
      </c>
      <c r="CQ2" s="234">
        <v>57984.25</v>
      </c>
      <c r="CR2" s="234">
        <v>58025</v>
      </c>
      <c r="CS2" s="234">
        <v>58059.75</v>
      </c>
      <c r="CT2" s="234">
        <v>58094.5</v>
      </c>
      <c r="CU2" s="234">
        <v>58129.25</v>
      </c>
      <c r="CV2" s="234">
        <v>58164</v>
      </c>
      <c r="CW2" s="234">
        <v>58201.5</v>
      </c>
      <c r="CX2" s="234">
        <v>58239</v>
      </c>
      <c r="CY2" s="234">
        <v>58276.5</v>
      </c>
      <c r="CZ2" s="234">
        <v>58314</v>
      </c>
      <c r="DA2" s="234">
        <v>58354.25</v>
      </c>
      <c r="DB2" s="234">
        <v>58394.5</v>
      </c>
      <c r="DC2" s="234">
        <v>58434.75</v>
      </c>
      <c r="DD2" s="234">
        <v>58475</v>
      </c>
      <c r="DE2" s="234">
        <v>58527.25</v>
      </c>
      <c r="DF2" s="234">
        <v>58579.5</v>
      </c>
      <c r="DG2" s="234">
        <v>58631.75</v>
      </c>
      <c r="DH2" s="234">
        <v>58684</v>
      </c>
      <c r="DI2" s="234">
        <v>58734.5</v>
      </c>
      <c r="DJ2" s="234">
        <v>58785</v>
      </c>
      <c r="DK2" s="234">
        <v>58835.5</v>
      </c>
      <c r="DL2" s="234">
        <v>58886</v>
      </c>
      <c r="DM2" s="234">
        <v>58942.75</v>
      </c>
      <c r="DN2" s="234">
        <v>58999.5</v>
      </c>
      <c r="DO2" s="234">
        <v>59056.25</v>
      </c>
      <c r="DP2" s="234">
        <v>59113</v>
      </c>
      <c r="DQ2" s="234">
        <v>59176.25</v>
      </c>
      <c r="DR2" s="234">
        <v>59239.5</v>
      </c>
      <c r="DS2" s="234">
        <v>59302.75</v>
      </c>
      <c r="DT2" s="234">
        <v>59366</v>
      </c>
      <c r="DU2" s="234">
        <v>59433.75</v>
      </c>
      <c r="DV2" s="234">
        <v>59501.5</v>
      </c>
      <c r="DW2" s="234">
        <v>59569.25</v>
      </c>
      <c r="DX2" s="234">
        <v>59637</v>
      </c>
      <c r="DY2" s="234">
        <v>59715.25</v>
      </c>
      <c r="DZ2" s="234">
        <v>59793.5</v>
      </c>
      <c r="EA2" s="234">
        <v>59871.75</v>
      </c>
      <c r="EB2" s="234">
        <v>59950</v>
      </c>
      <c r="EC2" s="234">
        <v>60065.75</v>
      </c>
      <c r="ED2" s="234">
        <v>60181.5</v>
      </c>
      <c r="EE2" s="234">
        <v>60297.25</v>
      </c>
      <c r="EF2" s="234">
        <v>60413</v>
      </c>
      <c r="EG2" s="234">
        <v>60516.5</v>
      </c>
      <c r="EH2" s="234">
        <v>60620</v>
      </c>
      <c r="EI2" s="234">
        <v>60723.5</v>
      </c>
      <c r="EJ2" s="234">
        <v>60827</v>
      </c>
      <c r="EK2" s="234">
        <v>60950</v>
      </c>
      <c r="EL2" s="234">
        <v>61073</v>
      </c>
      <c r="EM2" s="234">
        <v>61196</v>
      </c>
      <c r="EN2" s="234">
        <v>61319</v>
      </c>
      <c r="EO2" s="234">
        <v>61445.25</v>
      </c>
      <c r="EP2" s="234">
        <v>61571.5</v>
      </c>
      <c r="EQ2" s="234">
        <v>61697.75</v>
      </c>
      <c r="ER2" s="234">
        <v>61824</v>
      </c>
      <c r="ES2" s="234">
        <v>61933.25</v>
      </c>
      <c r="ET2" s="234">
        <v>62042.5</v>
      </c>
      <c r="EU2" s="234">
        <v>62151.75</v>
      </c>
      <c r="EV2" s="234">
        <v>62261</v>
      </c>
      <c r="EW2" s="234">
        <v>62385.75</v>
      </c>
      <c r="EX2" s="234">
        <v>62510.5</v>
      </c>
      <c r="EY2" s="234">
        <v>62635.25</v>
      </c>
      <c r="EZ2" s="234">
        <v>62760</v>
      </c>
      <c r="FA2" s="234">
        <v>62891.25</v>
      </c>
      <c r="FB2" s="234">
        <v>63022.5</v>
      </c>
      <c r="FC2" s="234">
        <v>63153.75</v>
      </c>
      <c r="FD2" s="234">
        <v>63285</v>
      </c>
      <c r="FE2" s="234">
        <v>63391.5</v>
      </c>
      <c r="FF2" s="234">
        <v>63498</v>
      </c>
      <c r="FG2" s="234">
        <v>63604.5</v>
      </c>
      <c r="FH2" s="234">
        <v>63711</v>
      </c>
      <c r="FI2" s="234">
        <v>63817.75</v>
      </c>
      <c r="FJ2" s="234">
        <v>63924.5</v>
      </c>
      <c r="FK2" s="234">
        <v>64031.25</v>
      </c>
      <c r="FL2" s="234">
        <v>64138</v>
      </c>
      <c r="FM2" s="234">
        <v>64258.25</v>
      </c>
      <c r="FN2" s="234">
        <v>64378.5</v>
      </c>
      <c r="FO2" s="234">
        <v>64498.75</v>
      </c>
      <c r="FP2" s="234">
        <v>64619</v>
      </c>
      <c r="FQ2" s="234">
        <v>64736</v>
      </c>
      <c r="FR2" s="234">
        <v>64853</v>
      </c>
      <c r="FS2" s="234">
        <v>64970</v>
      </c>
      <c r="FT2" s="234">
        <v>65087</v>
      </c>
      <c r="FU2" s="234">
        <v>65216.75</v>
      </c>
      <c r="FV2" s="234">
        <v>65346.5</v>
      </c>
      <c r="FW2" s="234">
        <v>65476.25</v>
      </c>
      <c r="FX2" s="234">
        <v>65606</v>
      </c>
      <c r="FY2" s="234">
        <v>65695.5</v>
      </c>
      <c r="FZ2" s="234">
        <v>65785</v>
      </c>
      <c r="GA2" s="234">
        <v>65874.5</v>
      </c>
      <c r="GB2" s="234">
        <v>65964</v>
      </c>
      <c r="GC2" s="234">
        <v>66044.75</v>
      </c>
      <c r="GD2" s="234">
        <v>66125.5</v>
      </c>
      <c r="GE2" s="234">
        <v>66206.25</v>
      </c>
      <c r="GF2" s="234">
        <v>66287</v>
      </c>
      <c r="GG2" s="234">
        <v>66372.25</v>
      </c>
      <c r="GH2" s="234">
        <v>66457.5</v>
      </c>
      <c r="GI2" s="234">
        <v>66542.75</v>
      </c>
      <c r="GJ2" s="234">
        <v>66628</v>
      </c>
      <c r="GK2" s="234">
        <v>66656</v>
      </c>
      <c r="GL2" s="234">
        <v>66684</v>
      </c>
      <c r="GM2" s="234">
        <v>66712</v>
      </c>
      <c r="GN2" s="234">
        <v>66740</v>
      </c>
      <c r="GO2" s="234">
        <v>66799.5</v>
      </c>
      <c r="GP2" s="234">
        <v>66859</v>
      </c>
      <c r="GQ2" s="234">
        <v>66918.5</v>
      </c>
      <c r="GR2" s="234">
        <v>66978</v>
      </c>
      <c r="GS2" s="234">
        <v>67142.5</v>
      </c>
      <c r="GT2" s="234">
        <v>67307</v>
      </c>
      <c r="GU2" s="234">
        <v>67471.5</v>
      </c>
      <c r="GV2" s="234">
        <v>67636</v>
      </c>
      <c r="GW2" s="234">
        <v>67858.5</v>
      </c>
      <c r="GX2" s="234">
        <v>68081</v>
      </c>
      <c r="GY2" s="234">
        <v>68303.5</v>
      </c>
      <c r="GZ2" s="234">
        <v>68526</v>
      </c>
      <c r="HA2" s="234">
        <v>68714.75</v>
      </c>
      <c r="HB2" s="234">
        <v>68903.5</v>
      </c>
      <c r="HC2" s="234">
        <v>69092.25</v>
      </c>
      <c r="HD2" s="234">
        <v>69281</v>
      </c>
      <c r="HE2" s="235">
        <v>69391.649999999994</v>
      </c>
      <c r="HF2" s="235">
        <v>69501.86</v>
      </c>
      <c r="HG2" s="235">
        <v>69612.070000000007</v>
      </c>
      <c r="HH2" s="235">
        <v>69722.28</v>
      </c>
      <c r="HI2" s="235">
        <v>69822.84</v>
      </c>
      <c r="HJ2" s="235">
        <v>69923.38</v>
      </c>
      <c r="HK2" s="235">
        <v>70023.94</v>
      </c>
      <c r="HL2" s="235">
        <v>70124.479999999996</v>
      </c>
      <c r="HM2" s="235">
        <v>70214.55</v>
      </c>
      <c r="HN2" s="235">
        <v>70304.63</v>
      </c>
      <c r="HO2" s="235">
        <v>70394.69</v>
      </c>
      <c r="HP2" s="235">
        <v>70484.759999999995</v>
      </c>
      <c r="HQ2" s="235">
        <v>70554.3</v>
      </c>
      <c r="HR2" s="235">
        <v>70623.850000000006</v>
      </c>
      <c r="HS2" s="235">
        <v>70693.399999999994</v>
      </c>
      <c r="HT2" s="235">
        <v>70762.95</v>
      </c>
      <c r="HU2" s="235">
        <v>70830.84</v>
      </c>
      <c r="HV2" s="235">
        <v>70898.73</v>
      </c>
      <c r="HW2" s="235">
        <v>70966.62</v>
      </c>
      <c r="HX2" s="235">
        <v>71034.509999999995</v>
      </c>
      <c r="HY2" s="235">
        <v>71100.59</v>
      </c>
      <c r="HZ2" s="235">
        <v>71166.67</v>
      </c>
      <c r="IA2" s="235">
        <v>71232.75</v>
      </c>
      <c r="IB2" s="235">
        <v>71298.84</v>
      </c>
      <c r="IC2" s="235">
        <v>71362.98</v>
      </c>
      <c r="ID2" s="235">
        <v>71427.13</v>
      </c>
      <c r="IE2" s="235">
        <v>71491.27</v>
      </c>
      <c r="IF2" s="235">
        <v>71555.42</v>
      </c>
      <c r="IG2" s="235">
        <v>71617.570000000007</v>
      </c>
      <c r="IH2" s="235">
        <v>71679.72</v>
      </c>
      <c r="II2" s="235">
        <v>71741.87</v>
      </c>
      <c r="IJ2" s="235">
        <v>71804.02</v>
      </c>
      <c r="IK2" s="235">
        <v>71864.23</v>
      </c>
      <c r="IL2" s="235">
        <v>71924.45</v>
      </c>
      <c r="IM2" s="235">
        <v>71984.66</v>
      </c>
      <c r="IN2" s="235">
        <v>72044.87</v>
      </c>
      <c r="IO2" s="235">
        <v>72103.259999999995</v>
      </c>
      <c r="IP2" s="235">
        <v>72161.66</v>
      </c>
      <c r="IQ2" s="235">
        <v>72220.05</v>
      </c>
      <c r="IR2" s="235">
        <v>72278.45</v>
      </c>
      <c r="IS2" s="235">
        <v>72335.09</v>
      </c>
      <c r="IT2" s="235">
        <v>72391.73</v>
      </c>
      <c r="IU2" s="235">
        <v>72448.38</v>
      </c>
      <c r="IV2" s="235">
        <v>72505.02</v>
      </c>
      <c r="IW2" s="235">
        <v>72559.990000000005</v>
      </c>
      <c r="IX2" s="235">
        <v>72614.98</v>
      </c>
      <c r="IY2" s="235">
        <v>72669.95</v>
      </c>
      <c r="IZ2" s="235">
        <v>72724.94</v>
      </c>
      <c r="JA2" s="235">
        <v>72778.399999999994</v>
      </c>
      <c r="JB2" s="235">
        <v>72831.86</v>
      </c>
      <c r="JC2" s="235">
        <v>72885.320000000007</v>
      </c>
      <c r="JD2" s="235">
        <v>72938.789999999994</v>
      </c>
      <c r="JE2" s="235">
        <v>72990.880000000005</v>
      </c>
      <c r="JF2" s="235">
        <v>73042.98</v>
      </c>
      <c r="JG2" s="235">
        <v>73095.08</v>
      </c>
      <c r="JH2" s="235">
        <v>73147.179999999993</v>
      </c>
      <c r="JI2" s="235">
        <v>73198.03</v>
      </c>
      <c r="JJ2" s="235">
        <v>73248.88</v>
      </c>
      <c r="JK2" s="235">
        <v>73299.73</v>
      </c>
      <c r="JL2" s="235">
        <v>73350.59</v>
      </c>
      <c r="JM2" s="235">
        <v>73400.27</v>
      </c>
      <c r="JN2" s="235">
        <v>73449.95</v>
      </c>
      <c r="JO2" s="235">
        <v>73499.64</v>
      </c>
      <c r="JP2" s="235">
        <v>73549.320000000007</v>
      </c>
      <c r="JQ2" s="235">
        <v>73597.929999999993</v>
      </c>
      <c r="JR2" s="235">
        <v>73646.53</v>
      </c>
      <c r="JS2" s="235">
        <v>73695.13</v>
      </c>
      <c r="JT2" s="235">
        <v>73743.73</v>
      </c>
      <c r="JU2" s="235">
        <v>73791.320000000007</v>
      </c>
      <c r="JV2" s="235">
        <v>73838.899999999994</v>
      </c>
      <c r="JW2" s="235">
        <v>73886.48</v>
      </c>
      <c r="JX2" s="235">
        <v>73934.05</v>
      </c>
      <c r="JY2" s="235">
        <v>73980.56</v>
      </c>
      <c r="JZ2" s="235">
        <v>74027.070000000007</v>
      </c>
      <c r="KA2" s="235">
        <v>74073.58</v>
      </c>
      <c r="KB2" s="235">
        <v>74120.08</v>
      </c>
      <c r="KC2" s="235">
        <v>74165.399999999994</v>
      </c>
      <c r="KD2" s="235">
        <v>74210.720000000001</v>
      </c>
      <c r="KE2" s="235">
        <v>74256.039999999994</v>
      </c>
      <c r="KF2" s="235">
        <v>74301.350000000006</v>
      </c>
      <c r="KG2" s="235">
        <v>74345.399999999994</v>
      </c>
      <c r="KH2" s="235">
        <v>74389.45</v>
      </c>
      <c r="KI2" s="235">
        <v>74433.48</v>
      </c>
      <c r="KJ2" s="235">
        <v>74477.53</v>
      </c>
      <c r="KK2" s="235">
        <v>74520.23</v>
      </c>
      <c r="KL2" s="235">
        <v>74562.929999999993</v>
      </c>
      <c r="KM2" s="235">
        <v>74605.63</v>
      </c>
      <c r="KN2" s="235">
        <v>74648.33</v>
      </c>
      <c r="KO2" s="235">
        <v>74689.59</v>
      </c>
      <c r="KP2" s="235">
        <v>74730.850000000006</v>
      </c>
      <c r="KQ2" s="235">
        <v>74772.12</v>
      </c>
      <c r="KR2" s="235">
        <v>74813.38</v>
      </c>
      <c r="KS2" s="235">
        <v>74852.86</v>
      </c>
      <c r="KT2" s="235">
        <v>74892.34</v>
      </c>
      <c r="KU2" s="235">
        <v>74931.83</v>
      </c>
      <c r="KV2" s="235">
        <v>74971.3</v>
      </c>
      <c r="KW2" s="235">
        <v>75008.600000000006</v>
      </c>
      <c r="KX2" s="235">
        <v>75045.89</v>
      </c>
      <c r="KY2" s="235">
        <v>75083.19</v>
      </c>
      <c r="KZ2" s="235">
        <v>75120.479999999996</v>
      </c>
      <c r="LA2" s="235">
        <v>75155.45</v>
      </c>
      <c r="LB2" s="235">
        <v>75190.41</v>
      </c>
      <c r="LC2" s="235">
        <v>75225.37</v>
      </c>
      <c r="LD2" s="235">
        <v>75260.33</v>
      </c>
      <c r="LE2" s="235">
        <v>75292.87</v>
      </c>
      <c r="LF2" s="235">
        <v>75325.41</v>
      </c>
      <c r="LG2" s="235">
        <v>75357.95</v>
      </c>
      <c r="LH2" s="235">
        <v>75390.490000000005</v>
      </c>
      <c r="LI2" s="235">
        <v>75420.59</v>
      </c>
      <c r="LJ2" s="235">
        <v>75450.7</v>
      </c>
      <c r="LK2" s="235">
        <v>75480.800000000003</v>
      </c>
      <c r="LL2" s="235">
        <v>75510.899999999994</v>
      </c>
      <c r="LM2" s="235">
        <v>75538.559999999998</v>
      </c>
      <c r="LN2" s="235">
        <v>75566.23</v>
      </c>
      <c r="LO2" s="235">
        <v>75593.89</v>
      </c>
      <c r="LP2" s="235">
        <v>75621.55</v>
      </c>
      <c r="LQ2" s="235">
        <v>75646.84</v>
      </c>
      <c r="LR2" s="235">
        <v>75672.12</v>
      </c>
      <c r="LS2" s="235">
        <v>75697.399999999994</v>
      </c>
      <c r="LT2" s="235">
        <v>75722.679999999993</v>
      </c>
      <c r="LU2" s="235">
        <v>75745.759999999995</v>
      </c>
      <c r="LV2" s="235">
        <v>75768.83</v>
      </c>
      <c r="LW2" s="235">
        <v>75791.91</v>
      </c>
      <c r="LX2" s="235">
        <v>75814.98</v>
      </c>
      <c r="LY2" s="235">
        <v>75836.13</v>
      </c>
      <c r="LZ2" s="235">
        <v>75857.289999999994</v>
      </c>
      <c r="MA2" s="235">
        <v>75878.45</v>
      </c>
      <c r="MB2" s="235">
        <v>75899.600000000006</v>
      </c>
      <c r="MC2" s="235">
        <v>75919.14</v>
      </c>
      <c r="MD2" s="235">
        <v>75938.67</v>
      </c>
      <c r="ME2" s="235">
        <v>75958.210000000006</v>
      </c>
      <c r="MF2" s="235">
        <v>75977.740000000005</v>
      </c>
      <c r="MG2" s="235">
        <v>75995.92</v>
      </c>
      <c r="MH2" s="235">
        <v>76014.100000000006</v>
      </c>
      <c r="MI2" s="235">
        <v>76032.28</v>
      </c>
      <c r="MJ2" s="235">
        <v>76050.45</v>
      </c>
      <c r="MK2" s="235">
        <v>76067.56</v>
      </c>
      <c r="ML2" s="235">
        <v>76084.67</v>
      </c>
      <c r="MM2" s="235">
        <v>76101.77</v>
      </c>
      <c r="MN2" s="235">
        <v>76118.880000000005</v>
      </c>
      <c r="MO2" s="235">
        <v>76135.199999999997</v>
      </c>
      <c r="MP2" s="235">
        <v>76151.520000000004</v>
      </c>
      <c r="MQ2" s="235">
        <v>76167.839999999997</v>
      </c>
      <c r="MR2" s="235">
        <v>76184.160000000003</v>
      </c>
      <c r="MS2" s="235">
        <v>76200.479999999996</v>
      </c>
      <c r="MT2" s="235">
        <v>76216.81</v>
      </c>
      <c r="MU2" t="s">
        <v>581</v>
      </c>
      <c r="MV2" t="b">
        <v>0</v>
      </c>
      <c r="MW2" t="s">
        <v>582</v>
      </c>
      <c r="MX2" t="s">
        <v>582</v>
      </c>
      <c r="MY2">
        <v>2024</v>
      </c>
      <c r="MZ2">
        <v>2</v>
      </c>
      <c r="NA2" t="s">
        <v>582</v>
      </c>
      <c r="NB2" t="s">
        <v>583</v>
      </c>
      <c r="NC2" t="s">
        <v>584</v>
      </c>
      <c r="ND2" t="s">
        <v>585</v>
      </c>
      <c r="NE2" t="s">
        <v>586</v>
      </c>
      <c r="NF2" s="231" t="s">
        <v>587</v>
      </c>
    </row>
    <row r="3" spans="1:370">
      <c r="A3" t="s">
        <v>575</v>
      </c>
      <c r="B3" t="s">
        <v>598</v>
      </c>
      <c r="C3" s="231" t="s">
        <v>577</v>
      </c>
      <c r="D3" t="s">
        <v>599</v>
      </c>
      <c r="E3" t="s">
        <v>600</v>
      </c>
      <c r="F3" t="s">
        <v>580</v>
      </c>
      <c r="G3" s="234">
        <v>267015</v>
      </c>
      <c r="H3" s="234">
        <v>267521</v>
      </c>
      <c r="I3" s="234">
        <v>265025</v>
      </c>
      <c r="J3" s="234">
        <v>263989</v>
      </c>
      <c r="K3" s="234">
        <v>256670</v>
      </c>
      <c r="L3" s="234">
        <v>260347</v>
      </c>
      <c r="M3" s="234">
        <v>261890</v>
      </c>
      <c r="N3" s="234">
        <v>258066</v>
      </c>
      <c r="O3" s="234">
        <v>258116</v>
      </c>
      <c r="P3" s="234">
        <v>253935</v>
      </c>
      <c r="Q3" s="234">
        <v>253168</v>
      </c>
      <c r="R3" s="234">
        <v>255985</v>
      </c>
      <c r="S3" s="234">
        <v>260268</v>
      </c>
      <c r="T3" s="234">
        <v>259911</v>
      </c>
      <c r="U3" s="234">
        <v>263132</v>
      </c>
      <c r="V3" s="234">
        <v>268662</v>
      </c>
      <c r="W3" s="234">
        <v>268833</v>
      </c>
      <c r="X3" s="234">
        <v>266987</v>
      </c>
      <c r="Y3" s="234">
        <v>268717</v>
      </c>
      <c r="Z3" s="234">
        <v>273279</v>
      </c>
      <c r="AA3" s="234">
        <v>275841</v>
      </c>
      <c r="AB3" s="234">
        <v>279001</v>
      </c>
      <c r="AC3" s="234">
        <v>282797</v>
      </c>
      <c r="AD3" s="234">
        <v>285314</v>
      </c>
      <c r="AE3" s="234">
        <v>284457</v>
      </c>
      <c r="AF3" s="234">
        <v>296841</v>
      </c>
      <c r="AG3" s="234">
        <v>290297</v>
      </c>
      <c r="AH3" s="234">
        <v>293265</v>
      </c>
      <c r="AI3" s="234">
        <v>290378</v>
      </c>
      <c r="AJ3" s="234">
        <v>284713</v>
      </c>
      <c r="AK3" s="234">
        <v>284402</v>
      </c>
      <c r="AL3" s="234">
        <v>281496</v>
      </c>
      <c r="AM3" s="234">
        <v>281257</v>
      </c>
      <c r="AN3" s="234">
        <v>282155</v>
      </c>
      <c r="AO3" s="234">
        <v>285437</v>
      </c>
      <c r="AP3" s="234">
        <v>285814</v>
      </c>
      <c r="AQ3" s="234">
        <v>286275</v>
      </c>
      <c r="AR3" s="234">
        <v>289232</v>
      </c>
      <c r="AS3" s="234">
        <v>289852</v>
      </c>
      <c r="AT3" s="234">
        <v>291832</v>
      </c>
      <c r="AU3" s="234">
        <v>297563</v>
      </c>
      <c r="AV3" s="234">
        <v>299623</v>
      </c>
      <c r="AW3" s="234">
        <v>303085</v>
      </c>
      <c r="AX3" s="234">
        <v>305361</v>
      </c>
      <c r="AY3" s="234">
        <v>307964</v>
      </c>
      <c r="AZ3" s="234">
        <v>304892</v>
      </c>
      <c r="BA3" s="234">
        <v>307122</v>
      </c>
      <c r="BB3" s="234">
        <v>312697</v>
      </c>
      <c r="BC3" s="234">
        <v>315753</v>
      </c>
      <c r="BD3" s="234">
        <v>322451</v>
      </c>
      <c r="BE3" s="234">
        <v>322392</v>
      </c>
      <c r="BF3" s="234">
        <v>322604</v>
      </c>
      <c r="BG3" s="234">
        <v>325968</v>
      </c>
      <c r="BH3" s="234">
        <v>328872</v>
      </c>
      <c r="BI3" s="234">
        <v>330966</v>
      </c>
      <c r="BJ3" s="234">
        <v>337367</v>
      </c>
      <c r="BK3" s="234">
        <v>339754</v>
      </c>
      <c r="BL3" s="234">
        <v>344795</v>
      </c>
      <c r="BM3" s="234">
        <v>353365</v>
      </c>
      <c r="BN3" s="234">
        <v>357439</v>
      </c>
      <c r="BO3" s="234">
        <v>363267</v>
      </c>
      <c r="BP3" s="234">
        <v>365209</v>
      </c>
      <c r="BQ3" s="234">
        <v>369774</v>
      </c>
      <c r="BR3" s="234">
        <v>372752</v>
      </c>
      <c r="BS3" s="234">
        <v>374612</v>
      </c>
      <c r="BT3" s="234">
        <v>376951</v>
      </c>
      <c r="BU3" s="234">
        <v>377573</v>
      </c>
      <c r="BV3" s="234">
        <v>377508</v>
      </c>
      <c r="BW3" s="234">
        <v>379458</v>
      </c>
      <c r="BX3" s="234">
        <v>381997</v>
      </c>
      <c r="BY3" s="234">
        <v>377831</v>
      </c>
      <c r="BZ3" s="234">
        <v>375916</v>
      </c>
      <c r="CA3" s="234">
        <v>374060</v>
      </c>
      <c r="CB3" s="234">
        <v>373608</v>
      </c>
      <c r="CC3" s="234">
        <v>372878</v>
      </c>
      <c r="CD3" s="234">
        <v>373357</v>
      </c>
      <c r="CE3" s="234">
        <v>373317</v>
      </c>
      <c r="CF3" s="234">
        <v>372751</v>
      </c>
      <c r="CG3" s="234">
        <v>374537</v>
      </c>
      <c r="CH3" s="234">
        <v>377418</v>
      </c>
      <c r="CI3" s="234">
        <v>379370</v>
      </c>
      <c r="CJ3" s="234">
        <v>381045</v>
      </c>
      <c r="CK3" s="234">
        <v>384524</v>
      </c>
      <c r="CL3" s="234">
        <v>387143</v>
      </c>
      <c r="CM3" s="234">
        <v>391026</v>
      </c>
      <c r="CN3" s="234">
        <v>394588</v>
      </c>
      <c r="CO3" s="234">
        <v>398566</v>
      </c>
      <c r="CP3" s="234">
        <v>400279</v>
      </c>
      <c r="CQ3" s="234">
        <v>402390</v>
      </c>
      <c r="CR3" s="234">
        <v>403259</v>
      </c>
      <c r="CS3" s="234">
        <v>407795</v>
      </c>
      <c r="CT3" s="234">
        <v>409132</v>
      </c>
      <c r="CU3" s="234">
        <v>412022</v>
      </c>
      <c r="CV3" s="234">
        <v>413325</v>
      </c>
      <c r="CW3" s="234">
        <v>417019</v>
      </c>
      <c r="CX3" s="234">
        <v>422639</v>
      </c>
      <c r="CY3" s="234">
        <v>429418</v>
      </c>
      <c r="CZ3" s="234">
        <v>434199</v>
      </c>
      <c r="DA3" s="234">
        <v>438100</v>
      </c>
      <c r="DB3" s="234">
        <v>444540</v>
      </c>
      <c r="DC3" s="234">
        <v>447712</v>
      </c>
      <c r="DD3" s="234">
        <v>450292</v>
      </c>
      <c r="DE3" s="234">
        <v>451005</v>
      </c>
      <c r="DF3" s="234">
        <v>453937</v>
      </c>
      <c r="DG3" s="234">
        <v>457044</v>
      </c>
      <c r="DH3" s="234">
        <v>458710</v>
      </c>
      <c r="DI3" s="234">
        <v>466387</v>
      </c>
      <c r="DJ3" s="234">
        <v>473892</v>
      </c>
      <c r="DK3" s="234">
        <v>480212</v>
      </c>
      <c r="DL3" s="234">
        <v>483672</v>
      </c>
      <c r="DM3" s="234">
        <v>486617</v>
      </c>
      <c r="DN3" s="234">
        <v>489506</v>
      </c>
      <c r="DO3" s="234">
        <v>493575</v>
      </c>
      <c r="DP3" s="234">
        <v>495602</v>
      </c>
      <c r="DQ3" s="234">
        <v>497938</v>
      </c>
      <c r="DR3" s="234">
        <v>499278</v>
      </c>
      <c r="DS3" s="234">
        <v>500794</v>
      </c>
      <c r="DT3" s="234">
        <v>503433</v>
      </c>
      <c r="DU3" s="234">
        <v>506386</v>
      </c>
      <c r="DV3" s="234">
        <v>509728</v>
      </c>
      <c r="DW3" s="234">
        <v>514031</v>
      </c>
      <c r="DX3" s="234">
        <v>518802</v>
      </c>
      <c r="DY3" s="234">
        <v>524213</v>
      </c>
      <c r="DZ3" s="234">
        <v>528320</v>
      </c>
      <c r="EA3" s="234">
        <v>529996</v>
      </c>
      <c r="EB3" s="234">
        <v>532543</v>
      </c>
      <c r="EC3" s="234">
        <v>534447</v>
      </c>
      <c r="ED3" s="234">
        <v>536886</v>
      </c>
      <c r="EE3" s="234">
        <v>541028</v>
      </c>
      <c r="EF3" s="234">
        <v>545530</v>
      </c>
      <c r="EG3" s="234">
        <v>550552</v>
      </c>
      <c r="EH3" s="234">
        <v>556311</v>
      </c>
      <c r="EI3" s="234">
        <v>558314</v>
      </c>
      <c r="EJ3" s="234">
        <v>559795</v>
      </c>
      <c r="EK3" s="234">
        <v>560675</v>
      </c>
      <c r="EL3" s="234">
        <v>562669</v>
      </c>
      <c r="EM3" s="234">
        <v>568845</v>
      </c>
      <c r="EN3" s="234">
        <v>574194</v>
      </c>
      <c r="EO3" s="234">
        <v>579605</v>
      </c>
      <c r="EP3" s="234">
        <v>584504</v>
      </c>
      <c r="EQ3" s="234">
        <v>586690</v>
      </c>
      <c r="ER3" s="234">
        <v>583541</v>
      </c>
      <c r="ES3" s="234">
        <v>573961</v>
      </c>
      <c r="ET3" s="234">
        <v>561816</v>
      </c>
      <c r="EU3" s="234">
        <v>550451</v>
      </c>
      <c r="EV3" s="234">
        <v>548859</v>
      </c>
      <c r="EW3" s="234">
        <v>549540</v>
      </c>
      <c r="EX3" s="234">
        <v>551372</v>
      </c>
      <c r="EY3" s="234">
        <v>556002</v>
      </c>
      <c r="EZ3" s="234">
        <v>562353</v>
      </c>
      <c r="FA3" s="234">
        <v>565659</v>
      </c>
      <c r="FB3" s="234">
        <v>565945</v>
      </c>
      <c r="FC3" s="234">
        <v>566873</v>
      </c>
      <c r="FD3" s="234">
        <v>566601</v>
      </c>
      <c r="FE3" s="234">
        <v>567586</v>
      </c>
      <c r="FF3" s="234">
        <v>568056</v>
      </c>
      <c r="FG3" s="234">
        <v>573416</v>
      </c>
      <c r="FH3" s="234">
        <v>573112</v>
      </c>
      <c r="FI3" s="234">
        <v>579051</v>
      </c>
      <c r="FJ3" s="234">
        <v>578215</v>
      </c>
      <c r="FK3" s="234">
        <v>579749</v>
      </c>
      <c r="FL3" s="234">
        <v>583605</v>
      </c>
      <c r="FM3" s="234">
        <v>588076</v>
      </c>
      <c r="FN3" s="234">
        <v>591954</v>
      </c>
      <c r="FO3" s="234">
        <v>596696</v>
      </c>
      <c r="FP3" s="234">
        <v>602310</v>
      </c>
      <c r="FQ3" s="234">
        <v>607213</v>
      </c>
      <c r="FR3" s="234">
        <v>611220</v>
      </c>
      <c r="FS3" s="234">
        <v>613076</v>
      </c>
      <c r="FT3" s="234">
        <v>615875</v>
      </c>
      <c r="FU3" s="234">
        <v>618263</v>
      </c>
      <c r="FV3" s="234">
        <v>621968</v>
      </c>
      <c r="FW3" s="234">
        <v>625099</v>
      </c>
      <c r="FX3" s="234">
        <v>629697</v>
      </c>
      <c r="FY3" s="234">
        <v>632477</v>
      </c>
      <c r="FZ3" s="234">
        <v>636392</v>
      </c>
      <c r="GA3" s="234">
        <v>642463</v>
      </c>
      <c r="GB3" s="234">
        <v>647944</v>
      </c>
      <c r="GC3" s="234">
        <v>652329</v>
      </c>
      <c r="GD3" s="234">
        <v>657225</v>
      </c>
      <c r="GE3" s="234">
        <v>657741</v>
      </c>
      <c r="GF3" s="234">
        <v>659172</v>
      </c>
      <c r="GG3" s="234">
        <v>661262</v>
      </c>
      <c r="GH3" s="234">
        <v>662120</v>
      </c>
      <c r="GI3" s="234">
        <v>665456</v>
      </c>
      <c r="GJ3" s="234">
        <v>666875</v>
      </c>
      <c r="GK3" s="234">
        <v>670547</v>
      </c>
      <c r="GL3" s="234">
        <v>670587</v>
      </c>
      <c r="GM3" s="234">
        <v>652180</v>
      </c>
      <c r="GN3" s="234">
        <v>522356</v>
      </c>
      <c r="GO3" s="234">
        <v>610972</v>
      </c>
      <c r="GP3" s="234">
        <v>619330</v>
      </c>
      <c r="GQ3" s="234">
        <v>612665</v>
      </c>
      <c r="GR3" s="234">
        <v>655443</v>
      </c>
      <c r="GS3" s="234">
        <v>666498</v>
      </c>
      <c r="GT3" s="234">
        <v>675680</v>
      </c>
      <c r="GU3" s="234">
        <v>682527</v>
      </c>
      <c r="GV3" s="234">
        <v>686335</v>
      </c>
      <c r="GW3" s="234">
        <v>687029</v>
      </c>
      <c r="GX3" s="234">
        <v>688817</v>
      </c>
      <c r="GY3" s="234">
        <v>689206</v>
      </c>
      <c r="GZ3" s="234">
        <v>689491</v>
      </c>
      <c r="HA3" s="234">
        <v>687839</v>
      </c>
      <c r="HB3" s="234">
        <v>685628</v>
      </c>
      <c r="HC3" s="234">
        <v>691337</v>
      </c>
      <c r="HD3" s="234">
        <v>695578</v>
      </c>
      <c r="HE3" s="234">
        <v>697248</v>
      </c>
      <c r="HF3" s="234">
        <v>698912</v>
      </c>
      <c r="HG3" s="234">
        <v>703532</v>
      </c>
      <c r="HH3" s="234">
        <v>705486</v>
      </c>
      <c r="HI3" s="234">
        <v>706062</v>
      </c>
      <c r="HJ3" s="235">
        <v>707438.8</v>
      </c>
      <c r="HK3" s="235">
        <v>709335.8</v>
      </c>
      <c r="HL3" s="235">
        <v>711025.3</v>
      </c>
      <c r="HM3" s="235">
        <v>712848.6</v>
      </c>
      <c r="HN3" s="235">
        <v>714836.9</v>
      </c>
      <c r="HO3" s="235">
        <v>717052.9</v>
      </c>
      <c r="HP3" s="235">
        <v>719581.1</v>
      </c>
      <c r="HQ3" s="235">
        <v>722315.3</v>
      </c>
      <c r="HR3" s="235">
        <v>725276.6</v>
      </c>
      <c r="HS3" s="235">
        <v>728250.5</v>
      </c>
      <c r="HT3" s="235">
        <v>731163.1</v>
      </c>
      <c r="HU3" s="235">
        <v>734416.8</v>
      </c>
      <c r="HV3" s="235">
        <v>737575</v>
      </c>
      <c r="HW3" s="235">
        <v>740599</v>
      </c>
      <c r="HX3" s="235">
        <v>743524.2</v>
      </c>
      <c r="HY3" s="235">
        <v>746498.4</v>
      </c>
      <c r="HZ3" s="235">
        <v>749484.4</v>
      </c>
      <c r="IA3" s="235">
        <v>752370</v>
      </c>
      <c r="IB3" s="235">
        <v>755304.3</v>
      </c>
      <c r="IC3" s="235">
        <v>758249.9</v>
      </c>
      <c r="ID3" s="235">
        <v>761282.9</v>
      </c>
      <c r="IE3" s="235">
        <v>764328.1</v>
      </c>
      <c r="IF3" s="235">
        <v>767385.4</v>
      </c>
      <c r="IG3" s="235">
        <v>770378.1</v>
      </c>
      <c r="IH3" s="235">
        <v>773421.1</v>
      </c>
      <c r="II3" s="235">
        <v>776514.8</v>
      </c>
      <c r="IJ3" s="235">
        <v>779543.3</v>
      </c>
      <c r="IK3" s="235">
        <v>782583.4</v>
      </c>
      <c r="IL3" s="235">
        <v>785674.7</v>
      </c>
      <c r="IM3" s="235">
        <v>788668.2</v>
      </c>
      <c r="IN3" s="235">
        <v>791678.2</v>
      </c>
      <c r="IO3" s="235">
        <v>794734.4</v>
      </c>
      <c r="IP3" s="235">
        <v>797738.4</v>
      </c>
      <c r="IQ3" s="235">
        <v>800822.5</v>
      </c>
      <c r="IR3" s="235">
        <v>803846.1</v>
      </c>
      <c r="IS3" s="235">
        <v>806845.6</v>
      </c>
      <c r="IT3" s="235">
        <v>809805.3</v>
      </c>
      <c r="IU3" s="235">
        <v>812870.9</v>
      </c>
      <c r="IV3" s="235">
        <v>815949.8</v>
      </c>
      <c r="IW3" s="235">
        <v>819041.6</v>
      </c>
      <c r="IX3" s="235">
        <v>822146.2</v>
      </c>
      <c r="IY3" s="235">
        <v>825332.6</v>
      </c>
      <c r="IZ3" s="235">
        <v>828535.6</v>
      </c>
      <c r="JA3" s="235">
        <v>831754.9</v>
      </c>
      <c r="JB3" s="235">
        <v>834990.6</v>
      </c>
      <c r="JC3" s="235">
        <v>838242.6</v>
      </c>
      <c r="JD3" s="235">
        <v>841510.7</v>
      </c>
      <c r="JE3" s="235">
        <v>844795.3</v>
      </c>
      <c r="JF3" s="235">
        <v>848096.3</v>
      </c>
      <c r="JG3" s="235">
        <v>851413.8</v>
      </c>
      <c r="JH3" s="235">
        <v>854747.4</v>
      </c>
      <c r="JI3" s="235">
        <v>858097.9</v>
      </c>
      <c r="JJ3" s="235">
        <v>861465.5</v>
      </c>
      <c r="JK3" s="235">
        <v>864850.1</v>
      </c>
      <c r="JL3" s="235">
        <v>868251.3</v>
      </c>
      <c r="JM3" s="235">
        <v>871669.8</v>
      </c>
      <c r="JN3" s="235">
        <v>875105.4</v>
      </c>
      <c r="JO3" s="235">
        <v>878558.1</v>
      </c>
      <c r="JP3" s="235">
        <v>882026.5</v>
      </c>
      <c r="JQ3" s="235">
        <v>885510.6</v>
      </c>
      <c r="JR3" s="235">
        <v>889010.3</v>
      </c>
      <c r="JS3" s="235">
        <v>892595.1</v>
      </c>
      <c r="JT3" s="235">
        <v>896196.6</v>
      </c>
      <c r="JU3" s="235">
        <v>899826.2</v>
      </c>
      <c r="JV3" s="235">
        <v>903472.6</v>
      </c>
      <c r="JW3" s="235">
        <v>907136</v>
      </c>
      <c r="JX3" s="235">
        <v>910816.2</v>
      </c>
      <c r="JY3" s="235">
        <v>914438.8</v>
      </c>
      <c r="JZ3" s="235">
        <v>918076.8</v>
      </c>
      <c r="KA3" s="235">
        <v>921730.4</v>
      </c>
      <c r="KB3" s="235">
        <v>925399.6</v>
      </c>
      <c r="KC3" s="235">
        <v>928921.3</v>
      </c>
      <c r="KD3" s="235">
        <v>932455.2</v>
      </c>
      <c r="KE3" s="235">
        <v>936001.4</v>
      </c>
      <c r="KF3" s="235">
        <v>939559.5</v>
      </c>
      <c r="KG3" s="235">
        <v>942980.4</v>
      </c>
      <c r="KH3" s="235">
        <v>946410.9</v>
      </c>
      <c r="KI3" s="235">
        <v>949850.8</v>
      </c>
      <c r="KJ3" s="235">
        <v>953300.2</v>
      </c>
      <c r="KK3" s="235">
        <v>956694.8</v>
      </c>
      <c r="KL3" s="235">
        <v>960097.6</v>
      </c>
      <c r="KM3" s="235">
        <v>963509.2</v>
      </c>
      <c r="KN3" s="235">
        <v>966929.1</v>
      </c>
      <c r="KO3" s="235">
        <v>970391.1</v>
      </c>
      <c r="KP3" s="235">
        <v>973862.5</v>
      </c>
      <c r="KQ3" s="235">
        <v>977343</v>
      </c>
      <c r="KR3" s="235">
        <v>980832.9</v>
      </c>
      <c r="KS3" s="235">
        <v>984275.8</v>
      </c>
      <c r="KT3" s="235">
        <v>987727.3</v>
      </c>
      <c r="KU3" s="235">
        <v>991187.3</v>
      </c>
      <c r="KV3" s="235">
        <v>994655.9</v>
      </c>
      <c r="KW3" s="235">
        <v>998108.8</v>
      </c>
      <c r="KX3" s="235">
        <v>1001570</v>
      </c>
      <c r="KY3" s="235">
        <v>1005039</v>
      </c>
      <c r="KZ3" s="235">
        <v>1008516</v>
      </c>
      <c r="LA3" s="235">
        <v>1011923</v>
      </c>
      <c r="LB3" s="235">
        <v>1015336</v>
      </c>
      <c r="LC3" s="235">
        <v>1018757</v>
      </c>
      <c r="LD3" s="235">
        <v>1022182</v>
      </c>
      <c r="LE3" s="235">
        <v>1025587</v>
      </c>
      <c r="LF3" s="235">
        <v>1028997</v>
      </c>
      <c r="LG3" s="235">
        <v>1032413</v>
      </c>
      <c r="LH3" s="235">
        <v>1035834</v>
      </c>
      <c r="LI3" s="235">
        <v>1039222</v>
      </c>
      <c r="LJ3" s="235">
        <v>1042614</v>
      </c>
      <c r="LK3" s="235">
        <v>1046011</v>
      </c>
      <c r="LL3" s="235">
        <v>1049414</v>
      </c>
      <c r="LM3" s="235">
        <v>1052740</v>
      </c>
      <c r="LN3" s="235">
        <v>1056070</v>
      </c>
      <c r="LO3" s="235">
        <v>1059403</v>
      </c>
      <c r="LP3" s="235">
        <v>1062739</v>
      </c>
      <c r="LQ3" s="235">
        <v>1066079</v>
      </c>
      <c r="LR3" s="235">
        <v>1069422</v>
      </c>
      <c r="LS3" s="235">
        <v>1072769</v>
      </c>
      <c r="LT3" s="235">
        <v>1076120</v>
      </c>
      <c r="LU3" s="235">
        <v>1079439</v>
      </c>
      <c r="LV3" s="235">
        <v>1082761</v>
      </c>
      <c r="LW3" s="235">
        <v>1086087</v>
      </c>
      <c r="LX3" s="235">
        <v>1089416</v>
      </c>
      <c r="LY3" s="235">
        <v>1092714</v>
      </c>
      <c r="LZ3" s="235">
        <v>1096014</v>
      </c>
      <c r="MA3" s="235">
        <v>1099318</v>
      </c>
      <c r="MB3" s="235">
        <v>1102624</v>
      </c>
      <c r="MC3" s="235">
        <v>1105932</v>
      </c>
      <c r="MD3" s="235">
        <v>1109243</v>
      </c>
      <c r="ME3" s="235">
        <v>1112557</v>
      </c>
      <c r="MF3" s="235">
        <v>1115874</v>
      </c>
      <c r="MG3" s="235">
        <v>1119221</v>
      </c>
      <c r="MH3" s="235">
        <v>1122571</v>
      </c>
      <c r="MI3" s="235">
        <v>1125926</v>
      </c>
      <c r="MJ3" s="235">
        <v>1129284</v>
      </c>
      <c r="MK3" s="235">
        <v>1132624</v>
      </c>
      <c r="ML3" s="235">
        <v>1135967</v>
      </c>
      <c r="MM3" s="235">
        <v>1139314</v>
      </c>
      <c r="MN3" s="235">
        <v>1142665</v>
      </c>
      <c r="MO3" s="235">
        <v>1146044</v>
      </c>
      <c r="MP3" s="235">
        <v>1149426</v>
      </c>
      <c r="MQ3" s="235">
        <v>1152814</v>
      </c>
      <c r="MR3" s="235">
        <v>1156205</v>
      </c>
      <c r="MS3" s="235">
        <v>1159600</v>
      </c>
      <c r="MT3" s="235">
        <v>1163001</v>
      </c>
      <c r="MU3" t="s">
        <v>581</v>
      </c>
      <c r="MV3" t="b">
        <v>1</v>
      </c>
      <c r="MW3" s="231" t="s">
        <v>601</v>
      </c>
      <c r="MX3" t="s">
        <v>582</v>
      </c>
      <c r="MY3">
        <v>2025</v>
      </c>
      <c r="MZ3">
        <v>3</v>
      </c>
      <c r="NA3" t="s">
        <v>582</v>
      </c>
      <c r="NB3" t="s">
        <v>602</v>
      </c>
      <c r="NC3" s="231" t="s">
        <v>603</v>
      </c>
      <c r="ND3" t="s">
        <v>585</v>
      </c>
      <c r="NE3" t="s">
        <v>604</v>
      </c>
      <c r="NF3" s="231" t="s">
        <v>587</v>
      </c>
    </row>
    <row r="4" spans="1:370">
      <c r="A4" t="s">
        <v>575</v>
      </c>
      <c r="B4" t="s">
        <v>605</v>
      </c>
      <c r="C4" s="231" t="s">
        <v>577</v>
      </c>
      <c r="D4" t="s">
        <v>606</v>
      </c>
      <c r="E4" t="s">
        <v>582</v>
      </c>
      <c r="F4" t="s">
        <v>580</v>
      </c>
      <c r="G4" s="234">
        <v>11.88749</v>
      </c>
      <c r="H4" s="234">
        <v>12.304600000000001</v>
      </c>
      <c r="I4" s="234">
        <v>12.51315</v>
      </c>
      <c r="J4" s="234">
        <v>13.008459999999999</v>
      </c>
      <c r="K4" s="234">
        <v>13.47771</v>
      </c>
      <c r="L4" s="234">
        <v>14.23371</v>
      </c>
      <c r="M4" s="234">
        <v>14.572609999999999</v>
      </c>
      <c r="N4" s="234">
        <v>15.250400000000001</v>
      </c>
      <c r="O4" s="234">
        <v>16.058540000000001</v>
      </c>
      <c r="P4" s="234">
        <v>17.466270000000002</v>
      </c>
      <c r="Q4" s="234">
        <v>18.222280000000001</v>
      </c>
      <c r="R4" s="234">
        <v>18.847930000000002</v>
      </c>
      <c r="S4" s="234">
        <v>19.42145</v>
      </c>
      <c r="T4" s="234">
        <v>20.125319999999999</v>
      </c>
      <c r="U4" s="234">
        <v>20.594560000000001</v>
      </c>
      <c r="V4" s="234">
        <v>21.506979999999999</v>
      </c>
      <c r="W4" s="234">
        <v>22.471530000000001</v>
      </c>
      <c r="X4" s="234">
        <v>23.410019999999999</v>
      </c>
      <c r="Y4" s="234">
        <v>23.82713</v>
      </c>
      <c r="Z4" s="234">
        <v>24.139949999999999</v>
      </c>
      <c r="AA4" s="234">
        <v>24.452780000000001</v>
      </c>
      <c r="AB4" s="234">
        <v>25.078440000000001</v>
      </c>
      <c r="AC4" s="234">
        <v>25.469480000000001</v>
      </c>
      <c r="AD4" s="234">
        <v>25.860510000000001</v>
      </c>
      <c r="AE4" s="234">
        <v>26.43403</v>
      </c>
      <c r="AF4" s="234">
        <v>27.268239999999999</v>
      </c>
      <c r="AG4" s="234">
        <v>28.910589999999999</v>
      </c>
      <c r="AH4" s="234">
        <v>29.718730000000001</v>
      </c>
      <c r="AI4" s="234">
        <v>30.605080000000001</v>
      </c>
      <c r="AJ4" s="234">
        <v>32.247430000000001</v>
      </c>
      <c r="AK4" s="234">
        <v>32.951300000000003</v>
      </c>
      <c r="AL4" s="234">
        <v>33.550879999999999</v>
      </c>
      <c r="AM4" s="234">
        <v>34.385100000000001</v>
      </c>
      <c r="AN4" s="234">
        <v>36.079590000000003</v>
      </c>
      <c r="AO4" s="234">
        <v>36.731310000000001</v>
      </c>
      <c r="AP4" s="234">
        <v>37.435180000000003</v>
      </c>
      <c r="AQ4" s="234">
        <v>37.878349999999998</v>
      </c>
      <c r="AR4" s="234">
        <v>39.181800000000003</v>
      </c>
      <c r="AS4" s="234">
        <v>39.416420000000002</v>
      </c>
      <c r="AT4" s="234">
        <v>39.885669999999998</v>
      </c>
      <c r="AU4" s="234">
        <v>40.172429999999999</v>
      </c>
      <c r="AV4" s="234">
        <v>40.85022</v>
      </c>
      <c r="AW4" s="234">
        <v>41.293399999999998</v>
      </c>
      <c r="AX4" s="234">
        <v>41.762639999999998</v>
      </c>
      <c r="AY4" s="234">
        <v>41.86692</v>
      </c>
      <c r="AZ4" s="234">
        <v>42.779339999999998</v>
      </c>
      <c r="BA4" s="234">
        <v>42.98789</v>
      </c>
      <c r="BB4" s="234">
        <v>43.431060000000002</v>
      </c>
      <c r="BC4" s="234">
        <v>43.874229999999997</v>
      </c>
      <c r="BD4" s="234">
        <v>44.995199999999997</v>
      </c>
      <c r="BE4" s="234">
        <v>45.125549999999997</v>
      </c>
      <c r="BF4" s="234">
        <v>45.490519999999997</v>
      </c>
      <c r="BG4" s="234">
        <v>45.646929999999998</v>
      </c>
      <c r="BH4" s="234">
        <v>46.3508</v>
      </c>
      <c r="BI4" s="234">
        <v>46.533279999999998</v>
      </c>
      <c r="BJ4" s="234">
        <v>46.924320000000002</v>
      </c>
      <c r="BK4" s="234">
        <v>47.237139999999997</v>
      </c>
      <c r="BL4" s="234">
        <v>47.836730000000003</v>
      </c>
      <c r="BM4" s="234">
        <v>47.888869999999997</v>
      </c>
      <c r="BN4" s="234">
        <v>48.436320000000002</v>
      </c>
      <c r="BO4" s="234">
        <v>48.566670000000002</v>
      </c>
      <c r="BP4" s="234">
        <v>49.5</v>
      </c>
      <c r="BQ4" s="234">
        <v>49.9</v>
      </c>
      <c r="BR4" s="234">
        <v>50.466670000000001</v>
      </c>
      <c r="BS4" s="234">
        <v>51</v>
      </c>
      <c r="BT4" s="234">
        <v>52.133339999999997</v>
      </c>
      <c r="BU4" s="234">
        <v>52.466670000000001</v>
      </c>
      <c r="BV4" s="234">
        <v>53.266669999999998</v>
      </c>
      <c r="BW4" s="234">
        <v>53.933329999999998</v>
      </c>
      <c r="BX4" s="234">
        <v>55.6</v>
      </c>
      <c r="BY4" s="234">
        <v>56.4</v>
      </c>
      <c r="BZ4" s="234">
        <v>57.466670000000001</v>
      </c>
      <c r="CA4" s="234">
        <v>57.666670000000003</v>
      </c>
      <c r="CB4" s="234">
        <v>60.266669999999998</v>
      </c>
      <c r="CC4" s="234">
        <v>60.833329999999997</v>
      </c>
      <c r="CD4" s="234">
        <v>61.466670000000001</v>
      </c>
      <c r="CE4" s="234">
        <v>61.7</v>
      </c>
      <c r="CF4" s="234">
        <v>62.833329999999997</v>
      </c>
      <c r="CG4" s="234">
        <v>62.733330000000002</v>
      </c>
      <c r="CH4" s="234">
        <v>63.133339999999997</v>
      </c>
      <c r="CI4" s="234">
        <v>63.2</v>
      </c>
      <c r="CJ4" s="234">
        <v>64.433329999999998</v>
      </c>
      <c r="CK4" s="234">
        <v>64.5</v>
      </c>
      <c r="CL4" s="234">
        <v>64.666659999999993</v>
      </c>
      <c r="CM4" s="234">
        <v>64.766670000000005</v>
      </c>
      <c r="CN4" s="234">
        <v>65.7</v>
      </c>
      <c r="CO4" s="234">
        <v>65.633330000000001</v>
      </c>
      <c r="CP4" s="234">
        <v>65.8</v>
      </c>
      <c r="CQ4" s="234">
        <v>66.333340000000007</v>
      </c>
      <c r="CR4" s="234">
        <v>67.266670000000005</v>
      </c>
      <c r="CS4" s="234">
        <v>67.400000000000006</v>
      </c>
      <c r="CT4" s="234">
        <v>67.733329999999995</v>
      </c>
      <c r="CU4" s="234">
        <v>68.099999999999994</v>
      </c>
      <c r="CV4" s="234">
        <v>68.866669999999999</v>
      </c>
      <c r="CW4" s="234">
        <v>68.933329999999998</v>
      </c>
      <c r="CX4" s="234">
        <v>69.366669999999999</v>
      </c>
      <c r="CY4" s="234">
        <v>69.366669999999999</v>
      </c>
      <c r="CZ4" s="234">
        <v>70</v>
      </c>
      <c r="DA4" s="234">
        <v>70.266670000000005</v>
      </c>
      <c r="DB4" s="234">
        <v>70.633330000000001</v>
      </c>
      <c r="DC4" s="234">
        <v>70.5</v>
      </c>
      <c r="DD4" s="234">
        <v>71.266670000000005</v>
      </c>
      <c r="DE4" s="234">
        <v>71.233329999999995</v>
      </c>
      <c r="DF4" s="234">
        <v>71.633330000000001</v>
      </c>
      <c r="DG4" s="234">
        <v>71.599999999999994</v>
      </c>
      <c r="DH4" s="234">
        <v>72.3</v>
      </c>
      <c r="DI4" s="234">
        <v>72.133330000000001</v>
      </c>
      <c r="DJ4" s="234">
        <v>72.433329999999998</v>
      </c>
      <c r="DK4" s="234">
        <v>72.133330000000001</v>
      </c>
      <c r="DL4" s="234">
        <v>72.766670000000005</v>
      </c>
      <c r="DM4" s="234">
        <v>72.7</v>
      </c>
      <c r="DN4" s="234">
        <v>73.166659999999993</v>
      </c>
      <c r="DO4" s="234">
        <v>72.766670000000005</v>
      </c>
      <c r="DP4" s="234">
        <v>73.833340000000007</v>
      </c>
      <c r="DQ4" s="234">
        <v>73.866669999999999</v>
      </c>
      <c r="DR4" s="234">
        <v>73.900000000000006</v>
      </c>
      <c r="DS4" s="234">
        <v>73.866669999999999</v>
      </c>
      <c r="DT4" s="234">
        <v>74.533330000000007</v>
      </c>
      <c r="DU4" s="234">
        <v>74.599999999999994</v>
      </c>
      <c r="DV4" s="234">
        <v>75</v>
      </c>
      <c r="DW4" s="234">
        <v>75</v>
      </c>
      <c r="DX4" s="234">
        <v>75.466669999999993</v>
      </c>
      <c r="DY4" s="234">
        <v>75.599999999999994</v>
      </c>
      <c r="DZ4" s="234">
        <v>76.033330000000007</v>
      </c>
      <c r="EA4" s="234">
        <v>75.966669999999993</v>
      </c>
      <c r="EB4" s="234">
        <v>76.533330000000007</v>
      </c>
      <c r="EC4" s="234">
        <v>76.566670000000002</v>
      </c>
      <c r="ED4" s="234">
        <v>77.099999999999994</v>
      </c>
      <c r="EE4" s="234">
        <v>77.233329999999995</v>
      </c>
      <c r="EF4" s="234">
        <v>78</v>
      </c>
      <c r="EG4" s="234">
        <v>78.400000000000006</v>
      </c>
      <c r="EH4" s="234">
        <v>78.766670000000005</v>
      </c>
      <c r="EI4" s="234">
        <v>78.733329999999995</v>
      </c>
      <c r="EJ4" s="234">
        <v>79.8</v>
      </c>
      <c r="EK4" s="234">
        <v>80.3</v>
      </c>
      <c r="EL4" s="234">
        <v>80.900000000000006</v>
      </c>
      <c r="EM4" s="234">
        <v>81</v>
      </c>
      <c r="EN4" s="234">
        <v>81.8</v>
      </c>
      <c r="EO4" s="234">
        <v>81.733329999999995</v>
      </c>
      <c r="EP4" s="234">
        <v>82.6</v>
      </c>
      <c r="EQ4" s="234">
        <v>82.933329999999998</v>
      </c>
      <c r="ER4" s="234">
        <v>84.6</v>
      </c>
      <c r="ES4" s="234">
        <v>85.633330000000001</v>
      </c>
      <c r="ET4" s="234">
        <v>85.733329999999995</v>
      </c>
      <c r="EU4" s="234">
        <v>85.433329999999998</v>
      </c>
      <c r="EV4" s="234">
        <v>86.366669999999999</v>
      </c>
      <c r="EW4" s="234">
        <v>86.933329999999998</v>
      </c>
      <c r="EX4" s="234">
        <v>87.566670000000002</v>
      </c>
      <c r="EY4" s="234">
        <v>88.233329999999995</v>
      </c>
      <c r="EZ4" s="234">
        <v>89.366669999999999</v>
      </c>
      <c r="FA4" s="234">
        <v>89.633330000000001</v>
      </c>
      <c r="FB4" s="234">
        <v>90.5</v>
      </c>
      <c r="FC4" s="234">
        <v>91.833340000000007</v>
      </c>
      <c r="FD4" s="234">
        <v>93.3</v>
      </c>
      <c r="FE4" s="234">
        <v>93.833340000000007</v>
      </c>
      <c r="FF4" s="234">
        <v>94.733329999999995</v>
      </c>
      <c r="FG4" s="234">
        <v>95.033330000000007</v>
      </c>
      <c r="FH4" s="234">
        <v>95.8</v>
      </c>
      <c r="FI4" s="234">
        <v>96.066670000000002</v>
      </c>
      <c r="FJ4" s="234">
        <v>97.266670000000005</v>
      </c>
      <c r="FK4" s="234">
        <v>97.666659999999993</v>
      </c>
      <c r="FL4" s="234">
        <v>98.366669999999999</v>
      </c>
      <c r="FM4" s="234">
        <v>98.7</v>
      </c>
      <c r="FN4" s="234">
        <v>99.3</v>
      </c>
      <c r="FO4" s="234">
        <v>99.4</v>
      </c>
      <c r="FP4" s="234">
        <v>100.1</v>
      </c>
      <c r="FQ4" s="234">
        <v>100.13330000000001</v>
      </c>
      <c r="FR4" s="234">
        <v>100.2</v>
      </c>
      <c r="FS4" s="234">
        <v>99.5</v>
      </c>
      <c r="FT4" s="234">
        <v>100.0667</v>
      </c>
      <c r="FU4" s="234">
        <v>100.16670000000001</v>
      </c>
      <c r="FV4" s="234">
        <v>100.3</v>
      </c>
      <c r="FW4" s="234">
        <v>99.833340000000007</v>
      </c>
      <c r="FX4" s="234">
        <v>100.4</v>
      </c>
      <c r="FY4" s="234">
        <v>100.86669999999999</v>
      </c>
      <c r="FZ4" s="234">
        <v>101.5</v>
      </c>
      <c r="GA4" s="234">
        <v>102</v>
      </c>
      <c r="GB4" s="234">
        <v>103.16670000000001</v>
      </c>
      <c r="GC4" s="234">
        <v>103.7</v>
      </c>
      <c r="GD4" s="234">
        <v>104.5667</v>
      </c>
      <c r="GE4" s="234">
        <v>104.7667</v>
      </c>
      <c r="GF4" s="234">
        <v>105.66670000000001</v>
      </c>
      <c r="GG4" s="234">
        <v>106.3</v>
      </c>
      <c r="GH4" s="234">
        <v>106.9333</v>
      </c>
      <c r="GI4" s="234">
        <v>106.7</v>
      </c>
      <c r="GJ4" s="234">
        <v>107.8</v>
      </c>
      <c r="GK4" s="234">
        <v>108.2667</v>
      </c>
      <c r="GL4" s="234">
        <v>108.4333</v>
      </c>
      <c r="GM4" s="234">
        <v>108.4667</v>
      </c>
      <c r="GN4" s="234">
        <v>108.5333</v>
      </c>
      <c r="GO4" s="234">
        <v>108.9333</v>
      </c>
      <c r="GP4" s="234">
        <v>109.0667</v>
      </c>
      <c r="GQ4" s="234">
        <v>109.16670000000001</v>
      </c>
      <c r="GR4" s="234">
        <v>110.7333</v>
      </c>
      <c r="GS4" s="234">
        <v>111.9333</v>
      </c>
      <c r="GT4" s="234">
        <v>114.4</v>
      </c>
      <c r="GU4" s="234">
        <v>115.9333</v>
      </c>
      <c r="GV4" s="234">
        <v>120.86669999999999</v>
      </c>
      <c r="GW4" s="234">
        <v>123.13330000000001</v>
      </c>
      <c r="GX4" s="234">
        <v>126.7</v>
      </c>
      <c r="GY4" s="234">
        <v>127.7333</v>
      </c>
      <c r="GZ4" s="234">
        <v>131.0667</v>
      </c>
      <c r="HA4" s="234">
        <v>131.4</v>
      </c>
      <c r="HB4" s="234">
        <v>131.9667</v>
      </c>
      <c r="HC4" s="234">
        <v>132.26669999999999</v>
      </c>
      <c r="HD4" s="234">
        <v>133.83330000000001</v>
      </c>
      <c r="HE4" s="234">
        <v>134.1</v>
      </c>
      <c r="HF4" s="234">
        <v>135.23330000000001</v>
      </c>
      <c r="HG4" s="234">
        <v>135.9667</v>
      </c>
      <c r="HH4" s="234">
        <v>138.5</v>
      </c>
      <c r="HI4" s="234">
        <v>139.19999999999999</v>
      </c>
      <c r="HJ4" s="235">
        <v>140.12880000000001</v>
      </c>
      <c r="HK4" s="235">
        <v>140.50749999999999</v>
      </c>
      <c r="HL4" s="235">
        <v>142.02770000000001</v>
      </c>
      <c r="HM4" s="235">
        <v>142.90960000000001</v>
      </c>
      <c r="HN4" s="235">
        <v>143.815</v>
      </c>
      <c r="HO4" s="235">
        <v>144.21119999999999</v>
      </c>
      <c r="HP4" s="235">
        <v>145.68049999999999</v>
      </c>
      <c r="HQ4" s="235">
        <v>146.5034</v>
      </c>
      <c r="HR4" s="235">
        <v>147.30549999999999</v>
      </c>
      <c r="HS4" s="235">
        <v>147.53309999999999</v>
      </c>
      <c r="HT4" s="235">
        <v>148.94880000000001</v>
      </c>
      <c r="HU4" s="235">
        <v>149.76130000000001</v>
      </c>
      <c r="HV4" s="235">
        <v>150.50149999999999</v>
      </c>
      <c r="HW4" s="235">
        <v>150.78880000000001</v>
      </c>
      <c r="HX4" s="235">
        <v>152.2261</v>
      </c>
      <c r="HY4" s="235">
        <v>153.05269999999999</v>
      </c>
      <c r="HZ4" s="235">
        <v>153.73689999999999</v>
      </c>
      <c r="IA4" s="235">
        <v>153.96709999999999</v>
      </c>
      <c r="IB4" s="235">
        <v>155.3997</v>
      </c>
      <c r="IC4" s="235">
        <v>156.23740000000001</v>
      </c>
      <c r="ID4" s="235">
        <v>156.88380000000001</v>
      </c>
      <c r="IE4" s="235">
        <v>157.09180000000001</v>
      </c>
      <c r="IF4" s="235">
        <v>158.55410000000001</v>
      </c>
      <c r="IG4" s="235">
        <v>159.4264</v>
      </c>
      <c r="IH4" s="235">
        <v>160.0367</v>
      </c>
      <c r="II4" s="235">
        <v>160.2166</v>
      </c>
      <c r="IJ4" s="235">
        <v>161.71639999999999</v>
      </c>
      <c r="IK4" s="235">
        <v>162.63980000000001</v>
      </c>
      <c r="IL4" s="235">
        <v>163.23079999999999</v>
      </c>
      <c r="IM4" s="235">
        <v>163.39830000000001</v>
      </c>
      <c r="IN4" s="235">
        <v>164.95359999999999</v>
      </c>
      <c r="IO4" s="235">
        <v>165.93620000000001</v>
      </c>
      <c r="IP4" s="235">
        <v>166.494</v>
      </c>
      <c r="IQ4" s="235">
        <v>166.6343</v>
      </c>
      <c r="IR4" s="235">
        <v>168.2397</v>
      </c>
      <c r="IS4" s="235">
        <v>169.2868</v>
      </c>
      <c r="IT4" s="235">
        <v>169.81280000000001</v>
      </c>
      <c r="IU4" s="235">
        <v>169.93199999999999</v>
      </c>
      <c r="IV4" s="235">
        <v>171.5994</v>
      </c>
      <c r="IW4" s="235">
        <v>172.71899999999999</v>
      </c>
      <c r="IX4" s="235">
        <v>173.20359999999999</v>
      </c>
      <c r="IY4" s="235">
        <v>173.33070000000001</v>
      </c>
      <c r="IZ4" s="235">
        <v>175.03139999999999</v>
      </c>
      <c r="JA4" s="235">
        <v>176.17339999999999</v>
      </c>
      <c r="JB4" s="235">
        <v>176.6677</v>
      </c>
      <c r="JC4" s="235">
        <v>176.79730000000001</v>
      </c>
      <c r="JD4" s="235">
        <v>178.53200000000001</v>
      </c>
      <c r="JE4" s="235">
        <v>179.6969</v>
      </c>
      <c r="JF4" s="235">
        <v>180.2011</v>
      </c>
      <c r="JG4" s="235">
        <v>180.33320000000001</v>
      </c>
      <c r="JH4" s="235">
        <v>182.1026</v>
      </c>
      <c r="JI4" s="235">
        <v>183.29079999999999</v>
      </c>
      <c r="JJ4" s="235">
        <v>183.80510000000001</v>
      </c>
      <c r="JK4" s="235">
        <v>183.93989999999999</v>
      </c>
      <c r="JL4" s="235">
        <v>185.74469999999999</v>
      </c>
      <c r="JM4" s="235">
        <v>186.95660000000001</v>
      </c>
      <c r="JN4" s="235">
        <v>187.4812</v>
      </c>
      <c r="JO4" s="235">
        <v>187.61869999999999</v>
      </c>
      <c r="JP4" s="235">
        <v>189.45959999999999</v>
      </c>
      <c r="JQ4" s="235">
        <v>190.69569999999999</v>
      </c>
      <c r="JR4" s="235">
        <v>191.23079999999999</v>
      </c>
      <c r="JS4" s="235">
        <v>191.37110000000001</v>
      </c>
      <c r="JT4" s="235">
        <v>193.24879999999999</v>
      </c>
      <c r="JU4" s="235">
        <v>194.50960000000001</v>
      </c>
      <c r="JV4" s="235">
        <v>195.05539999999999</v>
      </c>
      <c r="JW4" s="235">
        <v>195.1985</v>
      </c>
      <c r="JX4" s="235">
        <v>197.1138</v>
      </c>
      <c r="JY4" s="235">
        <v>198.3998</v>
      </c>
      <c r="JZ4" s="235">
        <v>198.95650000000001</v>
      </c>
      <c r="KA4" s="235">
        <v>199.10249999999999</v>
      </c>
      <c r="KB4" s="235">
        <v>201.05600000000001</v>
      </c>
      <c r="KC4" s="235">
        <v>202.36779999999999</v>
      </c>
      <c r="KD4" s="235">
        <v>202.9357</v>
      </c>
      <c r="KE4" s="235">
        <v>203.08449999999999</v>
      </c>
      <c r="KF4" s="235">
        <v>205.0772</v>
      </c>
      <c r="KG4" s="235">
        <v>206.4152</v>
      </c>
      <c r="KH4" s="235">
        <v>206.99440000000001</v>
      </c>
      <c r="KI4" s="235">
        <v>207.14619999999999</v>
      </c>
      <c r="KJ4" s="235">
        <v>209.17869999999999</v>
      </c>
      <c r="KK4" s="235">
        <v>210.54349999999999</v>
      </c>
      <c r="KL4" s="235">
        <v>211.1343</v>
      </c>
      <c r="KM4" s="235">
        <v>211.28909999999999</v>
      </c>
      <c r="KN4" s="235">
        <v>213.3623</v>
      </c>
      <c r="KO4" s="235">
        <v>214.7544</v>
      </c>
      <c r="KP4" s="235">
        <v>215.3569</v>
      </c>
      <c r="KQ4" s="235">
        <v>215.51490000000001</v>
      </c>
      <c r="KR4" s="235">
        <v>217.62950000000001</v>
      </c>
      <c r="KS4" s="235">
        <v>219.04949999999999</v>
      </c>
      <c r="KT4" s="235">
        <v>219.66409999999999</v>
      </c>
      <c r="KU4" s="235">
        <v>219.8252</v>
      </c>
      <c r="KV4" s="235">
        <v>221.9821</v>
      </c>
      <c r="KW4" s="235">
        <v>223.43049999999999</v>
      </c>
      <c r="KX4" s="235">
        <v>224.0574</v>
      </c>
      <c r="KY4" s="235">
        <v>224.2217</v>
      </c>
      <c r="KZ4" s="235">
        <v>226.42179999999999</v>
      </c>
      <c r="LA4" s="235">
        <v>227.899</v>
      </c>
      <c r="LB4" s="235">
        <v>228.5385</v>
      </c>
      <c r="LC4" s="235">
        <v>228.70609999999999</v>
      </c>
      <c r="LD4" s="235">
        <v>230.9502</v>
      </c>
      <c r="LE4" s="235">
        <v>232.45699999999999</v>
      </c>
      <c r="LF4" s="235">
        <v>233.10929999999999</v>
      </c>
      <c r="LG4" s="235">
        <v>233.28030000000001</v>
      </c>
      <c r="LH4" s="235">
        <v>235.5692</v>
      </c>
      <c r="LI4" s="235">
        <v>237.1062</v>
      </c>
      <c r="LJ4" s="235">
        <v>237.7715</v>
      </c>
      <c r="LK4" s="235">
        <v>237.94589999999999</v>
      </c>
      <c r="LL4" s="235">
        <v>240.28059999999999</v>
      </c>
      <c r="LM4" s="235">
        <v>241.84829999999999</v>
      </c>
      <c r="LN4" s="235">
        <v>242.52690000000001</v>
      </c>
      <c r="LO4" s="235">
        <v>242.70480000000001</v>
      </c>
      <c r="LP4" s="235">
        <v>245.08619999999999</v>
      </c>
      <c r="LQ4" s="235">
        <v>246.68530000000001</v>
      </c>
      <c r="LR4" s="235">
        <v>247.37739999999999</v>
      </c>
      <c r="LS4" s="235">
        <v>247.55889999999999</v>
      </c>
      <c r="LT4" s="235">
        <v>249.9879</v>
      </c>
      <c r="LU4" s="235">
        <v>251.619</v>
      </c>
      <c r="LV4" s="235">
        <v>252.32499999999999</v>
      </c>
      <c r="LW4" s="235">
        <v>252.51009999999999</v>
      </c>
      <c r="LX4" s="235">
        <v>254.98769999999999</v>
      </c>
      <c r="LY4" s="235">
        <v>256.65129999999999</v>
      </c>
      <c r="LZ4" s="235">
        <v>257.37150000000003</v>
      </c>
      <c r="MA4" s="235">
        <v>257.56029999999998</v>
      </c>
      <c r="MB4" s="235">
        <v>260.0874</v>
      </c>
      <c r="MC4" s="235">
        <v>261.78440000000001</v>
      </c>
      <c r="MD4" s="235">
        <v>262.51889999999997</v>
      </c>
      <c r="ME4" s="235">
        <v>262.7115</v>
      </c>
      <c r="MF4" s="235">
        <v>265.28919999999999</v>
      </c>
      <c r="MG4" s="235">
        <v>267.02010000000001</v>
      </c>
      <c r="MH4" s="235">
        <v>267.76929999999999</v>
      </c>
      <c r="MI4" s="235">
        <v>267.96570000000003</v>
      </c>
      <c r="MJ4" s="235">
        <v>270.5949</v>
      </c>
      <c r="MK4" s="235">
        <v>272.3605</v>
      </c>
      <c r="ML4" s="235">
        <v>273.12470000000002</v>
      </c>
      <c r="MM4" s="235">
        <v>273.32499999999999</v>
      </c>
      <c r="MN4" s="235">
        <v>276.00689999999997</v>
      </c>
      <c r="MO4" s="235">
        <v>277.80770000000001</v>
      </c>
      <c r="MP4" s="235">
        <v>278.5872</v>
      </c>
      <c r="MQ4" s="235">
        <v>278.79149999999998</v>
      </c>
      <c r="MR4" s="235">
        <v>281.52699999999999</v>
      </c>
      <c r="MS4" s="235">
        <v>283.36380000000003</v>
      </c>
      <c r="MT4" s="235">
        <v>284.15890000000002</v>
      </c>
      <c r="MU4" t="s">
        <v>581</v>
      </c>
      <c r="MV4" t="b">
        <v>0</v>
      </c>
      <c r="MW4" t="s">
        <v>582</v>
      </c>
      <c r="MX4">
        <v>2015</v>
      </c>
      <c r="MY4">
        <v>2025</v>
      </c>
      <c r="MZ4">
        <v>3</v>
      </c>
      <c r="NA4" t="s">
        <v>582</v>
      </c>
      <c r="NB4" s="231" t="s">
        <v>607</v>
      </c>
      <c r="NC4" s="231" t="s">
        <v>608</v>
      </c>
      <c r="ND4" t="s">
        <v>585</v>
      </c>
      <c r="NE4" t="s">
        <v>609</v>
      </c>
      <c r="NF4" s="231" t="s">
        <v>587</v>
      </c>
    </row>
    <row r="5" spans="1:370">
      <c r="A5" t="s">
        <v>575</v>
      </c>
      <c r="B5" t="s">
        <v>610</v>
      </c>
      <c r="C5" s="231" t="s">
        <v>577</v>
      </c>
      <c r="D5" t="s">
        <v>611</v>
      </c>
      <c r="E5" t="s">
        <v>582</v>
      </c>
      <c r="F5" t="s">
        <v>580</v>
      </c>
      <c r="G5" s="234">
        <v>14.851150000000001</v>
      </c>
      <c r="H5" s="234">
        <v>15.597429999999999</v>
      </c>
      <c r="I5" s="234">
        <v>16.407070000000001</v>
      </c>
      <c r="J5" s="234">
        <v>16.907609999999998</v>
      </c>
      <c r="K5" s="234">
        <v>16.780860000000001</v>
      </c>
      <c r="L5" s="234">
        <v>18.253409999999999</v>
      </c>
      <c r="M5" s="234">
        <v>20.242899999999999</v>
      </c>
      <c r="N5" s="234">
        <v>21.924240000000001</v>
      </c>
      <c r="O5" s="234">
        <v>23.39659</v>
      </c>
      <c r="P5" s="234">
        <v>24.964189999999999</v>
      </c>
      <c r="Q5" s="234">
        <v>27.02938</v>
      </c>
      <c r="R5" s="234">
        <v>28.37567</v>
      </c>
      <c r="S5" s="234">
        <v>29.357140000000001</v>
      </c>
      <c r="T5" s="234">
        <v>30.793579999999999</v>
      </c>
      <c r="U5" s="234">
        <v>32.301470000000002</v>
      </c>
      <c r="V5" s="234">
        <v>33.18535</v>
      </c>
      <c r="W5" s="234">
        <v>33.540489999999998</v>
      </c>
      <c r="X5" s="234">
        <v>34.543460000000003</v>
      </c>
      <c r="Y5" s="234">
        <v>35.597639999999998</v>
      </c>
      <c r="Z5" s="234">
        <v>36.685519999999997</v>
      </c>
      <c r="AA5" s="234">
        <v>37.643259999999998</v>
      </c>
      <c r="AB5" s="234">
        <v>39.864730000000002</v>
      </c>
      <c r="AC5" s="234">
        <v>42.09901</v>
      </c>
      <c r="AD5" s="234">
        <v>43.30621</v>
      </c>
      <c r="AE5" s="234">
        <v>43.965009999999999</v>
      </c>
      <c r="AF5" s="234">
        <v>46.838419999999999</v>
      </c>
      <c r="AG5" s="234">
        <v>50.12706</v>
      </c>
      <c r="AH5" s="234">
        <v>52.644150000000003</v>
      </c>
      <c r="AI5" s="234">
        <v>54.906700000000001</v>
      </c>
      <c r="AJ5" s="234">
        <v>59.170099999999998</v>
      </c>
      <c r="AK5" s="234">
        <v>63.642139999999998</v>
      </c>
      <c r="AL5" s="234">
        <v>66.771739999999994</v>
      </c>
      <c r="AM5" s="234">
        <v>67.327690000000004</v>
      </c>
      <c r="AN5" s="234">
        <v>69.614490000000004</v>
      </c>
      <c r="AO5" s="234">
        <v>73.352940000000004</v>
      </c>
      <c r="AP5" s="234">
        <v>76.177090000000007</v>
      </c>
      <c r="AQ5" s="234">
        <v>76.586519999999993</v>
      </c>
      <c r="AR5" s="234">
        <v>78.919120000000007</v>
      </c>
      <c r="AS5" s="234">
        <v>82.158659999999998</v>
      </c>
      <c r="AT5" s="234">
        <v>83.439229999999995</v>
      </c>
      <c r="AU5" s="234">
        <v>84.922520000000006</v>
      </c>
      <c r="AV5" s="234">
        <v>88.039339999999996</v>
      </c>
      <c r="AW5" s="234">
        <v>90.437579999999997</v>
      </c>
      <c r="AX5" s="234">
        <v>91.531840000000003</v>
      </c>
      <c r="AY5" s="234">
        <v>92.079539999999994</v>
      </c>
      <c r="AZ5" s="234">
        <v>94.127579999999995</v>
      </c>
      <c r="BA5" s="234">
        <v>96.732339999999994</v>
      </c>
      <c r="BB5" s="234">
        <v>99.446349999999995</v>
      </c>
      <c r="BC5" s="234">
        <v>100.12390000000001</v>
      </c>
      <c r="BD5" s="234">
        <v>104.4909</v>
      </c>
      <c r="BE5" s="234">
        <v>107.6677</v>
      </c>
      <c r="BF5" s="234">
        <v>109.6371</v>
      </c>
      <c r="BG5" s="234">
        <v>110.8912</v>
      </c>
      <c r="BH5" s="234">
        <v>115.3305</v>
      </c>
      <c r="BI5" s="234">
        <v>118.2911</v>
      </c>
      <c r="BJ5" s="234">
        <v>120.3198</v>
      </c>
      <c r="BK5" s="234">
        <v>121.41079999999999</v>
      </c>
      <c r="BL5" s="234">
        <v>125.7916</v>
      </c>
      <c r="BM5" s="234">
        <v>130.0642</v>
      </c>
      <c r="BN5" s="234">
        <v>132.7039</v>
      </c>
      <c r="BO5" s="234">
        <v>134.46860000000001</v>
      </c>
      <c r="BP5" s="234">
        <v>139.05330000000001</v>
      </c>
      <c r="BQ5" s="234">
        <v>144.16399999999999</v>
      </c>
      <c r="BR5" s="234">
        <v>148.042</v>
      </c>
      <c r="BS5" s="234">
        <v>150.62790000000001</v>
      </c>
      <c r="BT5" s="234">
        <v>155.5334</v>
      </c>
      <c r="BU5" s="234">
        <v>160.64189999999999</v>
      </c>
      <c r="BV5" s="234">
        <v>165.39500000000001</v>
      </c>
      <c r="BW5" s="234">
        <v>167.1534</v>
      </c>
      <c r="BX5" s="234">
        <v>174.4332</v>
      </c>
      <c r="BY5" s="234">
        <v>181.6447</v>
      </c>
      <c r="BZ5" s="234">
        <v>185.41390000000001</v>
      </c>
      <c r="CA5" s="234">
        <v>187.09540000000001</v>
      </c>
      <c r="CB5" s="234">
        <v>192.89080000000001</v>
      </c>
      <c r="CC5" s="234">
        <v>198.7286</v>
      </c>
      <c r="CD5" s="234">
        <v>202.2243</v>
      </c>
      <c r="CE5" s="234">
        <v>203.99180000000001</v>
      </c>
      <c r="CF5" s="234">
        <v>209.3937</v>
      </c>
      <c r="CG5" s="234">
        <v>213.14080000000001</v>
      </c>
      <c r="CH5" s="234">
        <v>215.0164</v>
      </c>
      <c r="CI5" s="234">
        <v>213.95429999999999</v>
      </c>
      <c r="CJ5" s="234">
        <v>217.78450000000001</v>
      </c>
      <c r="CK5" s="234">
        <v>221.5908</v>
      </c>
      <c r="CL5" s="234">
        <v>222.90620000000001</v>
      </c>
      <c r="CM5" s="234">
        <v>222.8023</v>
      </c>
      <c r="CN5" s="234">
        <v>227.5204</v>
      </c>
      <c r="CO5" s="234">
        <v>232.0582</v>
      </c>
      <c r="CP5" s="234">
        <v>233.2474</v>
      </c>
      <c r="CQ5" s="234">
        <v>232.66929999999999</v>
      </c>
      <c r="CR5" s="234">
        <v>237.69069999999999</v>
      </c>
      <c r="CS5" s="234">
        <v>240.27940000000001</v>
      </c>
      <c r="CT5" s="234">
        <v>241.90459999999999</v>
      </c>
      <c r="CU5" s="234">
        <v>241.40309999999999</v>
      </c>
      <c r="CV5" s="234">
        <v>247.31559999999999</v>
      </c>
      <c r="CW5" s="234">
        <v>251.52930000000001</v>
      </c>
      <c r="CX5" s="234">
        <v>253.94390000000001</v>
      </c>
      <c r="CY5" s="234">
        <v>253.93029999999999</v>
      </c>
      <c r="CZ5" s="234">
        <v>259.93700000000001</v>
      </c>
      <c r="DA5" s="234">
        <v>264.79160000000002</v>
      </c>
      <c r="DB5" s="234">
        <v>268.61829999999998</v>
      </c>
      <c r="DC5" s="234">
        <v>269.56689999999998</v>
      </c>
      <c r="DD5" s="234">
        <v>278.03019999999998</v>
      </c>
      <c r="DE5" s="234">
        <v>282.88189999999997</v>
      </c>
      <c r="DF5" s="234">
        <v>285.15710000000001</v>
      </c>
      <c r="DG5" s="234">
        <v>284.69069999999999</v>
      </c>
      <c r="DH5" s="234">
        <v>293.50729999999999</v>
      </c>
      <c r="DI5" s="234">
        <v>299.82389999999998</v>
      </c>
      <c r="DJ5" s="234">
        <v>303.68020000000001</v>
      </c>
      <c r="DK5" s="234">
        <v>305.33330000000001</v>
      </c>
      <c r="DL5" s="234">
        <v>310.33330000000001</v>
      </c>
      <c r="DM5" s="234">
        <v>315</v>
      </c>
      <c r="DN5" s="234">
        <v>320.33330000000001</v>
      </c>
      <c r="DO5" s="234">
        <v>324</v>
      </c>
      <c r="DP5" s="234">
        <v>327</v>
      </c>
      <c r="DQ5" s="234">
        <v>330</v>
      </c>
      <c r="DR5" s="234">
        <v>333.66669999999999</v>
      </c>
      <c r="DS5" s="234">
        <v>333.66669999999999</v>
      </c>
      <c r="DT5" s="234">
        <v>339</v>
      </c>
      <c r="DU5" s="234">
        <v>341.33330000000001</v>
      </c>
      <c r="DV5" s="234">
        <v>342.66669999999999</v>
      </c>
      <c r="DW5" s="234">
        <v>343</v>
      </c>
      <c r="DX5" s="234">
        <v>348</v>
      </c>
      <c r="DY5" s="234">
        <v>352.66669999999999</v>
      </c>
      <c r="DZ5" s="234">
        <v>356.66669999999999</v>
      </c>
      <c r="EA5" s="234">
        <v>359</v>
      </c>
      <c r="EB5" s="234">
        <v>363</v>
      </c>
      <c r="EC5" s="234">
        <v>367</v>
      </c>
      <c r="ED5" s="234">
        <v>372.33330000000001</v>
      </c>
      <c r="EE5" s="234">
        <v>375.33330000000001</v>
      </c>
      <c r="EF5" s="234">
        <v>379.66669999999999</v>
      </c>
      <c r="EG5" s="234">
        <v>385.33330000000001</v>
      </c>
      <c r="EH5" s="234">
        <v>389.33330000000001</v>
      </c>
      <c r="EI5" s="234">
        <v>393.66669999999999</v>
      </c>
      <c r="EJ5" s="234">
        <v>397.66669999999999</v>
      </c>
      <c r="EK5" s="234">
        <v>401.33330000000001</v>
      </c>
      <c r="EL5" s="234">
        <v>408</v>
      </c>
      <c r="EM5" s="234">
        <v>416.66669999999999</v>
      </c>
      <c r="EN5" s="234">
        <v>415.33330000000001</v>
      </c>
      <c r="EO5" s="234">
        <v>422</v>
      </c>
      <c r="EP5" s="234">
        <v>425</v>
      </c>
      <c r="EQ5" s="234">
        <v>433.66669999999999</v>
      </c>
      <c r="ER5" s="234">
        <v>433</v>
      </c>
      <c r="ES5" s="234">
        <v>435</v>
      </c>
      <c r="ET5" s="234">
        <v>436.33330000000001</v>
      </c>
      <c r="EU5" s="234">
        <v>421</v>
      </c>
      <c r="EV5" s="234">
        <v>437.66669999999999</v>
      </c>
      <c r="EW5" s="234">
        <v>438</v>
      </c>
      <c r="EX5" s="234">
        <v>439.66669999999999</v>
      </c>
      <c r="EY5" s="234">
        <v>442</v>
      </c>
      <c r="EZ5" s="234">
        <v>442.33330000000001</v>
      </c>
      <c r="FA5" s="234">
        <v>444.66669999999999</v>
      </c>
      <c r="FB5" s="234">
        <v>448</v>
      </c>
      <c r="FC5" s="234">
        <v>454.66669999999999</v>
      </c>
      <c r="FD5" s="234">
        <v>453.33330000000001</v>
      </c>
      <c r="FE5" s="234">
        <v>454.66669999999999</v>
      </c>
      <c r="FF5" s="234">
        <v>456.66669999999999</v>
      </c>
      <c r="FG5" s="234">
        <v>457</v>
      </c>
      <c r="FH5" s="234">
        <v>460.33330000000001</v>
      </c>
      <c r="FI5" s="234">
        <v>463</v>
      </c>
      <c r="FJ5" s="234">
        <v>462</v>
      </c>
      <c r="FK5" s="234">
        <v>459.33330000000001</v>
      </c>
      <c r="FL5" s="234">
        <v>470.66669999999999</v>
      </c>
      <c r="FM5" s="234">
        <v>466</v>
      </c>
      <c r="FN5" s="234">
        <v>466.66669999999999</v>
      </c>
      <c r="FO5" s="234">
        <v>467.33330000000001</v>
      </c>
      <c r="FP5" s="234">
        <v>469.33330000000001</v>
      </c>
      <c r="FQ5" s="234">
        <v>470</v>
      </c>
      <c r="FR5" s="234">
        <v>476</v>
      </c>
      <c r="FS5" s="234">
        <v>478</v>
      </c>
      <c r="FT5" s="234">
        <v>481.33330000000001</v>
      </c>
      <c r="FU5" s="234">
        <v>483.66669999999999</v>
      </c>
      <c r="FV5" s="234">
        <v>485</v>
      </c>
      <c r="FW5" s="234">
        <v>488.33330000000001</v>
      </c>
      <c r="FX5" s="234">
        <v>493.66669999999999</v>
      </c>
      <c r="FY5" s="234">
        <v>495</v>
      </c>
      <c r="FZ5" s="234">
        <v>497</v>
      </c>
      <c r="GA5" s="234">
        <v>499</v>
      </c>
      <c r="GB5" s="234">
        <v>504.33330000000001</v>
      </c>
      <c r="GC5" s="234">
        <v>506.66669999999999</v>
      </c>
      <c r="GD5" s="234">
        <v>510.33330000000001</v>
      </c>
      <c r="GE5" s="234">
        <v>512</v>
      </c>
      <c r="GF5" s="234">
        <v>516.66669999999999</v>
      </c>
      <c r="GG5" s="234">
        <v>522.33330000000001</v>
      </c>
      <c r="GH5" s="234">
        <v>528</v>
      </c>
      <c r="GI5" s="234">
        <v>529</v>
      </c>
      <c r="GJ5" s="234">
        <v>537</v>
      </c>
      <c r="GK5" s="234">
        <v>542.33330000000001</v>
      </c>
      <c r="GL5" s="234">
        <v>542.66669999999999</v>
      </c>
      <c r="GM5" s="234">
        <v>540.66669999999999</v>
      </c>
      <c r="GN5" s="234">
        <v>531</v>
      </c>
      <c r="GO5" s="234">
        <v>550.33330000000001</v>
      </c>
      <c r="GP5" s="234">
        <v>567</v>
      </c>
      <c r="GQ5" s="234">
        <v>563.33330000000001</v>
      </c>
      <c r="GR5" s="234">
        <v>578.33330000000001</v>
      </c>
      <c r="GS5" s="234">
        <v>583</v>
      </c>
      <c r="GT5" s="234">
        <v>595</v>
      </c>
      <c r="GU5" s="234">
        <v>604.33330000000001</v>
      </c>
      <c r="GV5" s="234">
        <v>609</v>
      </c>
      <c r="GW5" s="234">
        <v>617.66669999999999</v>
      </c>
      <c r="GX5" s="234">
        <v>632</v>
      </c>
      <c r="GY5" s="234">
        <v>642</v>
      </c>
      <c r="GZ5" s="234">
        <v>659</v>
      </c>
      <c r="HA5" s="234">
        <v>666.66669999999999</v>
      </c>
      <c r="HB5" s="234">
        <v>669</v>
      </c>
      <c r="HC5" s="234">
        <v>680</v>
      </c>
      <c r="HD5" s="234">
        <v>690.33330000000001</v>
      </c>
      <c r="HE5" s="234">
        <v>698</v>
      </c>
      <c r="HF5" s="234">
        <v>709</v>
      </c>
      <c r="HG5" s="234">
        <v>718</v>
      </c>
      <c r="HH5" s="234">
        <v>722.66669999999999</v>
      </c>
      <c r="HI5" s="234">
        <v>731.33330000000001</v>
      </c>
      <c r="HJ5" s="235">
        <v>736.0806</v>
      </c>
      <c r="HK5" s="235">
        <v>741.601</v>
      </c>
      <c r="HL5" s="235">
        <v>746.79259999999999</v>
      </c>
      <c r="HM5" s="235">
        <v>752.01980000000003</v>
      </c>
      <c r="HN5" s="235">
        <v>757.28359999999998</v>
      </c>
      <c r="HO5" s="235">
        <v>762.58500000000004</v>
      </c>
      <c r="HP5" s="235">
        <v>768.03700000000003</v>
      </c>
      <c r="HQ5" s="235">
        <v>773.42690000000005</v>
      </c>
      <c r="HR5" s="235">
        <v>778.65719999999999</v>
      </c>
      <c r="HS5" s="235">
        <v>783.72019999999998</v>
      </c>
      <c r="HT5" s="235">
        <v>788.76570000000004</v>
      </c>
      <c r="HU5" s="235">
        <v>793.86329999999998</v>
      </c>
      <c r="HV5" s="235">
        <v>798.95360000000005</v>
      </c>
      <c r="HW5" s="235">
        <v>804.19839999999999</v>
      </c>
      <c r="HX5" s="235">
        <v>809.54250000000002</v>
      </c>
      <c r="HY5" s="235">
        <v>815.00369999999998</v>
      </c>
      <c r="HZ5" s="235">
        <v>820.49400000000003</v>
      </c>
      <c r="IA5" s="235">
        <v>826.02980000000002</v>
      </c>
      <c r="IB5" s="235">
        <v>831.66819999999996</v>
      </c>
      <c r="IC5" s="235">
        <v>837.43989999999997</v>
      </c>
      <c r="ID5" s="235">
        <v>843.26139999999998</v>
      </c>
      <c r="IE5" s="235">
        <v>849.1404</v>
      </c>
      <c r="IF5" s="235">
        <v>855.07420000000002</v>
      </c>
      <c r="IG5" s="235">
        <v>861.09140000000002</v>
      </c>
      <c r="IH5" s="235">
        <v>867.10209999999995</v>
      </c>
      <c r="II5" s="235">
        <v>873.14980000000003</v>
      </c>
      <c r="IJ5" s="235">
        <v>879.28489999999999</v>
      </c>
      <c r="IK5" s="235">
        <v>885.54340000000002</v>
      </c>
      <c r="IL5" s="235">
        <v>891.82939999999996</v>
      </c>
      <c r="IM5" s="235">
        <v>898.13779999999997</v>
      </c>
      <c r="IN5" s="235">
        <v>904.54510000000005</v>
      </c>
      <c r="IO5" s="235">
        <v>911.09460000000001</v>
      </c>
      <c r="IP5" s="235">
        <v>917.66089999999997</v>
      </c>
      <c r="IQ5" s="235">
        <v>924.27359999999999</v>
      </c>
      <c r="IR5" s="235">
        <v>931.02719999999999</v>
      </c>
      <c r="IS5" s="235">
        <v>937.94899999999996</v>
      </c>
      <c r="IT5" s="235">
        <v>944.89179999999999</v>
      </c>
      <c r="IU5" s="235">
        <v>951.91039999999998</v>
      </c>
      <c r="IV5" s="235">
        <v>959.06989999999996</v>
      </c>
      <c r="IW5" s="235">
        <v>966.38919999999996</v>
      </c>
      <c r="IX5" s="235">
        <v>973.7133</v>
      </c>
      <c r="IY5" s="235">
        <v>981.10969999999998</v>
      </c>
      <c r="IZ5" s="235">
        <v>988.58780000000002</v>
      </c>
      <c r="JA5" s="235">
        <v>996.14750000000004</v>
      </c>
      <c r="JB5" s="235">
        <v>1003.792</v>
      </c>
      <c r="JC5" s="235">
        <v>1011.502</v>
      </c>
      <c r="JD5" s="235">
        <v>1019.277</v>
      </c>
      <c r="JE5" s="235">
        <v>1027.1179999999999</v>
      </c>
      <c r="JF5" s="235">
        <v>1035.0250000000001</v>
      </c>
      <c r="JG5" s="235">
        <v>1043</v>
      </c>
      <c r="JH5" s="235">
        <v>1051.0409999999999</v>
      </c>
      <c r="JI5" s="235">
        <v>1059.1510000000001</v>
      </c>
      <c r="JJ5" s="235">
        <v>1067.33</v>
      </c>
      <c r="JK5" s="235">
        <v>1075.579</v>
      </c>
      <c r="JL5" s="235">
        <v>1083.8969999999999</v>
      </c>
      <c r="JM5" s="235">
        <v>1092.2860000000001</v>
      </c>
      <c r="JN5" s="235">
        <v>1100.7470000000001</v>
      </c>
      <c r="JO5" s="235">
        <v>1109.28</v>
      </c>
      <c r="JP5" s="235">
        <v>1117.884</v>
      </c>
      <c r="JQ5" s="235">
        <v>1126.56</v>
      </c>
      <c r="JR5" s="235">
        <v>1135.309</v>
      </c>
      <c r="JS5" s="235">
        <v>1144.116</v>
      </c>
      <c r="JT5" s="235">
        <v>1152.9829999999999</v>
      </c>
      <c r="JU5" s="235">
        <v>1161.9090000000001</v>
      </c>
      <c r="JV5" s="235">
        <v>1170.8920000000001</v>
      </c>
      <c r="JW5" s="235">
        <v>1179.9480000000001</v>
      </c>
      <c r="JX5" s="235">
        <v>1189.079</v>
      </c>
      <c r="JY5" s="235">
        <v>1198.297</v>
      </c>
      <c r="JZ5" s="235">
        <v>1207.604</v>
      </c>
      <c r="KA5" s="235">
        <v>1217</v>
      </c>
      <c r="KB5" s="235">
        <v>1226.4849999999999</v>
      </c>
      <c r="KC5" s="235">
        <v>1236.077</v>
      </c>
      <c r="KD5" s="235">
        <v>1245.7739999999999</v>
      </c>
      <c r="KE5" s="235">
        <v>1255.577</v>
      </c>
      <c r="KF5" s="235">
        <v>1265.4860000000001</v>
      </c>
      <c r="KG5" s="235">
        <v>1275.499</v>
      </c>
      <c r="KH5" s="235">
        <v>1285.617</v>
      </c>
      <c r="KI5" s="235">
        <v>1295.8389999999999</v>
      </c>
      <c r="KJ5" s="235">
        <v>1306.1669999999999</v>
      </c>
      <c r="KK5" s="235">
        <v>1316.587</v>
      </c>
      <c r="KL5" s="235">
        <v>1327.097</v>
      </c>
      <c r="KM5" s="235">
        <v>1337.6980000000001</v>
      </c>
      <c r="KN5" s="235">
        <v>1348.393</v>
      </c>
      <c r="KO5" s="235">
        <v>1359.162</v>
      </c>
      <c r="KP5" s="235">
        <v>1370.0060000000001</v>
      </c>
      <c r="KQ5" s="235">
        <v>1380.9280000000001</v>
      </c>
      <c r="KR5" s="235">
        <v>1391.924</v>
      </c>
      <c r="KS5" s="235">
        <v>1403.0160000000001</v>
      </c>
      <c r="KT5" s="235">
        <v>1414.203</v>
      </c>
      <c r="KU5" s="235">
        <v>1425.4849999999999</v>
      </c>
      <c r="KV5" s="235">
        <v>1436.864</v>
      </c>
      <c r="KW5" s="235">
        <v>1448.3320000000001</v>
      </c>
      <c r="KX5" s="235">
        <v>1459.8920000000001</v>
      </c>
      <c r="KY5" s="235">
        <v>1471.5440000000001</v>
      </c>
      <c r="KZ5" s="235">
        <v>1483.289</v>
      </c>
      <c r="LA5" s="235">
        <v>1495.1379999999999</v>
      </c>
      <c r="LB5" s="235">
        <v>1507.09</v>
      </c>
      <c r="LC5" s="235">
        <v>1519.146</v>
      </c>
      <c r="LD5" s="235">
        <v>1531.308</v>
      </c>
      <c r="LE5" s="235">
        <v>1543.5640000000001</v>
      </c>
      <c r="LF5" s="235">
        <v>1555.915</v>
      </c>
      <c r="LG5" s="235">
        <v>1568.3589999999999</v>
      </c>
      <c r="LH5" s="235">
        <v>1580.9</v>
      </c>
      <c r="LI5" s="235">
        <v>1593.539</v>
      </c>
      <c r="LJ5" s="235">
        <v>1606.278</v>
      </c>
      <c r="LK5" s="235">
        <v>1619.12</v>
      </c>
      <c r="LL5" s="235">
        <v>1632.0619999999999</v>
      </c>
      <c r="LM5" s="235">
        <v>1645.116</v>
      </c>
      <c r="LN5" s="235">
        <v>1658.2809999999999</v>
      </c>
      <c r="LO5" s="235">
        <v>1671.56</v>
      </c>
      <c r="LP5" s="235">
        <v>1684.95</v>
      </c>
      <c r="LQ5" s="235">
        <v>1698.4359999999999</v>
      </c>
      <c r="LR5" s="235">
        <v>1712.021</v>
      </c>
      <c r="LS5" s="235">
        <v>1725.702</v>
      </c>
      <c r="LT5" s="235">
        <v>1739.4839999999999</v>
      </c>
      <c r="LU5" s="235">
        <v>1753.373</v>
      </c>
      <c r="LV5" s="235">
        <v>1767.367</v>
      </c>
      <c r="LW5" s="235">
        <v>1781.472</v>
      </c>
      <c r="LX5" s="235">
        <v>1795.684</v>
      </c>
      <c r="LY5" s="235">
        <v>1810.0060000000001</v>
      </c>
      <c r="LZ5" s="235">
        <v>1824.4369999999999</v>
      </c>
      <c r="MA5" s="235">
        <v>1838.981</v>
      </c>
      <c r="MB5" s="235">
        <v>1853.636</v>
      </c>
      <c r="MC5" s="235">
        <v>1868.395</v>
      </c>
      <c r="MD5" s="235">
        <v>1883.261</v>
      </c>
      <c r="ME5" s="235">
        <v>1898.232</v>
      </c>
      <c r="MF5" s="235">
        <v>1913.3119999999999</v>
      </c>
      <c r="MG5" s="235">
        <v>1928.4949999999999</v>
      </c>
      <c r="MH5" s="235">
        <v>1943.7829999999999</v>
      </c>
      <c r="MI5" s="235">
        <v>1959.174</v>
      </c>
      <c r="MJ5" s="235">
        <v>1974.6679999999999</v>
      </c>
      <c r="MK5" s="235">
        <v>1990.2809999999999</v>
      </c>
      <c r="ML5" s="235">
        <v>2006.0119999999999</v>
      </c>
      <c r="MM5" s="235">
        <v>2021.8630000000001</v>
      </c>
      <c r="MN5" s="235">
        <v>2037.8309999999999</v>
      </c>
      <c r="MO5" s="235">
        <v>2053.91</v>
      </c>
      <c r="MP5" s="235">
        <v>2070.098</v>
      </c>
      <c r="MQ5" s="235">
        <v>2086.3969999999999</v>
      </c>
      <c r="MR5" s="235">
        <v>2102.81</v>
      </c>
      <c r="MS5" s="235">
        <v>2119.3380000000002</v>
      </c>
      <c r="MT5" s="235">
        <v>2135.989</v>
      </c>
      <c r="MU5" t="s">
        <v>581</v>
      </c>
      <c r="MV5" t="b">
        <v>1</v>
      </c>
      <c r="MW5" t="s">
        <v>582</v>
      </c>
      <c r="MX5" t="s">
        <v>582</v>
      </c>
      <c r="MY5">
        <v>2025</v>
      </c>
      <c r="MZ5">
        <v>3</v>
      </c>
      <c r="NA5" t="s">
        <v>582</v>
      </c>
      <c r="NB5" s="231" t="s">
        <v>612</v>
      </c>
      <c r="NC5" t="s">
        <v>613</v>
      </c>
      <c r="ND5" t="s">
        <v>585</v>
      </c>
      <c r="NE5" t="s">
        <v>614</v>
      </c>
      <c r="NF5" s="231" t="s">
        <v>587</v>
      </c>
    </row>
  </sheetData>
  <pageMargins left="0.7" right="0.7" top="0.75" bottom="0.75" header="0.3" footer="0.3"/>
  <customProperties>
    <customPr name="Commands" r:id="rId1"/>
    <customPr name="PostPullCommands" r:id="rId2"/>
    <customPr name="WorksheetId" r:id="rId3"/>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EB204-28EE-471D-B620-BF257B67FECE}">
  <sheetPr codeName="Sheet6">
    <tabColor theme="8"/>
    <pageSetUpPr fitToPage="1"/>
  </sheetPr>
  <dimension ref="A1:AY102"/>
  <sheetViews>
    <sheetView zoomScaleNormal="100" workbookViewId="0">
      <pane xSplit="2" ySplit="7" topLeftCell="C8" activePane="bottomRight" state="frozen"/>
      <selection pane="topRight"/>
      <selection pane="bottomLeft"/>
      <selection pane="bottomRight" activeCell="H18" sqref="H18"/>
    </sheetView>
  </sheetViews>
  <sheetFormatPr defaultColWidth="9.140625" defaultRowHeight="15.75"/>
  <cols>
    <col min="1" max="1" width="9.140625" style="5"/>
    <col min="2" max="2" width="10.42578125" style="5" bestFit="1" customWidth="1"/>
    <col min="3" max="3" width="12.85546875" style="5" customWidth="1"/>
    <col min="4" max="4" width="13.42578125" style="5" customWidth="1"/>
    <col min="5" max="5" width="13.5703125" style="5" customWidth="1"/>
    <col min="6" max="6" width="12.85546875" style="5" customWidth="1"/>
    <col min="7" max="7" width="13.5703125" style="5" bestFit="1" customWidth="1"/>
    <col min="8" max="9" width="12.85546875" style="5" customWidth="1"/>
    <col min="10" max="10" width="2.42578125" style="5" customWidth="1"/>
    <col min="11" max="15" width="12.85546875" style="5" customWidth="1"/>
    <col min="16" max="16" width="2.140625" style="5" customWidth="1"/>
    <col min="17" max="18" width="13" style="5" customWidth="1"/>
    <col min="19" max="19" width="2.140625" style="5" customWidth="1"/>
    <col min="20" max="20" width="15.85546875" style="5" customWidth="1"/>
    <col min="21" max="21" width="15.85546875" style="5" bestFit="1" customWidth="1"/>
    <col min="22" max="22" width="15.85546875" style="5" customWidth="1"/>
    <col min="23" max="23" width="2.5703125" style="5" customWidth="1"/>
    <col min="24" max="26" width="15.85546875" style="5" customWidth="1"/>
    <col min="27" max="28" width="15.85546875" style="5" bestFit="1" customWidth="1"/>
    <col min="29" max="29" width="15.85546875" style="5" customWidth="1"/>
    <col min="30" max="30" width="2.42578125" style="5" customWidth="1"/>
    <col min="31" max="32" width="13.140625" style="5" customWidth="1"/>
    <col min="33" max="33" width="11.85546875" style="5" bestFit="1" customWidth="1"/>
    <col min="34" max="34" width="13.140625" style="5" customWidth="1"/>
    <col min="35" max="36" width="9" style="5" customWidth="1"/>
    <col min="37" max="37" width="10.85546875" style="5" customWidth="1"/>
    <col min="38" max="49" width="9" style="5" customWidth="1"/>
    <col min="50" max="16384" width="9.140625" style="5"/>
  </cols>
  <sheetData>
    <row r="1" spans="2:45" ht="29.25" customHeight="1" thickBot="1">
      <c r="B1" s="1"/>
      <c r="C1" s="479" t="s">
        <v>0</v>
      </c>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80"/>
      <c r="AD1" s="2"/>
      <c r="AE1" s="3"/>
      <c r="AF1" s="3"/>
      <c r="AG1" s="3"/>
      <c r="AH1" s="4"/>
      <c r="AJ1" s="6"/>
    </row>
    <row r="2" spans="2:45" s="14" customFormat="1" ht="15.75" customHeight="1">
      <c r="B2" s="7"/>
      <c r="C2" s="8"/>
      <c r="D2" s="8"/>
      <c r="E2" s="8"/>
      <c r="F2" s="8"/>
      <c r="G2" s="8"/>
      <c r="H2" s="8"/>
      <c r="I2" s="8"/>
      <c r="J2" s="9"/>
      <c r="K2" s="10"/>
      <c r="L2" s="10"/>
      <c r="M2" s="10"/>
      <c r="N2" s="10"/>
      <c r="O2" s="10"/>
      <c r="P2" s="9"/>
      <c r="Q2" s="9"/>
      <c r="R2" s="9"/>
      <c r="S2" s="9"/>
      <c r="T2" s="11"/>
      <c r="U2" s="11"/>
      <c r="V2" s="12"/>
      <c r="W2" s="9"/>
      <c r="X2" s="9"/>
      <c r="Y2" s="9"/>
      <c r="Z2" s="9"/>
      <c r="AA2" s="8"/>
      <c r="AB2" s="8"/>
      <c r="AC2" s="8"/>
      <c r="AD2" s="2"/>
      <c r="AE2" s="9"/>
      <c r="AF2" s="9"/>
      <c r="AG2" s="8"/>
      <c r="AH2" s="13"/>
      <c r="AJ2" s="15"/>
      <c r="AP2" s="481"/>
      <c r="AQ2" s="481"/>
      <c r="AR2" s="481"/>
      <c r="AS2" s="481"/>
    </row>
    <row r="3" spans="2:45" s="14" customFormat="1" ht="15.75" customHeight="1">
      <c r="B3" s="7"/>
      <c r="C3" s="482" t="s">
        <v>1</v>
      </c>
      <c r="D3" s="482"/>
      <c r="E3" s="482"/>
      <c r="F3" s="482"/>
      <c r="G3" s="482"/>
      <c r="H3" s="482"/>
      <c r="I3" s="482"/>
      <c r="J3" s="9"/>
      <c r="K3" s="483" t="s">
        <v>2</v>
      </c>
      <c r="L3" s="483"/>
      <c r="M3" s="483"/>
      <c r="N3" s="483"/>
      <c r="O3" s="484"/>
      <c r="P3" s="9"/>
      <c r="Q3" s="482" t="s">
        <v>3</v>
      </c>
      <c r="R3" s="482"/>
      <c r="S3" s="9"/>
      <c r="T3" s="483" t="s">
        <v>4</v>
      </c>
      <c r="U3" s="483"/>
      <c r="V3" s="483"/>
      <c r="W3" s="9"/>
      <c r="X3" s="485" t="s">
        <v>5</v>
      </c>
      <c r="Y3" s="485"/>
      <c r="Z3" s="485"/>
      <c r="AA3" s="485"/>
      <c r="AB3" s="485"/>
      <c r="AC3" s="486"/>
      <c r="AD3" s="2"/>
      <c r="AE3" s="487" t="s">
        <v>6</v>
      </c>
      <c r="AF3" s="488"/>
      <c r="AG3" s="488"/>
      <c r="AH3" s="489"/>
      <c r="AJ3" s="16"/>
      <c r="AP3" s="17"/>
      <c r="AQ3" s="17"/>
      <c r="AR3" s="17"/>
      <c r="AS3" s="17"/>
    </row>
    <row r="4" spans="2:45" s="25" customFormat="1" ht="80.25" customHeight="1">
      <c r="B4" s="18"/>
      <c r="C4" s="19" t="s">
        <v>7</v>
      </c>
      <c r="D4" s="19" t="s">
        <v>8</v>
      </c>
      <c r="E4" s="19" t="s">
        <v>9</v>
      </c>
      <c r="F4" s="19" t="s">
        <v>10</v>
      </c>
      <c r="G4" s="19" t="s">
        <v>11</v>
      </c>
      <c r="H4" s="19" t="s">
        <v>12</v>
      </c>
      <c r="I4" s="20" t="s">
        <v>13</v>
      </c>
      <c r="J4" s="20"/>
      <c r="K4" s="20" t="s">
        <v>14</v>
      </c>
      <c r="L4" s="20" t="s">
        <v>15</v>
      </c>
      <c r="M4" s="20" t="s">
        <v>16</v>
      </c>
      <c r="N4" s="20" t="s">
        <v>17</v>
      </c>
      <c r="O4" s="20" t="s">
        <v>18</v>
      </c>
      <c r="P4" s="20"/>
      <c r="Q4" s="20" t="s">
        <v>19</v>
      </c>
      <c r="R4" s="20" t="s">
        <v>20</v>
      </c>
      <c r="S4" s="20"/>
      <c r="T4" s="21" t="s">
        <v>21</v>
      </c>
      <c r="U4" s="21" t="s">
        <v>22</v>
      </c>
      <c r="V4" s="21" t="s">
        <v>23</v>
      </c>
      <c r="W4" s="22"/>
      <c r="X4" s="20" t="s">
        <v>24</v>
      </c>
      <c r="Y4" s="20" t="s">
        <v>25</v>
      </c>
      <c r="Z4" s="20" t="s">
        <v>26</v>
      </c>
      <c r="AA4" s="21" t="s">
        <v>27</v>
      </c>
      <c r="AB4" s="23" t="s">
        <v>28</v>
      </c>
      <c r="AC4" s="23" t="s">
        <v>29</v>
      </c>
      <c r="AD4" s="2"/>
      <c r="AE4" s="23" t="s">
        <v>30</v>
      </c>
      <c r="AF4" s="23" t="s">
        <v>31</v>
      </c>
      <c r="AG4" s="23" t="s">
        <v>32</v>
      </c>
      <c r="AH4" s="24" t="s">
        <v>33</v>
      </c>
      <c r="AJ4" s="26"/>
      <c r="AL4" s="27"/>
      <c r="AM4" s="27"/>
      <c r="AN4" s="27"/>
      <c r="AO4" s="27"/>
      <c r="AP4" s="28"/>
      <c r="AQ4" s="26"/>
      <c r="AR4" s="28"/>
      <c r="AS4" s="26"/>
    </row>
    <row r="5" spans="2:45" s="25" customFormat="1" ht="40.5" customHeight="1">
      <c r="B5" s="29" t="s">
        <v>34</v>
      </c>
      <c r="C5" s="19" t="s">
        <v>35</v>
      </c>
      <c r="D5" s="19" t="s">
        <v>36</v>
      </c>
      <c r="E5" s="19" t="s">
        <v>37</v>
      </c>
      <c r="F5" s="30" t="s">
        <v>38</v>
      </c>
      <c r="G5" s="30" t="s">
        <v>39</v>
      </c>
      <c r="H5" s="19"/>
      <c r="I5" s="19"/>
      <c r="J5" s="19"/>
      <c r="K5" s="19"/>
      <c r="L5" s="19" t="s">
        <v>40</v>
      </c>
      <c r="M5" s="19"/>
      <c r="N5" s="19"/>
      <c r="O5" s="30" t="s">
        <v>41</v>
      </c>
      <c r="P5" s="19"/>
      <c r="Q5" s="30" t="s">
        <v>42</v>
      </c>
      <c r="R5" s="23"/>
      <c r="S5" s="19"/>
      <c r="T5" s="23" t="s">
        <v>43</v>
      </c>
      <c r="U5" s="23" t="s">
        <v>44</v>
      </c>
      <c r="V5" s="23" t="s">
        <v>45</v>
      </c>
      <c r="W5" s="31"/>
      <c r="X5" s="19" t="s">
        <v>46</v>
      </c>
      <c r="Y5" s="19" t="s">
        <v>47</v>
      </c>
      <c r="Z5" s="19"/>
      <c r="AA5" s="32" t="s">
        <v>48</v>
      </c>
      <c r="AB5" s="23"/>
      <c r="AC5" s="23" t="s">
        <v>49</v>
      </c>
      <c r="AD5" s="2"/>
      <c r="AE5" s="23" t="s">
        <v>50</v>
      </c>
      <c r="AF5" s="23" t="s">
        <v>50</v>
      </c>
      <c r="AG5" s="23"/>
      <c r="AH5" s="33" t="s">
        <v>51</v>
      </c>
      <c r="AJ5" s="26"/>
      <c r="AL5" s="27"/>
      <c r="AM5" s="27"/>
      <c r="AN5" s="27"/>
      <c r="AO5" s="27"/>
      <c r="AP5" s="28"/>
      <c r="AQ5" s="26"/>
      <c r="AR5" s="28"/>
      <c r="AS5" s="26"/>
    </row>
    <row r="6" spans="2:45" s="39" customFormat="1">
      <c r="B6" s="474" t="s">
        <v>52</v>
      </c>
      <c r="C6" s="34" t="s">
        <v>53</v>
      </c>
      <c r="D6" s="34" t="s">
        <v>54</v>
      </c>
      <c r="E6" s="34" t="s">
        <v>55</v>
      </c>
      <c r="F6" s="34" t="s">
        <v>56</v>
      </c>
      <c r="G6" s="34" t="s">
        <v>57</v>
      </c>
      <c r="H6" s="34"/>
      <c r="I6" s="34"/>
      <c r="J6" s="35"/>
      <c r="K6" s="36"/>
      <c r="L6" s="36"/>
      <c r="M6" s="36"/>
      <c r="N6" s="36"/>
      <c r="O6" s="34"/>
      <c r="P6" s="36"/>
      <c r="Q6" s="34"/>
      <c r="R6" s="34"/>
      <c r="S6" s="36"/>
      <c r="T6" s="36"/>
      <c r="U6" s="36"/>
      <c r="V6" s="36"/>
      <c r="W6" s="37"/>
      <c r="X6" s="37"/>
      <c r="Y6" s="37"/>
      <c r="Z6" s="37"/>
      <c r="AA6" s="36"/>
      <c r="AB6" s="36"/>
      <c r="AC6" s="36"/>
      <c r="AD6" s="2"/>
      <c r="AE6" s="36"/>
      <c r="AF6" s="36"/>
      <c r="AG6" s="36"/>
      <c r="AH6" s="38"/>
      <c r="AJ6" s="40"/>
      <c r="AP6" s="41"/>
      <c r="AQ6" s="41"/>
      <c r="AR6" s="41"/>
      <c r="AS6" s="41"/>
    </row>
    <row r="7" spans="2:45" s="39" customFormat="1">
      <c r="B7" s="475"/>
      <c r="C7" s="42"/>
      <c r="D7" s="42" t="s">
        <v>58</v>
      </c>
      <c r="E7" s="42"/>
      <c r="F7" s="42"/>
      <c r="G7" s="42"/>
      <c r="H7" s="42" t="s">
        <v>59</v>
      </c>
      <c r="I7" s="42"/>
      <c r="J7" s="43"/>
      <c r="K7" s="44"/>
      <c r="L7" s="44"/>
      <c r="M7" s="44"/>
      <c r="N7" s="44"/>
      <c r="O7" s="42" t="s">
        <v>60</v>
      </c>
      <c r="P7" s="44"/>
      <c r="Q7" s="42" t="s">
        <v>61</v>
      </c>
      <c r="R7" s="42"/>
      <c r="S7" s="44"/>
      <c r="T7" s="44"/>
      <c r="U7" s="44"/>
      <c r="V7" s="44"/>
      <c r="W7" s="45"/>
      <c r="X7" s="45"/>
      <c r="Y7" s="45"/>
      <c r="Z7" s="45"/>
      <c r="AA7" s="44"/>
      <c r="AB7" s="44"/>
      <c r="AC7" s="44"/>
      <c r="AD7" s="2"/>
      <c r="AE7" s="46"/>
      <c r="AF7" s="44"/>
      <c r="AG7" s="44"/>
      <c r="AH7" s="47"/>
      <c r="AJ7" s="40"/>
      <c r="AP7" s="41"/>
      <c r="AQ7" s="41"/>
      <c r="AR7" s="41"/>
      <c r="AS7" s="41"/>
    </row>
    <row r="8" spans="2:45" s="39" customFormat="1">
      <c r="B8" s="48" t="s">
        <v>62</v>
      </c>
      <c r="C8" s="49">
        <v>3.6480000000000001</v>
      </c>
      <c r="D8" s="49">
        <v>4.2770000000000001</v>
      </c>
      <c r="E8" s="49">
        <v>3.734</v>
      </c>
      <c r="F8" s="49">
        <v>0.41199999999999998</v>
      </c>
      <c r="G8" s="49">
        <v>0.13100000000000001</v>
      </c>
      <c r="H8" s="49">
        <v>0.54300000000000004</v>
      </c>
      <c r="I8" s="49">
        <v>3.5470000000000002</v>
      </c>
      <c r="J8" s="50"/>
      <c r="K8" s="51" t="s">
        <v>63</v>
      </c>
      <c r="L8" s="52">
        <v>-6.6000000000000003E-2</v>
      </c>
      <c r="M8" s="51" t="s">
        <v>63</v>
      </c>
      <c r="N8" s="51" t="s">
        <v>63</v>
      </c>
      <c r="O8" s="51">
        <v>0.629</v>
      </c>
      <c r="P8" s="52"/>
      <c r="Q8" s="52">
        <v>0.217</v>
      </c>
      <c r="R8" s="53"/>
      <c r="S8" s="54"/>
      <c r="T8" s="50">
        <v>0.439</v>
      </c>
      <c r="U8" s="50">
        <v>0.629</v>
      </c>
      <c r="V8" s="50">
        <v>0.504</v>
      </c>
      <c r="W8" s="55"/>
      <c r="X8" s="55"/>
      <c r="Y8" s="55"/>
      <c r="Z8" s="55"/>
      <c r="AA8" s="50">
        <v>0.63200000000000001</v>
      </c>
      <c r="AB8" s="53" t="s">
        <v>63</v>
      </c>
      <c r="AC8" s="53" t="s">
        <v>63</v>
      </c>
      <c r="AD8" s="56"/>
      <c r="AE8" s="57" t="s">
        <v>63</v>
      </c>
      <c r="AF8" s="53" t="s">
        <v>63</v>
      </c>
      <c r="AG8" s="53" t="s">
        <v>63</v>
      </c>
      <c r="AH8" s="58" t="s">
        <v>63</v>
      </c>
      <c r="AJ8" s="40"/>
      <c r="AP8" s="41"/>
      <c r="AQ8" s="41"/>
      <c r="AR8" s="41"/>
      <c r="AS8" s="41"/>
    </row>
    <row r="9" spans="2:45" s="39" customFormat="1">
      <c r="B9" s="59" t="s">
        <v>64</v>
      </c>
      <c r="C9" s="49">
        <v>3.9489999999999998</v>
      </c>
      <c r="D9" s="49">
        <v>4.0279999999999996</v>
      </c>
      <c r="E9" s="49">
        <v>3.4489999999999998</v>
      </c>
      <c r="F9" s="49">
        <v>0.371</v>
      </c>
      <c r="G9" s="49">
        <v>0.20799999999999999</v>
      </c>
      <c r="H9" s="49">
        <v>0.57899999999999996</v>
      </c>
      <c r="I9" s="49">
        <v>3.7170000000000001</v>
      </c>
      <c r="J9" s="50"/>
      <c r="K9" s="51" t="s">
        <v>63</v>
      </c>
      <c r="L9" s="52">
        <v>0.42799999999999999</v>
      </c>
      <c r="M9" s="51" t="s">
        <v>63</v>
      </c>
      <c r="N9" s="51" t="s">
        <v>63</v>
      </c>
      <c r="O9" s="51">
        <v>7.9000000000000001E-2</v>
      </c>
      <c r="P9" s="52"/>
      <c r="Q9" s="52">
        <v>-0.29199999999999998</v>
      </c>
      <c r="R9" s="53"/>
      <c r="S9" s="54"/>
      <c r="T9" s="50">
        <v>-0.19700000000000001</v>
      </c>
      <c r="U9" s="50">
        <v>7.9000000000000001E-2</v>
      </c>
      <c r="V9" s="50">
        <v>0.52700000000000002</v>
      </c>
      <c r="W9" s="55"/>
      <c r="X9" s="55"/>
      <c r="Y9" s="55"/>
      <c r="Z9" s="55"/>
      <c r="AA9" s="50">
        <v>0.11899999999999999</v>
      </c>
      <c r="AB9" s="53" t="s">
        <v>63</v>
      </c>
      <c r="AC9" s="53" t="s">
        <v>63</v>
      </c>
      <c r="AD9" s="56"/>
      <c r="AE9" s="57" t="s">
        <v>63</v>
      </c>
      <c r="AF9" s="53" t="s">
        <v>63</v>
      </c>
      <c r="AG9" s="53" t="s">
        <v>63</v>
      </c>
      <c r="AH9" s="58" t="s">
        <v>63</v>
      </c>
      <c r="AJ9" s="40"/>
      <c r="AP9" s="41"/>
      <c r="AQ9" s="41"/>
      <c r="AR9" s="41"/>
      <c r="AS9" s="41"/>
    </row>
    <row r="10" spans="2:45" s="39" customFormat="1">
      <c r="B10" s="59" t="s">
        <v>65</v>
      </c>
      <c r="C10" s="49">
        <v>4.9059999999999997</v>
      </c>
      <c r="D10" s="49">
        <v>4.41</v>
      </c>
      <c r="E10" s="49">
        <v>3.7970000000000002</v>
      </c>
      <c r="F10" s="49">
        <v>0.30099999999999999</v>
      </c>
      <c r="G10" s="49">
        <v>0.312</v>
      </c>
      <c r="H10" s="49">
        <v>0.61299999999999999</v>
      </c>
      <c r="I10" s="49">
        <v>4.2510000000000003</v>
      </c>
      <c r="J10" s="50"/>
      <c r="K10" s="51" t="s">
        <v>63</v>
      </c>
      <c r="L10" s="52">
        <v>0.879</v>
      </c>
      <c r="M10" s="51" t="s">
        <v>63</v>
      </c>
      <c r="N10" s="51" t="s">
        <v>63</v>
      </c>
      <c r="O10" s="51">
        <v>-0.496</v>
      </c>
      <c r="P10" s="52"/>
      <c r="Q10" s="52">
        <v>-0.79700000000000004</v>
      </c>
      <c r="R10" s="53"/>
      <c r="S10" s="54"/>
      <c r="T10" s="50">
        <v>-0.67700000000000005</v>
      </c>
      <c r="U10" s="50">
        <v>-0.496</v>
      </c>
      <c r="V10" s="50">
        <v>0.52</v>
      </c>
      <c r="W10" s="55"/>
      <c r="X10" s="55"/>
      <c r="Y10" s="55"/>
      <c r="Z10" s="55"/>
      <c r="AA10" s="50">
        <v>-0.434</v>
      </c>
      <c r="AB10" s="53" t="s">
        <v>63</v>
      </c>
      <c r="AC10" s="53" t="s">
        <v>63</v>
      </c>
      <c r="AD10" s="56"/>
      <c r="AE10" s="50">
        <v>11.425000000000001</v>
      </c>
      <c r="AF10" s="53" t="s">
        <v>63</v>
      </c>
      <c r="AG10" s="53" t="s">
        <v>63</v>
      </c>
      <c r="AH10" s="58" t="s">
        <v>63</v>
      </c>
      <c r="AJ10" s="40"/>
      <c r="AP10" s="41"/>
      <c r="AQ10" s="41"/>
      <c r="AR10" s="41"/>
      <c r="AS10" s="41"/>
    </row>
    <row r="11" spans="2:45" s="39" customFormat="1">
      <c r="B11" s="59" t="s">
        <v>66</v>
      </c>
      <c r="C11" s="49">
        <v>5.2690000000000001</v>
      </c>
      <c r="D11" s="49">
        <v>4.6820000000000004</v>
      </c>
      <c r="E11" s="49">
        <v>3.9889999999999999</v>
      </c>
      <c r="F11" s="49">
        <v>0.36399999999999999</v>
      </c>
      <c r="G11" s="49">
        <v>0.32900000000000001</v>
      </c>
      <c r="H11" s="49">
        <v>0.69299999999999995</v>
      </c>
      <c r="I11" s="49">
        <v>4.4939999999999998</v>
      </c>
      <c r="J11" s="50"/>
      <c r="K11" s="51" t="s">
        <v>63</v>
      </c>
      <c r="L11" s="52">
        <v>0.95799999999999996</v>
      </c>
      <c r="M11" s="51" t="s">
        <v>63</v>
      </c>
      <c r="N11" s="51" t="s">
        <v>63</v>
      </c>
      <c r="O11" s="51">
        <v>-0.58699999999999997</v>
      </c>
      <c r="P11" s="52"/>
      <c r="Q11" s="52">
        <v>-0.95099999999999996</v>
      </c>
      <c r="R11" s="53"/>
      <c r="S11" s="54"/>
      <c r="T11" s="50">
        <v>-0.79400000000000004</v>
      </c>
      <c r="U11" s="50">
        <v>-0.58699999999999997</v>
      </c>
      <c r="V11" s="50">
        <v>0.51900000000000002</v>
      </c>
      <c r="W11" s="55"/>
      <c r="X11" s="55"/>
      <c r="Y11" s="55"/>
      <c r="Z11" s="55"/>
      <c r="AA11" s="50">
        <v>-0.51500000000000001</v>
      </c>
      <c r="AB11" s="53" t="s">
        <v>63</v>
      </c>
      <c r="AC11" s="53" t="s">
        <v>63</v>
      </c>
      <c r="AD11" s="56"/>
      <c r="AE11" s="50">
        <v>12.169</v>
      </c>
      <c r="AF11" s="53" t="s">
        <v>63</v>
      </c>
      <c r="AG11" s="53" t="s">
        <v>63</v>
      </c>
      <c r="AH11" s="58" t="s">
        <v>63</v>
      </c>
      <c r="AJ11" s="40"/>
      <c r="AP11" s="41"/>
      <c r="AQ11" s="41"/>
      <c r="AR11" s="41"/>
      <c r="AS11" s="41"/>
    </row>
    <row r="12" spans="2:45" s="39" customFormat="1">
      <c r="B12" s="59" t="s">
        <v>67</v>
      </c>
      <c r="C12" s="49">
        <v>5.4580000000000002</v>
      </c>
      <c r="D12" s="49">
        <v>4.992</v>
      </c>
      <c r="E12" s="49">
        <v>4.157</v>
      </c>
      <c r="F12" s="49">
        <v>0.47899999999999998</v>
      </c>
      <c r="G12" s="49">
        <v>0.35599999999999998</v>
      </c>
      <c r="H12" s="49">
        <v>0.83499999999999996</v>
      </c>
      <c r="I12" s="49">
        <v>4.5960000000000001</v>
      </c>
      <c r="J12" s="50"/>
      <c r="K12" s="51" t="s">
        <v>63</v>
      </c>
      <c r="L12" s="52">
        <v>0.82399999999999995</v>
      </c>
      <c r="M12" s="51" t="s">
        <v>63</v>
      </c>
      <c r="N12" s="51" t="s">
        <v>63</v>
      </c>
      <c r="O12" s="51">
        <v>-0.46600000000000003</v>
      </c>
      <c r="P12" s="52"/>
      <c r="Q12" s="52">
        <v>-0.94499999999999995</v>
      </c>
      <c r="R12" s="53"/>
      <c r="S12" s="54"/>
      <c r="T12" s="50">
        <v>-0.745</v>
      </c>
      <c r="U12" s="50">
        <v>-0.46600000000000003</v>
      </c>
      <c r="V12" s="50">
        <v>0.53100000000000003</v>
      </c>
      <c r="W12" s="55"/>
      <c r="X12" s="55"/>
      <c r="Y12" s="55"/>
      <c r="Z12" s="55"/>
      <c r="AA12" s="50">
        <v>-0.41699999999999998</v>
      </c>
      <c r="AB12" s="53" t="s">
        <v>63</v>
      </c>
      <c r="AC12" s="53" t="s">
        <v>63</v>
      </c>
      <c r="AD12" s="56"/>
      <c r="AE12" s="50">
        <v>12.74</v>
      </c>
      <c r="AF12" s="53" t="s">
        <v>63</v>
      </c>
      <c r="AG12" s="53" t="s">
        <v>63</v>
      </c>
      <c r="AH12" s="58" t="s">
        <v>63</v>
      </c>
      <c r="AJ12" s="40"/>
      <c r="AP12" s="41"/>
      <c r="AQ12" s="41"/>
      <c r="AR12" s="41"/>
      <c r="AS12" s="41"/>
    </row>
    <row r="13" spans="2:45" s="39" customFormat="1">
      <c r="B13" s="59" t="s">
        <v>68</v>
      </c>
      <c r="C13" s="49">
        <v>5.883</v>
      </c>
      <c r="D13" s="49">
        <v>5.8140000000000001</v>
      </c>
      <c r="E13" s="49">
        <v>4.62</v>
      </c>
      <c r="F13" s="49">
        <v>0.77800000000000002</v>
      </c>
      <c r="G13" s="49">
        <v>0.41599999999999998</v>
      </c>
      <c r="H13" s="49">
        <v>1.194</v>
      </c>
      <c r="I13" s="49">
        <v>4.9749999999999996</v>
      </c>
      <c r="J13" s="50"/>
      <c r="K13" s="51" t="s">
        <v>63</v>
      </c>
      <c r="L13" s="52">
        <v>0.48799999999999999</v>
      </c>
      <c r="M13" s="51" t="s">
        <v>63</v>
      </c>
      <c r="N13" s="51" t="s">
        <v>63</v>
      </c>
      <c r="O13" s="51">
        <v>-6.9000000000000006E-2</v>
      </c>
      <c r="P13" s="52"/>
      <c r="Q13" s="52">
        <v>-0.84699999999999998</v>
      </c>
      <c r="R13" s="53"/>
      <c r="S13" s="54"/>
      <c r="T13" s="50">
        <v>-0.38400000000000001</v>
      </c>
      <c r="U13" s="50">
        <v>-6.9000000000000006E-2</v>
      </c>
      <c r="V13" s="50">
        <v>0.57899999999999996</v>
      </c>
      <c r="W13" s="55"/>
      <c r="X13" s="55"/>
      <c r="Y13" s="55"/>
      <c r="Z13" s="55"/>
      <c r="AA13" s="50">
        <v>-1E-3</v>
      </c>
      <c r="AB13" s="53" t="s">
        <v>63</v>
      </c>
      <c r="AC13" s="53" t="s">
        <v>63</v>
      </c>
      <c r="AD13" s="56"/>
      <c r="AE13" s="50">
        <v>14.303000000000001</v>
      </c>
      <c r="AF13" s="53" t="s">
        <v>63</v>
      </c>
      <c r="AG13" s="53" t="s">
        <v>63</v>
      </c>
      <c r="AH13" s="58" t="s">
        <v>63</v>
      </c>
      <c r="AJ13" s="40"/>
      <c r="AP13" s="41"/>
      <c r="AQ13" s="41"/>
      <c r="AR13" s="41"/>
      <c r="AS13" s="41"/>
    </row>
    <row r="14" spans="2:45" s="39" customFormat="1">
      <c r="B14" s="59" t="s">
        <v>69</v>
      </c>
      <c r="C14" s="49">
        <v>6.2030000000000003</v>
      </c>
      <c r="D14" s="49">
        <v>6.4119999999999999</v>
      </c>
      <c r="E14" s="49">
        <v>5.0549999999999997</v>
      </c>
      <c r="F14" s="49">
        <v>0.89700000000000002</v>
      </c>
      <c r="G14" s="49">
        <v>0.46</v>
      </c>
      <c r="H14" s="49">
        <v>1.357</v>
      </c>
      <c r="I14" s="49">
        <v>5.2750000000000004</v>
      </c>
      <c r="J14" s="50"/>
      <c r="K14" s="51" t="s">
        <v>63</v>
      </c>
      <c r="L14" s="52">
        <v>0.29699999999999999</v>
      </c>
      <c r="M14" s="51" t="s">
        <v>63</v>
      </c>
      <c r="N14" s="51" t="s">
        <v>63</v>
      </c>
      <c r="O14" s="51">
        <v>0.20899999999999999</v>
      </c>
      <c r="P14" s="52"/>
      <c r="Q14" s="52">
        <v>-0.68799999999999994</v>
      </c>
      <c r="R14" s="53"/>
      <c r="S14" s="54"/>
      <c r="T14" s="50">
        <v>-0.3</v>
      </c>
      <c r="U14" s="50">
        <v>0.20899999999999999</v>
      </c>
      <c r="V14" s="50">
        <v>0.63400000000000001</v>
      </c>
      <c r="W14" s="55"/>
      <c r="X14" s="55"/>
      <c r="Y14" s="55"/>
      <c r="Z14" s="55"/>
      <c r="AA14" s="50">
        <v>0.154</v>
      </c>
      <c r="AB14" s="53" t="s">
        <v>63</v>
      </c>
      <c r="AC14" s="53" t="s">
        <v>63</v>
      </c>
      <c r="AD14" s="56"/>
      <c r="AE14" s="50">
        <v>15.536</v>
      </c>
      <c r="AF14" s="53" t="s">
        <v>63</v>
      </c>
      <c r="AG14" s="53" t="s">
        <v>63</v>
      </c>
      <c r="AH14" s="58" t="s">
        <v>63</v>
      </c>
      <c r="AJ14" s="40"/>
      <c r="AP14" s="41"/>
      <c r="AQ14" s="41"/>
      <c r="AR14" s="41"/>
      <c r="AS14" s="41"/>
    </row>
    <row r="15" spans="2:45" s="39" customFormat="1">
      <c r="B15" s="59" t="s">
        <v>70</v>
      </c>
      <c r="C15" s="49">
        <v>6.34</v>
      </c>
      <c r="D15" s="49">
        <v>6.758</v>
      </c>
      <c r="E15" s="49">
        <v>5.2729999999999997</v>
      </c>
      <c r="F15" s="49">
        <v>1.0109999999999999</v>
      </c>
      <c r="G15" s="49">
        <v>0.47399999999999998</v>
      </c>
      <c r="H15" s="49">
        <v>1.4850000000000001</v>
      </c>
      <c r="I15" s="49">
        <v>5.29</v>
      </c>
      <c r="J15" s="50"/>
      <c r="K15" s="51" t="s">
        <v>63</v>
      </c>
      <c r="L15" s="52">
        <v>7.5999999999999998E-2</v>
      </c>
      <c r="M15" s="51" t="s">
        <v>63</v>
      </c>
      <c r="N15" s="51" t="s">
        <v>63</v>
      </c>
      <c r="O15" s="51">
        <v>0.41799999999999998</v>
      </c>
      <c r="P15" s="52"/>
      <c r="Q15" s="52">
        <v>-0.59299999999999997</v>
      </c>
      <c r="R15" s="53"/>
      <c r="S15" s="54"/>
      <c r="T15" s="50">
        <v>-0.158</v>
      </c>
      <c r="U15" s="50">
        <v>0.41799999999999998</v>
      </c>
      <c r="V15" s="50">
        <v>0.65700000000000003</v>
      </c>
      <c r="W15" s="55"/>
      <c r="X15" s="55"/>
      <c r="Y15" s="55"/>
      <c r="Z15" s="55"/>
      <c r="AA15" s="50">
        <v>0.29399999999999998</v>
      </c>
      <c r="AB15" s="53" t="s">
        <v>63</v>
      </c>
      <c r="AC15" s="53" t="s">
        <v>63</v>
      </c>
      <c r="AD15" s="56"/>
      <c r="AE15" s="50">
        <v>16.684999999999999</v>
      </c>
      <c r="AF15" s="53" t="s">
        <v>63</v>
      </c>
      <c r="AG15" s="53" t="s">
        <v>63</v>
      </c>
      <c r="AH15" s="58" t="s">
        <v>63</v>
      </c>
      <c r="AJ15" s="40"/>
      <c r="AP15" s="41"/>
      <c r="AQ15" s="41"/>
      <c r="AR15" s="41"/>
      <c r="AS15" s="41"/>
    </row>
    <row r="16" spans="2:45" s="39" customFormat="1">
      <c r="B16" s="59" t="s">
        <v>71</v>
      </c>
      <c r="C16" s="49">
        <v>6.5940000000000003</v>
      </c>
      <c r="D16" s="49">
        <v>6.851</v>
      </c>
      <c r="E16" s="49">
        <v>5.4779999999999998</v>
      </c>
      <c r="F16" s="49">
        <v>0.874</v>
      </c>
      <c r="G16" s="49">
        <v>0.499</v>
      </c>
      <c r="H16" s="49">
        <v>1.373</v>
      </c>
      <c r="I16" s="49">
        <v>5.4409999999999998</v>
      </c>
      <c r="J16" s="50"/>
      <c r="K16" s="51" t="s">
        <v>63</v>
      </c>
      <c r="L16" s="52">
        <v>0.19</v>
      </c>
      <c r="M16" s="51" t="s">
        <v>63</v>
      </c>
      <c r="N16" s="51" t="s">
        <v>63</v>
      </c>
      <c r="O16" s="51">
        <v>0.25700000000000001</v>
      </c>
      <c r="P16" s="52"/>
      <c r="Q16" s="52">
        <v>-0.61699999999999999</v>
      </c>
      <c r="R16" s="53"/>
      <c r="S16" s="54"/>
      <c r="T16" s="50">
        <v>-0.307</v>
      </c>
      <c r="U16" s="50">
        <v>0.25700000000000001</v>
      </c>
      <c r="V16" s="50">
        <v>0.65600000000000003</v>
      </c>
      <c r="W16" s="55"/>
      <c r="X16" s="55"/>
      <c r="Y16" s="55"/>
      <c r="Z16" s="55"/>
      <c r="AA16" s="50">
        <v>0.113</v>
      </c>
      <c r="AB16" s="53" t="s">
        <v>63</v>
      </c>
      <c r="AC16" s="53" t="s">
        <v>63</v>
      </c>
      <c r="AD16" s="56"/>
      <c r="AE16" s="50">
        <v>17.600999999999999</v>
      </c>
      <c r="AF16" s="53" t="s">
        <v>63</v>
      </c>
      <c r="AG16" s="53" t="s">
        <v>63</v>
      </c>
      <c r="AH16" s="58" t="s">
        <v>63</v>
      </c>
      <c r="AJ16" s="40"/>
      <c r="AP16" s="41"/>
      <c r="AQ16" s="41"/>
      <c r="AR16" s="41"/>
      <c r="AS16" s="41"/>
    </row>
    <row r="17" spans="1:49" s="39" customFormat="1">
      <c r="B17" s="59" t="s">
        <v>72</v>
      </c>
      <c r="C17" s="49">
        <v>7.04</v>
      </c>
      <c r="D17" s="49">
        <v>7.0019999999999998</v>
      </c>
      <c r="E17" s="49">
        <v>5.6109999999999998</v>
      </c>
      <c r="F17" s="49">
        <v>0.84399999999999997</v>
      </c>
      <c r="G17" s="49">
        <v>0.54700000000000004</v>
      </c>
      <c r="H17" s="49">
        <v>1.391</v>
      </c>
      <c r="I17" s="49">
        <v>5.8029999999999999</v>
      </c>
      <c r="J17" s="50"/>
      <c r="K17" s="51" t="s">
        <v>63</v>
      </c>
      <c r="L17" s="52">
        <v>0.53900000000000003</v>
      </c>
      <c r="M17" s="51" t="s">
        <v>63</v>
      </c>
      <c r="N17" s="51" t="s">
        <v>63</v>
      </c>
      <c r="O17" s="51">
        <v>-3.7999999999999999E-2</v>
      </c>
      <c r="P17" s="52"/>
      <c r="Q17" s="52">
        <v>-0.88200000000000001</v>
      </c>
      <c r="R17" s="53"/>
      <c r="S17" s="54"/>
      <c r="T17" s="50">
        <v>-0.55600000000000005</v>
      </c>
      <c r="U17" s="50">
        <v>-3.7999999999999999E-2</v>
      </c>
      <c r="V17" s="50">
        <v>0.74199999999999999</v>
      </c>
      <c r="W17" s="55"/>
      <c r="X17" s="55"/>
      <c r="Y17" s="55"/>
      <c r="Z17" s="55"/>
      <c r="AA17" s="50">
        <v>-0.108</v>
      </c>
      <c r="AB17" s="53" t="s">
        <v>63</v>
      </c>
      <c r="AC17" s="53" t="s">
        <v>63</v>
      </c>
      <c r="AD17" s="56"/>
      <c r="AE17" s="50">
        <v>19.574999999999999</v>
      </c>
      <c r="AF17" s="53" t="s">
        <v>63</v>
      </c>
      <c r="AG17" s="53" t="s">
        <v>63</v>
      </c>
      <c r="AH17" s="60">
        <v>3.1780167264038233</v>
      </c>
      <c r="AJ17" s="40"/>
      <c r="AP17" s="41"/>
      <c r="AQ17" s="41"/>
      <c r="AR17" s="41"/>
      <c r="AS17" s="41"/>
    </row>
    <row r="18" spans="1:49" s="39" customFormat="1">
      <c r="B18" s="59" t="s">
        <v>73</v>
      </c>
      <c r="C18" s="49">
        <v>7.5279999999999996</v>
      </c>
      <c r="D18" s="49">
        <v>7.61</v>
      </c>
      <c r="E18" s="49">
        <v>6.1130000000000004</v>
      </c>
      <c r="F18" s="49">
        <v>0.89900000000000002</v>
      </c>
      <c r="G18" s="49">
        <v>0.59799999999999998</v>
      </c>
      <c r="H18" s="49">
        <v>1.4970000000000001</v>
      </c>
      <c r="I18" s="49">
        <v>6.19</v>
      </c>
      <c r="J18" s="50"/>
      <c r="K18" s="51" t="s">
        <v>63</v>
      </c>
      <c r="L18" s="52">
        <v>0.39100000000000001</v>
      </c>
      <c r="M18" s="51" t="s">
        <v>63</v>
      </c>
      <c r="N18" s="51" t="s">
        <v>63</v>
      </c>
      <c r="O18" s="51">
        <v>8.2000000000000003E-2</v>
      </c>
      <c r="P18" s="52"/>
      <c r="Q18" s="52">
        <v>-0.81699999999999995</v>
      </c>
      <c r="R18" s="53"/>
      <c r="S18" s="54"/>
      <c r="T18" s="50">
        <v>-0.38</v>
      </c>
      <c r="U18" s="50">
        <v>8.2000000000000003E-2</v>
      </c>
      <c r="V18" s="50">
        <v>0.73099999999999998</v>
      </c>
      <c r="W18" s="55"/>
      <c r="X18" s="55"/>
      <c r="Y18" s="55"/>
      <c r="Z18" s="55"/>
      <c r="AA18" s="50">
        <v>3.2000000000000001E-2</v>
      </c>
      <c r="AB18" s="53" t="s">
        <v>63</v>
      </c>
      <c r="AC18" s="53" t="s">
        <v>63</v>
      </c>
      <c r="AD18" s="56"/>
      <c r="AE18" s="50">
        <v>21.164000000000001</v>
      </c>
      <c r="AF18" s="50">
        <v>21.812000000000001</v>
      </c>
      <c r="AG18" s="53" t="s">
        <v>63</v>
      </c>
      <c r="AH18" s="60">
        <v>3.3691756272401432</v>
      </c>
      <c r="AJ18" s="40"/>
      <c r="AP18" s="41"/>
      <c r="AQ18" s="41"/>
      <c r="AR18" s="41"/>
      <c r="AS18" s="41"/>
    </row>
    <row r="19" spans="1:49" s="39" customFormat="1">
      <c r="B19" s="59" t="s">
        <v>74</v>
      </c>
      <c r="C19" s="49">
        <v>7.9160000000000004</v>
      </c>
      <c r="D19" s="49">
        <v>7.9219999999999997</v>
      </c>
      <c r="E19" s="49">
        <v>6.3879999999999999</v>
      </c>
      <c r="F19" s="49">
        <v>0.89200000000000002</v>
      </c>
      <c r="G19" s="49">
        <v>0.64200000000000002</v>
      </c>
      <c r="H19" s="49">
        <v>1.534</v>
      </c>
      <c r="I19" s="49">
        <v>6.5090000000000003</v>
      </c>
      <c r="J19" s="50"/>
      <c r="K19" s="51" t="s">
        <v>63</v>
      </c>
      <c r="L19" s="52">
        <v>0.501</v>
      </c>
      <c r="M19" s="51" t="s">
        <v>63</v>
      </c>
      <c r="N19" s="51" t="s">
        <v>63</v>
      </c>
      <c r="O19" s="51">
        <v>6.0000000000000001E-3</v>
      </c>
      <c r="P19" s="52"/>
      <c r="Q19" s="52">
        <v>-0.88600000000000001</v>
      </c>
      <c r="R19" s="53"/>
      <c r="S19" s="54"/>
      <c r="T19" s="50">
        <v>-0.46800000000000003</v>
      </c>
      <c r="U19" s="50">
        <v>6.0000000000000001E-3</v>
      </c>
      <c r="V19" s="50">
        <v>0.76900000000000002</v>
      </c>
      <c r="W19" s="55"/>
      <c r="X19" s="55"/>
      <c r="Y19" s="55"/>
      <c r="Z19" s="55"/>
      <c r="AA19" s="50">
        <v>-9.8000000000000004E-2</v>
      </c>
      <c r="AB19" s="53" t="s">
        <v>63</v>
      </c>
      <c r="AC19" s="53" t="s">
        <v>63</v>
      </c>
      <c r="AD19" s="56"/>
      <c r="AE19" s="50">
        <v>22.512</v>
      </c>
      <c r="AF19" s="50">
        <v>23.007999999999999</v>
      </c>
      <c r="AG19" s="53" t="s">
        <v>63</v>
      </c>
      <c r="AH19" s="60">
        <v>3.5125448028673829</v>
      </c>
      <c r="AJ19" s="40"/>
      <c r="AP19" s="41"/>
      <c r="AQ19" s="41"/>
      <c r="AR19" s="41"/>
      <c r="AS19" s="41"/>
    </row>
    <row r="20" spans="1:49" s="39" customFormat="1">
      <c r="B20" s="59" t="s">
        <v>75</v>
      </c>
      <c r="C20" s="49">
        <v>8.3190000000000008</v>
      </c>
      <c r="D20" s="49">
        <v>8.39</v>
      </c>
      <c r="E20" s="49">
        <v>6.766</v>
      </c>
      <c r="F20" s="49">
        <v>0.95099999999999996</v>
      </c>
      <c r="G20" s="49">
        <v>0.67300000000000004</v>
      </c>
      <c r="H20" s="49">
        <v>1.6240000000000001</v>
      </c>
      <c r="I20" s="49">
        <v>6.8920000000000003</v>
      </c>
      <c r="J20" s="50"/>
      <c r="K20" s="51" t="s">
        <v>63</v>
      </c>
      <c r="L20" s="52">
        <v>0.54600000000000004</v>
      </c>
      <c r="M20" s="51" t="s">
        <v>63</v>
      </c>
      <c r="N20" s="51" t="s">
        <v>63</v>
      </c>
      <c r="O20" s="51">
        <v>7.0999999999999994E-2</v>
      </c>
      <c r="P20" s="52"/>
      <c r="Q20" s="52">
        <v>-0.88</v>
      </c>
      <c r="R20" s="53"/>
      <c r="S20" s="54"/>
      <c r="T20" s="50">
        <v>-0.52</v>
      </c>
      <c r="U20" s="50">
        <v>7.0999999999999994E-2</v>
      </c>
      <c r="V20" s="50">
        <v>0.79300000000000004</v>
      </c>
      <c r="W20" s="55"/>
      <c r="X20" s="55"/>
      <c r="Y20" s="55"/>
      <c r="Z20" s="55"/>
      <c r="AA20" s="50">
        <v>-0.17</v>
      </c>
      <c r="AB20" s="53" t="s">
        <v>63</v>
      </c>
      <c r="AC20" s="53" t="s">
        <v>63</v>
      </c>
      <c r="AD20" s="56"/>
      <c r="AE20" s="50">
        <v>23.338999999999999</v>
      </c>
      <c r="AF20" s="50">
        <v>23.962</v>
      </c>
      <c r="AG20" s="53" t="s">
        <v>63</v>
      </c>
      <c r="AH20" s="60">
        <v>3.632019115890083</v>
      </c>
      <c r="AJ20" s="40"/>
      <c r="AP20" s="41"/>
      <c r="AQ20" s="41"/>
      <c r="AR20" s="41"/>
      <c r="AS20" s="41"/>
    </row>
    <row r="21" spans="1:49" s="39" customFormat="1">
      <c r="B21" s="59" t="s">
        <v>76</v>
      </c>
      <c r="C21" s="49">
        <v>8.3719999999999999</v>
      </c>
      <c r="D21" s="49">
        <v>8.9410000000000007</v>
      </c>
      <c r="E21" s="49">
        <v>7.2320000000000002</v>
      </c>
      <c r="F21" s="49">
        <v>1.024</v>
      </c>
      <c r="G21" s="49">
        <v>0.68500000000000005</v>
      </c>
      <c r="H21" s="49">
        <v>1.7090000000000001</v>
      </c>
      <c r="I21" s="49">
        <v>7.0720000000000001</v>
      </c>
      <c r="J21" s="50"/>
      <c r="K21" s="51" t="s">
        <v>63</v>
      </c>
      <c r="L21" s="52">
        <v>0.36299999999999999</v>
      </c>
      <c r="M21" s="51" t="s">
        <v>63</v>
      </c>
      <c r="N21" s="51" t="s">
        <v>63</v>
      </c>
      <c r="O21" s="51">
        <v>0.56899999999999995</v>
      </c>
      <c r="P21" s="52"/>
      <c r="Q21" s="52">
        <v>-0.45500000000000002</v>
      </c>
      <c r="R21" s="53"/>
      <c r="S21" s="54"/>
      <c r="T21" s="50">
        <v>-0.28199999999999997</v>
      </c>
      <c r="U21" s="50">
        <v>0.56899999999999995</v>
      </c>
      <c r="V21" s="50">
        <v>0.81899999999999995</v>
      </c>
      <c r="W21" s="55"/>
      <c r="X21" s="55"/>
      <c r="Y21" s="55"/>
      <c r="Z21" s="55"/>
      <c r="AA21" s="50">
        <v>5.7000000000000002E-2</v>
      </c>
      <c r="AB21" s="53" t="s">
        <v>63</v>
      </c>
      <c r="AC21" s="53" t="s">
        <v>63</v>
      </c>
      <c r="AD21" s="56"/>
      <c r="AE21" s="50">
        <v>24.878</v>
      </c>
      <c r="AF21" s="50">
        <v>25.795999999999999</v>
      </c>
      <c r="AG21" s="53" t="s">
        <v>63</v>
      </c>
      <c r="AH21" s="60">
        <v>3.632019115890083</v>
      </c>
      <c r="AJ21" s="40"/>
      <c r="AP21" s="41"/>
      <c r="AQ21" s="41"/>
      <c r="AR21" s="41"/>
      <c r="AS21" s="41"/>
    </row>
    <row r="22" spans="1:49" s="39" customFormat="1">
      <c r="B22" s="59" t="s">
        <v>77</v>
      </c>
      <c r="C22" s="49">
        <v>8.9130000000000003</v>
      </c>
      <c r="D22" s="49">
        <v>9.5749999999999993</v>
      </c>
      <c r="E22" s="49">
        <v>7.7670000000000003</v>
      </c>
      <c r="F22" s="49">
        <v>1.0660000000000001</v>
      </c>
      <c r="G22" s="49">
        <v>0.74199999999999999</v>
      </c>
      <c r="H22" s="49">
        <v>1.8080000000000001</v>
      </c>
      <c r="I22" s="49">
        <v>7.4290000000000003</v>
      </c>
      <c r="J22" s="50"/>
      <c r="K22" s="51" t="s">
        <v>63</v>
      </c>
      <c r="L22" s="52">
        <v>0.36699999999999999</v>
      </c>
      <c r="M22" s="51" t="s">
        <v>63</v>
      </c>
      <c r="N22" s="51" t="s">
        <v>63</v>
      </c>
      <c r="O22" s="51">
        <v>0.66200000000000003</v>
      </c>
      <c r="P22" s="52"/>
      <c r="Q22" s="52">
        <v>-0.40400000000000003</v>
      </c>
      <c r="R22" s="53"/>
      <c r="S22" s="54"/>
      <c r="T22" s="50">
        <v>-0.21099999999999999</v>
      </c>
      <c r="U22" s="50">
        <v>0.66200000000000003</v>
      </c>
      <c r="V22" s="50">
        <v>0.88700000000000001</v>
      </c>
      <c r="W22" s="55"/>
      <c r="X22" s="55"/>
      <c r="Y22" s="55"/>
      <c r="Z22" s="55"/>
      <c r="AA22" s="50">
        <v>0.16800000000000001</v>
      </c>
      <c r="AB22" s="53" t="s">
        <v>63</v>
      </c>
      <c r="AC22" s="53" t="s">
        <v>63</v>
      </c>
      <c r="AD22" s="56"/>
      <c r="AE22" s="50">
        <v>26.643999999999998</v>
      </c>
      <c r="AF22" s="50">
        <v>27.588000000000001</v>
      </c>
      <c r="AG22" s="53" t="s">
        <v>63</v>
      </c>
      <c r="AH22" s="60">
        <v>3.6798088410991636</v>
      </c>
      <c r="AJ22" s="40"/>
      <c r="AP22" s="41"/>
      <c r="AQ22" s="41"/>
      <c r="AR22" s="41"/>
      <c r="AS22" s="41"/>
    </row>
    <row r="23" spans="1:49" s="39" customFormat="1">
      <c r="B23" s="59" t="s">
        <v>78</v>
      </c>
      <c r="C23" s="49">
        <v>9.98</v>
      </c>
      <c r="D23" s="49">
        <v>10.59</v>
      </c>
      <c r="E23" s="49">
        <v>8.4860000000000007</v>
      </c>
      <c r="F23" s="49">
        <v>1.2390000000000001</v>
      </c>
      <c r="G23" s="49">
        <v>0.86499999999999999</v>
      </c>
      <c r="H23" s="49">
        <v>2.1040000000000001</v>
      </c>
      <c r="I23" s="49">
        <v>8.4</v>
      </c>
      <c r="J23" s="50"/>
      <c r="K23" s="51" t="s">
        <v>63</v>
      </c>
      <c r="L23" s="52">
        <v>0.50800000000000001</v>
      </c>
      <c r="M23" s="51" t="s">
        <v>63</v>
      </c>
      <c r="N23" s="51" t="s">
        <v>63</v>
      </c>
      <c r="O23" s="51">
        <v>0.61</v>
      </c>
      <c r="P23" s="52"/>
      <c r="Q23" s="52">
        <v>-0.629</v>
      </c>
      <c r="R23" s="53"/>
      <c r="S23" s="54"/>
      <c r="T23" s="50">
        <v>-0.47</v>
      </c>
      <c r="U23" s="50">
        <v>0.61</v>
      </c>
      <c r="V23" s="50">
        <v>0.94899999999999995</v>
      </c>
      <c r="W23" s="55"/>
      <c r="X23" s="55"/>
      <c r="Y23" s="55"/>
      <c r="Z23" s="55"/>
      <c r="AA23" s="50">
        <v>4.7E-2</v>
      </c>
      <c r="AB23" s="53" t="s">
        <v>63</v>
      </c>
      <c r="AC23" s="53" t="s">
        <v>63</v>
      </c>
      <c r="AD23" s="56"/>
      <c r="AE23" s="50">
        <v>28.146999999999998</v>
      </c>
      <c r="AF23" s="50">
        <v>28.849</v>
      </c>
      <c r="AG23" s="53" t="s">
        <v>63</v>
      </c>
      <c r="AH23" s="60">
        <v>3.8470728793309443</v>
      </c>
      <c r="AJ23" s="40"/>
      <c r="AP23" s="41"/>
      <c r="AQ23" s="41"/>
      <c r="AR23" s="41"/>
      <c r="AS23" s="41"/>
    </row>
    <row r="24" spans="1:49" s="39" customFormat="1">
      <c r="B24" s="59" t="s">
        <v>79</v>
      </c>
      <c r="C24" s="49">
        <v>10.449</v>
      </c>
      <c r="D24" s="49">
        <v>10.987</v>
      </c>
      <c r="E24" s="49">
        <v>8.8079999999999998</v>
      </c>
      <c r="F24" s="49">
        <v>1.258</v>
      </c>
      <c r="G24" s="49">
        <v>0.92100000000000004</v>
      </c>
      <c r="H24" s="49">
        <v>2.1789999999999998</v>
      </c>
      <c r="I24" s="49">
        <v>8.7309999999999999</v>
      </c>
      <c r="J24" s="50"/>
      <c r="K24" s="51" t="s">
        <v>63</v>
      </c>
      <c r="L24" s="52">
        <v>0.55000000000000004</v>
      </c>
      <c r="M24" s="51" t="s">
        <v>63</v>
      </c>
      <c r="N24" s="51" t="s">
        <v>63</v>
      </c>
      <c r="O24" s="51">
        <v>0.53800000000000003</v>
      </c>
      <c r="P24" s="52"/>
      <c r="Q24" s="52">
        <v>-0.72</v>
      </c>
      <c r="R24" s="53"/>
      <c r="S24" s="54"/>
      <c r="T24" s="50">
        <v>-0.38400000000000001</v>
      </c>
      <c r="U24" s="50">
        <v>0.64600000000000002</v>
      </c>
      <c r="V24" s="50">
        <v>0.93500000000000005</v>
      </c>
      <c r="W24" s="55"/>
      <c r="X24" s="55"/>
      <c r="Y24" s="55"/>
      <c r="Z24" s="55"/>
      <c r="AA24" s="50">
        <v>6.7000000000000004E-2</v>
      </c>
      <c r="AB24" s="53" t="s">
        <v>63</v>
      </c>
      <c r="AC24" s="53" t="s">
        <v>63</v>
      </c>
      <c r="AD24" s="56"/>
      <c r="AE24" s="50">
        <v>29.457000000000001</v>
      </c>
      <c r="AF24" s="50">
        <v>30.39</v>
      </c>
      <c r="AG24" s="53" t="s">
        <v>63</v>
      </c>
      <c r="AH24" s="60">
        <v>3.9426523297491038</v>
      </c>
      <c r="AJ24" s="40"/>
      <c r="AP24" s="41"/>
      <c r="AQ24" s="41"/>
      <c r="AR24" s="41"/>
      <c r="AS24" s="41"/>
    </row>
    <row r="25" spans="1:49" s="39" customFormat="1">
      <c r="B25" s="59" t="s">
        <v>80</v>
      </c>
      <c r="C25" s="49">
        <v>11.055999999999999</v>
      </c>
      <c r="D25" s="49">
        <v>11.919</v>
      </c>
      <c r="E25" s="49">
        <v>9.15</v>
      </c>
      <c r="F25" s="49">
        <v>1.7669999999999999</v>
      </c>
      <c r="G25" s="49">
        <v>1.002</v>
      </c>
      <c r="H25" s="49">
        <v>2.7690000000000001</v>
      </c>
      <c r="I25" s="49">
        <v>9.16</v>
      </c>
      <c r="J25" s="50"/>
      <c r="K25" s="51" t="s">
        <v>63</v>
      </c>
      <c r="L25" s="52">
        <v>0.28899999999999998</v>
      </c>
      <c r="M25" s="51" t="s">
        <v>63</v>
      </c>
      <c r="N25" s="51" t="s">
        <v>63</v>
      </c>
      <c r="O25" s="51">
        <v>0.86299999999999999</v>
      </c>
      <c r="P25" s="52"/>
      <c r="Q25" s="52">
        <v>-0.90400000000000003</v>
      </c>
      <c r="R25" s="53"/>
      <c r="S25" s="54"/>
      <c r="T25" s="50">
        <v>0.30299999999999999</v>
      </c>
      <c r="U25" s="50">
        <v>0.98899999999999999</v>
      </c>
      <c r="V25" s="50">
        <v>0.98399999999999999</v>
      </c>
      <c r="W25" s="55"/>
      <c r="X25" s="55"/>
      <c r="Y25" s="55"/>
      <c r="Z25" s="55"/>
      <c r="AA25" s="50">
        <v>0.77300000000000002</v>
      </c>
      <c r="AB25" s="53" t="s">
        <v>63</v>
      </c>
      <c r="AC25" s="53" t="s">
        <v>63</v>
      </c>
      <c r="AD25" s="56"/>
      <c r="AE25" s="50">
        <v>31.928999999999998</v>
      </c>
      <c r="AF25" s="50">
        <v>33.348999999999997</v>
      </c>
      <c r="AG25" s="53" t="s">
        <v>63</v>
      </c>
      <c r="AH25" s="60">
        <v>4.0143369175627237</v>
      </c>
      <c r="AJ25" s="40"/>
      <c r="AP25" s="41"/>
      <c r="AQ25" s="41"/>
      <c r="AR25" s="41"/>
      <c r="AS25" s="41"/>
    </row>
    <row r="26" spans="1:49" s="39" customFormat="1">
      <c r="B26" s="59" t="s">
        <v>81</v>
      </c>
      <c r="C26" s="49">
        <v>12.257</v>
      </c>
      <c r="D26" s="49">
        <v>12.907999999999999</v>
      </c>
      <c r="E26" s="49">
        <v>9.7240000000000002</v>
      </c>
      <c r="F26" s="49">
        <v>2.0960000000000001</v>
      </c>
      <c r="G26" s="49">
        <v>1.0880000000000001</v>
      </c>
      <c r="H26" s="49">
        <v>3.1840000000000002</v>
      </c>
      <c r="I26" s="49">
        <v>10.137</v>
      </c>
      <c r="J26" s="50"/>
      <c r="K26" s="51" t="s">
        <v>63</v>
      </c>
      <c r="L26" s="52">
        <v>0.53900000000000003</v>
      </c>
      <c r="M26" s="51" t="s">
        <v>63</v>
      </c>
      <c r="N26" s="51" t="s">
        <v>63</v>
      </c>
      <c r="O26" s="51">
        <v>0.65100000000000002</v>
      </c>
      <c r="P26" s="52"/>
      <c r="Q26" s="52">
        <v>-1.4450000000000001</v>
      </c>
      <c r="R26" s="53"/>
      <c r="S26" s="54"/>
      <c r="T26" s="50">
        <v>0.32600000000000001</v>
      </c>
      <c r="U26" s="50">
        <v>0.91400000000000003</v>
      </c>
      <c r="V26" s="50">
        <v>0.98599999999999999</v>
      </c>
      <c r="W26" s="55"/>
      <c r="X26" s="55"/>
      <c r="Y26" s="55"/>
      <c r="Z26" s="55"/>
      <c r="AA26" s="50">
        <v>3.1E-2</v>
      </c>
      <c r="AB26" s="53" t="s">
        <v>63</v>
      </c>
      <c r="AC26" s="53" t="s">
        <v>63</v>
      </c>
      <c r="AD26" s="56"/>
      <c r="AE26" s="50">
        <v>34.863999999999997</v>
      </c>
      <c r="AF26" s="50">
        <v>36.173000000000002</v>
      </c>
      <c r="AG26" s="53" t="s">
        <v>63</v>
      </c>
      <c r="AH26" s="60">
        <v>4.2054958183990445</v>
      </c>
      <c r="AJ26" s="40"/>
      <c r="AP26" s="41"/>
      <c r="AQ26" s="41"/>
      <c r="AR26" s="41"/>
      <c r="AS26" s="41"/>
    </row>
    <row r="27" spans="1:49" s="61" customFormat="1" ht="15.75" customHeight="1">
      <c r="B27" s="62" t="s">
        <v>82</v>
      </c>
      <c r="C27" s="49">
        <v>13.846</v>
      </c>
      <c r="D27" s="49">
        <v>14.417</v>
      </c>
      <c r="E27" s="49">
        <v>10.965999999999999</v>
      </c>
      <c r="F27" s="49">
        <v>2.2509999999999999</v>
      </c>
      <c r="G27" s="49">
        <v>1.2</v>
      </c>
      <c r="H27" s="49">
        <v>3.4510000000000001</v>
      </c>
      <c r="I27" s="49">
        <v>11.497999999999999</v>
      </c>
      <c r="J27" s="50"/>
      <c r="K27" s="51" t="s">
        <v>63</v>
      </c>
      <c r="L27" s="52">
        <v>0.66200000000000003</v>
      </c>
      <c r="M27" s="51" t="s">
        <v>63</v>
      </c>
      <c r="N27" s="51" t="s">
        <v>63</v>
      </c>
      <c r="O27" s="51">
        <v>0.57099999999999995</v>
      </c>
      <c r="P27" s="52"/>
      <c r="Q27" s="52">
        <v>-1.68</v>
      </c>
      <c r="R27" s="53"/>
      <c r="S27" s="50"/>
      <c r="T27" s="50">
        <v>0.46899999999999997</v>
      </c>
      <c r="U27" s="50">
        <v>0.92200000000000004</v>
      </c>
      <c r="V27" s="50">
        <v>1.014</v>
      </c>
      <c r="W27" s="49"/>
      <c r="X27" s="49"/>
      <c r="Y27" s="49"/>
      <c r="Z27" s="49"/>
      <c r="AA27" s="50">
        <v>0.45700000000000002</v>
      </c>
      <c r="AB27" s="53" t="s">
        <v>63</v>
      </c>
      <c r="AC27" s="53" t="s">
        <v>63</v>
      </c>
      <c r="AD27" s="56"/>
      <c r="AE27" s="50">
        <v>37.472999999999999</v>
      </c>
      <c r="AF27" s="50">
        <v>38.765999999999998</v>
      </c>
      <c r="AG27" s="53" t="s">
        <v>63</v>
      </c>
      <c r="AH27" s="60">
        <v>4.4205495818399045</v>
      </c>
      <c r="AI27" s="39"/>
      <c r="AJ27" s="63"/>
      <c r="AK27" s="39"/>
      <c r="AL27" s="39"/>
      <c r="AM27" s="64"/>
      <c r="AN27" s="64"/>
      <c r="AO27" s="64"/>
      <c r="AP27" s="65"/>
      <c r="AQ27" s="65"/>
      <c r="AR27" s="65"/>
      <c r="AS27" s="65"/>
      <c r="AT27" s="66"/>
      <c r="AU27" s="39"/>
      <c r="AV27" s="39"/>
      <c r="AW27" s="39"/>
    </row>
    <row r="28" spans="1:49" s="61" customFormat="1" ht="15.75" customHeight="1">
      <c r="B28" s="62" t="s">
        <v>83</v>
      </c>
      <c r="C28" s="49">
        <v>15.037000000000001</v>
      </c>
      <c r="D28" s="49">
        <v>15.994</v>
      </c>
      <c r="E28" s="49">
        <v>11.958</v>
      </c>
      <c r="F28" s="49">
        <v>2.6970000000000001</v>
      </c>
      <c r="G28" s="49">
        <v>1.339</v>
      </c>
      <c r="H28" s="49">
        <v>4.0359999999999996</v>
      </c>
      <c r="I28" s="49">
        <v>12.541</v>
      </c>
      <c r="J28" s="50"/>
      <c r="K28" s="51" t="s">
        <v>63</v>
      </c>
      <c r="L28" s="52">
        <v>0.38</v>
      </c>
      <c r="M28" s="51" t="s">
        <v>63</v>
      </c>
      <c r="N28" s="51" t="s">
        <v>63</v>
      </c>
      <c r="O28" s="51">
        <v>0.95699999999999996</v>
      </c>
      <c r="P28" s="52"/>
      <c r="Q28" s="52">
        <v>-1.74</v>
      </c>
      <c r="R28" s="53"/>
      <c r="S28" s="50"/>
      <c r="T28" s="50">
        <v>0.74299999999999999</v>
      </c>
      <c r="U28" s="50">
        <v>1.1659999999999999</v>
      </c>
      <c r="V28" s="50">
        <v>1.115</v>
      </c>
      <c r="W28" s="49"/>
      <c r="X28" s="49"/>
      <c r="Y28" s="49"/>
      <c r="Z28" s="49"/>
      <c r="AA28" s="50">
        <v>3.2000000000000001E-2</v>
      </c>
      <c r="AB28" s="53" t="s">
        <v>63</v>
      </c>
      <c r="AC28" s="53" t="s">
        <v>63</v>
      </c>
      <c r="AD28" s="56"/>
      <c r="AE28" s="50">
        <v>39.962000000000003</v>
      </c>
      <c r="AF28" s="50">
        <v>41.161000000000001</v>
      </c>
      <c r="AG28" s="53" t="s">
        <v>63</v>
      </c>
      <c r="AH28" s="60">
        <v>4.6594982078853047</v>
      </c>
      <c r="AI28" s="39"/>
      <c r="AJ28" s="63"/>
      <c r="AK28" s="39"/>
      <c r="AL28" s="39"/>
      <c r="AM28" s="64"/>
      <c r="AN28" s="64"/>
      <c r="AO28" s="64"/>
      <c r="AP28" s="67"/>
      <c r="AQ28" s="67"/>
      <c r="AR28" s="67"/>
      <c r="AS28" s="67"/>
      <c r="AT28" s="66"/>
      <c r="AU28" s="39"/>
      <c r="AV28" s="39"/>
      <c r="AW28" s="39"/>
    </row>
    <row r="29" spans="1:49" s="61" customFormat="1" ht="15.75" customHeight="1">
      <c r="B29" s="62" t="s">
        <v>84</v>
      </c>
      <c r="C29" s="49">
        <v>16.614999999999998</v>
      </c>
      <c r="D29" s="49">
        <v>18.251999999999999</v>
      </c>
      <c r="E29" s="49">
        <v>13.419</v>
      </c>
      <c r="F29" s="49">
        <v>3.3860000000000001</v>
      </c>
      <c r="G29" s="49">
        <v>1.4470000000000001</v>
      </c>
      <c r="H29" s="49">
        <v>4.8330000000000002</v>
      </c>
      <c r="I29" s="49">
        <v>13.861000000000001</v>
      </c>
      <c r="J29" s="50"/>
      <c r="K29" s="51" t="s">
        <v>63</v>
      </c>
      <c r="L29" s="52">
        <v>-7.8E-2</v>
      </c>
      <c r="M29" s="51" t="s">
        <v>63</v>
      </c>
      <c r="N29" s="51" t="s">
        <v>63</v>
      </c>
      <c r="O29" s="51">
        <v>1.637</v>
      </c>
      <c r="P29" s="52"/>
      <c r="Q29" s="52">
        <v>-1.7490000000000001</v>
      </c>
      <c r="R29" s="53"/>
      <c r="S29" s="50"/>
      <c r="T29" s="50">
        <v>1.3740000000000001</v>
      </c>
      <c r="U29" s="50">
        <v>2.0209999999999999</v>
      </c>
      <c r="V29" s="50">
        <v>1.224</v>
      </c>
      <c r="W29" s="49"/>
      <c r="X29" s="49"/>
      <c r="Y29" s="49"/>
      <c r="Z29" s="49"/>
      <c r="AA29" s="50">
        <v>0.63100000000000001</v>
      </c>
      <c r="AB29" s="53" t="s">
        <v>63</v>
      </c>
      <c r="AC29" s="53" t="s">
        <v>63</v>
      </c>
      <c r="AD29" s="56"/>
      <c r="AE29" s="50">
        <v>42.52</v>
      </c>
      <c r="AF29" s="50">
        <v>44.405000000000001</v>
      </c>
      <c r="AG29" s="53" t="s">
        <v>63</v>
      </c>
      <c r="AH29" s="60">
        <v>4.8028673835125453</v>
      </c>
      <c r="AI29" s="39"/>
      <c r="AJ29" s="63"/>
      <c r="AK29" s="39"/>
      <c r="AL29" s="39"/>
      <c r="AM29" s="64"/>
      <c r="AN29" s="64"/>
      <c r="AO29" s="64"/>
      <c r="AP29" s="67"/>
      <c r="AQ29" s="67"/>
      <c r="AR29" s="67"/>
      <c r="AS29" s="67"/>
      <c r="AT29" s="66"/>
      <c r="AU29" s="39"/>
      <c r="AV29" s="39"/>
      <c r="AW29" s="39"/>
    </row>
    <row r="30" spans="1:49" s="61" customFormat="1" ht="15.75" customHeight="1">
      <c r="B30" s="62" t="s">
        <v>85</v>
      </c>
      <c r="C30" s="49">
        <v>19.082999999999998</v>
      </c>
      <c r="D30" s="49">
        <v>19.353000000000002</v>
      </c>
      <c r="E30" s="49">
        <v>14.465</v>
      </c>
      <c r="F30" s="49">
        <v>3.2320000000000002</v>
      </c>
      <c r="G30" s="49">
        <v>1.6559999999999999</v>
      </c>
      <c r="H30" s="49">
        <v>4.8879999999999999</v>
      </c>
      <c r="I30" s="49">
        <v>15.814</v>
      </c>
      <c r="J30" s="50"/>
      <c r="K30" s="51" t="s">
        <v>63</v>
      </c>
      <c r="L30" s="52">
        <v>1.3879999999999999</v>
      </c>
      <c r="M30" s="51" t="s">
        <v>63</v>
      </c>
      <c r="N30" s="51" t="s">
        <v>63</v>
      </c>
      <c r="O30" s="51">
        <v>0.27</v>
      </c>
      <c r="P30" s="52"/>
      <c r="Q30" s="52">
        <v>-2.9620000000000002</v>
      </c>
      <c r="R30" s="53"/>
      <c r="S30" s="50"/>
      <c r="T30" s="50">
        <v>-0.29199999999999998</v>
      </c>
      <c r="U30" s="50">
        <v>0.376</v>
      </c>
      <c r="V30" s="50">
        <v>1.302</v>
      </c>
      <c r="W30" s="49"/>
      <c r="X30" s="49"/>
      <c r="Y30" s="49"/>
      <c r="Z30" s="49"/>
      <c r="AA30" s="50">
        <v>-0.313</v>
      </c>
      <c r="AB30" s="53" t="s">
        <v>63</v>
      </c>
      <c r="AC30" s="53" t="s">
        <v>63</v>
      </c>
      <c r="AD30" s="56"/>
      <c r="AE30" s="50">
        <v>46.779000000000003</v>
      </c>
      <c r="AF30" s="50">
        <v>48.709000000000003</v>
      </c>
      <c r="AG30" s="53" t="s">
        <v>63</v>
      </c>
      <c r="AH30" s="60">
        <v>5.0418160095579454</v>
      </c>
      <c r="AI30" s="39"/>
      <c r="AJ30" s="63"/>
      <c r="AK30" s="39"/>
      <c r="AL30" s="39"/>
      <c r="AM30" s="64"/>
      <c r="AN30" s="64"/>
      <c r="AO30" s="64"/>
      <c r="AP30" s="67"/>
      <c r="AQ30" s="67"/>
      <c r="AR30" s="67"/>
      <c r="AS30" s="67"/>
      <c r="AT30" s="66"/>
      <c r="AU30" s="39"/>
      <c r="AV30" s="39"/>
      <c r="AW30" s="39"/>
    </row>
    <row r="31" spans="1:49" s="61" customFormat="1" ht="15.75" customHeight="1">
      <c r="B31" s="62" t="s">
        <v>86</v>
      </c>
      <c r="C31" s="49">
        <v>21.279</v>
      </c>
      <c r="D31" s="49">
        <v>20.407</v>
      </c>
      <c r="E31" s="49">
        <v>15.404999999999999</v>
      </c>
      <c r="F31" s="49">
        <v>3.137</v>
      </c>
      <c r="G31" s="49">
        <v>1.865</v>
      </c>
      <c r="H31" s="49">
        <v>5.0019999999999998</v>
      </c>
      <c r="I31" s="49">
        <v>17.863</v>
      </c>
      <c r="J31" s="50"/>
      <c r="K31" s="51" t="s">
        <v>63</v>
      </c>
      <c r="L31" s="52">
        <v>2.6139999999999999</v>
      </c>
      <c r="M31" s="51" t="s">
        <v>63</v>
      </c>
      <c r="N31" s="51" t="s">
        <v>63</v>
      </c>
      <c r="O31" s="51">
        <v>-0.872</v>
      </c>
      <c r="P31" s="52"/>
      <c r="Q31" s="52">
        <v>-4.0090000000000003</v>
      </c>
      <c r="R31" s="53"/>
      <c r="S31" s="50"/>
      <c r="T31" s="50">
        <v>-1.081</v>
      </c>
      <c r="U31" s="50">
        <v>-0.76800000000000002</v>
      </c>
      <c r="V31" s="50">
        <v>1.3140000000000001</v>
      </c>
      <c r="W31" s="49"/>
      <c r="X31" s="49"/>
      <c r="Y31" s="49"/>
      <c r="Z31" s="49"/>
      <c r="AA31" s="50">
        <v>-0.189</v>
      </c>
      <c r="AB31" s="53" t="s">
        <v>63</v>
      </c>
      <c r="AC31" s="53" t="s">
        <v>63</v>
      </c>
      <c r="AD31" s="56"/>
      <c r="AE31" s="50">
        <v>50.856000000000002</v>
      </c>
      <c r="AF31" s="50">
        <v>54.103999999999999</v>
      </c>
      <c r="AG31" s="53" t="s">
        <v>63</v>
      </c>
      <c r="AH31" s="60">
        <v>5.4241338112305861</v>
      </c>
      <c r="AI31" s="39"/>
      <c r="AJ31" s="63"/>
      <c r="AK31" s="39"/>
      <c r="AL31" s="39"/>
      <c r="AM31" s="64"/>
      <c r="AN31" s="64"/>
      <c r="AO31" s="64"/>
      <c r="AP31" s="67"/>
      <c r="AQ31" s="67"/>
      <c r="AR31" s="67"/>
      <c r="AS31" s="67"/>
      <c r="AT31" s="66"/>
      <c r="AU31" s="39"/>
      <c r="AV31" s="39"/>
      <c r="AW31" s="39"/>
    </row>
    <row r="32" spans="1:49">
      <c r="A32" s="68"/>
      <c r="B32" s="69" t="s">
        <v>87</v>
      </c>
      <c r="C32" s="49">
        <v>23.117000000000001</v>
      </c>
      <c r="D32" s="49">
        <v>22.794</v>
      </c>
      <c r="E32" s="49">
        <v>17.05</v>
      </c>
      <c r="F32" s="49">
        <v>3.6240000000000001</v>
      </c>
      <c r="G32" s="49">
        <v>2.12</v>
      </c>
      <c r="H32" s="49">
        <v>5.7439999999999998</v>
      </c>
      <c r="I32" s="49">
        <v>19.457000000000001</v>
      </c>
      <c r="J32" s="70"/>
      <c r="K32" s="51" t="s">
        <v>63</v>
      </c>
      <c r="L32" s="52">
        <v>2.1080000000000001</v>
      </c>
      <c r="M32" s="51" t="s">
        <v>63</v>
      </c>
      <c r="N32" s="51" t="s">
        <v>63</v>
      </c>
      <c r="O32" s="51">
        <v>-0.32300000000000001</v>
      </c>
      <c r="P32" s="52"/>
      <c r="Q32" s="52">
        <v>-3.9470000000000001</v>
      </c>
      <c r="R32" s="53"/>
      <c r="S32" s="71"/>
      <c r="T32" s="50">
        <v>-0.13300000000000001</v>
      </c>
      <c r="U32" s="50">
        <v>0.65500000000000003</v>
      </c>
      <c r="V32" s="50">
        <v>1.3440000000000001</v>
      </c>
      <c r="W32" s="72"/>
      <c r="X32" s="72"/>
      <c r="Y32" s="72"/>
      <c r="Z32" s="72"/>
      <c r="AA32" s="50">
        <v>-1.1080000000000001</v>
      </c>
      <c r="AB32" s="53" t="s">
        <v>63</v>
      </c>
      <c r="AC32" s="53" t="s">
        <v>63</v>
      </c>
      <c r="AD32" s="56"/>
      <c r="AE32" s="50">
        <v>57.738999999999997</v>
      </c>
      <c r="AF32" s="50">
        <v>61.179000000000002</v>
      </c>
      <c r="AG32" s="53" t="s">
        <v>63</v>
      </c>
      <c r="AH32" s="60">
        <v>5.9259259259259256</v>
      </c>
      <c r="AJ32" s="63"/>
      <c r="AM32" s="64"/>
      <c r="AN32" s="64"/>
      <c r="AO32" s="64"/>
      <c r="AP32" s="67"/>
      <c r="AQ32" s="67"/>
      <c r="AR32" s="67"/>
      <c r="AS32" s="67"/>
      <c r="AT32" s="66"/>
    </row>
    <row r="33" spans="1:46">
      <c r="A33" s="68"/>
      <c r="B33" s="69" t="s">
        <v>88</v>
      </c>
      <c r="C33" s="49">
        <v>24.78</v>
      </c>
      <c r="D33" s="49">
        <v>25.414000000000001</v>
      </c>
      <c r="E33" s="49">
        <v>19.495000000000001</v>
      </c>
      <c r="F33" s="49">
        <v>3.47</v>
      </c>
      <c r="G33" s="49">
        <v>2.4489999999999998</v>
      </c>
      <c r="H33" s="49">
        <v>5.9189999999999996</v>
      </c>
      <c r="I33" s="49">
        <v>20.707999999999998</v>
      </c>
      <c r="J33" s="70"/>
      <c r="K33" s="51" t="s">
        <v>63</v>
      </c>
      <c r="L33" s="52">
        <v>1.276</v>
      </c>
      <c r="M33" s="51" t="s">
        <v>63</v>
      </c>
      <c r="N33" s="51" t="s">
        <v>63</v>
      </c>
      <c r="O33" s="51">
        <v>0.63400000000000001</v>
      </c>
      <c r="P33" s="52"/>
      <c r="Q33" s="52">
        <v>-2.8359999999999999</v>
      </c>
      <c r="R33" s="53"/>
      <c r="S33" s="52"/>
      <c r="T33" s="50">
        <v>0.48799999999999999</v>
      </c>
      <c r="U33" s="50">
        <v>0.85</v>
      </c>
      <c r="V33" s="50">
        <v>1.544</v>
      </c>
      <c r="W33" s="72"/>
      <c r="X33" s="72"/>
      <c r="Y33" s="72"/>
      <c r="Z33" s="72"/>
      <c r="AA33" s="50">
        <v>-0.40699999999999997</v>
      </c>
      <c r="AB33" s="53" t="s">
        <v>63</v>
      </c>
      <c r="AC33" s="53" t="s">
        <v>63</v>
      </c>
      <c r="AD33" s="56"/>
      <c r="AE33" s="50">
        <v>64.590999999999994</v>
      </c>
      <c r="AF33" s="50">
        <v>68.144999999999996</v>
      </c>
      <c r="AG33" s="53" t="s">
        <v>63</v>
      </c>
      <c r="AH33" s="60">
        <v>6.3560334528076465</v>
      </c>
      <c r="AJ33" s="63"/>
      <c r="AM33" s="64"/>
      <c r="AN33" s="64"/>
      <c r="AO33" s="64"/>
      <c r="AP33" s="67"/>
      <c r="AQ33" s="67"/>
      <c r="AR33" s="67"/>
      <c r="AS33" s="67"/>
      <c r="AT33" s="66"/>
    </row>
    <row r="34" spans="1:46">
      <c r="A34" s="68"/>
      <c r="B34" s="69" t="s">
        <v>89</v>
      </c>
      <c r="C34" s="49">
        <v>26.524000000000001</v>
      </c>
      <c r="D34" s="49">
        <v>28.437000000000001</v>
      </c>
      <c r="E34" s="49">
        <v>22.036000000000001</v>
      </c>
      <c r="F34" s="49">
        <v>3.6339999999999999</v>
      </c>
      <c r="G34" s="49">
        <v>2.7669999999999999</v>
      </c>
      <c r="H34" s="49">
        <v>6.4009999999999998</v>
      </c>
      <c r="I34" s="49">
        <v>22.053000000000001</v>
      </c>
      <c r="J34" s="70"/>
      <c r="K34" s="51" t="s">
        <v>63</v>
      </c>
      <c r="L34" s="52">
        <v>0.11</v>
      </c>
      <c r="M34" s="51" t="s">
        <v>63</v>
      </c>
      <c r="N34" s="51" t="s">
        <v>63</v>
      </c>
      <c r="O34" s="51">
        <v>1.913</v>
      </c>
      <c r="P34" s="52"/>
      <c r="Q34" s="52">
        <v>-1.7210000000000001</v>
      </c>
      <c r="R34" s="53"/>
      <c r="S34" s="52"/>
      <c r="T34" s="50">
        <v>1.9079999999999999</v>
      </c>
      <c r="U34" s="50">
        <v>2.4489999999999998</v>
      </c>
      <c r="V34" s="50">
        <v>1.726</v>
      </c>
      <c r="W34" s="72"/>
      <c r="X34" s="72"/>
      <c r="Y34" s="72"/>
      <c r="Z34" s="72"/>
      <c r="AA34" s="50">
        <v>1.4530000000000001</v>
      </c>
      <c r="AB34" s="53" t="s">
        <v>63</v>
      </c>
      <c r="AC34" s="53" t="s">
        <v>63</v>
      </c>
      <c r="AD34" s="56"/>
      <c r="AE34" s="50">
        <v>73.941999999999993</v>
      </c>
      <c r="AF34" s="50">
        <v>79.236999999999995</v>
      </c>
      <c r="AG34" s="70">
        <v>2.5446863580414503</v>
      </c>
      <c r="AH34" s="60">
        <v>6.9295101553166063</v>
      </c>
      <c r="AI34" s="73"/>
      <c r="AJ34" s="63"/>
      <c r="AM34" s="64"/>
      <c r="AN34" s="64"/>
      <c r="AO34" s="64"/>
      <c r="AP34" s="67"/>
      <c r="AQ34" s="67"/>
      <c r="AR34" s="67"/>
      <c r="AS34" s="67"/>
      <c r="AT34" s="66"/>
    </row>
    <row r="35" spans="1:46">
      <c r="A35" s="68"/>
      <c r="B35" s="69" t="s">
        <v>90</v>
      </c>
      <c r="C35" s="49">
        <v>29.974</v>
      </c>
      <c r="D35" s="49">
        <v>33.356999999999999</v>
      </c>
      <c r="E35" s="49">
        <v>25.684000000000001</v>
      </c>
      <c r="F35" s="49">
        <v>4.3449999999999998</v>
      </c>
      <c r="G35" s="49">
        <v>3.3279999999999998</v>
      </c>
      <c r="H35" s="49">
        <v>7.673</v>
      </c>
      <c r="I35" s="49">
        <v>24.687999999999999</v>
      </c>
      <c r="J35" s="70"/>
      <c r="K35" s="51" t="s">
        <v>63</v>
      </c>
      <c r="L35" s="52">
        <v>-0.871</v>
      </c>
      <c r="M35" s="51" t="s">
        <v>63</v>
      </c>
      <c r="N35" s="51" t="s">
        <v>63</v>
      </c>
      <c r="O35" s="51">
        <v>3.383</v>
      </c>
      <c r="P35" s="52"/>
      <c r="Q35" s="52">
        <v>-0.96199999999999997</v>
      </c>
      <c r="R35" s="53"/>
      <c r="S35" s="52"/>
      <c r="T35" s="50">
        <v>2.1349999999999998</v>
      </c>
      <c r="U35" s="50">
        <v>4.3710000000000004</v>
      </c>
      <c r="V35" s="50">
        <v>2.0169999999999999</v>
      </c>
      <c r="W35" s="72"/>
      <c r="X35" s="72"/>
      <c r="Y35" s="72"/>
      <c r="Z35" s="72"/>
      <c r="AA35" s="50">
        <v>3.0339999999999998</v>
      </c>
      <c r="AB35" s="53" t="s">
        <v>63</v>
      </c>
      <c r="AC35" s="53" t="s">
        <v>63</v>
      </c>
      <c r="AD35" s="56"/>
      <c r="AE35" s="50">
        <v>82.870999999999995</v>
      </c>
      <c r="AF35" s="50">
        <v>88.838999999999999</v>
      </c>
      <c r="AG35" s="70">
        <v>6.5394315949810444</v>
      </c>
      <c r="AH35" s="60">
        <v>7.5268817204301062</v>
      </c>
      <c r="AI35" s="73"/>
      <c r="AJ35" s="63"/>
      <c r="AM35" s="64"/>
      <c r="AN35" s="64"/>
      <c r="AO35" s="64"/>
      <c r="AP35" s="67"/>
      <c r="AQ35" s="67"/>
      <c r="AR35" s="67"/>
      <c r="AS35" s="67"/>
      <c r="AT35" s="66"/>
    </row>
    <row r="36" spans="1:46">
      <c r="B36" s="69" t="s">
        <v>91</v>
      </c>
      <c r="C36" s="49">
        <v>38.302999999999997</v>
      </c>
      <c r="D36" s="49">
        <v>43.895000000000003</v>
      </c>
      <c r="E36" s="49">
        <v>34.139000000000003</v>
      </c>
      <c r="F36" s="49">
        <v>5.4260000000000002</v>
      </c>
      <c r="G36" s="49">
        <v>4.33</v>
      </c>
      <c r="H36" s="49">
        <v>9.7560000000000002</v>
      </c>
      <c r="I36" s="49">
        <v>31.902000000000001</v>
      </c>
      <c r="J36" s="70"/>
      <c r="K36" s="51" t="s">
        <v>63</v>
      </c>
      <c r="L36" s="52">
        <v>-2.2549999999999999</v>
      </c>
      <c r="M36" s="51" t="s">
        <v>63</v>
      </c>
      <c r="N36" s="51" t="s">
        <v>63</v>
      </c>
      <c r="O36" s="51">
        <v>5.5919999999999996</v>
      </c>
      <c r="P36" s="74"/>
      <c r="Q36" s="52">
        <v>0.16600000000000001</v>
      </c>
      <c r="R36" s="53"/>
      <c r="S36" s="74"/>
      <c r="T36" s="50">
        <v>5.0940000000000003</v>
      </c>
      <c r="U36" s="50">
        <v>7.9870000000000001</v>
      </c>
      <c r="V36" s="50">
        <v>2.3719999999999999</v>
      </c>
      <c r="W36" s="72"/>
      <c r="X36" s="72">
        <v>52.1</v>
      </c>
      <c r="Y36" s="72"/>
      <c r="Z36" s="72"/>
      <c r="AA36" s="50">
        <v>3.371</v>
      </c>
      <c r="AB36" s="53" t="s">
        <v>63</v>
      </c>
      <c r="AC36" s="70">
        <v>53.67</v>
      </c>
      <c r="AD36" s="56"/>
      <c r="AE36" s="50">
        <v>98.191999999999993</v>
      </c>
      <c r="AF36" s="50">
        <v>109.117</v>
      </c>
      <c r="AG36" s="70">
        <v>3.1047807042479647</v>
      </c>
      <c r="AH36" s="60">
        <v>9.0561529271206691</v>
      </c>
      <c r="AI36" s="73"/>
      <c r="AJ36" s="63"/>
      <c r="AM36" s="64"/>
      <c r="AN36" s="64"/>
      <c r="AO36" s="64"/>
      <c r="AP36" s="67"/>
      <c r="AQ36" s="67"/>
      <c r="AR36" s="67"/>
      <c r="AS36" s="67"/>
      <c r="AT36" s="66"/>
    </row>
    <row r="37" spans="1:46">
      <c r="B37" s="69" t="s">
        <v>92</v>
      </c>
      <c r="C37" s="49">
        <v>48.481999999999999</v>
      </c>
      <c r="D37" s="49">
        <v>56.133000000000003</v>
      </c>
      <c r="E37" s="49">
        <v>43.92</v>
      </c>
      <c r="F37" s="49">
        <v>6.72</v>
      </c>
      <c r="G37" s="49">
        <v>5.4930000000000003</v>
      </c>
      <c r="H37" s="49">
        <v>12.212999999999999</v>
      </c>
      <c r="I37" s="49">
        <v>40.305999999999997</v>
      </c>
      <c r="J37" s="70"/>
      <c r="K37" s="52">
        <v>0.63181963913257</v>
      </c>
      <c r="L37" s="52">
        <v>-3.6219999999999999</v>
      </c>
      <c r="M37" s="52">
        <v>-3.3228196391325699</v>
      </c>
      <c r="N37" s="52">
        <v>7.3518196391325707</v>
      </c>
      <c r="O37" s="51">
        <v>7.6509999999999998</v>
      </c>
      <c r="P37" s="74"/>
      <c r="Q37" s="52">
        <v>0.93100000000000005</v>
      </c>
      <c r="R37" s="53"/>
      <c r="S37" s="74"/>
      <c r="T37" s="50">
        <v>8.7530000000000001</v>
      </c>
      <c r="U37" s="50">
        <v>10.281000000000001</v>
      </c>
      <c r="V37" s="50">
        <v>3.109</v>
      </c>
      <c r="X37" s="72">
        <v>64.7</v>
      </c>
      <c r="Y37" s="72"/>
      <c r="Z37" s="72"/>
      <c r="AA37" s="50">
        <v>5.09</v>
      </c>
      <c r="AB37" s="70">
        <v>4.7908196391325699</v>
      </c>
      <c r="AC37" s="70">
        <v>65.638000000000005</v>
      </c>
      <c r="AD37" s="56"/>
      <c r="AE37" s="50">
        <v>120.84399999999999</v>
      </c>
      <c r="AF37" s="50">
        <v>131.155</v>
      </c>
      <c r="AG37" s="70">
        <v>-1.7370636518415679</v>
      </c>
      <c r="AH37" s="60">
        <v>11.302270011947432</v>
      </c>
      <c r="AI37" s="73"/>
      <c r="AJ37" s="63"/>
      <c r="AM37" s="64"/>
      <c r="AN37" s="64"/>
      <c r="AO37" s="64"/>
      <c r="AP37" s="67"/>
      <c r="AQ37" s="67"/>
      <c r="AR37" s="67"/>
      <c r="AS37" s="67"/>
      <c r="AT37" s="66"/>
    </row>
    <row r="38" spans="1:46">
      <c r="B38" s="69" t="s">
        <v>93</v>
      </c>
      <c r="C38" s="49">
        <v>57.128</v>
      </c>
      <c r="D38" s="49">
        <v>64.132000000000005</v>
      </c>
      <c r="E38" s="49">
        <v>51.265999999999998</v>
      </c>
      <c r="F38" s="49">
        <v>6.399</v>
      </c>
      <c r="G38" s="49">
        <v>6.4669999999999996</v>
      </c>
      <c r="H38" s="49">
        <v>12.866</v>
      </c>
      <c r="I38" s="49">
        <v>46.542999999999999</v>
      </c>
      <c r="J38" s="70"/>
      <c r="K38" s="52">
        <v>-0.34295233912903972</v>
      </c>
      <c r="L38" s="52">
        <v>-1.857</v>
      </c>
      <c r="M38" s="52">
        <v>-0.90904766087096034</v>
      </c>
      <c r="N38" s="52">
        <v>6.0560476608709592</v>
      </c>
      <c r="O38" s="51">
        <v>7.0039999999999996</v>
      </c>
      <c r="P38" s="52"/>
      <c r="Q38" s="52">
        <v>0.60499999999999998</v>
      </c>
      <c r="R38" s="53"/>
      <c r="S38" s="52"/>
      <c r="T38" s="50">
        <v>5.8390000000000004</v>
      </c>
      <c r="U38" s="50">
        <v>8.2460000000000004</v>
      </c>
      <c r="V38" s="50">
        <v>4.0789999999999997</v>
      </c>
      <c r="W38" s="72"/>
      <c r="X38" s="72">
        <v>73.599999999999994</v>
      </c>
      <c r="Y38" s="72"/>
      <c r="Z38" s="72"/>
      <c r="AA38" s="50">
        <v>5.14</v>
      </c>
      <c r="AB38" s="70">
        <v>4.1920476608709603</v>
      </c>
      <c r="AC38" s="70">
        <v>75.991</v>
      </c>
      <c r="AD38" s="56"/>
      <c r="AE38" s="50">
        <v>142.072</v>
      </c>
      <c r="AF38" s="50">
        <v>153.99799999999999</v>
      </c>
      <c r="AG38" s="70">
        <v>-0.63964204746912723</v>
      </c>
      <c r="AH38" s="60">
        <v>12.831541218637993</v>
      </c>
      <c r="AI38" s="73"/>
      <c r="AJ38" s="63"/>
      <c r="AM38" s="64"/>
      <c r="AN38" s="64"/>
      <c r="AO38" s="64"/>
      <c r="AP38" s="67"/>
      <c r="AQ38" s="67"/>
      <c r="AR38" s="67"/>
      <c r="AS38" s="67"/>
      <c r="AT38" s="66"/>
    </row>
    <row r="39" spans="1:46">
      <c r="B39" s="69" t="s">
        <v>94</v>
      </c>
      <c r="C39" s="49">
        <v>63.759</v>
      </c>
      <c r="D39" s="49">
        <v>70.183000000000007</v>
      </c>
      <c r="E39" s="49">
        <v>57.555</v>
      </c>
      <c r="F39" s="49">
        <v>5.2329999999999997</v>
      </c>
      <c r="G39" s="49">
        <v>7.3949999999999996</v>
      </c>
      <c r="H39" s="49">
        <v>12.628</v>
      </c>
      <c r="I39" s="49">
        <v>52.515999999999998</v>
      </c>
      <c r="J39" s="70"/>
      <c r="K39" s="52">
        <v>0.58899442799641555</v>
      </c>
      <c r="L39" s="52">
        <v>-0.53600000000000003</v>
      </c>
      <c r="M39" s="52">
        <v>6.6005572003584437E-2</v>
      </c>
      <c r="N39" s="52">
        <v>5.8219944279964162</v>
      </c>
      <c r="O39" s="51">
        <v>6.4240000000000004</v>
      </c>
      <c r="P39" s="52"/>
      <c r="Q39" s="52">
        <v>1.1910000000000001</v>
      </c>
      <c r="R39" s="53"/>
      <c r="S39" s="52"/>
      <c r="T39" s="50">
        <v>4.6779999999999999</v>
      </c>
      <c r="U39" s="50">
        <v>5.5679999999999996</v>
      </c>
      <c r="V39" s="50">
        <v>4.907</v>
      </c>
      <c r="W39" s="72"/>
      <c r="X39" s="72">
        <v>79.5</v>
      </c>
      <c r="Y39" s="72"/>
      <c r="Z39" s="72"/>
      <c r="AA39" s="50">
        <v>5.3490000000000002</v>
      </c>
      <c r="AB39" s="70">
        <v>4.746994427996416</v>
      </c>
      <c r="AC39" s="70">
        <v>86.356999999999999</v>
      </c>
      <c r="AD39" s="56"/>
      <c r="AE39" s="50">
        <v>166.08699999999999</v>
      </c>
      <c r="AF39" s="50">
        <v>179.35900000000001</v>
      </c>
      <c r="AG39" s="70">
        <v>-0.46907116695174766</v>
      </c>
      <c r="AH39" s="60">
        <v>14.599761051373955</v>
      </c>
      <c r="AI39" s="73"/>
      <c r="AJ39" s="63"/>
      <c r="AM39" s="64"/>
      <c r="AN39" s="64"/>
      <c r="AO39" s="64"/>
      <c r="AP39" s="67"/>
      <c r="AQ39" s="67"/>
      <c r="AR39" s="67"/>
      <c r="AS39" s="67"/>
      <c r="AT39" s="66"/>
    </row>
    <row r="40" spans="1:46">
      <c r="B40" s="69" t="s">
        <v>95</v>
      </c>
      <c r="C40" s="49">
        <v>70.983999999999995</v>
      </c>
      <c r="D40" s="49">
        <v>79.668999999999997</v>
      </c>
      <c r="E40" s="49">
        <v>66.070999999999998</v>
      </c>
      <c r="F40" s="49">
        <v>5.2430000000000003</v>
      </c>
      <c r="G40" s="49">
        <v>8.3550000000000004</v>
      </c>
      <c r="H40" s="49">
        <v>13.598000000000001</v>
      </c>
      <c r="I40" s="49">
        <v>58.432000000000002</v>
      </c>
      <c r="J40" s="70"/>
      <c r="K40" s="52">
        <v>4.7630930705499477</v>
      </c>
      <c r="L40" s="52">
        <v>-2.0270000000000001</v>
      </c>
      <c r="M40" s="52">
        <v>-3.3480930705499472</v>
      </c>
      <c r="N40" s="52">
        <v>10.006093070549946</v>
      </c>
      <c r="O40" s="51">
        <v>8.6850000000000005</v>
      </c>
      <c r="P40" s="52"/>
      <c r="Q40" s="52">
        <v>3.4420000000000002</v>
      </c>
      <c r="R40" s="53"/>
      <c r="S40" s="52"/>
      <c r="T40" s="50">
        <v>7.7549999999999999</v>
      </c>
      <c r="U40" s="50">
        <v>9.0289999999999999</v>
      </c>
      <c r="V40" s="50">
        <v>5.8559999999999999</v>
      </c>
      <c r="W40" s="72"/>
      <c r="X40" s="72">
        <v>88.6</v>
      </c>
      <c r="Y40" s="72"/>
      <c r="Z40" s="72"/>
      <c r="AA40" s="50">
        <v>7.24</v>
      </c>
      <c r="AB40" s="70">
        <v>8.5610930705499477</v>
      </c>
      <c r="AC40" s="70">
        <v>96.730999999999995</v>
      </c>
      <c r="AD40" s="56"/>
      <c r="AE40" s="50">
        <v>192.34100000000001</v>
      </c>
      <c r="AF40" s="50">
        <v>210.03899999999999</v>
      </c>
      <c r="AG40" s="70">
        <v>1.561327335508581</v>
      </c>
      <c r="AH40" s="60">
        <v>16.248506571087216</v>
      </c>
      <c r="AI40" s="73"/>
      <c r="AJ40" s="63"/>
      <c r="AM40" s="64"/>
      <c r="AN40" s="64"/>
      <c r="AO40" s="64"/>
      <c r="AP40" s="67"/>
      <c r="AQ40" s="67"/>
      <c r="AR40" s="67"/>
      <c r="AS40" s="67"/>
      <c r="AT40" s="66"/>
    </row>
    <row r="41" spans="1:46">
      <c r="B41" s="69" t="s">
        <v>96</v>
      </c>
      <c r="C41" s="49">
        <v>86.677000000000007</v>
      </c>
      <c r="D41" s="49">
        <v>95.222999999999999</v>
      </c>
      <c r="E41" s="49">
        <v>79.491</v>
      </c>
      <c r="F41" s="49">
        <v>5.8760000000000003</v>
      </c>
      <c r="G41" s="49">
        <v>9.8559999999999999</v>
      </c>
      <c r="H41" s="49">
        <v>15.731999999999999</v>
      </c>
      <c r="I41" s="49">
        <v>72.543000000000006</v>
      </c>
      <c r="J41" s="70"/>
      <c r="K41" s="52">
        <v>3.2822834320496441</v>
      </c>
      <c r="L41" s="52">
        <v>-0.16200000000000001</v>
      </c>
      <c r="M41" s="52">
        <v>-0.77428343204964389</v>
      </c>
      <c r="N41" s="52">
        <v>9.1582834320496413</v>
      </c>
      <c r="O41" s="51">
        <v>8.5459999999999994</v>
      </c>
      <c r="P41" s="52"/>
      <c r="Q41" s="52">
        <v>2.67</v>
      </c>
      <c r="R41" s="53"/>
      <c r="S41" s="52"/>
      <c r="T41" s="50">
        <v>8.0640000000000001</v>
      </c>
      <c r="U41" s="50">
        <v>9.7230000000000008</v>
      </c>
      <c r="V41" s="50">
        <v>7.5869999999999997</v>
      </c>
      <c r="W41" s="72"/>
      <c r="X41" s="72">
        <v>98.2</v>
      </c>
      <c r="Y41" s="72"/>
      <c r="Z41" s="72"/>
      <c r="AA41" s="50">
        <v>6.0720000000000001</v>
      </c>
      <c r="AB41" s="70">
        <v>6.6842834320496438</v>
      </c>
      <c r="AC41" s="70">
        <v>107.499</v>
      </c>
      <c r="AD41" s="56"/>
      <c r="AE41" s="50">
        <v>232.55699999999999</v>
      </c>
      <c r="AF41" s="50">
        <v>251.26</v>
      </c>
      <c r="AG41" s="70">
        <v>-9.7964602465713146E-2</v>
      </c>
      <c r="AH41" s="60">
        <v>19.020310633213857</v>
      </c>
      <c r="AI41" s="73"/>
      <c r="AJ41" s="63"/>
      <c r="AM41" s="64"/>
      <c r="AN41" s="64"/>
      <c r="AO41" s="64"/>
      <c r="AP41" s="67"/>
      <c r="AQ41" s="67"/>
      <c r="AR41" s="67"/>
      <c r="AS41" s="67"/>
      <c r="AT41" s="66"/>
    </row>
    <row r="42" spans="1:46">
      <c r="B42" s="69" t="s">
        <v>97</v>
      </c>
      <c r="C42" s="49">
        <v>102.98399999999999</v>
      </c>
      <c r="D42" s="49">
        <v>114.521</v>
      </c>
      <c r="E42" s="49">
        <v>96.635999999999996</v>
      </c>
      <c r="F42" s="49">
        <v>6.0179999999999998</v>
      </c>
      <c r="G42" s="49">
        <v>11.867000000000001</v>
      </c>
      <c r="H42" s="49">
        <v>17.885000000000002</v>
      </c>
      <c r="I42" s="49">
        <v>85.908000000000001</v>
      </c>
      <c r="J42" s="70"/>
      <c r="K42" s="52">
        <v>1.6986927876773377</v>
      </c>
      <c r="L42" s="52">
        <v>-1.4890000000000001</v>
      </c>
      <c r="M42" s="52">
        <v>2.3313072123226624</v>
      </c>
      <c r="N42" s="52">
        <v>7.7166927876773368</v>
      </c>
      <c r="O42" s="51">
        <v>11.537000000000001</v>
      </c>
      <c r="P42" s="52"/>
      <c r="Q42" s="52">
        <v>5.5190000000000001</v>
      </c>
      <c r="R42" s="53"/>
      <c r="S42" s="52"/>
      <c r="T42" s="50">
        <v>12.497</v>
      </c>
      <c r="U42" s="50">
        <v>12.266999999999999</v>
      </c>
      <c r="V42" s="50">
        <v>9.1630000000000003</v>
      </c>
      <c r="W42" s="72"/>
      <c r="X42" s="72">
        <v>113.8</v>
      </c>
      <c r="Y42" s="72"/>
      <c r="Z42" s="72"/>
      <c r="AA42" s="50">
        <v>8.9529999999999994</v>
      </c>
      <c r="AB42" s="70">
        <v>5.1326927876773381</v>
      </c>
      <c r="AC42" s="70">
        <v>126.22199999999999</v>
      </c>
      <c r="AD42" s="56"/>
      <c r="AE42" s="50">
        <v>267.548</v>
      </c>
      <c r="AF42" s="50">
        <v>282.41199999999998</v>
      </c>
      <c r="AG42" s="70">
        <v>-2.8166061756407594</v>
      </c>
      <c r="AH42" s="60">
        <v>22.628434886499399</v>
      </c>
      <c r="AI42" s="73"/>
      <c r="AJ42" s="63"/>
      <c r="AM42" s="64"/>
      <c r="AN42" s="64"/>
      <c r="AO42" s="64"/>
      <c r="AP42" s="67"/>
      <c r="AQ42" s="67"/>
      <c r="AR42" s="67"/>
      <c r="AS42" s="67"/>
      <c r="AT42" s="66"/>
    </row>
    <row r="43" spans="1:46">
      <c r="B43" s="69" t="s">
        <v>98</v>
      </c>
      <c r="C43" s="49">
        <v>121.922</v>
      </c>
      <c r="D43" s="49">
        <v>127.92100000000001</v>
      </c>
      <c r="E43" s="49">
        <v>110.587</v>
      </c>
      <c r="F43" s="49">
        <v>4.3680000000000003</v>
      </c>
      <c r="G43" s="49">
        <v>12.965999999999999</v>
      </c>
      <c r="H43" s="49">
        <v>17.334</v>
      </c>
      <c r="I43" s="49">
        <v>101.48</v>
      </c>
      <c r="J43" s="70"/>
      <c r="K43" s="52">
        <v>-4.776432739527694</v>
      </c>
      <c r="L43" s="52">
        <v>5.7460000000000004</v>
      </c>
      <c r="M43" s="52">
        <v>12.153432739527696</v>
      </c>
      <c r="N43" s="52">
        <v>-0.40843273952769327</v>
      </c>
      <c r="O43" s="51">
        <v>5.9989999999999997</v>
      </c>
      <c r="P43" s="52"/>
      <c r="Q43" s="52">
        <v>1.631</v>
      </c>
      <c r="R43" s="53"/>
      <c r="S43" s="52"/>
      <c r="T43" s="50">
        <v>7.6349999999999998</v>
      </c>
      <c r="U43" s="50">
        <v>8.6720000000000006</v>
      </c>
      <c r="V43" s="50">
        <v>11.231999999999999</v>
      </c>
      <c r="W43" s="72"/>
      <c r="X43" s="72">
        <v>125.2</v>
      </c>
      <c r="Y43" s="72"/>
      <c r="Z43" s="72"/>
      <c r="AA43" s="50">
        <v>8.3179999999999996</v>
      </c>
      <c r="AB43" s="70">
        <v>1.9105672604723065</v>
      </c>
      <c r="AC43" s="70">
        <v>133.648</v>
      </c>
      <c r="AD43" s="56"/>
      <c r="AE43" s="50">
        <v>298.73899999999998</v>
      </c>
      <c r="AF43" s="50">
        <v>313.32900000000001</v>
      </c>
      <c r="AG43" s="70">
        <v>-3.1630101961365638</v>
      </c>
      <c r="AH43" s="60">
        <v>24.994026284348863</v>
      </c>
      <c r="AI43" s="73"/>
      <c r="AJ43" s="63"/>
      <c r="AM43" s="64"/>
      <c r="AN43" s="64"/>
      <c r="AO43" s="64"/>
      <c r="AP43" s="67"/>
      <c r="AQ43" s="67"/>
      <c r="AR43" s="67"/>
      <c r="AS43" s="67"/>
      <c r="AT43" s="66"/>
    </row>
    <row r="44" spans="1:46">
      <c r="B44" s="69" t="s">
        <v>99</v>
      </c>
      <c r="C44" s="49">
        <v>132.87899999999999</v>
      </c>
      <c r="D44" s="49">
        <v>141.42099999999999</v>
      </c>
      <c r="E44" s="49">
        <v>121.43600000000001</v>
      </c>
      <c r="F44" s="49">
        <v>6.3369999999999997</v>
      </c>
      <c r="G44" s="49">
        <v>13.648</v>
      </c>
      <c r="H44" s="49">
        <v>19.984999999999999</v>
      </c>
      <c r="I44" s="49">
        <v>110.42100000000001</v>
      </c>
      <c r="J44" s="70"/>
      <c r="K44" s="52">
        <v>-4.3162035888602555</v>
      </c>
      <c r="L44" s="52">
        <v>3.3660000000000001</v>
      </c>
      <c r="M44" s="52">
        <v>9.8872035888602543</v>
      </c>
      <c r="N44" s="52">
        <v>2.0207964111397443</v>
      </c>
      <c r="O44" s="51">
        <v>8.5419999999999998</v>
      </c>
      <c r="P44" s="52"/>
      <c r="Q44" s="52">
        <v>2.2050000000000001</v>
      </c>
      <c r="R44" s="53"/>
      <c r="S44" s="52"/>
      <c r="T44" s="50">
        <v>12.819000000000001</v>
      </c>
      <c r="U44" s="50">
        <v>8.9979999999999993</v>
      </c>
      <c r="V44" s="50">
        <v>12.087</v>
      </c>
      <c r="W44" s="72"/>
      <c r="X44" s="72">
        <v>132.5</v>
      </c>
      <c r="Y44" s="72"/>
      <c r="Z44" s="72"/>
      <c r="AA44" s="50">
        <v>8.7050000000000001</v>
      </c>
      <c r="AB44" s="70">
        <v>2.1837964111397437</v>
      </c>
      <c r="AC44" s="70">
        <v>142.88900000000001</v>
      </c>
      <c r="AD44" s="56"/>
      <c r="AE44" s="50">
        <v>327.91</v>
      </c>
      <c r="AF44" s="50">
        <v>343.23500000000001</v>
      </c>
      <c r="AG44" s="70">
        <v>-2.7122309426549811</v>
      </c>
      <c r="AH44" s="60">
        <v>26.881720430107524</v>
      </c>
      <c r="AI44" s="73"/>
      <c r="AJ44" s="63"/>
      <c r="AM44" s="64"/>
      <c r="AN44" s="64"/>
      <c r="AO44" s="64"/>
      <c r="AP44" s="67"/>
      <c r="AQ44" s="67"/>
      <c r="AR44" s="67"/>
      <c r="AS44" s="67"/>
      <c r="AT44" s="66"/>
    </row>
    <row r="45" spans="1:46">
      <c r="B45" s="69" t="s">
        <v>100</v>
      </c>
      <c r="C45" s="49">
        <v>141.36099999999999</v>
      </c>
      <c r="D45" s="49">
        <v>153.16300000000001</v>
      </c>
      <c r="E45" s="49">
        <v>131.02699999999999</v>
      </c>
      <c r="F45" s="49">
        <v>7.83</v>
      </c>
      <c r="G45" s="49">
        <v>14.305999999999999</v>
      </c>
      <c r="H45" s="49">
        <v>22.135999999999999</v>
      </c>
      <c r="I45" s="49">
        <v>118.31</v>
      </c>
      <c r="J45" s="70"/>
      <c r="K45" s="52">
        <v>-0.64220296323680559</v>
      </c>
      <c r="L45" s="52">
        <v>0.58099999999999996</v>
      </c>
      <c r="M45" s="52">
        <v>5.1952029632368051</v>
      </c>
      <c r="N45" s="52">
        <v>7.1877970367631958</v>
      </c>
      <c r="O45" s="51">
        <v>11.802</v>
      </c>
      <c r="P45" s="52"/>
      <c r="Q45" s="52">
        <v>3.972</v>
      </c>
      <c r="R45" s="53"/>
      <c r="S45" s="52"/>
      <c r="T45" s="50">
        <v>12.288</v>
      </c>
      <c r="U45" s="50">
        <v>9.7949999999999999</v>
      </c>
      <c r="V45" s="50">
        <v>13.225</v>
      </c>
      <c r="W45" s="72"/>
      <c r="X45" s="72">
        <v>143.6</v>
      </c>
      <c r="Y45" s="72"/>
      <c r="Z45" s="72"/>
      <c r="AA45" s="50">
        <v>11.76</v>
      </c>
      <c r="AB45" s="70">
        <v>7.1457970367631969</v>
      </c>
      <c r="AC45" s="70">
        <v>155.148</v>
      </c>
      <c r="AD45" s="56"/>
      <c r="AE45" s="50">
        <v>358.64400000000001</v>
      </c>
      <c r="AF45" s="50">
        <v>370.53800000000001</v>
      </c>
      <c r="AG45" s="70">
        <v>-1.4882458676803174</v>
      </c>
      <c r="AH45" s="60">
        <v>28.100358422939063</v>
      </c>
      <c r="AI45" s="73"/>
      <c r="AJ45" s="63"/>
      <c r="AM45" s="64"/>
      <c r="AN45" s="64"/>
      <c r="AO45" s="64"/>
      <c r="AP45" s="67"/>
      <c r="AQ45" s="67"/>
      <c r="AR45" s="67"/>
      <c r="AS45" s="67"/>
      <c r="AT45" s="66"/>
    </row>
    <row r="46" spans="1:46">
      <c r="B46" s="69" t="s">
        <v>101</v>
      </c>
      <c r="C46" s="49">
        <v>151.36500000000001</v>
      </c>
      <c r="D46" s="49">
        <v>163.9</v>
      </c>
      <c r="E46" s="49">
        <v>141.81899999999999</v>
      </c>
      <c r="F46" s="49">
        <v>7.468</v>
      </c>
      <c r="G46" s="49">
        <v>14.613</v>
      </c>
      <c r="H46" s="49">
        <v>22.081</v>
      </c>
      <c r="I46" s="49">
        <v>129.74700000000001</v>
      </c>
      <c r="J46" s="70"/>
      <c r="K46" s="52">
        <v>3.1955958275694996</v>
      </c>
      <c r="L46" s="52">
        <v>1.42</v>
      </c>
      <c r="M46" s="52">
        <v>3.2914041724304992</v>
      </c>
      <c r="N46" s="52">
        <v>10.663595827569502</v>
      </c>
      <c r="O46" s="51">
        <v>12.535</v>
      </c>
      <c r="P46" s="52"/>
      <c r="Q46" s="52">
        <v>5.0670000000000002</v>
      </c>
      <c r="R46" s="53"/>
      <c r="S46" s="52"/>
      <c r="T46" s="50">
        <v>10.273999999999999</v>
      </c>
      <c r="U46" s="50">
        <v>10.259</v>
      </c>
      <c r="V46" s="50">
        <v>14.72</v>
      </c>
      <c r="W46" s="72"/>
      <c r="X46" s="72">
        <v>157</v>
      </c>
      <c r="Y46" s="72"/>
      <c r="Z46" s="72"/>
      <c r="AA46" s="50">
        <v>11.057</v>
      </c>
      <c r="AB46" s="70">
        <v>9.185595827569502</v>
      </c>
      <c r="AC46" s="70">
        <v>166.482</v>
      </c>
      <c r="AD46" s="56"/>
      <c r="AE46" s="50">
        <v>386.71800000000002</v>
      </c>
      <c r="AF46" s="50">
        <v>406.58499999999998</v>
      </c>
      <c r="AG46" s="70">
        <v>-0.37254083932752319</v>
      </c>
      <c r="AH46" s="60">
        <v>29.772998805256869</v>
      </c>
      <c r="AI46" s="73"/>
      <c r="AJ46" s="63"/>
      <c r="AM46" s="64"/>
      <c r="AN46" s="64"/>
      <c r="AO46" s="64"/>
      <c r="AP46" s="67"/>
      <c r="AQ46" s="67"/>
      <c r="AR46" s="67"/>
      <c r="AS46" s="67"/>
      <c r="AT46" s="66"/>
    </row>
    <row r="47" spans="1:46">
      <c r="B47" s="69" t="s">
        <v>102</v>
      </c>
      <c r="C47" s="49">
        <v>162.245</v>
      </c>
      <c r="D47" s="49">
        <v>171.279</v>
      </c>
      <c r="E47" s="49">
        <v>150.56100000000001</v>
      </c>
      <c r="F47" s="49">
        <v>6.3310000000000004</v>
      </c>
      <c r="G47" s="49">
        <v>14.387</v>
      </c>
      <c r="H47" s="49">
        <v>20.718</v>
      </c>
      <c r="I47" s="49">
        <v>138.577</v>
      </c>
      <c r="J47" s="70"/>
      <c r="K47" s="52">
        <v>2.6347636889102302</v>
      </c>
      <c r="L47" s="52">
        <v>5.5510000000000002</v>
      </c>
      <c r="M47" s="52">
        <v>5.619236311089769</v>
      </c>
      <c r="N47" s="52">
        <v>8.9657636889102292</v>
      </c>
      <c r="O47" s="51">
        <v>9.0340000000000007</v>
      </c>
      <c r="P47" s="52"/>
      <c r="Q47" s="52">
        <v>2.7029999999999998</v>
      </c>
      <c r="R47" s="53"/>
      <c r="S47" s="52"/>
      <c r="T47" s="50">
        <v>11.114000000000001</v>
      </c>
      <c r="U47" s="50">
        <v>5.7389999999999999</v>
      </c>
      <c r="V47" s="50">
        <v>16.600999999999999</v>
      </c>
      <c r="W47" s="72"/>
      <c r="X47" s="72">
        <v>162.5</v>
      </c>
      <c r="Y47" s="72"/>
      <c r="Z47" s="72"/>
      <c r="AA47" s="50">
        <v>9.6489999999999991</v>
      </c>
      <c r="AB47" s="70">
        <v>9.5807636889102277</v>
      </c>
      <c r="AC47" s="70">
        <v>179.28299999999999</v>
      </c>
      <c r="AD47" s="56"/>
      <c r="AE47" s="50">
        <v>424.55900000000003</v>
      </c>
      <c r="AF47" s="50">
        <v>439.12299999999999</v>
      </c>
      <c r="AG47" s="70">
        <v>0.1168717758042289</v>
      </c>
      <c r="AH47" s="60">
        <v>31.397849462365592</v>
      </c>
      <c r="AI47" s="73"/>
      <c r="AJ47" s="63"/>
      <c r="AM47" s="64"/>
      <c r="AN47" s="64"/>
      <c r="AO47" s="64"/>
      <c r="AP47" s="67"/>
      <c r="AQ47" s="67"/>
      <c r="AR47" s="67"/>
      <c r="AS47" s="67"/>
      <c r="AT47" s="66"/>
    </row>
    <row r="48" spans="1:46">
      <c r="B48" s="69" t="s">
        <v>103</v>
      </c>
      <c r="C48" s="49">
        <v>170.221</v>
      </c>
      <c r="D48" s="49">
        <v>178.96100000000001</v>
      </c>
      <c r="E48" s="49">
        <v>158.85400000000001</v>
      </c>
      <c r="F48" s="49">
        <v>4.2830000000000004</v>
      </c>
      <c r="G48" s="49">
        <v>15.824</v>
      </c>
      <c r="H48" s="49">
        <v>20.106999999999999</v>
      </c>
      <c r="I48" s="49">
        <v>147.97900000000001</v>
      </c>
      <c r="J48" s="70"/>
      <c r="K48" s="52">
        <v>5.1559441253563909</v>
      </c>
      <c r="L48" s="52">
        <v>6.1790000000000003</v>
      </c>
      <c r="M48" s="52">
        <v>5.4800558746436092</v>
      </c>
      <c r="N48" s="52">
        <v>9.4389441253563913</v>
      </c>
      <c r="O48" s="51">
        <v>8.74</v>
      </c>
      <c r="P48" s="52"/>
      <c r="Q48" s="52">
        <v>4.4569999999999999</v>
      </c>
      <c r="R48" s="53"/>
      <c r="S48" s="52"/>
      <c r="T48" s="50">
        <v>10.433</v>
      </c>
      <c r="U48" s="50">
        <v>3.6869999999999998</v>
      </c>
      <c r="V48" s="50">
        <v>17.36</v>
      </c>
      <c r="W48" s="72"/>
      <c r="X48" s="72">
        <v>167.8</v>
      </c>
      <c r="Y48" s="72"/>
      <c r="Z48" s="72"/>
      <c r="AA48" s="50">
        <v>9.7140000000000004</v>
      </c>
      <c r="AB48" s="70">
        <v>10.412944125356391</v>
      </c>
      <c r="AC48" s="70">
        <v>190.684</v>
      </c>
      <c r="AD48" s="56"/>
      <c r="AE48" s="50">
        <v>456.20499999999998</v>
      </c>
      <c r="AF48" s="50">
        <v>482.44799999999998</v>
      </c>
      <c r="AG48" s="70">
        <v>0.25966797750785497</v>
      </c>
      <c r="AH48" s="60">
        <v>32.664277180406216</v>
      </c>
      <c r="AI48" s="73"/>
      <c r="AJ48" s="63"/>
      <c r="AM48" s="64"/>
      <c r="AN48" s="64"/>
      <c r="AO48" s="64"/>
      <c r="AP48" s="67"/>
      <c r="AQ48" s="67"/>
      <c r="AR48" s="67"/>
      <c r="AS48" s="67"/>
      <c r="AT48" s="66"/>
    </row>
    <row r="49" spans="2:46">
      <c r="B49" s="69" t="s">
        <v>104</v>
      </c>
      <c r="C49" s="49">
        <v>184.92099999999999</v>
      </c>
      <c r="D49" s="49">
        <v>189.995</v>
      </c>
      <c r="E49" s="49">
        <v>170.012</v>
      </c>
      <c r="F49" s="49">
        <v>1.6439999999999999</v>
      </c>
      <c r="G49" s="49">
        <v>18.338999999999999</v>
      </c>
      <c r="H49" s="49">
        <v>19.983000000000001</v>
      </c>
      <c r="I49" s="49">
        <v>161.99700000000001</v>
      </c>
      <c r="J49" s="70"/>
      <c r="K49" s="52">
        <v>9.3729178800713928</v>
      </c>
      <c r="L49" s="52">
        <v>10.189</v>
      </c>
      <c r="M49" s="52">
        <v>4.2460821199286078</v>
      </c>
      <c r="N49" s="52">
        <v>11.016917880071393</v>
      </c>
      <c r="O49" s="51">
        <v>5.0739999999999998</v>
      </c>
      <c r="P49" s="52"/>
      <c r="Q49" s="52">
        <v>3.43</v>
      </c>
      <c r="R49" s="53"/>
      <c r="S49" s="52"/>
      <c r="T49" s="50">
        <v>1.1990000000000001</v>
      </c>
      <c r="U49" s="50">
        <v>-3.2309999999999999</v>
      </c>
      <c r="V49" s="50">
        <v>18.605</v>
      </c>
      <c r="W49" s="72"/>
      <c r="X49" s="72">
        <v>167.4</v>
      </c>
      <c r="Y49" s="72"/>
      <c r="Z49" s="72"/>
      <c r="AA49" s="50">
        <v>6.2880000000000003</v>
      </c>
      <c r="AB49" s="70">
        <v>12.230917880071393</v>
      </c>
      <c r="AC49" s="70">
        <v>200.91499999999999</v>
      </c>
      <c r="AD49" s="56"/>
      <c r="AE49" s="50">
        <v>512.83199999999999</v>
      </c>
      <c r="AF49" s="50">
        <v>541.96199999999999</v>
      </c>
      <c r="AG49" s="70">
        <v>2.2138188660570233</v>
      </c>
      <c r="AH49" s="60">
        <v>34.57586618876941</v>
      </c>
      <c r="AI49" s="73"/>
      <c r="AJ49" s="63"/>
      <c r="AM49" s="64"/>
      <c r="AN49" s="64"/>
      <c r="AO49" s="64"/>
      <c r="AP49" s="67"/>
      <c r="AQ49" s="67"/>
      <c r="AR49" s="67"/>
      <c r="AS49" s="67"/>
      <c r="AT49" s="66"/>
    </row>
    <row r="50" spans="2:46">
      <c r="B50" s="69" t="s">
        <v>105</v>
      </c>
      <c r="C50" s="49">
        <v>202.523</v>
      </c>
      <c r="D50" s="49">
        <v>196.99299999999999</v>
      </c>
      <c r="E50" s="49">
        <v>176.88900000000001</v>
      </c>
      <c r="F50" s="49">
        <v>0.47699999999999998</v>
      </c>
      <c r="G50" s="49">
        <v>19.626999999999999</v>
      </c>
      <c r="H50" s="49">
        <v>20.103999999999999</v>
      </c>
      <c r="I50" s="49">
        <v>177.70099999999999</v>
      </c>
      <c r="J50" s="70"/>
      <c r="K50" s="52">
        <v>5.8812838097924889</v>
      </c>
      <c r="L50" s="52">
        <v>20.646999999999998</v>
      </c>
      <c r="M50" s="52">
        <v>8.7587161902075117</v>
      </c>
      <c r="N50" s="52">
        <v>6.3582838097924883</v>
      </c>
      <c r="O50" s="51">
        <v>-5.53</v>
      </c>
      <c r="P50" s="52"/>
      <c r="Q50" s="52">
        <v>-6.0069999999999997</v>
      </c>
      <c r="R50" s="53"/>
      <c r="S50" s="52"/>
      <c r="T50" s="50">
        <v>-6.9589999999999996</v>
      </c>
      <c r="U50" s="50">
        <v>-14.504</v>
      </c>
      <c r="V50" s="50">
        <v>19.170000000000002</v>
      </c>
      <c r="W50" s="72"/>
      <c r="X50" s="72">
        <v>153.69999999999999</v>
      </c>
      <c r="Y50" s="72"/>
      <c r="Z50" s="72"/>
      <c r="AA50" s="50">
        <v>-3.3730000000000002</v>
      </c>
      <c r="AB50" s="70">
        <v>8.515283809792491</v>
      </c>
      <c r="AC50" s="70">
        <v>195.244</v>
      </c>
      <c r="AD50" s="56"/>
      <c r="AE50" s="50">
        <v>572.03099999999995</v>
      </c>
      <c r="AF50" s="50">
        <v>600.97400000000005</v>
      </c>
      <c r="AG50" s="70">
        <v>3.2709897786146414</v>
      </c>
      <c r="AH50" s="60">
        <v>36.917562724014338</v>
      </c>
      <c r="AI50" s="73"/>
      <c r="AJ50" s="63"/>
      <c r="AM50" s="64"/>
      <c r="AN50" s="64"/>
      <c r="AO50" s="64"/>
      <c r="AP50" s="67"/>
      <c r="AQ50" s="67"/>
      <c r="AR50" s="67"/>
      <c r="AS50" s="67"/>
      <c r="AT50" s="66"/>
    </row>
    <row r="51" spans="2:46" ht="15" customHeight="1">
      <c r="B51" s="69" t="s">
        <v>106</v>
      </c>
      <c r="C51" s="49">
        <v>218.44</v>
      </c>
      <c r="D51" s="49">
        <v>218.56399999999999</v>
      </c>
      <c r="E51" s="49">
        <v>192.03299999999999</v>
      </c>
      <c r="F51" s="49">
        <v>5.0990000000000002</v>
      </c>
      <c r="G51" s="49">
        <v>21.431999999999999</v>
      </c>
      <c r="H51" s="49">
        <v>26.530999999999999</v>
      </c>
      <c r="I51" s="49">
        <v>193.24299999999999</v>
      </c>
      <c r="J51" s="70"/>
      <c r="K51" s="52">
        <v>3.6514117044399859</v>
      </c>
      <c r="L51" s="52">
        <v>14.349</v>
      </c>
      <c r="M51" s="52">
        <v>5.7225882955600138</v>
      </c>
      <c r="N51" s="52">
        <v>8.7504117044399869</v>
      </c>
      <c r="O51" s="51">
        <v>0.124</v>
      </c>
      <c r="P51" s="52"/>
      <c r="Q51" s="52">
        <v>-4.9749999999999996</v>
      </c>
      <c r="R51" s="53"/>
      <c r="S51" s="52"/>
      <c r="T51" s="50">
        <v>-4.5750000000000002</v>
      </c>
      <c r="U51" s="50">
        <v>-6.99</v>
      </c>
      <c r="V51" s="50">
        <v>20.021000000000001</v>
      </c>
      <c r="W51" s="72"/>
      <c r="X51" s="72">
        <v>151.9</v>
      </c>
      <c r="Y51" s="72"/>
      <c r="Z51" s="72"/>
      <c r="AA51" s="50">
        <v>2.9569999999999999</v>
      </c>
      <c r="AB51" s="70">
        <v>11.583411704439987</v>
      </c>
      <c r="AC51" s="70">
        <v>186.65799999999999</v>
      </c>
      <c r="AD51" s="56"/>
      <c r="AE51" s="50">
        <v>631.60699999999997</v>
      </c>
      <c r="AF51" s="50">
        <v>660.41600000000005</v>
      </c>
      <c r="AG51" s="70">
        <v>1.4231798008055865</v>
      </c>
      <c r="AH51" s="60">
        <v>39.928315412186379</v>
      </c>
      <c r="AI51" s="73"/>
      <c r="AJ51" s="63"/>
      <c r="AM51" s="64"/>
      <c r="AN51" s="64"/>
      <c r="AO51" s="64"/>
      <c r="AP51" s="67"/>
      <c r="AQ51" s="67"/>
      <c r="AR51" s="67"/>
      <c r="AS51" s="67"/>
      <c r="AT51" s="66"/>
    </row>
    <row r="52" spans="2:46">
      <c r="B52" s="69" t="s">
        <v>107</v>
      </c>
      <c r="C52" s="49">
        <v>230.16399999999999</v>
      </c>
      <c r="D52" s="49">
        <v>237.47900000000001</v>
      </c>
      <c r="E52" s="49">
        <v>209.376</v>
      </c>
      <c r="F52" s="49">
        <v>6.8869999999999996</v>
      </c>
      <c r="G52" s="49">
        <v>21.216000000000001</v>
      </c>
      <c r="H52" s="49">
        <v>28.103000000000002</v>
      </c>
      <c r="I52" s="49">
        <v>206.55799999999999</v>
      </c>
      <c r="J52" s="70"/>
      <c r="K52" s="52">
        <v>-1.1045324256832374</v>
      </c>
      <c r="L52" s="52">
        <v>6.8419999999999996</v>
      </c>
      <c r="M52" s="52">
        <v>8.3745324256832365</v>
      </c>
      <c r="N52" s="52">
        <v>5.7824675743167617</v>
      </c>
      <c r="O52" s="51">
        <v>7.3150000000000004</v>
      </c>
      <c r="P52" s="52"/>
      <c r="Q52" s="52">
        <v>0.42799999999999999</v>
      </c>
      <c r="R52" s="53"/>
      <c r="S52" s="52"/>
      <c r="T52" s="50">
        <v>-2.6349999999999998</v>
      </c>
      <c r="U52" s="50">
        <v>-0.85099999999999998</v>
      </c>
      <c r="V52" s="50">
        <v>19.79</v>
      </c>
      <c r="W52" s="72"/>
      <c r="X52" s="72">
        <v>151.1</v>
      </c>
      <c r="Y52" s="72"/>
      <c r="Z52" s="72"/>
      <c r="AA52" s="50">
        <v>9.4380000000000006</v>
      </c>
      <c r="AB52" s="70">
        <v>7.9054675743167628</v>
      </c>
      <c r="AC52" s="70">
        <v>188.31899999999999</v>
      </c>
      <c r="AD52" s="56"/>
      <c r="AE52" s="50">
        <v>681.46400000000006</v>
      </c>
      <c r="AF52" s="50">
        <v>700.13800000000003</v>
      </c>
      <c r="AG52" s="70">
        <v>-1.019048409082679</v>
      </c>
      <c r="AH52" s="60">
        <v>43.24970131421744</v>
      </c>
      <c r="AI52" s="73"/>
      <c r="AJ52" s="63"/>
      <c r="AM52" s="64"/>
      <c r="AN52" s="64"/>
      <c r="AO52" s="64"/>
      <c r="AP52" s="67"/>
      <c r="AQ52" s="67"/>
      <c r="AR52" s="67"/>
      <c r="AS52" s="67"/>
      <c r="AT52" s="66"/>
    </row>
    <row r="53" spans="2:46">
      <c r="B53" s="69" t="s">
        <v>108</v>
      </c>
      <c r="C53" s="49">
        <v>239.422</v>
      </c>
      <c r="D53" s="49">
        <v>263.18599999999998</v>
      </c>
      <c r="E53" s="49">
        <v>233.464</v>
      </c>
      <c r="F53" s="49">
        <v>9.2769999999999992</v>
      </c>
      <c r="G53" s="49">
        <v>20.445</v>
      </c>
      <c r="H53" s="49">
        <v>29.722000000000001</v>
      </c>
      <c r="I53" s="49">
        <v>216.75</v>
      </c>
      <c r="J53" s="70"/>
      <c r="K53" s="52">
        <v>4.5640415200833742</v>
      </c>
      <c r="L53" s="52">
        <v>-10.999000000000001</v>
      </c>
      <c r="M53" s="52">
        <v>-1.0760415200833724</v>
      </c>
      <c r="N53" s="52">
        <v>13.841041520083374</v>
      </c>
      <c r="O53" s="51">
        <v>23.763999999999999</v>
      </c>
      <c r="P53" s="52"/>
      <c r="Q53" s="52">
        <v>14.487</v>
      </c>
      <c r="R53" s="53"/>
      <c r="S53" s="52"/>
      <c r="T53" s="50">
        <v>13.02</v>
      </c>
      <c r="U53" s="50">
        <v>13.753</v>
      </c>
      <c r="V53" s="50">
        <v>17.954000000000001</v>
      </c>
      <c r="W53" s="72"/>
      <c r="X53" s="72">
        <v>165.8</v>
      </c>
      <c r="Y53" s="72"/>
      <c r="Z53" s="72"/>
      <c r="AA53" s="50">
        <v>23.641999999999999</v>
      </c>
      <c r="AB53" s="70">
        <v>13.719041520083374</v>
      </c>
      <c r="AC53" s="70">
        <v>204.68299999999999</v>
      </c>
      <c r="AD53" s="56"/>
      <c r="AE53" s="50">
        <v>716.58399999999995</v>
      </c>
      <c r="AF53" s="50">
        <v>727.61</v>
      </c>
      <c r="AG53" s="70">
        <v>-2.3618978122783716</v>
      </c>
      <c r="AH53" s="60">
        <v>45.85424133811231</v>
      </c>
      <c r="AI53" s="73"/>
      <c r="AJ53" s="63"/>
      <c r="AM53" s="64"/>
      <c r="AN53" s="64"/>
      <c r="AO53" s="64"/>
      <c r="AP53" s="67"/>
      <c r="AQ53" s="67"/>
      <c r="AR53" s="67"/>
      <c r="AS53" s="67"/>
      <c r="AT53" s="66"/>
    </row>
    <row r="54" spans="2:46">
      <c r="B54" s="69" t="s">
        <v>109</v>
      </c>
      <c r="C54" s="49">
        <v>236.68799999999999</v>
      </c>
      <c r="D54" s="49">
        <v>283.03500000000003</v>
      </c>
      <c r="E54" s="49">
        <v>254.36699999999999</v>
      </c>
      <c r="F54" s="49">
        <v>8.0359999999999996</v>
      </c>
      <c r="G54" s="49">
        <v>20.632000000000001</v>
      </c>
      <c r="H54" s="49">
        <v>28.667999999999999</v>
      </c>
      <c r="I54" s="49">
        <v>214.79599999999999</v>
      </c>
      <c r="J54" s="70"/>
      <c r="K54" s="52">
        <v>26.11998567058804</v>
      </c>
      <c r="L54" s="52">
        <v>-31.83</v>
      </c>
      <c r="M54" s="52">
        <v>-19.638985670588038</v>
      </c>
      <c r="N54" s="52">
        <v>34.155985670588038</v>
      </c>
      <c r="O54" s="51">
        <v>46.347000000000001</v>
      </c>
      <c r="P54" s="52"/>
      <c r="Q54" s="52">
        <v>38.311</v>
      </c>
      <c r="R54" s="53"/>
      <c r="S54" s="52"/>
      <c r="T54" s="50">
        <v>36.201000000000001</v>
      </c>
      <c r="U54" s="50">
        <v>36.152999999999999</v>
      </c>
      <c r="V54" s="50">
        <v>18.879000000000001</v>
      </c>
      <c r="W54" s="72"/>
      <c r="X54" s="72">
        <v>201.9</v>
      </c>
      <c r="Y54" s="72"/>
      <c r="Z54" s="72"/>
      <c r="AA54" s="50">
        <v>45.783000000000001</v>
      </c>
      <c r="AB54" s="70">
        <v>33.591985670588045</v>
      </c>
      <c r="AC54" s="70">
        <v>248.64599999999999</v>
      </c>
      <c r="AD54" s="56"/>
      <c r="AE54" s="50">
        <v>741.20600000000002</v>
      </c>
      <c r="AF54" s="50">
        <v>759.43100000000004</v>
      </c>
      <c r="AG54" s="70">
        <v>-2.3447486042252104</v>
      </c>
      <c r="AH54" s="60">
        <v>47.120669056152934</v>
      </c>
      <c r="AI54" s="73"/>
      <c r="AJ54" s="63"/>
      <c r="AM54" s="64"/>
      <c r="AN54" s="64"/>
      <c r="AO54" s="64"/>
      <c r="AP54" s="67"/>
      <c r="AQ54" s="67"/>
      <c r="AR54" s="67"/>
      <c r="AS54" s="67"/>
      <c r="AT54" s="66"/>
    </row>
    <row r="55" spans="2:46">
      <c r="B55" s="69" t="s">
        <v>110</v>
      </c>
      <c r="C55" s="49">
        <v>244.48699999999999</v>
      </c>
      <c r="D55" s="49">
        <v>295.82900000000001</v>
      </c>
      <c r="E55" s="49">
        <v>268.43900000000002</v>
      </c>
      <c r="F55" s="49">
        <v>6.3739999999999997</v>
      </c>
      <c r="G55" s="49">
        <v>21.015999999999998</v>
      </c>
      <c r="H55" s="49">
        <v>27.39</v>
      </c>
      <c r="I55" s="49">
        <v>221.792</v>
      </c>
      <c r="J55" s="70"/>
      <c r="K55" s="52">
        <v>34.783666958752377</v>
      </c>
      <c r="L55" s="52">
        <v>-34.418999999999997</v>
      </c>
      <c r="M55" s="52">
        <v>-24.234666958752374</v>
      </c>
      <c r="N55" s="52">
        <v>41.15766695875238</v>
      </c>
      <c r="O55" s="51">
        <v>51.341999999999999</v>
      </c>
      <c r="P55" s="52"/>
      <c r="Q55" s="52">
        <v>44.968000000000004</v>
      </c>
      <c r="R55" s="53"/>
      <c r="S55" s="52"/>
      <c r="T55" s="50">
        <v>49.62</v>
      </c>
      <c r="U55" s="50">
        <v>46.107999999999997</v>
      </c>
      <c r="V55" s="50">
        <v>20.562000000000001</v>
      </c>
      <c r="W55" s="72"/>
      <c r="X55" s="72">
        <v>249.8</v>
      </c>
      <c r="Y55" s="72"/>
      <c r="Z55" s="72"/>
      <c r="AA55" s="50">
        <v>51.267000000000003</v>
      </c>
      <c r="AB55" s="70">
        <v>41.082666958752363</v>
      </c>
      <c r="AC55" s="70">
        <v>298.71499999999997</v>
      </c>
      <c r="AD55" s="56"/>
      <c r="AE55" s="50">
        <v>783.22</v>
      </c>
      <c r="AF55" s="50">
        <v>804.63300000000004</v>
      </c>
      <c r="AG55" s="70">
        <v>-1.6627320644633916</v>
      </c>
      <c r="AH55" s="60">
        <v>48.458781362007173</v>
      </c>
      <c r="AI55" s="73"/>
      <c r="AJ55" s="63"/>
      <c r="AM55" s="64"/>
      <c r="AN55" s="64"/>
      <c r="AO55" s="64"/>
      <c r="AP55" s="67"/>
      <c r="AQ55" s="67"/>
      <c r="AR55" s="67"/>
      <c r="AS55" s="67"/>
      <c r="AT55" s="66"/>
    </row>
    <row r="56" spans="2:46" s="82" customFormat="1">
      <c r="B56" s="75" t="s">
        <v>111</v>
      </c>
      <c r="C56" s="49">
        <v>264.32900000000001</v>
      </c>
      <c r="D56" s="49">
        <v>308.25299999999999</v>
      </c>
      <c r="E56" s="49">
        <v>280.13200000000001</v>
      </c>
      <c r="F56" s="49">
        <v>7.0869999999999997</v>
      </c>
      <c r="G56" s="49">
        <v>21.033999999999999</v>
      </c>
      <c r="H56" s="49">
        <v>28.120999999999999</v>
      </c>
      <c r="I56" s="49">
        <v>240.98</v>
      </c>
      <c r="J56" s="76"/>
      <c r="K56" s="52">
        <v>32.230735337718521</v>
      </c>
      <c r="L56" s="52">
        <v>-24.140999999999998</v>
      </c>
      <c r="M56" s="52">
        <v>-19.534735337718512</v>
      </c>
      <c r="N56" s="52">
        <v>39.317735337718517</v>
      </c>
      <c r="O56" s="51">
        <v>43.923999999999999</v>
      </c>
      <c r="P56" s="77"/>
      <c r="Q56" s="52">
        <v>36.837000000000003</v>
      </c>
      <c r="R56" s="53"/>
      <c r="S56" s="77"/>
      <c r="T56" s="50">
        <v>39.026000000000003</v>
      </c>
      <c r="U56" s="50">
        <v>36.743000000000002</v>
      </c>
      <c r="V56" s="50">
        <v>23.177</v>
      </c>
      <c r="W56" s="78"/>
      <c r="X56" s="72">
        <v>290</v>
      </c>
      <c r="Y56" s="72"/>
      <c r="Z56" s="72"/>
      <c r="AA56" s="50">
        <v>45.823999999999998</v>
      </c>
      <c r="AB56" s="70">
        <v>41.217735337718516</v>
      </c>
      <c r="AC56" s="70">
        <v>339.93099999999998</v>
      </c>
      <c r="AD56" s="79"/>
      <c r="AE56" s="50">
        <v>823.67</v>
      </c>
      <c r="AF56" s="50">
        <v>842.34699999999998</v>
      </c>
      <c r="AG56" s="70">
        <v>-0.45338050996354412</v>
      </c>
      <c r="AH56" s="60">
        <v>49.247311827956985</v>
      </c>
      <c r="AI56" s="80"/>
      <c r="AJ56" s="81"/>
      <c r="AM56" s="83"/>
      <c r="AN56" s="83"/>
      <c r="AO56" s="83"/>
      <c r="AP56" s="84"/>
      <c r="AQ56" s="84"/>
      <c r="AR56" s="84"/>
      <c r="AS56" s="84"/>
      <c r="AT56" s="85"/>
    </row>
    <row r="57" spans="2:46" s="82" customFormat="1">
      <c r="B57" s="75" t="s">
        <v>112</v>
      </c>
      <c r="C57" s="49">
        <v>287.101</v>
      </c>
      <c r="D57" s="49">
        <v>322.63600000000002</v>
      </c>
      <c r="E57" s="49">
        <v>294.08999999999997</v>
      </c>
      <c r="F57" s="49">
        <v>7.4669999999999996</v>
      </c>
      <c r="G57" s="49">
        <v>21.079000000000001</v>
      </c>
      <c r="H57" s="49">
        <v>28.545999999999999</v>
      </c>
      <c r="I57" s="49">
        <v>260.55799999999999</v>
      </c>
      <c r="J57" s="76"/>
      <c r="K57" s="52">
        <v>24.15587546353014</v>
      </c>
      <c r="L57" s="52">
        <v>-12.762</v>
      </c>
      <c r="M57" s="52">
        <v>-8.8498754635301378</v>
      </c>
      <c r="N57" s="52">
        <v>31.622875463530146</v>
      </c>
      <c r="O57" s="51">
        <v>35.534999999999997</v>
      </c>
      <c r="P57" s="77"/>
      <c r="Q57" s="52">
        <v>28.068000000000001</v>
      </c>
      <c r="R57" s="53"/>
      <c r="S57" s="77"/>
      <c r="T57" s="50">
        <v>35.338000000000001</v>
      </c>
      <c r="U57" s="50">
        <v>31.538</v>
      </c>
      <c r="V57" s="50">
        <v>26.530999999999999</v>
      </c>
      <c r="W57" s="78"/>
      <c r="X57" s="72">
        <v>322.10000000000002</v>
      </c>
      <c r="Y57" s="72"/>
      <c r="Z57" s="72"/>
      <c r="AA57" s="50">
        <v>37.363</v>
      </c>
      <c r="AB57" s="70">
        <v>33.450875463530146</v>
      </c>
      <c r="AC57" s="70">
        <v>377.35500000000002</v>
      </c>
      <c r="AD57" s="79"/>
      <c r="AE57" s="50">
        <v>866.28499999999997</v>
      </c>
      <c r="AF57" s="50">
        <v>896.95699999999999</v>
      </c>
      <c r="AG57" s="70">
        <v>-0.72184351947045644</v>
      </c>
      <c r="AH57" s="60">
        <v>50.800477897252094</v>
      </c>
      <c r="AI57" s="80"/>
      <c r="AJ57" s="81"/>
      <c r="AM57" s="83"/>
      <c r="AN57" s="83"/>
      <c r="AO57" s="83"/>
      <c r="AP57" s="84"/>
      <c r="AQ57" s="84"/>
      <c r="AR57" s="84"/>
      <c r="AS57" s="84"/>
      <c r="AT57" s="85"/>
    </row>
    <row r="58" spans="2:46" s="82" customFormat="1">
      <c r="B58" s="75" t="s">
        <v>113</v>
      </c>
      <c r="C58" s="49">
        <v>299.31900000000002</v>
      </c>
      <c r="D58" s="49">
        <v>328.24299999999999</v>
      </c>
      <c r="E58" s="49">
        <v>303.27499999999998</v>
      </c>
      <c r="F58" s="49">
        <v>4.2439999999999998</v>
      </c>
      <c r="G58" s="49">
        <v>20.724</v>
      </c>
      <c r="H58" s="49">
        <v>24.968</v>
      </c>
      <c r="I58" s="49">
        <v>273.89299999999997</v>
      </c>
      <c r="J58" s="76"/>
      <c r="K58" s="52">
        <v>22.473089819852412</v>
      </c>
      <c r="L58" s="52">
        <v>-4.718</v>
      </c>
      <c r="M58" s="52">
        <v>-2.5110898198524141</v>
      </c>
      <c r="N58" s="52">
        <v>26.717089819852415</v>
      </c>
      <c r="O58" s="51">
        <v>28.923999999999999</v>
      </c>
      <c r="P58" s="77"/>
      <c r="Q58" s="52">
        <v>24.68</v>
      </c>
      <c r="R58" s="53"/>
      <c r="S58" s="77"/>
      <c r="T58" s="50">
        <v>25.105</v>
      </c>
      <c r="U58" s="50">
        <v>22.620999999999999</v>
      </c>
      <c r="V58" s="50">
        <v>27.991</v>
      </c>
      <c r="W58" s="78"/>
      <c r="X58" s="72">
        <v>347</v>
      </c>
      <c r="Y58" s="72"/>
      <c r="Z58" s="72"/>
      <c r="AA58" s="50">
        <v>30.835000000000001</v>
      </c>
      <c r="AB58" s="70">
        <v>28.628089819852413</v>
      </c>
      <c r="AC58" s="70">
        <v>408.36599999999999</v>
      </c>
      <c r="AD58" s="79"/>
      <c r="AE58" s="50">
        <v>926.55399999999997</v>
      </c>
      <c r="AF58" s="50">
        <v>954.27099999999996</v>
      </c>
      <c r="AG58" s="70">
        <v>-0.18763206018617951</v>
      </c>
      <c r="AH58" s="60">
        <v>52.520908004778974</v>
      </c>
      <c r="AI58" s="80"/>
      <c r="AJ58" s="81"/>
      <c r="AM58" s="83"/>
      <c r="AN58" s="83"/>
      <c r="AO58" s="83"/>
      <c r="AP58" s="84"/>
      <c r="AQ58" s="84"/>
      <c r="AR58" s="84"/>
      <c r="AS58" s="84"/>
      <c r="AT58" s="85"/>
    </row>
    <row r="59" spans="2:46" s="82" customFormat="1">
      <c r="B59" s="75" t="s">
        <v>114</v>
      </c>
      <c r="C59" s="49">
        <v>333.67200000000003</v>
      </c>
      <c r="D59" s="49">
        <v>344.20600000000002</v>
      </c>
      <c r="E59" s="49">
        <v>316.81900000000002</v>
      </c>
      <c r="F59" s="49">
        <v>6.1509999999999998</v>
      </c>
      <c r="G59" s="49">
        <v>21.236000000000001</v>
      </c>
      <c r="H59" s="49">
        <v>27.387</v>
      </c>
      <c r="I59" s="49">
        <v>301.03899999999999</v>
      </c>
      <c r="J59" s="76"/>
      <c r="K59" s="52">
        <v>9.8937316140380389</v>
      </c>
      <c r="L59" s="52">
        <v>14.957000000000001</v>
      </c>
      <c r="M59" s="52">
        <v>9.4462683859619627</v>
      </c>
      <c r="N59" s="52">
        <v>16.044731614038039</v>
      </c>
      <c r="O59" s="51">
        <v>10.534000000000001</v>
      </c>
      <c r="P59" s="77"/>
      <c r="Q59" s="52">
        <v>4.383</v>
      </c>
      <c r="R59" s="53"/>
      <c r="S59" s="77"/>
      <c r="T59" s="50">
        <v>3.5430000000000001</v>
      </c>
      <c r="U59" s="50">
        <v>0.90100000000000002</v>
      </c>
      <c r="V59" s="50">
        <v>29.82</v>
      </c>
      <c r="W59" s="78"/>
      <c r="X59" s="72">
        <v>360.4</v>
      </c>
      <c r="Y59" s="72">
        <v>361.2</v>
      </c>
      <c r="Z59" s="72"/>
      <c r="AA59" s="50">
        <v>9.5459999999999994</v>
      </c>
      <c r="AB59" s="70">
        <v>15.056731614038036</v>
      </c>
      <c r="AC59" s="70">
        <v>412.27800000000002</v>
      </c>
      <c r="AD59" s="79"/>
      <c r="AE59" s="50">
        <v>970.38800000000003</v>
      </c>
      <c r="AF59" s="50">
        <v>988.45</v>
      </c>
      <c r="AG59" s="70">
        <v>1.2108318349521903</v>
      </c>
      <c r="AH59" s="60">
        <v>52.664277180406202</v>
      </c>
      <c r="AI59" s="80"/>
      <c r="AJ59" s="81"/>
      <c r="AM59" s="83"/>
      <c r="AN59" s="83"/>
      <c r="AO59" s="83"/>
      <c r="AP59" s="84"/>
      <c r="AQ59" s="84"/>
      <c r="AR59" s="84"/>
      <c r="AS59" s="84"/>
      <c r="AT59" s="85"/>
    </row>
    <row r="60" spans="2:46" s="82" customFormat="1">
      <c r="B60" s="75" t="s">
        <v>115</v>
      </c>
      <c r="C60" s="49">
        <v>354.69400000000002</v>
      </c>
      <c r="D60" s="49">
        <v>354.81700000000001</v>
      </c>
      <c r="E60" s="49">
        <v>326.46600000000001</v>
      </c>
      <c r="F60" s="49">
        <v>6.4290000000000003</v>
      </c>
      <c r="G60" s="49">
        <v>21.922000000000001</v>
      </c>
      <c r="H60" s="49">
        <v>28.350999999999999</v>
      </c>
      <c r="I60" s="49">
        <v>321.166</v>
      </c>
      <c r="J60" s="76"/>
      <c r="K60" s="52">
        <v>0.82660929907688518</v>
      </c>
      <c r="L60" s="52">
        <v>24.907</v>
      </c>
      <c r="M60" s="52">
        <v>17.774390700923114</v>
      </c>
      <c r="N60" s="52">
        <v>7.2556092990768866</v>
      </c>
      <c r="O60" s="51">
        <v>0.123</v>
      </c>
      <c r="P60" s="77"/>
      <c r="Q60" s="52">
        <v>-6.306</v>
      </c>
      <c r="R60" s="53"/>
      <c r="S60" s="77"/>
      <c r="T60" s="50">
        <v>-4.5449999999999999</v>
      </c>
      <c r="U60" s="50">
        <v>-7.6879999999999997</v>
      </c>
      <c r="V60" s="50">
        <v>29.442</v>
      </c>
      <c r="W60" s="78"/>
      <c r="X60" s="72">
        <v>363.1</v>
      </c>
      <c r="Y60" s="72">
        <v>364</v>
      </c>
      <c r="Z60" s="72"/>
      <c r="AA60" s="50">
        <v>-1.2729999999999999</v>
      </c>
      <c r="AB60" s="70">
        <v>5.8596092990768849</v>
      </c>
      <c r="AC60" s="70">
        <v>415.12099999999998</v>
      </c>
      <c r="AD60" s="79"/>
      <c r="AE60" s="50">
        <v>1014.098</v>
      </c>
      <c r="AF60" s="50">
        <v>1035.6120000000001</v>
      </c>
      <c r="AG60" s="70">
        <v>0.92235760542949352</v>
      </c>
      <c r="AH60" s="60">
        <v>53.4289127837515</v>
      </c>
      <c r="AI60" s="80"/>
      <c r="AJ60" s="81"/>
      <c r="AM60" s="83"/>
      <c r="AN60" s="83"/>
      <c r="AO60" s="83"/>
      <c r="AP60" s="84"/>
      <c r="AQ60" s="84"/>
      <c r="AR60" s="84"/>
      <c r="AS60" s="84"/>
      <c r="AT60" s="85"/>
    </row>
    <row r="61" spans="2:46" s="82" customFormat="1">
      <c r="B61" s="75" t="s">
        <v>116</v>
      </c>
      <c r="C61" s="49">
        <v>378.51499999999999</v>
      </c>
      <c r="D61" s="49">
        <v>367.11099999999999</v>
      </c>
      <c r="E61" s="49">
        <v>338.08300000000003</v>
      </c>
      <c r="F61" s="49">
        <v>5.97</v>
      </c>
      <c r="G61" s="49">
        <v>23.058</v>
      </c>
      <c r="H61" s="49">
        <v>29.027999999999999</v>
      </c>
      <c r="I61" s="49">
        <v>344.32299999999998</v>
      </c>
      <c r="J61" s="76"/>
      <c r="K61" s="52">
        <v>-10.777718942196115</v>
      </c>
      <c r="L61" s="52">
        <v>33.512999999999998</v>
      </c>
      <c r="M61" s="52">
        <v>26.91671894219612</v>
      </c>
      <c r="N61" s="52">
        <v>-4.8077189421961117</v>
      </c>
      <c r="O61" s="51">
        <v>-11.404</v>
      </c>
      <c r="P61" s="77"/>
      <c r="Q61" s="52">
        <v>-17.373999999999999</v>
      </c>
      <c r="R61" s="86">
        <v>299.65899999999999</v>
      </c>
      <c r="S61" s="77"/>
      <c r="T61" s="50">
        <v>-9.1370000000000005</v>
      </c>
      <c r="U61" s="50">
        <v>-8.76</v>
      </c>
      <c r="V61" s="50">
        <v>25.899000000000001</v>
      </c>
      <c r="W61" s="78"/>
      <c r="X61" s="72">
        <v>353.3</v>
      </c>
      <c r="Y61" s="72">
        <v>354.4</v>
      </c>
      <c r="Z61" s="72">
        <v>357.60500000000002</v>
      </c>
      <c r="AA61" s="50">
        <v>-11.285</v>
      </c>
      <c r="AB61" s="70">
        <v>-4.6887189421961137</v>
      </c>
      <c r="AC61" s="70">
        <v>408.327</v>
      </c>
      <c r="AD61" s="79"/>
      <c r="AE61" s="50">
        <v>1060.973</v>
      </c>
      <c r="AF61" s="50">
        <v>1092.097</v>
      </c>
      <c r="AG61" s="70">
        <v>0.87449690546190983</v>
      </c>
      <c r="AH61" s="60">
        <v>54.050179211469526</v>
      </c>
      <c r="AI61" s="80"/>
      <c r="AJ61" s="81"/>
      <c r="AM61" s="83"/>
      <c r="AN61" s="83"/>
      <c r="AO61" s="83"/>
      <c r="AP61" s="84"/>
      <c r="AQ61" s="84"/>
      <c r="AR61" s="84"/>
      <c r="AS61" s="84"/>
      <c r="AT61" s="85"/>
    </row>
    <row r="62" spans="2:46" s="82" customFormat="1">
      <c r="B62" s="75" t="s">
        <v>117</v>
      </c>
      <c r="C62" s="49">
        <v>406.41199999999998</v>
      </c>
      <c r="D62" s="49">
        <v>390.11700000000002</v>
      </c>
      <c r="E62" s="49">
        <v>360.49700000000001</v>
      </c>
      <c r="F62" s="49">
        <v>5.5620000000000003</v>
      </c>
      <c r="G62" s="49">
        <v>24.058</v>
      </c>
      <c r="H62" s="49">
        <v>29.62</v>
      </c>
      <c r="I62" s="49">
        <v>368.48399999999998</v>
      </c>
      <c r="J62" s="76"/>
      <c r="K62" s="52">
        <v>-12.803126652509956</v>
      </c>
      <c r="L62" s="52">
        <v>37.564999999999998</v>
      </c>
      <c r="M62" s="52">
        <v>28.511126652509962</v>
      </c>
      <c r="N62" s="52">
        <v>-7.2411266525099567</v>
      </c>
      <c r="O62" s="51">
        <v>-16.295000000000002</v>
      </c>
      <c r="P62" s="77"/>
      <c r="Q62" s="52">
        <v>-21.856999999999999</v>
      </c>
      <c r="R62" s="86">
        <v>306.70100000000002</v>
      </c>
      <c r="S62" s="77"/>
      <c r="T62" s="50">
        <v>-35.569000000000003</v>
      </c>
      <c r="U62" s="50">
        <v>-38.027999999999999</v>
      </c>
      <c r="V62" s="50">
        <v>26.890999999999998</v>
      </c>
      <c r="W62" s="78"/>
      <c r="X62" s="72">
        <v>322</v>
      </c>
      <c r="Y62" s="72">
        <v>323.2</v>
      </c>
      <c r="Z62" s="72">
        <v>377.81900000000002</v>
      </c>
      <c r="AA62" s="50">
        <v>-15.523</v>
      </c>
      <c r="AB62" s="70">
        <v>-6.4691266525099564</v>
      </c>
      <c r="AC62" s="70">
        <v>398.36500000000001</v>
      </c>
      <c r="AD62" s="79"/>
      <c r="AE62" s="50">
        <v>1117.633</v>
      </c>
      <c r="AF62" s="50">
        <v>1141.518</v>
      </c>
      <c r="AG62" s="70">
        <v>1.2703884276154733</v>
      </c>
      <c r="AH62" s="60">
        <v>54.551971326164875</v>
      </c>
      <c r="AI62" s="80"/>
      <c r="AJ62" s="81"/>
      <c r="AM62" s="83"/>
      <c r="AN62" s="83"/>
      <c r="AO62" s="83"/>
      <c r="AP62" s="84"/>
      <c r="AQ62" s="84"/>
      <c r="AR62" s="84"/>
      <c r="AS62" s="84"/>
      <c r="AT62" s="85"/>
    </row>
    <row r="63" spans="2:46" s="82" customFormat="1">
      <c r="B63" s="75" t="s">
        <v>118</v>
      </c>
      <c r="C63" s="49">
        <v>412.411</v>
      </c>
      <c r="D63" s="49">
        <v>418.04599999999999</v>
      </c>
      <c r="E63" s="49">
        <v>379.226</v>
      </c>
      <c r="F63" s="49">
        <v>13.439</v>
      </c>
      <c r="G63" s="49">
        <v>25.381</v>
      </c>
      <c r="H63" s="49">
        <v>38.82</v>
      </c>
      <c r="I63" s="49">
        <v>374.529</v>
      </c>
      <c r="J63" s="76"/>
      <c r="K63" s="52">
        <v>-0.80460534381981297</v>
      </c>
      <c r="L63" s="52">
        <v>13.956</v>
      </c>
      <c r="M63" s="52">
        <v>6.956605343819815</v>
      </c>
      <c r="N63" s="52">
        <v>12.63439465618019</v>
      </c>
      <c r="O63" s="51">
        <v>5.6349999999999998</v>
      </c>
      <c r="P63" s="77"/>
      <c r="Q63" s="52">
        <v>-7.8040000000000003</v>
      </c>
      <c r="R63" s="86">
        <v>333.73899999999998</v>
      </c>
      <c r="S63" s="77"/>
      <c r="T63" s="50">
        <v>2.7709999999999999</v>
      </c>
      <c r="U63" s="50">
        <v>3.9950000000000001</v>
      </c>
      <c r="V63" s="50">
        <v>23.015000000000001</v>
      </c>
      <c r="W63" s="78"/>
      <c r="X63" s="72">
        <v>330.6</v>
      </c>
      <c r="Y63" s="72">
        <v>331.8</v>
      </c>
      <c r="Z63" s="72">
        <v>409.75</v>
      </c>
      <c r="AA63" s="50">
        <v>4.944</v>
      </c>
      <c r="AB63" s="70">
        <v>11.943394656180187</v>
      </c>
      <c r="AC63" s="70">
        <v>397.654</v>
      </c>
      <c r="AD63" s="79"/>
      <c r="AE63" s="50">
        <v>1159.585</v>
      </c>
      <c r="AF63" s="50">
        <v>1181.6279999999999</v>
      </c>
      <c r="AG63" s="70">
        <v>0.69906870587446535</v>
      </c>
      <c r="AH63" s="60">
        <v>55.651135005973707</v>
      </c>
      <c r="AI63" s="80"/>
      <c r="AJ63" s="81"/>
      <c r="AM63" s="83"/>
      <c r="AN63" s="83"/>
      <c r="AO63" s="83"/>
      <c r="AP63" s="84"/>
      <c r="AQ63" s="84"/>
      <c r="AR63" s="84"/>
      <c r="AS63" s="84"/>
      <c r="AT63" s="85"/>
    </row>
    <row r="64" spans="2:46" s="82" customFormat="1">
      <c r="B64" s="75" t="s">
        <v>119</v>
      </c>
      <c r="C64" s="49">
        <v>417.78300000000002</v>
      </c>
      <c r="D64" s="49">
        <v>452.798</v>
      </c>
      <c r="E64" s="49">
        <v>407.40300000000002</v>
      </c>
      <c r="F64" s="49">
        <v>18.459</v>
      </c>
      <c r="G64" s="49">
        <v>26.936</v>
      </c>
      <c r="H64" s="49">
        <v>45.395000000000003</v>
      </c>
      <c r="I64" s="49">
        <v>380.16399999999999</v>
      </c>
      <c r="J64" s="76"/>
      <c r="K64" s="52">
        <v>18.693042414411117</v>
      </c>
      <c r="L64" s="52">
        <v>-15.058999999999999</v>
      </c>
      <c r="M64" s="52">
        <v>-17.196042414411117</v>
      </c>
      <c r="N64" s="52">
        <v>37.152042414411113</v>
      </c>
      <c r="O64" s="51">
        <v>35.015000000000001</v>
      </c>
      <c r="P64" s="77"/>
      <c r="Q64" s="52">
        <v>16.556000000000001</v>
      </c>
      <c r="R64" s="86">
        <v>388.404</v>
      </c>
      <c r="S64" s="77"/>
      <c r="T64" s="50">
        <v>21.751000000000001</v>
      </c>
      <c r="U64" s="50">
        <v>23.382000000000001</v>
      </c>
      <c r="V64" s="50">
        <v>21.748000000000001</v>
      </c>
      <c r="W64" s="78"/>
      <c r="X64" s="72">
        <v>369.2</v>
      </c>
      <c r="Y64" s="72">
        <v>370.3</v>
      </c>
      <c r="Z64" s="72">
        <v>464.178</v>
      </c>
      <c r="AA64" s="50">
        <v>30.427</v>
      </c>
      <c r="AB64" s="70">
        <v>32.564042414411119</v>
      </c>
      <c r="AC64" s="70">
        <v>422.005</v>
      </c>
      <c r="AD64" s="79"/>
      <c r="AE64" s="50">
        <v>1210.146</v>
      </c>
      <c r="AF64" s="50">
        <v>1241.798</v>
      </c>
      <c r="AG64" s="70">
        <v>7.3560052775912529E-2</v>
      </c>
      <c r="AH64" s="60">
        <v>56.774193548387096</v>
      </c>
      <c r="AI64" s="80"/>
      <c r="AJ64" s="81"/>
      <c r="AM64" s="83"/>
      <c r="AN64" s="83"/>
      <c r="AO64" s="83"/>
      <c r="AP64" s="84"/>
      <c r="AQ64" s="84"/>
      <c r="AR64" s="84"/>
      <c r="AS64" s="84"/>
      <c r="AT64" s="85"/>
    </row>
    <row r="65" spans="1:46" s="82" customFormat="1">
      <c r="B65" s="75" t="s">
        <v>120</v>
      </c>
      <c r="C65" s="49">
        <v>450.875</v>
      </c>
      <c r="D65" s="49">
        <v>494.39699999999999</v>
      </c>
      <c r="E65" s="49">
        <v>444.904</v>
      </c>
      <c r="F65" s="49">
        <v>21.698</v>
      </c>
      <c r="G65" s="49">
        <v>27.795000000000002</v>
      </c>
      <c r="H65" s="49">
        <v>49.493000000000002</v>
      </c>
      <c r="I65" s="49">
        <v>411.702</v>
      </c>
      <c r="J65" s="76"/>
      <c r="K65" s="52">
        <v>24.463909485654952</v>
      </c>
      <c r="L65" s="52">
        <v>-21.125</v>
      </c>
      <c r="M65" s="52">
        <v>-23.76490948565495</v>
      </c>
      <c r="N65" s="52">
        <v>46.161909485654952</v>
      </c>
      <c r="O65" s="51">
        <v>43.521999999999998</v>
      </c>
      <c r="P65" s="77"/>
      <c r="Q65" s="52">
        <v>21.824000000000002</v>
      </c>
      <c r="R65" s="86">
        <v>409.01400000000001</v>
      </c>
      <c r="S65" s="77"/>
      <c r="T65" s="50">
        <v>39.390999999999998</v>
      </c>
      <c r="U65" s="50">
        <v>39.984999999999999</v>
      </c>
      <c r="V65" s="50">
        <v>23.221</v>
      </c>
      <c r="W65" s="78"/>
      <c r="X65" s="72">
        <v>404.5</v>
      </c>
      <c r="Y65" s="72">
        <v>405.9</v>
      </c>
      <c r="Z65" s="72">
        <v>494.69499999999999</v>
      </c>
      <c r="AA65" s="50">
        <v>37.511000000000003</v>
      </c>
      <c r="AB65" s="70">
        <v>40.15090948565495</v>
      </c>
      <c r="AC65" s="70">
        <v>467.67500000000001</v>
      </c>
      <c r="AD65" s="79"/>
      <c r="AE65" s="50">
        <v>1277.5940000000001</v>
      </c>
      <c r="AF65" s="50">
        <v>1311.875</v>
      </c>
      <c r="AG65" s="70">
        <v>0.38383864068281015</v>
      </c>
      <c r="AH65" s="60">
        <v>58.183990442054956</v>
      </c>
      <c r="AI65" s="80"/>
      <c r="AJ65" s="81"/>
      <c r="AM65" s="83"/>
      <c r="AN65" s="83"/>
      <c r="AO65" s="83"/>
      <c r="AP65" s="84"/>
      <c r="AQ65" s="84"/>
      <c r="AR65" s="84"/>
      <c r="AS65" s="84"/>
      <c r="AT65" s="85"/>
    </row>
    <row r="66" spans="1:46" s="82" customFormat="1">
      <c r="B66" s="75" t="s">
        <v>121</v>
      </c>
      <c r="C66" s="49">
        <v>483.21499999999997</v>
      </c>
      <c r="D66" s="49">
        <v>534.87699999999995</v>
      </c>
      <c r="E66" s="49">
        <v>478.07299999999998</v>
      </c>
      <c r="F66" s="49">
        <v>27.501999999999999</v>
      </c>
      <c r="G66" s="49">
        <v>29.302</v>
      </c>
      <c r="H66" s="49">
        <v>56.804000000000002</v>
      </c>
      <c r="I66" s="49">
        <v>442.16500000000002</v>
      </c>
      <c r="J66" s="76"/>
      <c r="K66" s="52">
        <v>28.444142328137541</v>
      </c>
      <c r="L66" s="52">
        <v>-27.466000000000001</v>
      </c>
      <c r="M66" s="52">
        <v>-31.750142328137542</v>
      </c>
      <c r="N66" s="52">
        <v>55.946142328137533</v>
      </c>
      <c r="O66" s="51">
        <v>51.661999999999999</v>
      </c>
      <c r="P66" s="77"/>
      <c r="Q66" s="52">
        <v>24.16</v>
      </c>
      <c r="R66" s="86">
        <v>459.69499999999999</v>
      </c>
      <c r="S66" s="77"/>
      <c r="T66" s="50">
        <v>41.110999999999997</v>
      </c>
      <c r="U66" s="50">
        <v>42.363999999999997</v>
      </c>
      <c r="V66" s="50">
        <v>25.885000000000002</v>
      </c>
      <c r="W66" s="78"/>
      <c r="X66" s="72">
        <v>460.9</v>
      </c>
      <c r="Y66" s="72">
        <v>462.4</v>
      </c>
      <c r="Z66" s="72">
        <v>520.154</v>
      </c>
      <c r="AA66" s="50">
        <v>44.537999999999997</v>
      </c>
      <c r="AB66" s="70">
        <v>48.822142328137538</v>
      </c>
      <c r="AC66" s="70">
        <v>525.61800000000005</v>
      </c>
      <c r="AD66" s="79"/>
      <c r="AE66" s="50">
        <v>1346.4169999999999</v>
      </c>
      <c r="AF66" s="50">
        <v>1381.902</v>
      </c>
      <c r="AG66" s="70">
        <v>0.48284128705937113</v>
      </c>
      <c r="AH66" s="60">
        <v>59.928315412186386</v>
      </c>
      <c r="AI66" s="80"/>
      <c r="AJ66" s="81"/>
      <c r="AM66" s="83"/>
      <c r="AN66" s="83"/>
      <c r="AO66" s="83"/>
      <c r="AP66" s="84"/>
      <c r="AQ66" s="84"/>
      <c r="AR66" s="84"/>
      <c r="AS66" s="84"/>
      <c r="AT66" s="85"/>
    </row>
    <row r="67" spans="1:46" s="82" customFormat="1">
      <c r="B67" s="75" t="s">
        <v>122</v>
      </c>
      <c r="C67" s="49">
        <v>519.72799999999995</v>
      </c>
      <c r="D67" s="49">
        <v>565.1</v>
      </c>
      <c r="E67" s="49">
        <v>507.20100000000002</v>
      </c>
      <c r="F67" s="49">
        <v>26.396000000000001</v>
      </c>
      <c r="G67" s="49">
        <v>31.503</v>
      </c>
      <c r="H67" s="49">
        <v>57.899000000000001</v>
      </c>
      <c r="I67" s="49">
        <v>473.17</v>
      </c>
      <c r="J67" s="76"/>
      <c r="K67" s="52">
        <v>22.613751435778699</v>
      </c>
      <c r="L67" s="52">
        <v>-19.981999999999999</v>
      </c>
      <c r="M67" s="52">
        <v>-23.619751435778699</v>
      </c>
      <c r="N67" s="52">
        <v>49.009751435778703</v>
      </c>
      <c r="O67" s="51">
        <v>45.372</v>
      </c>
      <c r="P67" s="77"/>
      <c r="Q67" s="52">
        <v>18.975999999999999</v>
      </c>
      <c r="R67" s="86">
        <v>471.42099999999999</v>
      </c>
      <c r="S67" s="77"/>
      <c r="T67" s="50">
        <v>43.04</v>
      </c>
      <c r="U67" s="50">
        <v>43.04</v>
      </c>
      <c r="V67" s="50">
        <v>27.797000000000001</v>
      </c>
      <c r="W67" s="76"/>
      <c r="X67" s="72">
        <v>499.4</v>
      </c>
      <c r="Y67" s="72">
        <v>501.6</v>
      </c>
      <c r="Z67" s="72">
        <v>517.86199999999997</v>
      </c>
      <c r="AA67" s="50">
        <v>41.962000000000003</v>
      </c>
      <c r="AB67" s="70">
        <v>45.5997514357787</v>
      </c>
      <c r="AC67" s="70">
        <v>574.74400000000003</v>
      </c>
      <c r="AD67" s="79"/>
      <c r="AE67" s="50">
        <v>1423.557</v>
      </c>
      <c r="AF67" s="50">
        <v>1461.229</v>
      </c>
      <c r="AG67" s="70">
        <v>0.31794262507422538</v>
      </c>
      <c r="AH67" s="60">
        <v>61.553166069295109</v>
      </c>
      <c r="AI67" s="80"/>
      <c r="AJ67" s="81"/>
      <c r="AM67" s="83"/>
      <c r="AN67" s="83"/>
      <c r="AO67" s="83"/>
      <c r="AP67" s="84"/>
      <c r="AQ67" s="84"/>
      <c r="AR67" s="84"/>
      <c r="AS67" s="84"/>
      <c r="AT67" s="85"/>
    </row>
    <row r="68" spans="1:46" s="82" customFormat="1">
      <c r="B68" s="75" t="s">
        <v>123</v>
      </c>
      <c r="C68" s="49">
        <v>551.50099999999998</v>
      </c>
      <c r="D68" s="49">
        <v>592.43799999999999</v>
      </c>
      <c r="E68" s="49">
        <v>531.89200000000005</v>
      </c>
      <c r="F68" s="49">
        <v>27.077999999999999</v>
      </c>
      <c r="G68" s="49">
        <v>33.468000000000004</v>
      </c>
      <c r="H68" s="49">
        <v>60.545999999999999</v>
      </c>
      <c r="I68" s="49">
        <v>502.32799999999997</v>
      </c>
      <c r="J68" s="76"/>
      <c r="K68" s="52">
        <v>14.867291235318001</v>
      </c>
      <c r="L68" s="52">
        <v>-12.986000000000001</v>
      </c>
      <c r="M68" s="52">
        <v>-13.994291235318002</v>
      </c>
      <c r="N68" s="52">
        <v>41.945291235318003</v>
      </c>
      <c r="O68" s="51">
        <v>40.936999999999998</v>
      </c>
      <c r="P68" s="77"/>
      <c r="Q68" s="52">
        <v>13.859</v>
      </c>
      <c r="R68" s="86">
        <v>494.65199999999999</v>
      </c>
      <c r="S68" s="77"/>
      <c r="T68" s="50">
        <v>37.442</v>
      </c>
      <c r="U68" s="50">
        <v>35.755000000000003</v>
      </c>
      <c r="V68" s="50">
        <v>30.763000000000002</v>
      </c>
      <c r="W68" s="76"/>
      <c r="X68" s="72">
        <v>535.20000000000005</v>
      </c>
      <c r="Y68" s="72">
        <v>537.20000000000005</v>
      </c>
      <c r="Z68" s="72">
        <v>542.51800000000003</v>
      </c>
      <c r="AA68" s="50">
        <v>38.546999999999997</v>
      </c>
      <c r="AB68" s="70">
        <v>39.555291235318002</v>
      </c>
      <c r="AC68" s="70">
        <v>618.02099999999996</v>
      </c>
      <c r="AD68" s="79"/>
      <c r="AE68" s="50">
        <v>1493.4480000000001</v>
      </c>
      <c r="AF68" s="50">
        <v>1532.173</v>
      </c>
      <c r="AG68" s="70">
        <v>7.8515864301000604E-3</v>
      </c>
      <c r="AH68" s="60">
        <v>63.416965352449218</v>
      </c>
      <c r="AI68" s="80"/>
      <c r="AJ68" s="81"/>
      <c r="AM68" s="83"/>
      <c r="AN68" s="83"/>
      <c r="AO68" s="83"/>
      <c r="AP68" s="84"/>
      <c r="AQ68" s="84"/>
      <c r="AR68" s="84"/>
      <c r="AS68" s="84"/>
      <c r="AT68" s="85"/>
    </row>
    <row r="69" spans="1:46" s="82" customFormat="1">
      <c r="B69" s="75" t="s">
        <v>124</v>
      </c>
      <c r="C69" s="49">
        <v>584.14599999999996</v>
      </c>
      <c r="D69" s="49">
        <v>629.19899999999996</v>
      </c>
      <c r="E69" s="49">
        <v>565.26099999999997</v>
      </c>
      <c r="F69" s="49">
        <v>28.63</v>
      </c>
      <c r="G69" s="49">
        <v>35.308</v>
      </c>
      <c r="H69" s="49">
        <v>63.938000000000002</v>
      </c>
      <c r="I69" s="49">
        <v>528.84299999999996</v>
      </c>
      <c r="J69" s="76"/>
      <c r="K69" s="52">
        <v>21.823011192949018</v>
      </c>
      <c r="L69" s="52">
        <v>-17.184999999999999</v>
      </c>
      <c r="M69" s="52">
        <v>-22.585011192949018</v>
      </c>
      <c r="N69" s="52">
        <v>50.45301119294902</v>
      </c>
      <c r="O69" s="51">
        <v>45.052999999999997</v>
      </c>
      <c r="P69" s="77"/>
      <c r="Q69" s="52">
        <v>16.422999999999998</v>
      </c>
      <c r="R69" s="86">
        <v>544.84299999999996</v>
      </c>
      <c r="S69" s="77"/>
      <c r="T69" s="50">
        <v>33.262999999999998</v>
      </c>
      <c r="U69" s="50">
        <v>29.123000000000001</v>
      </c>
      <c r="V69" s="50">
        <v>33.698999999999998</v>
      </c>
      <c r="W69" s="76"/>
      <c r="X69" s="72">
        <v>567.20000000000005</v>
      </c>
      <c r="Y69" s="72">
        <v>569.29999999999995</v>
      </c>
      <c r="Z69" s="72">
        <v>609.02200000000005</v>
      </c>
      <c r="AA69" s="50">
        <v>45.218000000000004</v>
      </c>
      <c r="AB69" s="70">
        <v>50.618011192949027</v>
      </c>
      <c r="AC69" s="70">
        <v>661.92600000000004</v>
      </c>
      <c r="AD69" s="79"/>
      <c r="AE69" s="50">
        <v>1571.9269999999999</v>
      </c>
      <c r="AF69" s="50">
        <v>1599.232</v>
      </c>
      <c r="AG69" s="70">
        <v>0.68391559551358327</v>
      </c>
      <c r="AH69" s="60">
        <v>64.635603345280771</v>
      </c>
      <c r="AI69" s="80"/>
      <c r="AJ69" s="81"/>
      <c r="AM69" s="83"/>
      <c r="AN69" s="83"/>
      <c r="AO69" s="83"/>
      <c r="AP69" s="84"/>
      <c r="AQ69" s="84"/>
      <c r="AR69" s="84"/>
      <c r="AS69" s="84"/>
      <c r="AT69" s="85"/>
    </row>
    <row r="70" spans="1:46" s="82" customFormat="1">
      <c r="B70" s="75" t="s">
        <v>125</v>
      </c>
      <c r="C70" s="49">
        <v>569.48</v>
      </c>
      <c r="D70" s="49">
        <v>685.77200000000005</v>
      </c>
      <c r="E70" s="49">
        <v>598.947</v>
      </c>
      <c r="F70" s="49">
        <v>48.555999999999997</v>
      </c>
      <c r="G70" s="49">
        <v>38.268999999999998</v>
      </c>
      <c r="H70" s="49">
        <v>86.825000000000003</v>
      </c>
      <c r="I70" s="49">
        <v>510.197</v>
      </c>
      <c r="J70" s="77"/>
      <c r="K70" s="52">
        <v>62.232128834048858</v>
      </c>
      <c r="L70" s="52">
        <v>-85.674999999999997</v>
      </c>
      <c r="M70" s="52">
        <v>-80.171128834048872</v>
      </c>
      <c r="N70" s="52">
        <v>110.78812883404888</v>
      </c>
      <c r="O70" s="51">
        <v>116.292</v>
      </c>
      <c r="P70" s="77"/>
      <c r="Q70" s="52">
        <v>67.736000000000004</v>
      </c>
      <c r="R70" s="86">
        <v>739.66</v>
      </c>
      <c r="S70" s="77"/>
      <c r="T70" s="50">
        <v>163.82900000000001</v>
      </c>
      <c r="U70" s="50">
        <v>173.91</v>
      </c>
      <c r="V70" s="50">
        <v>33.518000000000001</v>
      </c>
      <c r="W70" s="76"/>
      <c r="X70" s="72">
        <v>787.2</v>
      </c>
      <c r="Y70" s="72">
        <v>787.7</v>
      </c>
      <c r="Z70" s="72">
        <v>765.11699999999996</v>
      </c>
      <c r="AA70" s="50">
        <v>106.928</v>
      </c>
      <c r="AB70" s="70">
        <v>101.42412883404887</v>
      </c>
      <c r="AC70" s="70">
        <v>847.40700000000004</v>
      </c>
      <c r="AD70" s="79"/>
      <c r="AE70" s="50">
        <v>1593.2670000000001</v>
      </c>
      <c r="AF70" s="50">
        <v>1566.77</v>
      </c>
      <c r="AG70" s="70">
        <v>-0.96445749070123332</v>
      </c>
      <c r="AH70" s="60">
        <v>67.072879330943849</v>
      </c>
      <c r="AI70" s="80"/>
      <c r="AJ70" s="81"/>
      <c r="AK70" s="87"/>
      <c r="AM70" s="83"/>
      <c r="AN70" s="83"/>
      <c r="AO70" s="83"/>
      <c r="AP70" s="84"/>
      <c r="AQ70" s="84"/>
      <c r="AR70" s="84"/>
      <c r="AS70" s="84"/>
      <c r="AT70" s="85"/>
    </row>
    <row r="71" spans="1:46" s="82" customFormat="1">
      <c r="B71" s="75" t="s">
        <v>126</v>
      </c>
      <c r="C71" s="49">
        <v>560.69799999999998</v>
      </c>
      <c r="D71" s="49">
        <v>720.34299999999996</v>
      </c>
      <c r="E71" s="49">
        <v>632.60199999999998</v>
      </c>
      <c r="F71" s="49">
        <v>47.707999999999998</v>
      </c>
      <c r="G71" s="49">
        <v>40.033000000000001</v>
      </c>
      <c r="H71" s="49">
        <v>87.741</v>
      </c>
      <c r="I71" s="49">
        <v>503.858</v>
      </c>
      <c r="J71" s="77"/>
      <c r="K71" s="52">
        <v>84.527484846591079</v>
      </c>
      <c r="L71" s="52">
        <v>-128.31299999999999</v>
      </c>
      <c r="M71" s="52">
        <v>-100.90348484659106</v>
      </c>
      <c r="N71" s="52">
        <v>132.23548484659105</v>
      </c>
      <c r="O71" s="51">
        <v>159.64500000000001</v>
      </c>
      <c r="P71" s="77"/>
      <c r="Q71" s="52">
        <v>111.937</v>
      </c>
      <c r="R71" s="86">
        <v>867.40599999999995</v>
      </c>
      <c r="S71" s="77"/>
      <c r="T71" s="50">
        <v>198.59200000000001</v>
      </c>
      <c r="U71" s="50">
        <v>200.77699999999999</v>
      </c>
      <c r="V71" s="50">
        <v>28.059000000000001</v>
      </c>
      <c r="W71" s="76"/>
      <c r="X71" s="72">
        <v>1027.9000000000001</v>
      </c>
      <c r="Y71" s="72">
        <v>1015.4</v>
      </c>
      <c r="Z71" s="72">
        <v>887.79600000000005</v>
      </c>
      <c r="AA71" s="50">
        <v>156.17500000000001</v>
      </c>
      <c r="AB71" s="70">
        <v>128.76548484659102</v>
      </c>
      <c r="AC71" s="70">
        <v>1102.32</v>
      </c>
      <c r="AD71" s="79"/>
      <c r="AE71" s="50">
        <v>1567.07</v>
      </c>
      <c r="AF71" s="50">
        <v>1596.4780000000001</v>
      </c>
      <c r="AG71" s="70">
        <v>-3.1124034476446587</v>
      </c>
      <c r="AH71" s="60">
        <v>67.933094384707289</v>
      </c>
      <c r="AI71" s="80"/>
      <c r="AJ71" s="81"/>
      <c r="AM71" s="83"/>
      <c r="AN71" s="83"/>
      <c r="AO71" s="83"/>
      <c r="AP71" s="84"/>
      <c r="AQ71" s="84"/>
      <c r="AR71" s="84"/>
      <c r="AS71" s="84"/>
      <c r="AT71" s="85"/>
    </row>
    <row r="72" spans="1:46" s="82" customFormat="1">
      <c r="B72" s="88" t="s">
        <v>127</v>
      </c>
      <c r="C72" s="89">
        <v>601.03700000000003</v>
      </c>
      <c r="D72" s="49">
        <v>743.02300000000002</v>
      </c>
      <c r="E72" s="49">
        <v>661.30399999999997</v>
      </c>
      <c r="F72" s="49">
        <v>40.912999999999997</v>
      </c>
      <c r="G72" s="49">
        <v>40.805999999999997</v>
      </c>
      <c r="H72" s="49">
        <v>81.718999999999994</v>
      </c>
      <c r="I72" s="49">
        <v>540.86599999999999</v>
      </c>
      <c r="J72" s="77"/>
      <c r="K72" s="52">
        <v>71.42747210310479</v>
      </c>
      <c r="L72" s="52">
        <v>-100.04900000000001</v>
      </c>
      <c r="M72" s="52">
        <v>-70.403472103104789</v>
      </c>
      <c r="N72" s="52">
        <v>112.34047210310482</v>
      </c>
      <c r="O72" s="51">
        <v>141.98599999999999</v>
      </c>
      <c r="P72" s="77"/>
      <c r="Q72" s="52">
        <v>101.07299999999999</v>
      </c>
      <c r="R72" s="86">
        <v>970.16700000000003</v>
      </c>
      <c r="S72" s="77"/>
      <c r="T72" s="50">
        <v>134.01300000000001</v>
      </c>
      <c r="U72" s="50">
        <v>126.04300000000001</v>
      </c>
      <c r="V72" s="50">
        <v>41.003999999999998</v>
      </c>
      <c r="W72" s="76"/>
      <c r="X72" s="72">
        <v>1168.7</v>
      </c>
      <c r="Y72" s="72">
        <v>1164.0999999999999</v>
      </c>
      <c r="Z72" s="72">
        <v>825.29700000000003</v>
      </c>
      <c r="AA72" s="50">
        <v>143.143</v>
      </c>
      <c r="AB72" s="70">
        <v>113.49747210310484</v>
      </c>
      <c r="AC72" s="70">
        <v>1240.6379999999999</v>
      </c>
      <c r="AD72" s="79"/>
      <c r="AE72" s="50">
        <v>1632.9259999999999</v>
      </c>
      <c r="AF72" s="50">
        <v>1654.846</v>
      </c>
      <c r="AG72" s="70">
        <v>-2.3860087808753123</v>
      </c>
      <c r="AH72" s="60">
        <v>69.103942652329735</v>
      </c>
      <c r="AI72" s="80"/>
      <c r="AJ72" s="90"/>
      <c r="AM72" s="83"/>
      <c r="AN72" s="83"/>
      <c r="AO72" s="83"/>
      <c r="AP72" s="84"/>
      <c r="AQ72" s="84"/>
      <c r="AR72" s="84"/>
      <c r="AS72" s="84"/>
      <c r="AT72" s="85"/>
    </row>
    <row r="73" spans="1:46" s="82" customFormat="1">
      <c r="B73" s="88" t="s">
        <v>128</v>
      </c>
      <c r="C73" s="89">
        <v>623.45100000000002</v>
      </c>
      <c r="D73" s="49">
        <v>745.50900000000001</v>
      </c>
      <c r="E73" s="49">
        <v>671.62300000000005</v>
      </c>
      <c r="F73" s="49">
        <v>31.440999999999999</v>
      </c>
      <c r="G73" s="49">
        <v>42.445</v>
      </c>
      <c r="H73" s="49">
        <v>73.885999999999996</v>
      </c>
      <c r="I73" s="49">
        <v>559.99699999999996</v>
      </c>
      <c r="J73" s="77"/>
      <c r="K73" s="52">
        <v>61.582438806770377</v>
      </c>
      <c r="L73" s="52">
        <v>-78.634</v>
      </c>
      <c r="M73" s="52">
        <v>-49.599438806770372</v>
      </c>
      <c r="N73" s="52">
        <v>93.023438806770372</v>
      </c>
      <c r="O73" s="51">
        <v>122.05800000000001</v>
      </c>
      <c r="P73" s="77"/>
      <c r="Q73" s="52">
        <v>90.617000000000004</v>
      </c>
      <c r="R73" s="86">
        <v>1101.9870000000001</v>
      </c>
      <c r="S73" s="77"/>
      <c r="T73" s="50">
        <v>117.672</v>
      </c>
      <c r="U73" s="50">
        <v>107.806</v>
      </c>
      <c r="V73" s="50">
        <v>43.466999999999999</v>
      </c>
      <c r="W73" s="76"/>
      <c r="X73" s="72">
        <v>1261.0999999999999</v>
      </c>
      <c r="Y73" s="72">
        <v>1266.5999999999999</v>
      </c>
      <c r="Z73" s="72">
        <v>935.25599999999997</v>
      </c>
      <c r="AA73" s="50">
        <v>124.73</v>
      </c>
      <c r="AB73" s="70">
        <v>95.695438806770383</v>
      </c>
      <c r="AC73" s="70">
        <v>1374.1189999999999</v>
      </c>
      <c r="AD73" s="79"/>
      <c r="AE73" s="50">
        <v>1680.9369999999999</v>
      </c>
      <c r="AF73" s="50">
        <v>1706.9490000000001</v>
      </c>
      <c r="AG73" s="70">
        <v>-2.5001651232655617</v>
      </c>
      <c r="AH73" s="60">
        <v>70.58542413381123</v>
      </c>
      <c r="AI73" s="80"/>
      <c r="AJ73" s="91"/>
      <c r="AM73" s="92"/>
      <c r="AN73" s="92"/>
      <c r="AO73" s="92"/>
      <c r="AP73" s="93"/>
      <c r="AQ73" s="93"/>
      <c r="AR73" s="93"/>
      <c r="AS73" s="93"/>
      <c r="AT73" s="85"/>
    </row>
    <row r="74" spans="1:46" s="82" customFormat="1">
      <c r="A74" s="94"/>
      <c r="B74" s="88" t="s">
        <v>129</v>
      </c>
      <c r="C74" s="89">
        <v>635.40599999999995</v>
      </c>
      <c r="D74" s="49">
        <v>759.13699999999994</v>
      </c>
      <c r="E74" s="49">
        <v>682.024</v>
      </c>
      <c r="F74" s="49">
        <v>32.972999999999999</v>
      </c>
      <c r="G74" s="49">
        <v>44.14</v>
      </c>
      <c r="H74" s="49">
        <v>77.113</v>
      </c>
      <c r="I74" s="49">
        <v>566.27499999999998</v>
      </c>
      <c r="J74" s="77"/>
      <c r="K74" s="52">
        <v>63.401450047248844</v>
      </c>
      <c r="L74" s="52">
        <v>-84.718000000000004</v>
      </c>
      <c r="M74" s="52">
        <v>-57.361450047248844</v>
      </c>
      <c r="N74" s="52">
        <v>96.374450047248843</v>
      </c>
      <c r="O74" s="51">
        <v>123.73099999999999</v>
      </c>
      <c r="P74" s="95"/>
      <c r="Q74" s="52">
        <v>90.757999999999996</v>
      </c>
      <c r="R74" s="86">
        <v>1227.473</v>
      </c>
      <c r="S74" s="77"/>
      <c r="T74" s="50">
        <v>95.861999999999995</v>
      </c>
      <c r="U74" s="50">
        <v>86.884</v>
      </c>
      <c r="V74" s="50">
        <v>38.637</v>
      </c>
      <c r="W74" s="76"/>
      <c r="X74" s="72">
        <v>1366.2</v>
      </c>
      <c r="Y74" s="72">
        <v>1343.8</v>
      </c>
      <c r="Z74" s="72">
        <v>1044.8309999999999</v>
      </c>
      <c r="AA74" s="50">
        <v>124.485</v>
      </c>
      <c r="AB74" s="70">
        <v>97.128450047248833</v>
      </c>
      <c r="AC74" s="96">
        <v>1448.047</v>
      </c>
      <c r="AD74" s="97"/>
      <c r="AE74" s="50">
        <v>1733.5119999999999</v>
      </c>
      <c r="AF74" s="50">
        <v>1770.4349999999999</v>
      </c>
      <c r="AG74" s="98">
        <v>-2.156133613892087</v>
      </c>
      <c r="AH74" s="60">
        <v>71.780167264038226</v>
      </c>
      <c r="AI74" s="80"/>
      <c r="AJ74" s="99"/>
      <c r="AM74" s="100"/>
      <c r="AN74" s="101"/>
      <c r="AO74" s="101"/>
      <c r="AP74" s="102"/>
      <c r="AQ74" s="102"/>
      <c r="AR74" s="102"/>
      <c r="AS74" s="102"/>
      <c r="AT74" s="80"/>
    </row>
    <row r="75" spans="1:46" s="82" customFormat="1">
      <c r="B75" s="88" t="s">
        <v>130</v>
      </c>
      <c r="C75" s="89">
        <v>662.16399999999999</v>
      </c>
      <c r="D75" s="49">
        <v>764.61</v>
      </c>
      <c r="E75" s="49">
        <v>692.78700000000003</v>
      </c>
      <c r="F75" s="49">
        <v>26.306000000000001</v>
      </c>
      <c r="G75" s="49">
        <v>45.517000000000003</v>
      </c>
      <c r="H75" s="49">
        <v>71.822999999999993</v>
      </c>
      <c r="I75" s="49">
        <v>589.95000000000005</v>
      </c>
      <c r="J75" s="77"/>
      <c r="K75" s="52">
        <v>54.102689923957811</v>
      </c>
      <c r="L75" s="52">
        <v>-64.626000000000005</v>
      </c>
      <c r="M75" s="52">
        <v>-42.588689923957816</v>
      </c>
      <c r="N75" s="52">
        <v>80.408689923957809</v>
      </c>
      <c r="O75" s="51">
        <v>102.446</v>
      </c>
      <c r="P75" s="77"/>
      <c r="Q75" s="52">
        <v>76.14</v>
      </c>
      <c r="R75" s="86">
        <v>1302.9780000000001</v>
      </c>
      <c r="S75" s="77"/>
      <c r="T75" s="50">
        <v>78.433000000000007</v>
      </c>
      <c r="U75" s="50">
        <v>64.603999999999999</v>
      </c>
      <c r="V75" s="50">
        <v>37.814</v>
      </c>
      <c r="W75" s="76"/>
      <c r="X75" s="72">
        <v>1461.1</v>
      </c>
      <c r="Y75" s="72">
        <v>1419.4</v>
      </c>
      <c r="Z75" s="72">
        <v>1048.3520000000001</v>
      </c>
      <c r="AA75" s="50">
        <v>99.757999999999996</v>
      </c>
      <c r="AB75" s="70">
        <v>77.720689923957806</v>
      </c>
      <c r="AC75" s="96">
        <v>1539.787</v>
      </c>
      <c r="AD75" s="103"/>
      <c r="AE75" s="50">
        <v>1812.306</v>
      </c>
      <c r="AF75" s="50">
        <v>1855.01</v>
      </c>
      <c r="AG75" s="98">
        <v>-1.5695100392014991</v>
      </c>
      <c r="AH75" s="60">
        <v>73.261648745519707</v>
      </c>
      <c r="AI75" s="80"/>
      <c r="AJ75" s="99"/>
      <c r="AM75" s="100"/>
      <c r="AN75" s="101"/>
      <c r="AO75" s="101"/>
      <c r="AP75" s="102"/>
      <c r="AQ75" s="102"/>
      <c r="AR75" s="102"/>
      <c r="AS75" s="102"/>
      <c r="AT75" s="80"/>
    </row>
    <row r="76" spans="1:46" s="82" customFormat="1">
      <c r="B76" s="88" t="s">
        <v>131</v>
      </c>
      <c r="C76" s="104">
        <v>688.66899999999998</v>
      </c>
      <c r="D76" s="52">
        <v>786.13699999999994</v>
      </c>
      <c r="E76" s="52">
        <v>703.3</v>
      </c>
      <c r="F76" s="49">
        <v>36.381</v>
      </c>
      <c r="G76" s="52">
        <v>46.456000000000003</v>
      </c>
      <c r="H76" s="52">
        <v>82.837000000000003</v>
      </c>
      <c r="I76" s="95">
        <v>612.00699999999995</v>
      </c>
      <c r="J76" s="95"/>
      <c r="K76" s="49">
        <v>49.067985396107048</v>
      </c>
      <c r="L76" s="95">
        <v>-63.37</v>
      </c>
      <c r="M76" s="95">
        <v>-51.350985396107035</v>
      </c>
      <c r="N76" s="52">
        <v>85.448985396107062</v>
      </c>
      <c r="O76" s="51">
        <v>97.468000000000004</v>
      </c>
      <c r="P76" s="95"/>
      <c r="Q76" s="52">
        <v>61.087000000000003</v>
      </c>
      <c r="R76" s="86">
        <v>1384.0160000000001</v>
      </c>
      <c r="S76" s="77"/>
      <c r="T76" s="49">
        <v>84.54</v>
      </c>
      <c r="U76" s="49">
        <v>81.867999999999995</v>
      </c>
      <c r="V76" s="95">
        <v>34.165999999999997</v>
      </c>
      <c r="W76" s="76"/>
      <c r="X76" s="72">
        <v>1551.9</v>
      </c>
      <c r="Y76" s="72">
        <v>1506.5</v>
      </c>
      <c r="Z76" s="72">
        <v>1020.699</v>
      </c>
      <c r="AA76" s="49">
        <v>93.656999999999996</v>
      </c>
      <c r="AB76" s="49">
        <v>81.637985396107041</v>
      </c>
      <c r="AC76" s="105">
        <v>1621.412</v>
      </c>
      <c r="AD76" s="103"/>
      <c r="AE76" s="106">
        <v>1888.114</v>
      </c>
      <c r="AF76" s="77">
        <v>1914.7170000000001</v>
      </c>
      <c r="AG76" s="98">
        <v>-0.64531981094141067</v>
      </c>
      <c r="AH76" s="60">
        <v>74.313022700119475</v>
      </c>
      <c r="AI76" s="80"/>
      <c r="AJ76" s="99"/>
      <c r="AM76" s="100"/>
      <c r="AN76" s="101"/>
      <c r="AO76" s="101"/>
      <c r="AP76" s="102"/>
      <c r="AQ76" s="102"/>
      <c r="AR76" s="102"/>
      <c r="AS76" s="102"/>
      <c r="AT76" s="80"/>
    </row>
    <row r="77" spans="1:46" s="82" customFormat="1">
      <c r="B77" s="88" t="s">
        <v>132</v>
      </c>
      <c r="C77" s="104">
        <v>712.96400000000006</v>
      </c>
      <c r="D77" s="52">
        <v>793.65800000000002</v>
      </c>
      <c r="E77" s="52">
        <v>713.89599999999996</v>
      </c>
      <c r="F77" s="77">
        <v>32.396000000000001</v>
      </c>
      <c r="G77" s="52">
        <v>47.366</v>
      </c>
      <c r="H77" s="52">
        <v>79.762</v>
      </c>
      <c r="I77" s="95">
        <v>634.06600000000003</v>
      </c>
      <c r="J77" s="77"/>
      <c r="K77" s="77">
        <v>44.85729657796481</v>
      </c>
      <c r="L77" s="95">
        <v>-46.747999999999998</v>
      </c>
      <c r="M77" s="77">
        <v>-43.307296577964806</v>
      </c>
      <c r="N77" s="52">
        <v>77.25329657796479</v>
      </c>
      <c r="O77" s="51">
        <v>80.694000000000003</v>
      </c>
      <c r="P77" s="77"/>
      <c r="Q77" s="52">
        <v>48.298000000000002</v>
      </c>
      <c r="R77" s="86">
        <v>1448.222</v>
      </c>
      <c r="S77" s="77"/>
      <c r="T77" s="77">
        <v>60.747999999999998</v>
      </c>
      <c r="U77" s="77">
        <v>50.804000000000002</v>
      </c>
      <c r="V77" s="95">
        <v>34.478000000000002</v>
      </c>
      <c r="W77" s="76"/>
      <c r="X77" s="72">
        <v>1595</v>
      </c>
      <c r="Y77" s="72">
        <v>1551.9</v>
      </c>
      <c r="Z77" s="72">
        <v>1017.026</v>
      </c>
      <c r="AA77" s="77">
        <v>83.54</v>
      </c>
      <c r="AB77" s="77">
        <v>80.099296577964807</v>
      </c>
      <c r="AC77" s="107">
        <v>1670.2449999999999</v>
      </c>
      <c r="AD77" s="103"/>
      <c r="AE77" s="106">
        <v>1943.837</v>
      </c>
      <c r="AF77" s="76">
        <v>1979.2429999999999</v>
      </c>
      <c r="AG77" s="98">
        <v>-9.5883592230557452E-2</v>
      </c>
      <c r="AH77" s="60">
        <v>74.81481481481481</v>
      </c>
      <c r="AI77" s="80"/>
      <c r="AJ77" s="99"/>
      <c r="AM77" s="100"/>
      <c r="AN77" s="101"/>
      <c r="AO77" s="101"/>
      <c r="AP77" s="102"/>
      <c r="AQ77" s="102"/>
      <c r="AR77" s="102"/>
      <c r="AS77" s="102"/>
      <c r="AT77" s="80"/>
    </row>
    <row r="78" spans="1:46" s="82" customFormat="1">
      <c r="B78" s="108" t="s">
        <v>133</v>
      </c>
      <c r="C78" s="104">
        <v>754.23900000000003</v>
      </c>
      <c r="D78" s="52">
        <v>811.40300000000002</v>
      </c>
      <c r="E78" s="52">
        <v>725.91399999999999</v>
      </c>
      <c r="F78" s="77">
        <v>36.529000000000003</v>
      </c>
      <c r="G78" s="52">
        <v>48.96</v>
      </c>
      <c r="H78" s="52">
        <v>85.489000000000004</v>
      </c>
      <c r="I78" s="95">
        <v>676.79700000000003</v>
      </c>
      <c r="J78" s="109"/>
      <c r="K78" s="77">
        <v>18.428743088901481</v>
      </c>
      <c r="L78" s="95">
        <v>-18.07</v>
      </c>
      <c r="M78" s="77">
        <v>-15.863743088901481</v>
      </c>
      <c r="N78" s="52">
        <v>54.957743088901481</v>
      </c>
      <c r="O78" s="51">
        <v>57.164000000000001</v>
      </c>
      <c r="P78" s="109"/>
      <c r="Q78" s="52">
        <v>20.635000000000002</v>
      </c>
      <c r="R78" s="86">
        <v>1518.9739999999999</v>
      </c>
      <c r="S78" s="77"/>
      <c r="T78" s="77">
        <v>66.960999999999999</v>
      </c>
      <c r="U78" s="77">
        <v>98.555999999999997</v>
      </c>
      <c r="V78" s="95">
        <v>36.76</v>
      </c>
      <c r="W78" s="76"/>
      <c r="X78" s="72">
        <v>1714.5</v>
      </c>
      <c r="Y78" s="72">
        <v>1592.9</v>
      </c>
      <c r="Z78" s="72">
        <v>1254.8720000000001</v>
      </c>
      <c r="AA78" s="77">
        <v>54.292000000000002</v>
      </c>
      <c r="AB78" s="77">
        <v>52.085743088901488</v>
      </c>
      <c r="AC78" s="107">
        <v>1737.66</v>
      </c>
      <c r="AD78" s="103"/>
      <c r="AE78" s="106">
        <v>2027.1179999999999</v>
      </c>
      <c r="AF78" s="76">
        <v>2072.9380000000001</v>
      </c>
      <c r="AG78" s="98">
        <v>-0.17932080911600343</v>
      </c>
      <c r="AH78" s="60">
        <v>76.296296296296291</v>
      </c>
      <c r="AI78" s="80"/>
      <c r="AJ78" s="99"/>
      <c r="AM78" s="100"/>
      <c r="AN78" s="101"/>
      <c r="AO78" s="101"/>
      <c r="AP78" s="102"/>
      <c r="AQ78" s="102"/>
      <c r="AR78" s="102"/>
      <c r="AS78" s="102"/>
      <c r="AT78" s="80"/>
    </row>
    <row r="79" spans="1:46" s="82" customFormat="1">
      <c r="B79" s="88" t="s">
        <v>134</v>
      </c>
      <c r="C79" s="104">
        <v>779.44500000000005</v>
      </c>
      <c r="D79" s="52">
        <v>838.72799999999995</v>
      </c>
      <c r="E79" s="52">
        <v>742.46500000000003</v>
      </c>
      <c r="F79" s="77">
        <v>46.32</v>
      </c>
      <c r="G79" s="52">
        <v>49.942999999999998</v>
      </c>
      <c r="H79" s="52">
        <v>96.263000000000005</v>
      </c>
      <c r="I79" s="95">
        <v>700.81899999999996</v>
      </c>
      <c r="J79" s="109"/>
      <c r="K79" s="77">
        <v>13.014498887829319</v>
      </c>
      <c r="L79" s="95">
        <v>-18.317</v>
      </c>
      <c r="M79" s="77">
        <v>-18.368498887829318</v>
      </c>
      <c r="N79" s="52">
        <v>59.334498887829319</v>
      </c>
      <c r="O79" s="51">
        <v>59.283000000000001</v>
      </c>
      <c r="P79" s="77"/>
      <c r="Q79" s="52">
        <v>12.962999999999999</v>
      </c>
      <c r="R79" s="86">
        <v>1494.319</v>
      </c>
      <c r="S79" s="77"/>
      <c r="T79" s="77">
        <v>38.615000000000002</v>
      </c>
      <c r="U79" s="77">
        <v>80.703999999999994</v>
      </c>
      <c r="V79" s="95">
        <v>42.865000000000002</v>
      </c>
      <c r="W79" s="76"/>
      <c r="X79" s="72">
        <v>1757.8</v>
      </c>
      <c r="Y79" s="72">
        <v>1575</v>
      </c>
      <c r="Z79" s="72">
        <v>1334.24</v>
      </c>
      <c r="AA79" s="77">
        <v>59.09</v>
      </c>
      <c r="AB79" s="77">
        <v>59.141498887829314</v>
      </c>
      <c r="AC79" s="107">
        <v>1784.2</v>
      </c>
      <c r="AD79" s="103"/>
      <c r="AE79" s="106">
        <v>2114.6170000000002</v>
      </c>
      <c r="AF79" s="76">
        <v>2153.9879999999998</v>
      </c>
      <c r="AG79" s="98">
        <v>7.6599076868315269E-2</v>
      </c>
      <c r="AH79" s="60">
        <v>77.299880525686987</v>
      </c>
      <c r="AI79" s="80"/>
      <c r="AJ79" s="99"/>
      <c r="AM79" s="100"/>
      <c r="AN79" s="101"/>
      <c r="AO79" s="101"/>
      <c r="AP79" s="102"/>
      <c r="AQ79" s="102"/>
      <c r="AR79" s="102"/>
      <c r="AS79" s="102"/>
      <c r="AT79" s="80"/>
    </row>
    <row r="80" spans="1:46" s="82" customFormat="1">
      <c r="B80" s="88" t="s">
        <v>135</v>
      </c>
      <c r="C80" s="104">
        <v>811.71299999999997</v>
      </c>
      <c r="D80" s="52">
        <v>856.02200000000005</v>
      </c>
      <c r="E80" s="52">
        <v>759.87900000000002</v>
      </c>
      <c r="F80" s="77">
        <v>45.569000000000003</v>
      </c>
      <c r="G80" s="52">
        <v>50.573999999999998</v>
      </c>
      <c r="H80" s="52">
        <v>96.143000000000001</v>
      </c>
      <c r="I80" s="95">
        <v>735.101</v>
      </c>
      <c r="J80" s="109"/>
      <c r="K80" s="77">
        <v>3.2252336100003136</v>
      </c>
      <c r="L80" s="95">
        <v>-9.484</v>
      </c>
      <c r="M80" s="77">
        <v>-13.969233610000312</v>
      </c>
      <c r="N80" s="52">
        <v>48.794233610000319</v>
      </c>
      <c r="O80" s="51">
        <v>44.308999999999997</v>
      </c>
      <c r="P80" s="77"/>
      <c r="Q80" s="52">
        <v>-1.26</v>
      </c>
      <c r="R80" s="86">
        <v>1477.4590000000001</v>
      </c>
      <c r="S80" s="77"/>
      <c r="T80" s="77">
        <v>34.814</v>
      </c>
      <c r="U80" s="77">
        <v>16.478999999999999</v>
      </c>
      <c r="V80" s="95">
        <v>39.061</v>
      </c>
      <c r="W80" s="76"/>
      <c r="X80" s="72">
        <v>1776</v>
      </c>
      <c r="Y80" s="72">
        <v>1600.6</v>
      </c>
      <c r="Z80" s="72">
        <v>1289.51</v>
      </c>
      <c r="AA80" s="77">
        <v>40.396999999999998</v>
      </c>
      <c r="AB80" s="77">
        <v>44.88223361000032</v>
      </c>
      <c r="AC80" s="107">
        <v>1842.307</v>
      </c>
      <c r="AD80" s="103"/>
      <c r="AE80" s="106">
        <v>2189.8389999999999</v>
      </c>
      <c r="AF80" s="76">
        <v>2229.9229999999998</v>
      </c>
      <c r="AG80" s="98">
        <v>0.37900085971798331</v>
      </c>
      <c r="AH80" s="60">
        <v>79.020310633213853</v>
      </c>
      <c r="AI80" s="110"/>
      <c r="AJ80" s="99"/>
      <c r="AM80" s="100"/>
      <c r="AN80" s="101"/>
      <c r="AO80" s="101"/>
      <c r="AP80" s="102"/>
      <c r="AQ80" s="102"/>
      <c r="AR80" s="102"/>
      <c r="AS80" s="102"/>
      <c r="AT80" s="80"/>
    </row>
    <row r="81" spans="1:46" s="82" customFormat="1">
      <c r="A81" s="111"/>
      <c r="B81" s="112" t="s">
        <v>136</v>
      </c>
      <c r="C81" s="52">
        <v>826.5</v>
      </c>
      <c r="D81" s="52">
        <v>884.87300000000005</v>
      </c>
      <c r="E81" s="52">
        <v>790.23199999999997</v>
      </c>
      <c r="F81" s="52">
        <v>42.42</v>
      </c>
      <c r="G81" s="52">
        <v>52.220999999999997</v>
      </c>
      <c r="H81" s="52">
        <v>94.641000000000005</v>
      </c>
      <c r="I81" s="52">
        <v>743.55700000000002</v>
      </c>
      <c r="J81" s="52"/>
      <c r="K81" s="77">
        <v>23.919623445833345</v>
      </c>
      <c r="L81" s="95">
        <v>-27.454999999999998</v>
      </c>
      <c r="M81" s="77">
        <v>-35.42162344583334</v>
      </c>
      <c r="N81" s="52">
        <v>66.33962344583334</v>
      </c>
      <c r="O81" s="51">
        <v>58.372999999999998</v>
      </c>
      <c r="P81" s="109"/>
      <c r="Q81" s="52">
        <v>15.952999999999999</v>
      </c>
      <c r="R81" s="86">
        <v>1585.462</v>
      </c>
      <c r="S81" s="77"/>
      <c r="T81" s="52">
        <v>56.076000000000001</v>
      </c>
      <c r="U81" s="113">
        <v>26.05</v>
      </c>
      <c r="V81" s="95">
        <v>39.185000000000002</v>
      </c>
      <c r="W81" s="76"/>
      <c r="X81" s="72">
        <v>1815.8</v>
      </c>
      <c r="Y81" s="72">
        <v>1643.4</v>
      </c>
      <c r="Z81" s="72">
        <v>1414.1980000000001</v>
      </c>
      <c r="AA81" s="113">
        <v>64.459999999999994</v>
      </c>
      <c r="AB81" s="77">
        <v>72.426623445833343</v>
      </c>
      <c r="AC81" s="114">
        <v>1898.952</v>
      </c>
      <c r="AD81" s="115"/>
      <c r="AE81" s="77">
        <v>2263.357</v>
      </c>
      <c r="AF81" s="76">
        <v>2148.8809999999999</v>
      </c>
      <c r="AG81" s="98">
        <v>0.55236491177802816</v>
      </c>
      <c r="AH81" s="60">
        <v>81.146953405017911</v>
      </c>
      <c r="AJ81" s="99"/>
      <c r="AM81" s="100"/>
      <c r="AN81" s="101"/>
      <c r="AO81" s="101"/>
      <c r="AP81" s="102"/>
      <c r="AQ81" s="102"/>
      <c r="AR81" s="102"/>
      <c r="AS81" s="102"/>
      <c r="AT81" s="80"/>
    </row>
    <row r="82" spans="1:46" s="82" customFormat="1">
      <c r="A82" s="111"/>
      <c r="B82" s="116" t="s">
        <v>137</v>
      </c>
      <c r="C82" s="52">
        <v>791.93399999999997</v>
      </c>
      <c r="D82" s="52">
        <v>1102.8610000000001</v>
      </c>
      <c r="E82" s="52">
        <v>977.67499999999995</v>
      </c>
      <c r="F82" s="52">
        <v>71.861999999999995</v>
      </c>
      <c r="G82" s="52">
        <v>53.323999999999998</v>
      </c>
      <c r="H82" s="52">
        <v>125.18600000000001</v>
      </c>
      <c r="I82" s="52">
        <v>711.42399999999998</v>
      </c>
      <c r="J82" s="52"/>
      <c r="K82" s="77">
        <v>238.36314671174571</v>
      </c>
      <c r="L82" s="95">
        <v>-289.858</v>
      </c>
      <c r="M82" s="77">
        <v>-289.15614671174575</v>
      </c>
      <c r="N82" s="52">
        <v>310.22514671174577</v>
      </c>
      <c r="O82" s="51">
        <v>310.92700000000002</v>
      </c>
      <c r="P82" s="109"/>
      <c r="Q82" s="52">
        <v>239.065</v>
      </c>
      <c r="R82" s="86">
        <v>1849.511</v>
      </c>
      <c r="S82" s="77"/>
      <c r="T82" s="52">
        <v>337.983</v>
      </c>
      <c r="U82" s="113">
        <v>332.30200000000002</v>
      </c>
      <c r="V82" s="95">
        <v>25.204999999999998</v>
      </c>
      <c r="W82" s="76"/>
      <c r="X82" s="72">
        <v>2155.1</v>
      </c>
      <c r="Y82" s="72">
        <v>1930.2</v>
      </c>
      <c r="Z82" s="72">
        <v>1623.104</v>
      </c>
      <c r="AA82" s="113">
        <v>316.20999999999998</v>
      </c>
      <c r="AB82" s="77">
        <v>315.50814671174572</v>
      </c>
      <c r="AC82" s="114">
        <v>2244.4540000000002</v>
      </c>
      <c r="AD82" s="115"/>
      <c r="AE82" s="117">
        <v>2109.9960000000001</v>
      </c>
      <c r="AF82" s="76">
        <v>2259.4639999999999</v>
      </c>
      <c r="AG82" s="98">
        <v>-0.28747246886138811</v>
      </c>
      <c r="AH82" s="60">
        <v>85.376344086021504</v>
      </c>
      <c r="AI82" s="118"/>
      <c r="AJ82" s="99"/>
      <c r="AM82" s="100"/>
      <c r="AN82" s="101"/>
      <c r="AO82" s="101"/>
      <c r="AP82" s="102"/>
      <c r="AQ82" s="102"/>
      <c r="AR82" s="102"/>
      <c r="AS82" s="102"/>
      <c r="AT82" s="80"/>
    </row>
    <row r="83" spans="1:46" s="82" customFormat="1">
      <c r="A83" s="111"/>
      <c r="B83" s="112" t="s">
        <v>138</v>
      </c>
      <c r="C83" s="52">
        <v>920.57399999999996</v>
      </c>
      <c r="D83" s="52">
        <v>1040.873</v>
      </c>
      <c r="E83" s="52">
        <v>932.86900000000003</v>
      </c>
      <c r="F83" s="52">
        <v>52.843000000000004</v>
      </c>
      <c r="G83" s="52">
        <v>55.161000000000001</v>
      </c>
      <c r="H83" s="52">
        <v>108.004</v>
      </c>
      <c r="I83" s="52">
        <v>832.17200000000003</v>
      </c>
      <c r="J83" s="52"/>
      <c r="K83" s="77">
        <v>87.456423419066255</v>
      </c>
      <c r="L83" s="95">
        <v>-71.603999999999999</v>
      </c>
      <c r="M83" s="77">
        <v>-91.604423419066251</v>
      </c>
      <c r="N83" s="52">
        <v>140.29942341906627</v>
      </c>
      <c r="O83" s="51">
        <v>120.29900000000001</v>
      </c>
      <c r="P83" s="109"/>
      <c r="Q83" s="52">
        <v>67.456000000000003</v>
      </c>
      <c r="R83" s="86">
        <v>1982.712</v>
      </c>
      <c r="S83" s="77"/>
      <c r="T83" s="52">
        <v>128.798</v>
      </c>
      <c r="U83" s="113">
        <v>78.325000000000003</v>
      </c>
      <c r="V83" s="95">
        <v>55.374000000000002</v>
      </c>
      <c r="W83" s="76"/>
      <c r="X83" s="72">
        <v>2380.9</v>
      </c>
      <c r="Y83" s="72">
        <v>2050.5</v>
      </c>
      <c r="Z83" s="72">
        <v>1646.1769999999999</v>
      </c>
      <c r="AA83" s="113">
        <v>135.06</v>
      </c>
      <c r="AB83" s="77">
        <v>155.06042341906627</v>
      </c>
      <c r="AC83" s="114">
        <v>2385.3519999999999</v>
      </c>
      <c r="AD83" s="115"/>
      <c r="AE83" s="117">
        <v>2400.3980000000001</v>
      </c>
      <c r="AF83" s="77">
        <v>2524.3359999999998</v>
      </c>
      <c r="AG83" s="98">
        <v>1.7814145902209666</v>
      </c>
      <c r="AH83" s="60">
        <v>85.591397849462354</v>
      </c>
      <c r="AI83" s="118"/>
      <c r="AJ83" s="99"/>
      <c r="AK83" s="119"/>
      <c r="AL83" s="119"/>
      <c r="AM83" s="119"/>
      <c r="AN83" s="119"/>
      <c r="AO83" s="119"/>
      <c r="AP83" s="119"/>
      <c r="AQ83" s="102"/>
      <c r="AR83" s="102"/>
      <c r="AS83" s="102"/>
      <c r="AT83" s="80"/>
    </row>
    <row r="84" spans="1:46" s="82" customFormat="1">
      <c r="B84" s="120" t="s">
        <v>139</v>
      </c>
      <c r="C84" s="52">
        <v>1033.53</v>
      </c>
      <c r="D84" s="52">
        <v>1160.627</v>
      </c>
      <c r="E84" s="52">
        <v>1053.211</v>
      </c>
      <c r="F84" s="52">
        <v>46.682000000000002</v>
      </c>
      <c r="G84" s="52">
        <v>60.734000000000002</v>
      </c>
      <c r="H84" s="52">
        <v>107.416</v>
      </c>
      <c r="I84" s="52">
        <v>927.10400000000004</v>
      </c>
      <c r="J84" s="52"/>
      <c r="K84" s="77">
        <v>103.34617158584958</v>
      </c>
      <c r="L84" s="95">
        <v>-30.623000000000001</v>
      </c>
      <c r="M84" s="77">
        <v>-53.554171585849588</v>
      </c>
      <c r="N84" s="52">
        <v>150.02817158584958</v>
      </c>
      <c r="O84" s="51">
        <v>127.09699999999999</v>
      </c>
      <c r="P84" s="109"/>
      <c r="Q84" s="52">
        <v>80.415000000000006</v>
      </c>
      <c r="R84" s="86">
        <v>2158.1419999999998</v>
      </c>
      <c r="S84" s="77"/>
      <c r="T84" s="52">
        <v>111.36199999999999</v>
      </c>
      <c r="U84" s="113">
        <v>43.588000000000001</v>
      </c>
      <c r="V84" s="95">
        <v>112.11199999999999</v>
      </c>
      <c r="W84" s="76"/>
      <c r="X84" s="72">
        <v>2545.5</v>
      </c>
      <c r="Y84" s="72">
        <v>2252.8000000000002</v>
      </c>
      <c r="Z84" s="72">
        <v>1837.0909999999999</v>
      </c>
      <c r="AA84" s="113">
        <v>137.98400000000001</v>
      </c>
      <c r="AB84" s="77">
        <v>160.91517158584958</v>
      </c>
      <c r="AC84" s="114">
        <v>2538.4369999999999</v>
      </c>
      <c r="AD84" s="115"/>
      <c r="AE84" s="117">
        <v>2634.3359999999998</v>
      </c>
      <c r="AF84" s="77">
        <v>2730.808</v>
      </c>
      <c r="AG84" s="98">
        <v>1.02837925108725</v>
      </c>
      <c r="AH84" s="60">
        <v>91.565113500597377</v>
      </c>
      <c r="AI84" s="121"/>
      <c r="AJ84" s="99"/>
      <c r="AK84" s="119"/>
      <c r="AL84" s="119"/>
      <c r="AM84" s="119"/>
      <c r="AN84" s="119"/>
      <c r="AO84" s="119"/>
      <c r="AP84" s="119"/>
      <c r="AQ84" s="102"/>
      <c r="AR84" s="102"/>
      <c r="AS84" s="102"/>
      <c r="AT84" s="80"/>
    </row>
    <row r="85" spans="1:46">
      <c r="B85" s="122" t="s">
        <v>140</v>
      </c>
      <c r="C85" s="52">
        <v>1096.288</v>
      </c>
      <c r="D85" s="52">
        <v>1230.797</v>
      </c>
      <c r="E85" s="52">
        <v>1097.25</v>
      </c>
      <c r="F85" s="52">
        <v>68.275000000000006</v>
      </c>
      <c r="G85" s="52">
        <v>65.272000000000006</v>
      </c>
      <c r="H85" s="52">
        <v>133.547</v>
      </c>
      <c r="I85" s="52">
        <v>974.43100000000004</v>
      </c>
      <c r="J85" s="77"/>
      <c r="K85" s="77">
        <v>72.189693082781929</v>
      </c>
      <c r="L85" s="95">
        <v>-51.404000000000003</v>
      </c>
      <c r="M85" s="77">
        <v>-57.359693082781916</v>
      </c>
      <c r="N85" s="52">
        <v>140.46469308278191</v>
      </c>
      <c r="O85" s="51">
        <v>134.50899999999999</v>
      </c>
      <c r="P85" s="109"/>
      <c r="Q85" s="52">
        <v>66.233999999999995</v>
      </c>
      <c r="R85" s="86">
        <v>2269.125</v>
      </c>
      <c r="S85" s="77"/>
      <c r="T85" s="52">
        <v>157.399</v>
      </c>
      <c r="U85" s="113">
        <v>61.241999999999997</v>
      </c>
      <c r="V85" s="95">
        <v>107.581</v>
      </c>
      <c r="W85" s="76"/>
      <c r="X85" s="72">
        <v>2685.8</v>
      </c>
      <c r="Y85" s="72">
        <v>2446.1999999999998</v>
      </c>
      <c r="Z85" s="72">
        <v>1967.191</v>
      </c>
      <c r="AA85" s="113">
        <v>159.78700000000001</v>
      </c>
      <c r="AB85" s="77">
        <v>165.7426930827819</v>
      </c>
      <c r="AC85" s="114">
        <v>2736.5279999999998</v>
      </c>
      <c r="AD85" s="103"/>
      <c r="AE85" s="106">
        <v>2788.9830000000002</v>
      </c>
      <c r="AF85" s="123">
        <v>2845.5219999999999</v>
      </c>
      <c r="AG85" s="124">
        <v>1.5735383479338338E-2</v>
      </c>
      <c r="AH85" s="60">
        <v>96.415770609318997</v>
      </c>
      <c r="AI85" s="121"/>
      <c r="AJ85" s="99"/>
      <c r="AK85" s="119"/>
      <c r="AL85" s="119"/>
      <c r="AM85" s="119"/>
      <c r="AN85" s="119"/>
      <c r="AO85" s="119"/>
      <c r="AP85" s="119"/>
    </row>
    <row r="86" spans="1:46">
      <c r="B86" s="125" t="s">
        <v>141</v>
      </c>
      <c r="C86" s="52">
        <v>1138.597</v>
      </c>
      <c r="D86" s="52">
        <v>1288.0530000000001</v>
      </c>
      <c r="E86" s="52">
        <v>1145.3489999999999</v>
      </c>
      <c r="F86" s="52">
        <v>73.638000000000005</v>
      </c>
      <c r="G86" s="52">
        <v>69.066000000000003</v>
      </c>
      <c r="H86" s="52">
        <v>142.70400000000001</v>
      </c>
      <c r="I86" s="52">
        <v>1015.003</v>
      </c>
      <c r="J86" s="77"/>
      <c r="K86" s="77">
        <v>70.263335928608157</v>
      </c>
      <c r="L86" s="95">
        <v>-66.301000000000002</v>
      </c>
      <c r="M86" s="77">
        <v>-60.74633592860814</v>
      </c>
      <c r="N86" s="52">
        <v>143.90133592860818</v>
      </c>
      <c r="O86" s="51">
        <v>149.45599999999999</v>
      </c>
      <c r="P86" s="109"/>
      <c r="Q86" s="52">
        <v>75.817999999999998</v>
      </c>
      <c r="R86" s="86">
        <v>2438.8879999999999</v>
      </c>
      <c r="S86" s="77"/>
      <c r="T86" s="52">
        <v>180.23</v>
      </c>
      <c r="U86" s="113">
        <v>72.882000000000005</v>
      </c>
      <c r="V86" s="95">
        <v>106.22199999999999</v>
      </c>
      <c r="W86" s="76"/>
      <c r="X86" s="72">
        <v>2810.1</v>
      </c>
      <c r="Y86" s="72">
        <v>2644.6</v>
      </c>
      <c r="Z86" s="72">
        <v>2094.0160000000001</v>
      </c>
      <c r="AA86" s="113">
        <v>168.07599999999999</v>
      </c>
      <c r="AB86" s="77">
        <v>162.52133592860818</v>
      </c>
      <c r="AC86" s="114">
        <v>2925.27</v>
      </c>
      <c r="AD86" s="115"/>
      <c r="AE86" s="126">
        <v>2926.8180000000002</v>
      </c>
      <c r="AF86" s="127">
        <v>2934.070483</v>
      </c>
      <c r="AG86" s="128">
        <v>-0.39250352742968175</v>
      </c>
      <c r="AH86" s="129">
        <v>100</v>
      </c>
      <c r="AI86" s="121"/>
      <c r="AJ86" s="99"/>
      <c r="AK86" s="119"/>
      <c r="AL86" s="119"/>
      <c r="AM86" s="119"/>
      <c r="AN86" s="119"/>
      <c r="AO86" s="119"/>
      <c r="AP86" s="119"/>
    </row>
    <row r="87" spans="1:46">
      <c r="B87" s="130" t="s">
        <v>142</v>
      </c>
      <c r="C87" s="131">
        <v>1229.4985058656325</v>
      </c>
      <c r="D87" s="132">
        <v>1347.1860091384792</v>
      </c>
      <c r="E87" s="132">
        <v>1191.5268034794528</v>
      </c>
      <c r="F87" s="132">
        <v>81.546664445781047</v>
      </c>
      <c r="G87" s="132">
        <v>74.112541213245251</v>
      </c>
      <c r="H87" s="132">
        <v>155.6592056590263</v>
      </c>
      <c r="I87" s="132">
        <v>1101.5566597240761</v>
      </c>
      <c r="J87" s="133"/>
      <c r="K87" s="132">
        <v>26.253081690262523</v>
      </c>
      <c r="L87" s="132">
        <v>-27.079473260849518</v>
      </c>
      <c r="M87" s="132">
        <v>-17.191716124046501</v>
      </c>
      <c r="N87" s="132">
        <v>107.79974613604361</v>
      </c>
      <c r="O87" s="132">
        <v>117.68750327284663</v>
      </c>
      <c r="P87" s="133"/>
      <c r="Q87" s="133">
        <v>36.140838827065544</v>
      </c>
      <c r="R87" s="133">
        <v>2525.5471754745613</v>
      </c>
      <c r="S87" s="132"/>
      <c r="T87" s="134">
        <v>142.99698122360766</v>
      </c>
      <c r="U87" s="134">
        <v>71.565324777722424</v>
      </c>
      <c r="V87" s="134">
        <v>111.21396885716256</v>
      </c>
      <c r="W87" s="135"/>
      <c r="X87" s="134">
        <v>2897.1967144625842</v>
      </c>
      <c r="Y87" s="134">
        <v>2801.0418071408958</v>
      </c>
      <c r="Z87" s="134">
        <v>2122.8674652060513</v>
      </c>
      <c r="AA87" s="134">
        <v>128.87977489880689</v>
      </c>
      <c r="AB87" s="136">
        <v>118.99201776200385</v>
      </c>
      <c r="AC87" s="137">
        <v>3103.8800777734359</v>
      </c>
      <c r="AD87" s="103"/>
      <c r="AE87" s="138">
        <v>2993.8517429999997</v>
      </c>
      <c r="AF87" s="139">
        <v>3045.8936869999998</v>
      </c>
      <c r="AG87" s="140">
        <v>-0.50353611630694672</v>
      </c>
      <c r="AH87" s="141">
        <v>102.64542714263447</v>
      </c>
      <c r="AI87" s="121"/>
      <c r="AJ87" s="99"/>
      <c r="AK87" s="119"/>
      <c r="AL87" s="119"/>
      <c r="AM87" s="119"/>
      <c r="AN87" s="119"/>
      <c r="AO87" s="119"/>
      <c r="AP87" s="119"/>
    </row>
    <row r="88" spans="1:46">
      <c r="B88" s="130" t="s">
        <v>143</v>
      </c>
      <c r="C88" s="142">
        <v>1292.3063469533176</v>
      </c>
      <c r="D88" s="143">
        <v>1389.4675834403672</v>
      </c>
      <c r="E88" s="143">
        <v>1229.3290171187584</v>
      </c>
      <c r="F88" s="143">
        <v>83.74220064325155</v>
      </c>
      <c r="G88" s="143">
        <v>76.396365678357057</v>
      </c>
      <c r="H88" s="143">
        <v>160.13856632160861</v>
      </c>
      <c r="I88" s="143">
        <v>1161.0632556160454</v>
      </c>
      <c r="J88" s="109"/>
      <c r="K88" s="143">
        <v>8.4165241520749809</v>
      </c>
      <c r="L88" s="143">
        <v>-6.4119582876166463</v>
      </c>
      <c r="M88" s="143">
        <v>-1.4094465958937989</v>
      </c>
      <c r="N88" s="143">
        <v>92.158724795326535</v>
      </c>
      <c r="O88" s="143">
        <v>97.161236487049379</v>
      </c>
      <c r="P88" s="109"/>
      <c r="Q88" s="109">
        <v>13.419035843797829</v>
      </c>
      <c r="R88" s="109">
        <v>2638.5010008138538</v>
      </c>
      <c r="S88" s="143"/>
      <c r="T88" s="144">
        <v>129.85900841420292</v>
      </c>
      <c r="U88" s="144">
        <v>117.14665138881715</v>
      </c>
      <c r="V88" s="144">
        <v>111.37396585669073</v>
      </c>
      <c r="W88" s="76"/>
      <c r="X88" s="144">
        <v>3026.2918876727704</v>
      </c>
      <c r="Y88" s="144">
        <v>2951.7307839707441</v>
      </c>
      <c r="Z88" s="144">
        <v>2212.9529503068275</v>
      </c>
      <c r="AA88" s="144">
        <v>116.05872093812535</v>
      </c>
      <c r="AB88" s="139">
        <v>111.0562092464025</v>
      </c>
      <c r="AC88" s="141">
        <v>3256.8576612917273</v>
      </c>
      <c r="AD88" s="145"/>
      <c r="AE88" s="138">
        <v>3101.2963059999997</v>
      </c>
      <c r="AF88" s="139">
        <v>3160.1124519999998</v>
      </c>
      <c r="AG88" s="140">
        <v>-0.12119334055287823</v>
      </c>
      <c r="AH88" s="141">
        <v>104.34558691517316</v>
      </c>
      <c r="AI88" s="121"/>
      <c r="AJ88" s="99"/>
      <c r="AK88" s="119"/>
      <c r="AL88" s="119"/>
      <c r="AM88" s="119"/>
      <c r="AN88" s="119"/>
      <c r="AO88" s="119"/>
      <c r="AP88" s="119"/>
    </row>
    <row r="89" spans="1:46">
      <c r="B89" s="130" t="s">
        <v>144</v>
      </c>
      <c r="C89" s="142">
        <v>1350.6552226267656</v>
      </c>
      <c r="D89" s="143">
        <v>1430.8197404448263</v>
      </c>
      <c r="E89" s="143">
        <v>1265.533103778371</v>
      </c>
      <c r="F89" s="143">
        <v>86.166856923661399</v>
      </c>
      <c r="G89" s="143">
        <v>79.11977974279371</v>
      </c>
      <c r="H89" s="143">
        <v>165.28663666645511</v>
      </c>
      <c r="I89" s="143">
        <v>1214.8776247323719</v>
      </c>
      <c r="J89" s="109"/>
      <c r="K89" s="143">
        <v>-6.7828973267698682</v>
      </c>
      <c r="L89" s="143">
        <v>16.747950086153089</v>
      </c>
      <c r="M89" s="143">
        <v>17.52850830732206</v>
      </c>
      <c r="N89" s="143">
        <v>79.383959596891515</v>
      </c>
      <c r="O89" s="143">
        <v>80.164517818060489</v>
      </c>
      <c r="P89" s="109"/>
      <c r="Q89" s="109">
        <v>-6.0023391056008988</v>
      </c>
      <c r="R89" s="109">
        <v>2733.9216824208111</v>
      </c>
      <c r="S89" s="143"/>
      <c r="T89" s="144">
        <v>131.7082986459682</v>
      </c>
      <c r="U89" s="144">
        <v>131.06179383142413</v>
      </c>
      <c r="V89" s="144">
        <v>117.86186639156108</v>
      </c>
      <c r="W89" s="76"/>
      <c r="X89" s="144">
        <v>3152.1370756213387</v>
      </c>
      <c r="Y89" s="144">
        <v>3088.0175048661167</v>
      </c>
      <c r="Z89" s="144">
        <v>2286.7543781990425</v>
      </c>
      <c r="AA89" s="144">
        <v>100.45971390776744</v>
      </c>
      <c r="AB89" s="139">
        <v>99.679155686598463</v>
      </c>
      <c r="AC89" s="141">
        <v>3396.4305685891327</v>
      </c>
      <c r="AD89" s="145"/>
      <c r="AE89" s="138">
        <v>3219.746666</v>
      </c>
      <c r="AF89" s="139">
        <v>3278.739086</v>
      </c>
      <c r="AG89" s="140">
        <v>-8.3554894132475965E-6</v>
      </c>
      <c r="AH89" s="141">
        <v>106.47099728831095</v>
      </c>
      <c r="AI89" s="121"/>
      <c r="AJ89" s="99"/>
      <c r="AK89" s="119"/>
      <c r="AL89" s="119"/>
      <c r="AM89" s="119"/>
      <c r="AN89" s="119"/>
      <c r="AO89" s="119"/>
      <c r="AP89" s="119"/>
    </row>
    <row r="90" spans="1:46">
      <c r="B90" s="130" t="s">
        <v>145</v>
      </c>
      <c r="C90" s="142">
        <v>1394.0199787189486</v>
      </c>
      <c r="D90" s="143">
        <v>1471.4446599551075</v>
      </c>
      <c r="E90" s="143">
        <v>1305.2623053194516</v>
      </c>
      <c r="F90" s="143">
        <v>84.544108007387123</v>
      </c>
      <c r="G90" s="143">
        <v>81.638246628268689</v>
      </c>
      <c r="H90" s="143">
        <v>166.18235463565583</v>
      </c>
      <c r="I90" s="143">
        <v>1253.8806613693134</v>
      </c>
      <c r="J90" s="109"/>
      <c r="K90" s="143">
        <v>-7.1196220929810261</v>
      </c>
      <c r="L90" s="143">
        <v>25.548185270534152</v>
      </c>
      <c r="M90" s="143">
        <v>25.548380592286815</v>
      </c>
      <c r="N90" s="143">
        <v>77.424485914406105</v>
      </c>
      <c r="O90" s="143">
        <v>77.424681236158762</v>
      </c>
      <c r="P90" s="109"/>
      <c r="Q90" s="109">
        <v>-7.1194267712283619</v>
      </c>
      <c r="R90" s="109">
        <v>2827.8132468456515</v>
      </c>
      <c r="S90" s="143"/>
      <c r="T90" s="144">
        <v>138.38123689668453</v>
      </c>
      <c r="U90" s="144">
        <v>136.83733829343933</v>
      </c>
      <c r="V90" s="144">
        <v>124.24082104834942</v>
      </c>
      <c r="W90" s="76"/>
      <c r="X90" s="144">
        <v>3273.660393013045</v>
      </c>
      <c r="Y90" s="144">
        <v>3222.9821810285471</v>
      </c>
      <c r="Z90" s="144">
        <v>2367.5011332770005</v>
      </c>
      <c r="AA90" s="144">
        <v>101.25689695692584</v>
      </c>
      <c r="AB90" s="139">
        <v>101.25670163517319</v>
      </c>
      <c r="AC90" s="141">
        <v>3535.2509166780687</v>
      </c>
      <c r="AD90" s="145"/>
      <c r="AE90" s="138">
        <v>3339.494087</v>
      </c>
      <c r="AF90" s="139">
        <v>3400.785758</v>
      </c>
      <c r="AG90" s="140">
        <v>-8.3554894274584512E-6</v>
      </c>
      <c r="AH90" s="141">
        <v>108.54422650416065</v>
      </c>
      <c r="AI90" s="121"/>
      <c r="AJ90" s="99"/>
      <c r="AK90" s="119"/>
      <c r="AL90" s="119"/>
      <c r="AM90" s="119"/>
      <c r="AN90" s="119"/>
      <c r="AO90" s="119"/>
      <c r="AP90" s="119"/>
    </row>
    <row r="91" spans="1:46">
      <c r="B91" s="130" t="s">
        <v>146</v>
      </c>
      <c r="C91" s="142">
        <v>1445.0065045114238</v>
      </c>
      <c r="D91" s="143">
        <v>1519.0488941782933</v>
      </c>
      <c r="E91" s="143">
        <v>1351.1646795161889</v>
      </c>
      <c r="F91" s="143">
        <v>83.974012183104506</v>
      </c>
      <c r="G91" s="143">
        <v>83.91020247899975</v>
      </c>
      <c r="H91" s="143">
        <v>167.88421466210426</v>
      </c>
      <c r="I91" s="143">
        <v>1300.3607576717543</v>
      </c>
      <c r="J91" s="109"/>
      <c r="K91" s="143">
        <v>-9.9318251207605517</v>
      </c>
      <c r="L91" s="143">
        <v>35.512066398046798</v>
      </c>
      <c r="M91" s="143">
        <v>35.51226900257226</v>
      </c>
      <c r="N91" s="143">
        <v>74.04218706234397</v>
      </c>
      <c r="O91" s="143">
        <v>74.04238966686944</v>
      </c>
      <c r="P91" s="109"/>
      <c r="Q91" s="109">
        <v>-9.9316225162350893</v>
      </c>
      <c r="R91" s="109">
        <v>2918.8393657003116</v>
      </c>
      <c r="S91" s="143"/>
      <c r="T91" s="144">
        <v>110.1262090442313</v>
      </c>
      <c r="U91" s="144">
        <v>107.43677426033886</v>
      </c>
      <c r="V91" s="144">
        <v>131.57703554215198</v>
      </c>
      <c r="W91" s="76"/>
      <c r="X91" s="144">
        <v>3391.3068844305549</v>
      </c>
      <c r="Y91" s="144">
        <v>3351.2340903564</v>
      </c>
      <c r="Z91" s="144">
        <v>2439.8568768782543</v>
      </c>
      <c r="AA91" s="144">
        <v>95.853207417429246</v>
      </c>
      <c r="AB91" s="139">
        <v>95.853004812903791</v>
      </c>
      <c r="AC91" s="141">
        <v>3668.0838260365649</v>
      </c>
      <c r="AD91" s="145"/>
      <c r="AE91" s="146">
        <v>3464.0105589999998</v>
      </c>
      <c r="AF91" s="147">
        <v>3528.4196103777158</v>
      </c>
      <c r="AG91" s="148">
        <v>-8.355489441669306E-6</v>
      </c>
      <c r="AH91" s="149">
        <v>110.586058653392</v>
      </c>
      <c r="AI91" s="121"/>
      <c r="AJ91" s="99"/>
      <c r="AK91" s="119"/>
      <c r="AL91" s="119"/>
      <c r="AM91" s="119"/>
      <c r="AN91" s="119"/>
      <c r="AO91" s="119"/>
      <c r="AP91" s="119"/>
    </row>
    <row r="92" spans="1:46" s="82" customFormat="1">
      <c r="B92" s="150" t="s">
        <v>147</v>
      </c>
      <c r="C92" s="476" t="s">
        <v>148</v>
      </c>
      <c r="D92" s="476"/>
      <c r="E92" s="476"/>
      <c r="F92" s="476"/>
      <c r="G92" s="476"/>
      <c r="H92" s="476"/>
      <c r="I92" s="476"/>
      <c r="J92" s="476"/>
      <c r="K92" s="476"/>
      <c r="L92" s="476"/>
      <c r="M92" s="476"/>
      <c r="N92" s="476"/>
      <c r="O92" s="476"/>
      <c r="P92" s="476"/>
      <c r="Q92" s="476"/>
      <c r="R92" s="476"/>
      <c r="S92" s="476"/>
      <c r="T92" s="476"/>
      <c r="U92" s="476"/>
      <c r="V92" s="476"/>
      <c r="W92" s="476"/>
      <c r="X92" s="476"/>
      <c r="Y92" s="476"/>
      <c r="Z92" s="476"/>
      <c r="AA92" s="476"/>
      <c r="AB92" s="476"/>
      <c r="AC92" s="477"/>
      <c r="AD92" s="151"/>
      <c r="AE92" s="152"/>
      <c r="AF92" s="153"/>
      <c r="AG92" s="153"/>
      <c r="AH92" s="154"/>
      <c r="AI92" s="118"/>
      <c r="AJ92" s="99"/>
      <c r="AM92" s="155"/>
      <c r="AN92" s="155"/>
      <c r="AO92" s="155"/>
      <c r="AP92" s="155"/>
      <c r="AQ92" s="155"/>
      <c r="AR92" s="155"/>
      <c r="AS92" s="155"/>
      <c r="AT92" s="80"/>
    </row>
    <row r="93" spans="1:46">
      <c r="B93" s="156"/>
      <c r="C93" s="478" t="s">
        <v>149</v>
      </c>
      <c r="D93" s="478"/>
      <c r="E93" s="478"/>
      <c r="F93" s="478"/>
      <c r="G93" s="478"/>
      <c r="H93" s="478"/>
      <c r="I93" s="478"/>
      <c r="J93" s="478"/>
      <c r="K93" s="478"/>
      <c r="L93" s="478"/>
      <c r="M93" s="478"/>
      <c r="N93" s="478"/>
      <c r="O93" s="478"/>
      <c r="P93" s="478"/>
      <c r="Q93" s="478"/>
      <c r="R93" s="478"/>
      <c r="S93" s="478"/>
      <c r="T93" s="478"/>
      <c r="U93" s="478"/>
      <c r="V93" s="478"/>
      <c r="W93" s="478"/>
      <c r="X93" s="478"/>
      <c r="Y93" s="478"/>
      <c r="Z93" s="478"/>
      <c r="AA93" s="478"/>
      <c r="AB93" s="478"/>
      <c r="AC93" s="478"/>
      <c r="AD93" s="2"/>
      <c r="AH93" s="157"/>
      <c r="AI93" s="118"/>
      <c r="AJ93" s="119"/>
    </row>
    <row r="94" spans="1:46">
      <c r="B94" s="158"/>
      <c r="C94" s="159" t="s">
        <v>150</v>
      </c>
      <c r="AD94" s="2"/>
      <c r="AH94" s="160"/>
    </row>
    <row r="95" spans="1:46" ht="16.5" thickBot="1">
      <c r="B95" s="161"/>
      <c r="C95" s="162" t="s">
        <v>151</v>
      </c>
      <c r="D95" s="163"/>
      <c r="E95" s="163"/>
      <c r="F95" s="163"/>
      <c r="G95" s="163"/>
      <c r="H95" s="163"/>
      <c r="I95" s="163"/>
      <c r="J95" s="163"/>
      <c r="K95" s="163"/>
      <c r="L95" s="163"/>
      <c r="M95" s="163"/>
      <c r="N95" s="163"/>
      <c r="O95" s="163"/>
      <c r="P95" s="163"/>
      <c r="Q95" s="163"/>
      <c r="R95" s="163"/>
      <c r="S95" s="163"/>
      <c r="T95" s="163"/>
      <c r="U95" s="163"/>
      <c r="V95" s="163"/>
      <c r="W95" s="163"/>
      <c r="X95" s="163"/>
      <c r="Y95" s="163"/>
      <c r="Z95" s="163"/>
      <c r="AA95" s="163"/>
      <c r="AB95" s="163"/>
      <c r="AC95" s="163"/>
      <c r="AD95" s="2"/>
      <c r="AE95" s="163"/>
      <c r="AF95" s="163"/>
      <c r="AG95" s="163"/>
      <c r="AH95" s="164"/>
    </row>
    <row r="96" spans="1:46">
      <c r="C96" s="165"/>
      <c r="D96" s="165"/>
      <c r="E96" s="165"/>
      <c r="F96" s="165"/>
      <c r="G96" s="165"/>
      <c r="H96" s="165"/>
      <c r="I96" s="165"/>
      <c r="J96" s="165"/>
      <c r="K96" s="165"/>
      <c r="L96" s="165"/>
    </row>
    <row r="97" spans="2:51">
      <c r="AR97" s="165"/>
      <c r="AS97" s="165"/>
      <c r="AT97" s="165"/>
      <c r="AU97" s="165"/>
      <c r="AV97" s="165"/>
      <c r="AW97" s="165"/>
      <c r="AX97" s="165"/>
      <c r="AY97" s="165"/>
    </row>
    <row r="98" spans="2:51">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c r="AE98" s="165"/>
      <c r="AF98" s="165"/>
      <c r="AG98" s="165"/>
      <c r="AH98" s="165"/>
      <c r="AI98" s="165"/>
      <c r="AR98" s="165"/>
      <c r="AS98" s="165"/>
      <c r="AT98" s="165"/>
      <c r="AU98" s="165"/>
      <c r="AV98" s="165"/>
      <c r="AW98" s="165"/>
      <c r="AX98" s="165"/>
      <c r="AY98" s="165"/>
    </row>
    <row r="99" spans="2:51">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c r="AE99" s="165"/>
      <c r="AF99" s="165"/>
      <c r="AG99" s="165"/>
      <c r="AH99" s="165"/>
      <c r="AI99" s="165"/>
      <c r="AJ99" s="165"/>
      <c r="AK99" s="165"/>
      <c r="AL99" s="165"/>
      <c r="AM99" s="165"/>
    </row>
    <row r="101" spans="2:51">
      <c r="C101" s="165"/>
      <c r="AI101" s="165"/>
    </row>
    <row r="102" spans="2:51">
      <c r="AI102" s="165"/>
    </row>
  </sheetData>
  <mergeCells count="11">
    <mergeCell ref="B6:B7"/>
    <mergeCell ref="C92:AC92"/>
    <mergeCell ref="C93:AC93"/>
    <mergeCell ref="C1:AC1"/>
    <mergeCell ref="AP2:AS2"/>
    <mergeCell ref="C3:I3"/>
    <mergeCell ref="K3:O3"/>
    <mergeCell ref="Q3:R3"/>
    <mergeCell ref="T3:V3"/>
    <mergeCell ref="X3:AC3"/>
    <mergeCell ref="AE3:AH3"/>
  </mergeCells>
  <pageMargins left="0.74803149606299213" right="0.74803149606299213" top="0.98425196850393704" bottom="0.98425196850393704" header="0.51181102362204722" footer="0.51181102362204722"/>
  <pageSetup paperSize="8" scale="26"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7312-5A1A-462A-A278-F6FFFB7716A1}">
  <sheetPr codeName="Sheet7">
    <tabColor theme="8"/>
    <pageSetUpPr fitToPage="1"/>
  </sheetPr>
  <dimension ref="A1:BS103"/>
  <sheetViews>
    <sheetView zoomScaleNormal="100" workbookViewId="0">
      <pane xSplit="2" ySplit="4" topLeftCell="C5" activePane="bottomRight" state="frozen"/>
      <selection pane="topRight"/>
      <selection pane="bottomLeft"/>
      <selection pane="bottomRight" activeCell="M87" sqref="M87"/>
    </sheetView>
  </sheetViews>
  <sheetFormatPr defaultColWidth="9.140625" defaultRowHeight="15.75"/>
  <cols>
    <col min="1" max="1" width="9.140625" style="5"/>
    <col min="2" max="2" width="8.5703125" style="5" bestFit="1" customWidth="1"/>
    <col min="3" max="3" width="12.85546875" style="5" customWidth="1"/>
    <col min="4" max="4" width="13.42578125" style="5" customWidth="1"/>
    <col min="5" max="5" width="13.5703125" style="5" customWidth="1"/>
    <col min="6" max="6" width="12.85546875" style="5" customWidth="1"/>
    <col min="7" max="7" width="13.5703125" style="5" bestFit="1" customWidth="1"/>
    <col min="8" max="9" width="12.85546875" style="5" customWidth="1"/>
    <col min="10" max="10" width="2.42578125" style="5" customWidth="1"/>
    <col min="11" max="15" width="12.85546875" style="5" customWidth="1"/>
    <col min="16" max="16" width="2.140625" style="5" customWidth="1"/>
    <col min="17" max="18" width="12.85546875" style="5" customWidth="1"/>
    <col min="19" max="19" width="2.140625" style="5" customWidth="1"/>
    <col min="20" max="20" width="15.85546875" style="5" customWidth="1"/>
    <col min="21" max="21" width="15.85546875" style="5" bestFit="1" customWidth="1"/>
    <col min="22" max="22" width="15.85546875" style="5" customWidth="1"/>
    <col min="23" max="23" width="2.5703125" style="5" customWidth="1"/>
    <col min="24" max="24" width="15.85546875" style="5" bestFit="1" customWidth="1"/>
    <col min="25" max="26" width="15.85546875" style="5" customWidth="1"/>
    <col min="27" max="27" width="15.85546875" style="5" bestFit="1" customWidth="1"/>
    <col min="28" max="29" width="15.85546875" style="5" customWidth="1"/>
    <col min="30" max="30" width="10.85546875" style="5" customWidth="1"/>
    <col min="31" max="32" width="14.140625" style="5" customWidth="1"/>
    <col min="33" max="33" width="10.85546875" style="82" customWidth="1"/>
    <col min="34" max="70" width="9.140625" style="82"/>
    <col min="71" max="71" width="0" style="82" hidden="1" customWidth="1"/>
    <col min="72" max="16384" width="9.140625" style="82"/>
  </cols>
  <sheetData>
    <row r="1" spans="1:71" ht="29.25" customHeight="1" thickBot="1">
      <c r="A1" s="68"/>
      <c r="B1" s="1"/>
      <c r="C1" s="492" t="s">
        <v>152</v>
      </c>
      <c r="D1" s="492"/>
      <c r="E1" s="492"/>
      <c r="F1" s="492"/>
      <c r="G1" s="492"/>
      <c r="H1" s="492"/>
      <c r="I1" s="492"/>
      <c r="J1" s="492"/>
      <c r="K1" s="492"/>
      <c r="L1" s="492"/>
      <c r="M1" s="492"/>
      <c r="N1" s="492"/>
      <c r="O1" s="492"/>
      <c r="P1" s="492"/>
      <c r="Q1" s="492"/>
      <c r="R1" s="492"/>
      <c r="S1" s="492"/>
      <c r="T1" s="492"/>
      <c r="U1" s="492"/>
      <c r="V1" s="492"/>
      <c r="W1" s="492"/>
      <c r="X1" s="492"/>
      <c r="Y1" s="492"/>
      <c r="Z1" s="492"/>
      <c r="AA1" s="492"/>
      <c r="AB1" s="492"/>
      <c r="AC1" s="493"/>
      <c r="AD1" s="166"/>
      <c r="AE1" s="167"/>
      <c r="AF1" s="168"/>
      <c r="AG1" s="169"/>
    </row>
    <row r="2" spans="1:71" s="174" customFormat="1" ht="15.75" customHeight="1">
      <c r="A2" s="170"/>
      <c r="B2" s="7"/>
      <c r="C2" s="11"/>
      <c r="D2" s="11"/>
      <c r="E2" s="11"/>
      <c r="F2" s="11"/>
      <c r="G2" s="11"/>
      <c r="H2" s="11"/>
      <c r="I2" s="171"/>
      <c r="J2" s="9"/>
      <c r="K2" s="11"/>
      <c r="L2" s="11"/>
      <c r="M2" s="11"/>
      <c r="N2" s="11"/>
      <c r="O2" s="11"/>
      <c r="P2" s="9"/>
      <c r="Q2" s="9"/>
      <c r="R2" s="8"/>
      <c r="S2" s="9"/>
      <c r="T2" s="8"/>
      <c r="U2" s="8"/>
      <c r="V2" s="8"/>
      <c r="W2" s="9"/>
      <c r="X2" s="8"/>
      <c r="Y2" s="8"/>
      <c r="Z2" s="8"/>
      <c r="AA2" s="8"/>
      <c r="AB2" s="8"/>
      <c r="AC2" s="8"/>
      <c r="AD2" s="166"/>
      <c r="AE2" s="172"/>
      <c r="AF2" s="9"/>
      <c r="AG2" s="173"/>
    </row>
    <row r="3" spans="1:71" s="174" customFormat="1" ht="15.75" customHeight="1">
      <c r="A3" s="170"/>
      <c r="B3" s="7"/>
      <c r="C3" s="483" t="s">
        <v>1</v>
      </c>
      <c r="D3" s="483"/>
      <c r="E3" s="483"/>
      <c r="F3" s="483"/>
      <c r="G3" s="483"/>
      <c r="H3" s="483"/>
      <c r="I3" s="483"/>
      <c r="J3" s="9"/>
      <c r="K3" s="485" t="s">
        <v>2</v>
      </c>
      <c r="L3" s="485"/>
      <c r="M3" s="485"/>
      <c r="N3" s="485"/>
      <c r="O3" s="175"/>
      <c r="P3" s="9"/>
      <c r="Q3" s="482" t="s">
        <v>3</v>
      </c>
      <c r="R3" s="482"/>
      <c r="S3" s="9"/>
      <c r="T3" s="482" t="s">
        <v>4</v>
      </c>
      <c r="U3" s="482"/>
      <c r="V3" s="482"/>
      <c r="W3" s="9"/>
      <c r="X3" s="485" t="s">
        <v>5</v>
      </c>
      <c r="Y3" s="485"/>
      <c r="Z3" s="485"/>
      <c r="AA3" s="485"/>
      <c r="AB3" s="485"/>
      <c r="AC3" s="486"/>
      <c r="AD3" s="166"/>
      <c r="AE3" s="487" t="s">
        <v>6</v>
      </c>
      <c r="AF3" s="488"/>
      <c r="AG3" s="490"/>
    </row>
    <row r="4" spans="1:71" s="365" customFormat="1" ht="57.75" customHeight="1">
      <c r="A4" s="355"/>
      <c r="B4" s="356"/>
      <c r="C4" s="357" t="s">
        <v>7</v>
      </c>
      <c r="D4" s="357" t="s">
        <v>8</v>
      </c>
      <c r="E4" s="357" t="s">
        <v>9</v>
      </c>
      <c r="F4" s="357" t="s">
        <v>10</v>
      </c>
      <c r="G4" s="357" t="s">
        <v>11</v>
      </c>
      <c r="H4" s="357" t="s">
        <v>12</v>
      </c>
      <c r="I4" s="357" t="s">
        <v>13</v>
      </c>
      <c r="J4" s="358"/>
      <c r="K4" s="357" t="s">
        <v>14</v>
      </c>
      <c r="L4" s="357" t="s">
        <v>15</v>
      </c>
      <c r="M4" s="357" t="s">
        <v>16</v>
      </c>
      <c r="N4" s="357" t="s">
        <v>17</v>
      </c>
      <c r="O4" s="358" t="s">
        <v>18</v>
      </c>
      <c r="P4" s="358"/>
      <c r="Q4" s="357" t="s">
        <v>19</v>
      </c>
      <c r="R4" s="358" t="s">
        <v>20</v>
      </c>
      <c r="S4" s="358"/>
      <c r="T4" s="359" t="s">
        <v>21</v>
      </c>
      <c r="U4" s="359" t="s">
        <v>22</v>
      </c>
      <c r="V4" s="359" t="s">
        <v>23</v>
      </c>
      <c r="W4" s="360"/>
      <c r="X4" s="357" t="s">
        <v>153</v>
      </c>
      <c r="Y4" s="357" t="s">
        <v>154</v>
      </c>
      <c r="Z4" s="357" t="s">
        <v>26</v>
      </c>
      <c r="AA4" s="361" t="s">
        <v>27</v>
      </c>
      <c r="AB4" s="361" t="s">
        <v>28</v>
      </c>
      <c r="AC4" s="361" t="s">
        <v>29</v>
      </c>
      <c r="AD4" s="362"/>
      <c r="AE4" s="363" t="s">
        <v>30</v>
      </c>
      <c r="AF4" s="361" t="s">
        <v>31</v>
      </c>
      <c r="AG4" s="364" t="s">
        <v>32</v>
      </c>
      <c r="BS4" s="365" t="s">
        <v>155</v>
      </c>
    </row>
    <row r="5" spans="1:71" s="181" customFormat="1">
      <c r="A5" s="170"/>
      <c r="B5" s="176" t="s">
        <v>65</v>
      </c>
      <c r="C5" s="49">
        <v>42.940919037199123</v>
      </c>
      <c r="D5" s="49">
        <v>38.599562363238512</v>
      </c>
      <c r="E5" s="49">
        <v>33.23413566739606</v>
      </c>
      <c r="F5" s="49">
        <v>2.634573304157549</v>
      </c>
      <c r="G5" s="49">
        <v>2.7308533916849012</v>
      </c>
      <c r="H5" s="49">
        <v>5.3654266958424506</v>
      </c>
      <c r="I5" s="49">
        <v>37.207877461706786</v>
      </c>
      <c r="J5" s="49"/>
      <c r="K5" s="49" t="s">
        <v>63</v>
      </c>
      <c r="L5" s="49">
        <v>7.6936542669584247</v>
      </c>
      <c r="M5" s="49" t="s">
        <v>63</v>
      </c>
      <c r="N5" s="49" t="s">
        <v>63</v>
      </c>
      <c r="O5" s="49">
        <v>-4.3413566739606129</v>
      </c>
      <c r="P5" s="49"/>
      <c r="Q5" s="49">
        <v>-6.9759299781181614</v>
      </c>
      <c r="R5" s="49"/>
      <c r="S5" s="49"/>
      <c r="T5" s="49">
        <v>-5.9256017505470462</v>
      </c>
      <c r="U5" s="49">
        <v>-4.3413566739606129</v>
      </c>
      <c r="V5" s="49">
        <v>4.5514223194748356</v>
      </c>
      <c r="W5" s="49"/>
      <c r="X5" s="49" t="s">
        <v>63</v>
      </c>
      <c r="Y5" s="49"/>
      <c r="Z5" s="49"/>
      <c r="AA5" s="49">
        <v>-3.7986870897155356</v>
      </c>
      <c r="AB5" s="49" t="s">
        <v>63</v>
      </c>
      <c r="AC5" s="177" t="s">
        <v>63</v>
      </c>
      <c r="AD5" s="178"/>
      <c r="AE5" s="50">
        <v>11.425000000000001</v>
      </c>
      <c r="AF5" s="179" t="s">
        <v>63</v>
      </c>
      <c r="AG5" s="180" t="s">
        <v>63</v>
      </c>
    </row>
    <row r="6" spans="1:71" s="181" customFormat="1">
      <c r="A6" s="170"/>
      <c r="B6" s="176" t="s">
        <v>66</v>
      </c>
      <c r="C6" s="49">
        <v>43.298545484427642</v>
      </c>
      <c r="D6" s="49">
        <v>38.474813049552139</v>
      </c>
      <c r="E6" s="49">
        <v>32.78001479168379</v>
      </c>
      <c r="F6" s="49">
        <v>2.9912071657490342</v>
      </c>
      <c r="G6" s="49">
        <v>2.7035910921193196</v>
      </c>
      <c r="H6" s="49">
        <v>5.6947982578683529</v>
      </c>
      <c r="I6" s="49">
        <v>36.929903854055382</v>
      </c>
      <c r="J6" s="49"/>
      <c r="K6" s="49" t="s">
        <v>63</v>
      </c>
      <c r="L6" s="49">
        <v>7.8724628153504801</v>
      </c>
      <c r="M6" s="49" t="s">
        <v>63</v>
      </c>
      <c r="N6" s="49" t="s">
        <v>63</v>
      </c>
      <c r="O6" s="49">
        <v>-4.8237324348755033</v>
      </c>
      <c r="P6" s="49"/>
      <c r="Q6" s="49">
        <v>-7.8149396006245375</v>
      </c>
      <c r="R6" s="49"/>
      <c r="S6" s="49"/>
      <c r="T6" s="49">
        <v>-6.5247760703426732</v>
      </c>
      <c r="U6" s="49">
        <v>-4.8237324348755033</v>
      </c>
      <c r="V6" s="49">
        <v>4.2649354918234854</v>
      </c>
      <c r="W6" s="49"/>
      <c r="X6" s="49" t="s">
        <v>63</v>
      </c>
      <c r="Y6" s="49"/>
      <c r="Z6" s="49"/>
      <c r="AA6" s="49">
        <v>-4.2320650834086617</v>
      </c>
      <c r="AB6" s="49" t="s">
        <v>63</v>
      </c>
      <c r="AC6" s="177" t="s">
        <v>63</v>
      </c>
      <c r="AD6" s="178"/>
      <c r="AE6" s="50">
        <v>12.169</v>
      </c>
      <c r="AF6" s="50" t="s">
        <v>63</v>
      </c>
      <c r="AG6" s="105" t="s">
        <v>63</v>
      </c>
    </row>
    <row r="7" spans="1:71" s="181" customFormat="1">
      <c r="A7" s="39"/>
      <c r="B7" s="176" t="s">
        <v>67</v>
      </c>
      <c r="C7" s="49">
        <v>42.8414442700157</v>
      </c>
      <c r="D7" s="49">
        <v>39.183673469387756</v>
      </c>
      <c r="E7" s="49">
        <v>32.629513343799061</v>
      </c>
      <c r="F7" s="49">
        <v>3.7598116169544742</v>
      </c>
      <c r="G7" s="49">
        <v>2.794348508634223</v>
      </c>
      <c r="H7" s="49">
        <v>6.5541601255886972</v>
      </c>
      <c r="I7" s="49">
        <v>36.07535321821036</v>
      </c>
      <c r="J7" s="49"/>
      <c r="K7" s="49" t="s">
        <v>63</v>
      </c>
      <c r="L7" s="49">
        <v>6.4678178963893247</v>
      </c>
      <c r="M7" s="49" t="s">
        <v>63</v>
      </c>
      <c r="N7" s="49" t="s">
        <v>63</v>
      </c>
      <c r="O7" s="49">
        <v>-3.6577708006279437</v>
      </c>
      <c r="P7" s="49"/>
      <c r="Q7" s="49">
        <v>-7.4175824175824179</v>
      </c>
      <c r="R7" s="49"/>
      <c r="S7" s="49"/>
      <c r="T7" s="49">
        <v>-5.8477237048665618</v>
      </c>
      <c r="U7" s="49">
        <v>-3.6577708006279437</v>
      </c>
      <c r="V7" s="49">
        <v>4.1679748822605962</v>
      </c>
      <c r="W7" s="49"/>
      <c r="X7" s="49" t="s">
        <v>63</v>
      </c>
      <c r="Y7" s="49"/>
      <c r="Z7" s="49"/>
      <c r="AA7" s="49">
        <v>-3.2731554160125591</v>
      </c>
      <c r="AB7" s="49" t="s">
        <v>63</v>
      </c>
      <c r="AC7" s="177" t="s">
        <v>63</v>
      </c>
      <c r="AD7" s="178"/>
      <c r="AE7" s="50">
        <v>12.74</v>
      </c>
      <c r="AF7" s="50" t="s">
        <v>63</v>
      </c>
      <c r="AG7" s="105" t="s">
        <v>63</v>
      </c>
    </row>
    <row r="8" spans="1:71" s="181" customFormat="1">
      <c r="A8" s="39"/>
      <c r="B8" s="176" t="s">
        <v>68</v>
      </c>
      <c r="C8" s="49">
        <v>41.131231210235612</v>
      </c>
      <c r="D8" s="49">
        <v>40.648814933929941</v>
      </c>
      <c r="E8" s="49">
        <v>32.300915891770956</v>
      </c>
      <c r="F8" s="49">
        <v>5.4394183038523387</v>
      </c>
      <c r="G8" s="49">
        <v>2.9084807383066487</v>
      </c>
      <c r="H8" s="49">
        <v>8.3478990421589856</v>
      </c>
      <c r="I8" s="49">
        <v>34.782912675662445</v>
      </c>
      <c r="J8" s="49"/>
      <c r="K8" s="49" t="s">
        <v>63</v>
      </c>
      <c r="L8" s="49">
        <v>3.411871635321261</v>
      </c>
      <c r="M8" s="49" t="s">
        <v>63</v>
      </c>
      <c r="N8" s="49" t="s">
        <v>63</v>
      </c>
      <c r="O8" s="49">
        <v>-0.48241627630567019</v>
      </c>
      <c r="P8" s="49"/>
      <c r="Q8" s="49">
        <v>-5.9218345801580083</v>
      </c>
      <c r="R8" s="49"/>
      <c r="S8" s="49"/>
      <c r="T8" s="49">
        <v>-2.6847514507445993</v>
      </c>
      <c r="U8" s="49">
        <v>-0.48241627630567019</v>
      </c>
      <c r="V8" s="49">
        <v>4.0481017968258408</v>
      </c>
      <c r="W8" s="49"/>
      <c r="X8" s="49" t="s">
        <v>63</v>
      </c>
      <c r="Y8" s="49"/>
      <c r="Z8" s="49"/>
      <c r="AA8" s="49">
        <v>-6.9915402363140595E-3</v>
      </c>
      <c r="AB8" s="49" t="s">
        <v>63</v>
      </c>
      <c r="AC8" s="177" t="s">
        <v>63</v>
      </c>
      <c r="AD8" s="178"/>
      <c r="AE8" s="50">
        <v>14.303000000000001</v>
      </c>
      <c r="AF8" s="50" t="s">
        <v>63</v>
      </c>
      <c r="AG8" s="105" t="s">
        <v>63</v>
      </c>
    </row>
    <row r="9" spans="1:71" s="181" customFormat="1">
      <c r="A9" s="39"/>
      <c r="B9" s="176" t="s">
        <v>69</v>
      </c>
      <c r="C9" s="49">
        <v>39.926622039134919</v>
      </c>
      <c r="D9" s="49">
        <v>41.271884654994849</v>
      </c>
      <c r="E9" s="49">
        <v>32.537332646755921</v>
      </c>
      <c r="F9" s="49">
        <v>5.7736869207003094</v>
      </c>
      <c r="G9" s="49">
        <v>2.96086508753862</v>
      </c>
      <c r="H9" s="49">
        <v>8.7345520082389285</v>
      </c>
      <c r="I9" s="49">
        <v>33.953398558187438</v>
      </c>
      <c r="J9" s="49"/>
      <c r="K9" s="49" t="s">
        <v>63</v>
      </c>
      <c r="L9" s="49">
        <v>1.9116889804325439</v>
      </c>
      <c r="M9" s="49" t="s">
        <v>63</v>
      </c>
      <c r="N9" s="49" t="s">
        <v>63</v>
      </c>
      <c r="O9" s="49">
        <v>1.3452626158599383</v>
      </c>
      <c r="P9" s="49"/>
      <c r="Q9" s="49">
        <v>-4.4284243048403704</v>
      </c>
      <c r="R9" s="49"/>
      <c r="S9" s="49"/>
      <c r="T9" s="49">
        <v>-1.9309989701338828</v>
      </c>
      <c r="U9" s="49">
        <v>1.3452626158599383</v>
      </c>
      <c r="V9" s="49">
        <v>4.0808444902162719</v>
      </c>
      <c r="W9" s="49"/>
      <c r="X9" s="49" t="s">
        <v>63</v>
      </c>
      <c r="Y9" s="49"/>
      <c r="Z9" s="49"/>
      <c r="AA9" s="49">
        <v>0.99124613800205974</v>
      </c>
      <c r="AB9" s="49" t="s">
        <v>63</v>
      </c>
      <c r="AC9" s="177" t="s">
        <v>63</v>
      </c>
      <c r="AD9" s="178"/>
      <c r="AE9" s="50">
        <v>15.536</v>
      </c>
      <c r="AF9" s="50" t="s">
        <v>63</v>
      </c>
      <c r="AG9" s="105" t="s">
        <v>63</v>
      </c>
    </row>
    <row r="10" spans="1:71" s="181" customFormat="1">
      <c r="A10" s="39"/>
      <c r="B10" s="176" t="s">
        <v>70</v>
      </c>
      <c r="C10" s="49">
        <v>37.998201977824394</v>
      </c>
      <c r="D10" s="49">
        <v>40.503446209169915</v>
      </c>
      <c r="E10" s="49">
        <v>31.603236439916095</v>
      </c>
      <c r="F10" s="49">
        <v>6.0593347317950252</v>
      </c>
      <c r="G10" s="49">
        <v>2.8408750374587957</v>
      </c>
      <c r="H10" s="49">
        <v>8.9002097692538218</v>
      </c>
      <c r="I10" s="49">
        <v>31.705124363200483</v>
      </c>
      <c r="J10" s="49"/>
      <c r="K10" s="49" t="s">
        <v>63</v>
      </c>
      <c r="L10" s="49">
        <v>0.4554989511537309</v>
      </c>
      <c r="M10" s="49" t="s">
        <v>63</v>
      </c>
      <c r="N10" s="49" t="s">
        <v>63</v>
      </c>
      <c r="O10" s="49">
        <v>2.5052442313455199</v>
      </c>
      <c r="P10" s="49"/>
      <c r="Q10" s="49">
        <v>-3.5540905004495054</v>
      </c>
      <c r="R10" s="49"/>
      <c r="S10" s="49"/>
      <c r="T10" s="49">
        <v>-0.94695834581959848</v>
      </c>
      <c r="U10" s="49">
        <v>2.5052442313455199</v>
      </c>
      <c r="V10" s="49">
        <v>3.937668564578964</v>
      </c>
      <c r="W10" s="49"/>
      <c r="X10" s="49" t="s">
        <v>63</v>
      </c>
      <c r="Y10" s="49"/>
      <c r="Z10" s="49"/>
      <c r="AA10" s="49">
        <v>1.7620617320946959</v>
      </c>
      <c r="AB10" s="49" t="s">
        <v>63</v>
      </c>
      <c r="AC10" s="177" t="s">
        <v>63</v>
      </c>
      <c r="AD10" s="178"/>
      <c r="AE10" s="50">
        <v>16.684999999999999</v>
      </c>
      <c r="AF10" s="50" t="s">
        <v>63</v>
      </c>
      <c r="AG10" s="105" t="s">
        <v>63</v>
      </c>
    </row>
    <row r="11" spans="1:71" s="181" customFormat="1">
      <c r="A11" s="39"/>
      <c r="B11" s="176" t="s">
        <v>71</v>
      </c>
      <c r="C11" s="49">
        <v>37.463780467018928</v>
      </c>
      <c r="D11" s="49">
        <v>38.923924777001304</v>
      </c>
      <c r="E11" s="49">
        <v>31.123231634566217</v>
      </c>
      <c r="F11" s="49">
        <v>4.9656269530140333</v>
      </c>
      <c r="G11" s="49">
        <v>2.835066189421056</v>
      </c>
      <c r="H11" s="49">
        <v>7.8006931424350885</v>
      </c>
      <c r="I11" s="49">
        <v>30.913016305891709</v>
      </c>
      <c r="J11" s="49"/>
      <c r="K11" s="49" t="s">
        <v>63</v>
      </c>
      <c r="L11" s="49">
        <v>1.0794841202204422</v>
      </c>
      <c r="M11" s="49" t="s">
        <v>63</v>
      </c>
      <c r="N11" s="49" t="s">
        <v>63</v>
      </c>
      <c r="O11" s="49">
        <v>1.4601443099823874</v>
      </c>
      <c r="P11" s="49"/>
      <c r="Q11" s="49">
        <v>-3.5054826430316459</v>
      </c>
      <c r="R11" s="49"/>
      <c r="S11" s="49"/>
      <c r="T11" s="49">
        <v>-1.7442190784614513</v>
      </c>
      <c r="U11" s="49">
        <v>1.4601443099823874</v>
      </c>
      <c r="V11" s="49">
        <v>3.7270609624453157</v>
      </c>
      <c r="W11" s="49"/>
      <c r="X11" s="49" t="s">
        <v>63</v>
      </c>
      <c r="Y11" s="49"/>
      <c r="Z11" s="49"/>
      <c r="AA11" s="49">
        <v>0.64200897676268398</v>
      </c>
      <c r="AB11" s="49" t="s">
        <v>63</v>
      </c>
      <c r="AC11" s="177" t="s">
        <v>63</v>
      </c>
      <c r="AD11" s="178"/>
      <c r="AE11" s="50">
        <v>17.600999999999999</v>
      </c>
      <c r="AF11" s="50" t="s">
        <v>63</v>
      </c>
      <c r="AG11" s="105" t="s">
        <v>63</v>
      </c>
    </row>
    <row r="12" spans="1:71" s="181" customFormat="1">
      <c r="A12" s="39"/>
      <c r="B12" s="59" t="s">
        <v>72</v>
      </c>
      <c r="C12" s="49">
        <v>35.964240102171132</v>
      </c>
      <c r="D12" s="49">
        <v>35.770114942528735</v>
      </c>
      <c r="E12" s="49">
        <v>28.664112388250317</v>
      </c>
      <c r="F12" s="49">
        <v>4.3116219667943811</v>
      </c>
      <c r="G12" s="49">
        <v>2.7943805874840364</v>
      </c>
      <c r="H12" s="49">
        <v>7.1060025542784162</v>
      </c>
      <c r="I12" s="49">
        <v>29.644955300127712</v>
      </c>
      <c r="J12" s="49"/>
      <c r="K12" s="49" t="s">
        <v>63</v>
      </c>
      <c r="L12" s="49">
        <v>2.7535121328224781</v>
      </c>
      <c r="M12" s="49" t="s">
        <v>63</v>
      </c>
      <c r="N12" s="49" t="s">
        <v>63</v>
      </c>
      <c r="O12" s="49">
        <v>-0.19412515964240101</v>
      </c>
      <c r="P12" s="49"/>
      <c r="Q12" s="49">
        <v>-4.5057471264367823</v>
      </c>
      <c r="R12" s="49"/>
      <c r="S12" s="49"/>
      <c r="T12" s="49">
        <v>-2.8403575989782892</v>
      </c>
      <c r="U12" s="49">
        <v>-0.19412515964240101</v>
      </c>
      <c r="V12" s="49">
        <v>3.7905491698595148</v>
      </c>
      <c r="W12" s="49"/>
      <c r="X12" s="49" t="s">
        <v>63</v>
      </c>
      <c r="Y12" s="49"/>
      <c r="Z12" s="49"/>
      <c r="AA12" s="49">
        <v>-0.55172413793103448</v>
      </c>
      <c r="AB12" s="49" t="s">
        <v>63</v>
      </c>
      <c r="AC12" s="177" t="s">
        <v>63</v>
      </c>
      <c r="AD12" s="178"/>
      <c r="AE12" s="50">
        <v>19.574999999999999</v>
      </c>
      <c r="AF12" s="50" t="s">
        <v>63</v>
      </c>
      <c r="AG12" s="105" t="s">
        <v>63</v>
      </c>
    </row>
    <row r="13" spans="1:71" s="181" customFormat="1">
      <c r="A13" s="39"/>
      <c r="B13" s="59" t="s">
        <v>73</v>
      </c>
      <c r="C13" s="49">
        <v>35.569835569835568</v>
      </c>
      <c r="D13" s="49">
        <v>35.957285957285954</v>
      </c>
      <c r="E13" s="49">
        <v>28.883953883953883</v>
      </c>
      <c r="F13" s="49">
        <v>4.2477792477792473</v>
      </c>
      <c r="G13" s="49">
        <v>2.8255528255528253</v>
      </c>
      <c r="H13" s="49">
        <v>7.0733320733320744</v>
      </c>
      <c r="I13" s="49">
        <v>29.247779247779249</v>
      </c>
      <c r="J13" s="49"/>
      <c r="K13" s="49" t="s">
        <v>63</v>
      </c>
      <c r="L13" s="49">
        <v>1.8474768474768473</v>
      </c>
      <c r="M13" s="49" t="s">
        <v>63</v>
      </c>
      <c r="N13" s="49" t="s">
        <v>63</v>
      </c>
      <c r="O13" s="49">
        <v>0.38745038745038746</v>
      </c>
      <c r="P13" s="49"/>
      <c r="Q13" s="49">
        <v>-3.8603288603288597</v>
      </c>
      <c r="R13" s="49"/>
      <c r="S13" s="49"/>
      <c r="T13" s="49">
        <v>-1.7955017955017953</v>
      </c>
      <c r="U13" s="49">
        <v>0.38745038745038746</v>
      </c>
      <c r="V13" s="49">
        <v>3.4539784539784533</v>
      </c>
      <c r="W13" s="49"/>
      <c r="X13" s="49" t="s">
        <v>63</v>
      </c>
      <c r="Y13" s="49"/>
      <c r="Z13" s="49"/>
      <c r="AA13" s="49">
        <v>0.15120015120015121</v>
      </c>
      <c r="AB13" s="49" t="s">
        <v>63</v>
      </c>
      <c r="AC13" s="177" t="s">
        <v>63</v>
      </c>
      <c r="AD13" s="178"/>
      <c r="AE13" s="50">
        <v>21.164000000000001</v>
      </c>
      <c r="AF13" s="50">
        <v>21.812000000000001</v>
      </c>
      <c r="AG13" s="105" t="s">
        <v>63</v>
      </c>
    </row>
    <row r="14" spans="1:71" s="181" customFormat="1">
      <c r="A14" s="39"/>
      <c r="B14" s="59" t="s">
        <v>74</v>
      </c>
      <c r="C14" s="49">
        <v>35.163468372423594</v>
      </c>
      <c r="D14" s="49">
        <v>35.190120824449181</v>
      </c>
      <c r="E14" s="49">
        <v>28.37597725657427</v>
      </c>
      <c r="F14" s="49">
        <v>3.9623312011371712</v>
      </c>
      <c r="G14" s="49">
        <v>2.85181236673774</v>
      </c>
      <c r="H14" s="49">
        <v>6.8141435678749112</v>
      </c>
      <c r="I14" s="49">
        <v>28.913468372423594</v>
      </c>
      <c r="J14" s="49"/>
      <c r="K14" s="49" t="s">
        <v>63</v>
      </c>
      <c r="L14" s="49">
        <v>2.2254797441364604</v>
      </c>
      <c r="M14" s="49" t="s">
        <v>63</v>
      </c>
      <c r="N14" s="49" t="s">
        <v>63</v>
      </c>
      <c r="O14" s="49">
        <v>2.6652452025586353E-2</v>
      </c>
      <c r="P14" s="49"/>
      <c r="Q14" s="49">
        <v>-3.9356787491115846</v>
      </c>
      <c r="R14" s="49"/>
      <c r="S14" s="49"/>
      <c r="T14" s="49">
        <v>-2.0788912579957355</v>
      </c>
      <c r="U14" s="49">
        <v>2.6652452025586353E-2</v>
      </c>
      <c r="V14" s="49">
        <v>3.4159559346126507</v>
      </c>
      <c r="W14" s="49"/>
      <c r="X14" s="49" t="s">
        <v>63</v>
      </c>
      <c r="Y14" s="49"/>
      <c r="Z14" s="49"/>
      <c r="AA14" s="49">
        <v>-0.43532338308457713</v>
      </c>
      <c r="AB14" s="49" t="s">
        <v>63</v>
      </c>
      <c r="AC14" s="177" t="s">
        <v>63</v>
      </c>
      <c r="AD14" s="178"/>
      <c r="AE14" s="50">
        <v>22.512</v>
      </c>
      <c r="AF14" s="50">
        <v>23.007999999999999</v>
      </c>
      <c r="AG14" s="105" t="s">
        <v>63</v>
      </c>
    </row>
    <row r="15" spans="1:71" s="181" customFormat="1">
      <c r="A15" s="39"/>
      <c r="B15" s="59" t="s">
        <v>75</v>
      </c>
      <c r="C15" s="49">
        <v>35.644200694117153</v>
      </c>
      <c r="D15" s="49">
        <v>35.948412528385973</v>
      </c>
      <c r="E15" s="49">
        <v>28.990102403701961</v>
      </c>
      <c r="F15" s="49">
        <v>4.0747247097133554</v>
      </c>
      <c r="G15" s="49">
        <v>2.8835854149706504</v>
      </c>
      <c r="H15" s="49">
        <v>6.9583101246840053</v>
      </c>
      <c r="I15" s="49">
        <v>29.529971292686064</v>
      </c>
      <c r="J15" s="49"/>
      <c r="K15" s="49" t="s">
        <v>63</v>
      </c>
      <c r="L15" s="49">
        <v>2.3394318522644504</v>
      </c>
      <c r="M15" s="49" t="s">
        <v>63</v>
      </c>
      <c r="N15" s="49" t="s">
        <v>63</v>
      </c>
      <c r="O15" s="49">
        <v>0.30421183426882042</v>
      </c>
      <c r="P15" s="49"/>
      <c r="Q15" s="49">
        <v>-3.7705128754445352</v>
      </c>
      <c r="R15" s="49"/>
      <c r="S15" s="49"/>
      <c r="T15" s="49">
        <v>-2.2280303354899527</v>
      </c>
      <c r="U15" s="49">
        <v>0.30421183426882042</v>
      </c>
      <c r="V15" s="49">
        <v>3.3977462616221774</v>
      </c>
      <c r="W15" s="49"/>
      <c r="X15" s="49" t="s">
        <v>63</v>
      </c>
      <c r="Y15" s="49"/>
      <c r="Z15" s="49"/>
      <c r="AA15" s="49">
        <v>-0.7283945327563307</v>
      </c>
      <c r="AB15" s="49" t="s">
        <v>63</v>
      </c>
      <c r="AC15" s="177" t="s">
        <v>63</v>
      </c>
      <c r="AD15" s="178"/>
      <c r="AE15" s="50">
        <v>23.338999999999999</v>
      </c>
      <c r="AF15" s="50">
        <v>23.962</v>
      </c>
      <c r="AG15" s="105" t="s">
        <v>63</v>
      </c>
    </row>
    <row r="16" spans="1:71" s="181" customFormat="1">
      <c r="A16" s="39"/>
      <c r="B16" s="59" t="s">
        <v>76</v>
      </c>
      <c r="C16" s="49">
        <v>33.652222847495779</v>
      </c>
      <c r="D16" s="49">
        <v>35.939384194870968</v>
      </c>
      <c r="E16" s="49">
        <v>29.069860921295927</v>
      </c>
      <c r="F16" s="49">
        <v>4.1160865021303961</v>
      </c>
      <c r="G16" s="49">
        <v>2.7534367714446502</v>
      </c>
      <c r="H16" s="49">
        <v>6.8695232735750471</v>
      </c>
      <c r="I16" s="49">
        <v>28.426722405338051</v>
      </c>
      <c r="J16" s="49"/>
      <c r="K16" s="49" t="s">
        <v>63</v>
      </c>
      <c r="L16" s="49">
        <v>1.4591205080794276</v>
      </c>
      <c r="M16" s="49" t="s">
        <v>63</v>
      </c>
      <c r="N16" s="49" t="s">
        <v>63</v>
      </c>
      <c r="O16" s="49">
        <v>2.2871613473751906</v>
      </c>
      <c r="P16" s="49"/>
      <c r="Q16" s="49">
        <v>-1.8289251547552055</v>
      </c>
      <c r="R16" s="49"/>
      <c r="S16" s="49"/>
      <c r="T16" s="49">
        <v>-1.1335316343757535</v>
      </c>
      <c r="U16" s="49">
        <v>2.2871613473751906</v>
      </c>
      <c r="V16" s="49">
        <v>3.2920652785593694</v>
      </c>
      <c r="W16" s="49"/>
      <c r="X16" s="49" t="s">
        <v>63</v>
      </c>
      <c r="Y16" s="49"/>
      <c r="Z16" s="49"/>
      <c r="AA16" s="49">
        <v>0.22911809630999277</v>
      </c>
      <c r="AB16" s="49" t="s">
        <v>63</v>
      </c>
      <c r="AC16" s="177" t="s">
        <v>63</v>
      </c>
      <c r="AD16" s="178"/>
      <c r="AE16" s="50">
        <v>24.878</v>
      </c>
      <c r="AF16" s="50">
        <v>25.795999999999999</v>
      </c>
      <c r="AG16" s="105" t="s">
        <v>63</v>
      </c>
    </row>
    <row r="17" spans="1:33" s="181" customFormat="1">
      <c r="A17" s="39"/>
      <c r="B17" s="59" t="s">
        <v>77</v>
      </c>
      <c r="C17" s="49">
        <v>33.452184356703199</v>
      </c>
      <c r="D17" s="49">
        <v>35.93679627683531</v>
      </c>
      <c r="E17" s="49">
        <v>29.151028374118006</v>
      </c>
      <c r="F17" s="49">
        <v>4.0009007656508038</v>
      </c>
      <c r="G17" s="49">
        <v>2.7848671370665068</v>
      </c>
      <c r="H17" s="49">
        <v>6.7857679027173106</v>
      </c>
      <c r="I17" s="49">
        <v>27.882450082570188</v>
      </c>
      <c r="J17" s="49"/>
      <c r="K17" s="49" t="s">
        <v>63</v>
      </c>
      <c r="L17" s="49">
        <v>1.3774208076865337</v>
      </c>
      <c r="M17" s="49" t="s">
        <v>63</v>
      </c>
      <c r="N17" s="49" t="s">
        <v>63</v>
      </c>
      <c r="O17" s="49">
        <v>2.4846119201321129</v>
      </c>
      <c r="P17" s="49"/>
      <c r="Q17" s="49">
        <v>-1.5162888455186909</v>
      </c>
      <c r="R17" s="49"/>
      <c r="S17" s="49"/>
      <c r="T17" s="49">
        <v>-0.79192313466446473</v>
      </c>
      <c r="U17" s="49">
        <v>2.4846119201321129</v>
      </c>
      <c r="V17" s="49">
        <v>3.3290797177600964</v>
      </c>
      <c r="W17" s="49"/>
      <c r="X17" s="49" t="s">
        <v>63</v>
      </c>
      <c r="Y17" s="49"/>
      <c r="Z17" s="49"/>
      <c r="AA17" s="49">
        <v>0.63053595556222797</v>
      </c>
      <c r="AB17" s="49" t="s">
        <v>63</v>
      </c>
      <c r="AC17" s="177" t="s">
        <v>63</v>
      </c>
      <c r="AD17" s="178"/>
      <c r="AE17" s="50">
        <v>26.643999999999998</v>
      </c>
      <c r="AF17" s="50">
        <v>27.588000000000001</v>
      </c>
      <c r="AG17" s="105" t="s">
        <v>63</v>
      </c>
    </row>
    <row r="18" spans="1:33" s="181" customFormat="1">
      <c r="A18" s="39"/>
      <c r="B18" s="59" t="s">
        <v>78</v>
      </c>
      <c r="C18" s="49">
        <v>35.45670941841049</v>
      </c>
      <c r="D18" s="49">
        <v>37.623903080257222</v>
      </c>
      <c r="E18" s="49">
        <v>30.148861335133407</v>
      </c>
      <c r="F18" s="49">
        <v>4.40189007709525</v>
      </c>
      <c r="G18" s="49">
        <v>3.0731516680285642</v>
      </c>
      <c r="H18" s="49">
        <v>7.4750417451238143</v>
      </c>
      <c r="I18" s="49">
        <v>29.843322556577967</v>
      </c>
      <c r="J18" s="49"/>
      <c r="K18" s="49" t="s">
        <v>63</v>
      </c>
      <c r="L18" s="49">
        <v>1.8048104593740006</v>
      </c>
      <c r="M18" s="49" t="s">
        <v>63</v>
      </c>
      <c r="N18" s="49" t="s">
        <v>63</v>
      </c>
      <c r="O18" s="49">
        <v>2.1671936618467331</v>
      </c>
      <c r="P18" s="49"/>
      <c r="Q18" s="49">
        <v>-2.2346964152485169</v>
      </c>
      <c r="R18" s="49"/>
      <c r="S18" s="49"/>
      <c r="T18" s="49">
        <v>-1.6698049525704337</v>
      </c>
      <c r="U18" s="49">
        <v>2.1671936618467331</v>
      </c>
      <c r="V18" s="49">
        <v>3.3715848935943442</v>
      </c>
      <c r="W18" s="49"/>
      <c r="X18" s="49" t="s">
        <v>63</v>
      </c>
      <c r="Y18" s="49"/>
      <c r="Z18" s="49"/>
      <c r="AA18" s="49">
        <v>0.16698049525704339</v>
      </c>
      <c r="AB18" s="49" t="s">
        <v>63</v>
      </c>
      <c r="AC18" s="177" t="s">
        <v>63</v>
      </c>
      <c r="AD18" s="178"/>
      <c r="AE18" s="50">
        <v>28.146999999999998</v>
      </c>
      <c r="AF18" s="50">
        <v>28.849</v>
      </c>
      <c r="AG18" s="105" t="s">
        <v>63</v>
      </c>
    </row>
    <row r="19" spans="1:33" s="181" customFormat="1">
      <c r="A19" s="39"/>
      <c r="B19" s="59" t="s">
        <v>79</v>
      </c>
      <c r="C19" s="49">
        <v>35.472043996333639</v>
      </c>
      <c r="D19" s="49">
        <v>37.298435006959295</v>
      </c>
      <c r="E19" s="49">
        <v>29.901211936042365</v>
      </c>
      <c r="F19" s="49">
        <v>4.2706317683402926</v>
      </c>
      <c r="G19" s="49">
        <v>3.1265913025766374</v>
      </c>
      <c r="H19" s="49">
        <v>7.3972230709169295</v>
      </c>
      <c r="I19" s="49">
        <v>29.639813966120105</v>
      </c>
      <c r="J19" s="49"/>
      <c r="K19" s="49" t="s">
        <v>63</v>
      </c>
      <c r="L19" s="49">
        <v>1.8671283565875683</v>
      </c>
      <c r="M19" s="49" t="s">
        <v>63</v>
      </c>
      <c r="N19" s="49" t="s">
        <v>63</v>
      </c>
      <c r="O19" s="49">
        <v>1.8263910106256578</v>
      </c>
      <c r="P19" s="49"/>
      <c r="Q19" s="49">
        <v>-2.4442407577146348</v>
      </c>
      <c r="R19" s="49"/>
      <c r="S19" s="49"/>
      <c r="T19" s="49">
        <v>-1.3035950707811386</v>
      </c>
      <c r="U19" s="49">
        <v>2.1930271242828527</v>
      </c>
      <c r="V19" s="49">
        <v>3.1741182061988664</v>
      </c>
      <c r="W19" s="49"/>
      <c r="X19" s="49" t="s">
        <v>63</v>
      </c>
      <c r="Y19" s="49"/>
      <c r="Z19" s="49"/>
      <c r="AA19" s="49">
        <v>0.22745018162066744</v>
      </c>
      <c r="AB19" s="49" t="s">
        <v>63</v>
      </c>
      <c r="AC19" s="177" t="s">
        <v>63</v>
      </c>
      <c r="AD19" s="178"/>
      <c r="AE19" s="50">
        <v>29.457000000000001</v>
      </c>
      <c r="AF19" s="50">
        <v>30.39</v>
      </c>
      <c r="AG19" s="105" t="s">
        <v>63</v>
      </c>
    </row>
    <row r="20" spans="1:33" s="181" customFormat="1">
      <c r="A20" s="39"/>
      <c r="B20" s="59" t="s">
        <v>80</v>
      </c>
      <c r="C20" s="49">
        <v>34.626828275235674</v>
      </c>
      <c r="D20" s="49">
        <v>37.329700272479563</v>
      </c>
      <c r="E20" s="49">
        <v>28.657333458611294</v>
      </c>
      <c r="F20" s="49">
        <v>5.5341539039744436</v>
      </c>
      <c r="G20" s="49">
        <v>3.1382129098938267</v>
      </c>
      <c r="H20" s="49">
        <v>8.6723668138682708</v>
      </c>
      <c r="I20" s="49">
        <v>28.688652948729999</v>
      </c>
      <c r="J20" s="49"/>
      <c r="K20" s="49" t="s">
        <v>63</v>
      </c>
      <c r="L20" s="49">
        <v>0.90513326443045516</v>
      </c>
      <c r="M20" s="49" t="s">
        <v>63</v>
      </c>
      <c r="N20" s="49" t="s">
        <v>63</v>
      </c>
      <c r="O20" s="49">
        <v>2.7028719972438853</v>
      </c>
      <c r="P20" s="49"/>
      <c r="Q20" s="49">
        <v>-2.8312819067305588</v>
      </c>
      <c r="R20" s="49"/>
      <c r="S20" s="49"/>
      <c r="T20" s="49">
        <v>0.94898055059663633</v>
      </c>
      <c r="U20" s="49">
        <v>3.097497572739516</v>
      </c>
      <c r="V20" s="49">
        <v>3.0818378276801655</v>
      </c>
      <c r="W20" s="49"/>
      <c r="X20" s="49" t="s">
        <v>63</v>
      </c>
      <c r="Y20" s="49"/>
      <c r="Z20" s="49"/>
      <c r="AA20" s="49">
        <v>2.4209965861755771</v>
      </c>
      <c r="AB20" s="49" t="s">
        <v>63</v>
      </c>
      <c r="AC20" s="177" t="s">
        <v>63</v>
      </c>
      <c r="AD20" s="178"/>
      <c r="AE20" s="50">
        <v>31.928999999999998</v>
      </c>
      <c r="AF20" s="50">
        <v>33.348999999999997</v>
      </c>
      <c r="AG20" s="105" t="s">
        <v>63</v>
      </c>
    </row>
    <row r="21" spans="1:33" s="181" customFormat="1">
      <c r="A21" s="39"/>
      <c r="B21" s="59" t="s">
        <v>81</v>
      </c>
      <c r="C21" s="49">
        <v>35.156608536025701</v>
      </c>
      <c r="D21" s="49">
        <v>37.023864157870584</v>
      </c>
      <c r="E21" s="49">
        <v>27.891234511243688</v>
      </c>
      <c r="F21" s="49">
        <v>6.0119320789352919</v>
      </c>
      <c r="G21" s="49">
        <v>3.120697567691602</v>
      </c>
      <c r="H21" s="49">
        <v>9.1326296466268939</v>
      </c>
      <c r="I21" s="49">
        <v>29.075837540156041</v>
      </c>
      <c r="J21" s="49"/>
      <c r="K21" s="49" t="s">
        <v>63</v>
      </c>
      <c r="L21" s="49">
        <v>1.5460073428178065</v>
      </c>
      <c r="M21" s="49" t="s">
        <v>63</v>
      </c>
      <c r="N21" s="49" t="s">
        <v>63</v>
      </c>
      <c r="O21" s="49">
        <v>1.8672556218448833</v>
      </c>
      <c r="P21" s="49"/>
      <c r="Q21" s="49">
        <v>-4.1446764570904095</v>
      </c>
      <c r="R21" s="49"/>
      <c r="S21" s="49"/>
      <c r="T21" s="49">
        <v>0.93506195502524103</v>
      </c>
      <c r="U21" s="49">
        <v>2.6216154199173936</v>
      </c>
      <c r="V21" s="49">
        <v>2.8281321707205143</v>
      </c>
      <c r="W21" s="49"/>
      <c r="X21" s="49" t="s">
        <v>63</v>
      </c>
      <c r="Y21" s="49"/>
      <c r="Z21" s="49"/>
      <c r="AA21" s="49">
        <v>8.8916934373565862E-2</v>
      </c>
      <c r="AB21" s="49" t="s">
        <v>63</v>
      </c>
      <c r="AC21" s="177" t="s">
        <v>63</v>
      </c>
      <c r="AD21" s="178"/>
      <c r="AE21" s="50">
        <v>34.863999999999997</v>
      </c>
      <c r="AF21" s="50">
        <v>36.173000000000002</v>
      </c>
      <c r="AG21" s="105" t="s">
        <v>63</v>
      </c>
    </row>
    <row r="22" spans="1:33" s="181" customFormat="1" ht="15.75" customHeight="1">
      <c r="A22" s="61"/>
      <c r="B22" s="62" t="s">
        <v>82</v>
      </c>
      <c r="C22" s="49">
        <v>36.949270141168313</v>
      </c>
      <c r="D22" s="49">
        <v>38.473033917754115</v>
      </c>
      <c r="E22" s="49">
        <v>29.263736556987695</v>
      </c>
      <c r="F22" s="49">
        <v>6.0069917006911639</v>
      </c>
      <c r="G22" s="49">
        <v>3.202305660075254</v>
      </c>
      <c r="H22" s="49">
        <v>9.2092973607664188</v>
      </c>
      <c r="I22" s="49">
        <v>30.683425399621061</v>
      </c>
      <c r="J22" s="49"/>
      <c r="K22" s="49" t="s">
        <v>63</v>
      </c>
      <c r="L22" s="49">
        <v>1.7666052891415156</v>
      </c>
      <c r="M22" s="49" t="s">
        <v>63</v>
      </c>
      <c r="N22" s="49" t="s">
        <v>63</v>
      </c>
      <c r="O22" s="49">
        <v>1.5237637765858083</v>
      </c>
      <c r="P22" s="49"/>
      <c r="Q22" s="49">
        <v>-4.4832279241053552</v>
      </c>
      <c r="R22" s="49"/>
      <c r="S22" s="49"/>
      <c r="T22" s="49">
        <v>1.2515677954794118</v>
      </c>
      <c r="U22" s="49">
        <v>2.4604381821578207</v>
      </c>
      <c r="V22" s="49">
        <v>2.7059482827635901</v>
      </c>
      <c r="W22" s="49"/>
      <c r="X22" s="49" t="s">
        <v>63</v>
      </c>
      <c r="Y22" s="49"/>
      <c r="Z22" s="49"/>
      <c r="AA22" s="49">
        <v>1.2195447388786593</v>
      </c>
      <c r="AB22" s="49" t="s">
        <v>63</v>
      </c>
      <c r="AC22" s="177" t="s">
        <v>63</v>
      </c>
      <c r="AD22" s="182"/>
      <c r="AE22" s="50">
        <v>37.472999999999999</v>
      </c>
      <c r="AF22" s="50">
        <v>38.765999999999998</v>
      </c>
      <c r="AG22" s="105" t="s">
        <v>63</v>
      </c>
    </row>
    <row r="23" spans="1:33" s="181" customFormat="1" ht="15.75" customHeight="1">
      <c r="A23" s="61"/>
      <c r="B23" s="62" t="s">
        <v>83</v>
      </c>
      <c r="C23" s="49">
        <v>37.628246834492771</v>
      </c>
      <c r="D23" s="49">
        <v>40.023021870777235</v>
      </c>
      <c r="E23" s="49">
        <v>29.923427255893099</v>
      </c>
      <c r="F23" s="49">
        <v>6.7489114658925971</v>
      </c>
      <c r="G23" s="49">
        <v>3.3506831489915414</v>
      </c>
      <c r="H23" s="49">
        <v>10.099594614884138</v>
      </c>
      <c r="I23" s="49">
        <v>31.382313197537659</v>
      </c>
      <c r="J23" s="49"/>
      <c r="K23" s="49" t="s">
        <v>63</v>
      </c>
      <c r="L23" s="49">
        <v>0.95090335819028071</v>
      </c>
      <c r="M23" s="49" t="s">
        <v>63</v>
      </c>
      <c r="N23" s="49" t="s">
        <v>63</v>
      </c>
      <c r="O23" s="49">
        <v>2.3947750362844697</v>
      </c>
      <c r="P23" s="49"/>
      <c r="Q23" s="49">
        <v>-4.3541364296081273</v>
      </c>
      <c r="R23" s="49"/>
      <c r="S23" s="49"/>
      <c r="T23" s="49">
        <v>1.8592663029878382</v>
      </c>
      <c r="U23" s="49">
        <v>2.9177718832891242</v>
      </c>
      <c r="V23" s="49">
        <v>2.7901506431109548</v>
      </c>
      <c r="W23" s="49"/>
      <c r="X23" s="49" t="s">
        <v>63</v>
      </c>
      <c r="Y23" s="49"/>
      <c r="Z23" s="49"/>
      <c r="AA23" s="49">
        <v>8.0076072268655221E-2</v>
      </c>
      <c r="AB23" s="49" t="s">
        <v>63</v>
      </c>
      <c r="AC23" s="177" t="s">
        <v>63</v>
      </c>
      <c r="AD23" s="182"/>
      <c r="AE23" s="50">
        <v>39.962000000000003</v>
      </c>
      <c r="AF23" s="50">
        <v>41.161000000000001</v>
      </c>
      <c r="AG23" s="105" t="s">
        <v>63</v>
      </c>
    </row>
    <row r="24" spans="1:33" s="181" customFormat="1" ht="15.75" customHeight="1">
      <c r="A24" s="61"/>
      <c r="B24" s="62" t="s">
        <v>84</v>
      </c>
      <c r="C24" s="49">
        <v>39.07572906867356</v>
      </c>
      <c r="D24" s="49">
        <v>42.925682031984941</v>
      </c>
      <c r="E24" s="49">
        <v>31.559266227657574</v>
      </c>
      <c r="F24" s="49">
        <v>7.9633113828786444</v>
      </c>
      <c r="G24" s="49">
        <v>3.40310442144873</v>
      </c>
      <c r="H24" s="49">
        <v>11.366415804327374</v>
      </c>
      <c r="I24" s="49">
        <v>32.598777046095954</v>
      </c>
      <c r="J24" s="49"/>
      <c r="K24" s="49" t="s">
        <v>63</v>
      </c>
      <c r="L24" s="49">
        <v>-0.18344308560677328</v>
      </c>
      <c r="M24" s="49" t="s">
        <v>63</v>
      </c>
      <c r="N24" s="49" t="s">
        <v>63</v>
      </c>
      <c r="O24" s="49">
        <v>3.8499529633113823</v>
      </c>
      <c r="P24" s="49"/>
      <c r="Q24" s="49">
        <v>-4.1133584195672626</v>
      </c>
      <c r="R24" s="49"/>
      <c r="S24" s="49"/>
      <c r="T24" s="49">
        <v>3.231420507996237</v>
      </c>
      <c r="U24" s="49">
        <v>4.7530573847601119</v>
      </c>
      <c r="V24" s="49">
        <v>2.8786453433678267</v>
      </c>
      <c r="W24" s="49"/>
      <c r="X24" s="49" t="s">
        <v>63</v>
      </c>
      <c r="Y24" s="49"/>
      <c r="Z24" s="49"/>
      <c r="AA24" s="49">
        <v>1.4840075258701786</v>
      </c>
      <c r="AB24" s="49" t="s">
        <v>63</v>
      </c>
      <c r="AC24" s="177" t="s">
        <v>63</v>
      </c>
      <c r="AD24" s="182"/>
      <c r="AE24" s="50">
        <v>42.52</v>
      </c>
      <c r="AF24" s="50">
        <v>44.405000000000001</v>
      </c>
      <c r="AG24" s="105" t="s">
        <v>63</v>
      </c>
    </row>
    <row r="25" spans="1:33" s="181" customFormat="1" ht="15.75" customHeight="1">
      <c r="A25" s="61"/>
      <c r="B25" s="62" t="s">
        <v>85</v>
      </c>
      <c r="C25" s="49">
        <v>40.793946001410887</v>
      </c>
      <c r="D25" s="49">
        <v>41.371128070287952</v>
      </c>
      <c r="E25" s="49">
        <v>30.921994912246948</v>
      </c>
      <c r="F25" s="49">
        <v>6.909083135595032</v>
      </c>
      <c r="G25" s="49">
        <v>3.540050022445969</v>
      </c>
      <c r="H25" s="49">
        <v>10.449133158041001</v>
      </c>
      <c r="I25" s="49">
        <v>33.805767545266036</v>
      </c>
      <c r="J25" s="49"/>
      <c r="K25" s="49" t="s">
        <v>63</v>
      </c>
      <c r="L25" s="49">
        <v>2.9671433763013311</v>
      </c>
      <c r="M25" s="49" t="s">
        <v>63</v>
      </c>
      <c r="N25" s="49" t="s">
        <v>63</v>
      </c>
      <c r="O25" s="49">
        <v>0.57718206887706014</v>
      </c>
      <c r="P25" s="49"/>
      <c r="Q25" s="49">
        <v>-6.3319010667179727</v>
      </c>
      <c r="R25" s="49"/>
      <c r="S25" s="49"/>
      <c r="T25" s="49">
        <v>-0.62421171893370953</v>
      </c>
      <c r="U25" s="49">
        <v>0.80377947369546165</v>
      </c>
      <c r="V25" s="49">
        <v>2.7833001988071571</v>
      </c>
      <c r="W25" s="49"/>
      <c r="X25" s="49" t="s">
        <v>63</v>
      </c>
      <c r="Y25" s="49"/>
      <c r="Z25" s="49"/>
      <c r="AA25" s="49">
        <v>-0.66910365762414759</v>
      </c>
      <c r="AB25" s="49" t="s">
        <v>63</v>
      </c>
      <c r="AC25" s="177" t="s">
        <v>63</v>
      </c>
      <c r="AD25" s="182"/>
      <c r="AE25" s="50">
        <v>46.779000000000003</v>
      </c>
      <c r="AF25" s="50">
        <v>48.709000000000003</v>
      </c>
      <c r="AG25" s="105" t="s">
        <v>63</v>
      </c>
    </row>
    <row r="26" spans="1:33" s="181" customFormat="1" ht="15.75" customHeight="1">
      <c r="A26" s="61"/>
      <c r="B26" s="62" t="s">
        <v>86</v>
      </c>
      <c r="C26" s="49">
        <v>41.841670599339309</v>
      </c>
      <c r="D26" s="49">
        <v>40.127025326411832</v>
      </c>
      <c r="E26" s="49">
        <v>30.291411042944784</v>
      </c>
      <c r="F26" s="49">
        <v>6.1683970426301711</v>
      </c>
      <c r="G26" s="49">
        <v>3.6672172408368722</v>
      </c>
      <c r="H26" s="49">
        <v>9.8356142834670433</v>
      </c>
      <c r="I26" s="49">
        <v>35.124665722825235</v>
      </c>
      <c r="J26" s="49"/>
      <c r="K26" s="49" t="s">
        <v>63</v>
      </c>
      <c r="L26" s="49">
        <v>5.140003146138115</v>
      </c>
      <c r="M26" s="49" t="s">
        <v>63</v>
      </c>
      <c r="N26" s="49" t="s">
        <v>63</v>
      </c>
      <c r="O26" s="49">
        <v>-1.7146452729274815</v>
      </c>
      <c r="P26" s="49"/>
      <c r="Q26" s="49">
        <v>-7.8830423155576534</v>
      </c>
      <c r="R26" s="49"/>
      <c r="S26" s="49"/>
      <c r="T26" s="49">
        <v>-2.1256095642598711</v>
      </c>
      <c r="U26" s="49">
        <v>-1.510146295422369</v>
      </c>
      <c r="V26" s="49">
        <v>2.5837659273242095</v>
      </c>
      <c r="W26" s="49"/>
      <c r="X26" s="49" t="s">
        <v>63</v>
      </c>
      <c r="Y26" s="49"/>
      <c r="Z26" s="49"/>
      <c r="AA26" s="49">
        <v>-0.3716375648890986</v>
      </c>
      <c r="AB26" s="49" t="s">
        <v>63</v>
      </c>
      <c r="AC26" s="177" t="s">
        <v>63</v>
      </c>
      <c r="AD26" s="182"/>
      <c r="AE26" s="50">
        <v>50.856000000000002</v>
      </c>
      <c r="AF26" s="50">
        <v>54.103999999999999</v>
      </c>
      <c r="AG26" s="105" t="s">
        <v>63</v>
      </c>
    </row>
    <row r="27" spans="1:33">
      <c r="A27" s="68"/>
      <c r="B27" s="69" t="s">
        <v>87</v>
      </c>
      <c r="C27" s="49">
        <v>40.037063336739472</v>
      </c>
      <c r="D27" s="49">
        <v>39.477649422400809</v>
      </c>
      <c r="E27" s="49">
        <v>29.529434177938658</v>
      </c>
      <c r="F27" s="49">
        <v>6.276520202982387</v>
      </c>
      <c r="G27" s="49">
        <v>3.6716950414797624</v>
      </c>
      <c r="H27" s="49">
        <v>9.9482152444621477</v>
      </c>
      <c r="I27" s="49">
        <v>33.698193595316859</v>
      </c>
      <c r="J27" s="49"/>
      <c r="K27" s="49" t="s">
        <v>63</v>
      </c>
      <c r="L27" s="49">
        <v>3.6509118619996888</v>
      </c>
      <c r="M27" s="49" t="s">
        <v>63</v>
      </c>
      <c r="N27" s="49" t="s">
        <v>63</v>
      </c>
      <c r="O27" s="49">
        <v>-0.55941391433866194</v>
      </c>
      <c r="P27" s="49"/>
      <c r="Q27" s="49">
        <v>-6.8359341173210488</v>
      </c>
      <c r="R27" s="49"/>
      <c r="S27" s="49"/>
      <c r="T27" s="49">
        <v>-0.23034690590415494</v>
      </c>
      <c r="U27" s="49">
        <v>1.1344152132873795</v>
      </c>
      <c r="V27" s="49">
        <v>2.3277161017683023</v>
      </c>
      <c r="W27" s="49"/>
      <c r="X27" s="49" t="s">
        <v>63</v>
      </c>
      <c r="Y27" s="49"/>
      <c r="Z27" s="49"/>
      <c r="AA27" s="49">
        <v>-1.918980238660178</v>
      </c>
      <c r="AB27" s="49" t="s">
        <v>63</v>
      </c>
      <c r="AC27" s="177" t="s">
        <v>63</v>
      </c>
      <c r="AD27" s="183"/>
      <c r="AE27" s="50">
        <v>57.738999999999997</v>
      </c>
      <c r="AF27" s="50">
        <v>61.179000000000002</v>
      </c>
      <c r="AG27" s="105" t="s">
        <v>63</v>
      </c>
    </row>
    <row r="28" spans="1:33">
      <c r="A28" s="68"/>
      <c r="B28" s="69" t="s">
        <v>88</v>
      </c>
      <c r="C28" s="49">
        <v>38.364478023254016</v>
      </c>
      <c r="D28" s="49">
        <v>39.346038921831223</v>
      </c>
      <c r="E28" s="49">
        <v>30.182223529593909</v>
      </c>
      <c r="F28" s="49">
        <v>5.3722654859036094</v>
      </c>
      <c r="G28" s="49">
        <v>3.7915499063336999</v>
      </c>
      <c r="H28" s="49">
        <v>9.1638153922373089</v>
      </c>
      <c r="I28" s="49">
        <v>32.060194144695082</v>
      </c>
      <c r="J28" s="49"/>
      <c r="K28" s="49" t="s">
        <v>63</v>
      </c>
      <c r="L28" s="49">
        <v>1.975507423634872</v>
      </c>
      <c r="M28" s="49" t="s">
        <v>63</v>
      </c>
      <c r="N28" s="49" t="s">
        <v>63</v>
      </c>
      <c r="O28" s="49">
        <v>0.9815608985772013</v>
      </c>
      <c r="P28" s="49"/>
      <c r="Q28" s="49">
        <v>-4.3907045873264074</v>
      </c>
      <c r="R28" s="49"/>
      <c r="S28" s="49"/>
      <c r="T28" s="49">
        <v>0.75552321530863442</v>
      </c>
      <c r="U28" s="49">
        <v>1.3159728135498756</v>
      </c>
      <c r="V28" s="49">
        <v>2.3904259107305972</v>
      </c>
      <c r="W28" s="49"/>
      <c r="X28" s="49" t="s">
        <v>63</v>
      </c>
      <c r="Y28" s="49"/>
      <c r="Z28" s="49"/>
      <c r="AA28" s="49">
        <v>-0.6301187471938815</v>
      </c>
      <c r="AB28" s="49" t="s">
        <v>63</v>
      </c>
      <c r="AC28" s="177" t="s">
        <v>63</v>
      </c>
      <c r="AD28" s="183"/>
      <c r="AE28" s="50">
        <v>64.590999999999994</v>
      </c>
      <c r="AF28" s="50">
        <v>68.144999999999996</v>
      </c>
      <c r="AG28" s="105" t="s">
        <v>63</v>
      </c>
    </row>
    <row r="29" spans="1:33">
      <c r="A29" s="68"/>
      <c r="B29" s="69" t="s">
        <v>89</v>
      </c>
      <c r="C29" s="49">
        <v>35.871358632441648</v>
      </c>
      <c r="D29" s="49">
        <v>38.458521543912802</v>
      </c>
      <c r="E29" s="49">
        <v>29.80173649617268</v>
      </c>
      <c r="F29" s="49">
        <v>4.9146628438505857</v>
      </c>
      <c r="G29" s="49">
        <v>3.7421222038895348</v>
      </c>
      <c r="H29" s="49">
        <v>8.6567850477401223</v>
      </c>
      <c r="I29" s="49">
        <v>29.824727489113091</v>
      </c>
      <c r="J29" s="49"/>
      <c r="K29" s="49" t="s">
        <v>63</v>
      </c>
      <c r="L29" s="49">
        <v>0.1487652484379649</v>
      </c>
      <c r="M29" s="49" t="s">
        <v>63</v>
      </c>
      <c r="N29" s="49" t="s">
        <v>63</v>
      </c>
      <c r="O29" s="49">
        <v>2.5871629114711534</v>
      </c>
      <c r="P29" s="49"/>
      <c r="Q29" s="49">
        <v>-2.3274999323794328</v>
      </c>
      <c r="R29" s="49"/>
      <c r="S29" s="49"/>
      <c r="T29" s="49">
        <v>2.580400854723973</v>
      </c>
      <c r="U29" s="49">
        <v>3.3120553947688731</v>
      </c>
      <c r="V29" s="49">
        <v>2.3342619891266128</v>
      </c>
      <c r="W29" s="49"/>
      <c r="X29" s="49" t="s">
        <v>63</v>
      </c>
      <c r="Y29" s="49"/>
      <c r="Z29" s="49"/>
      <c r="AA29" s="49">
        <v>1.9650536907305731</v>
      </c>
      <c r="AB29" s="49" t="s">
        <v>63</v>
      </c>
      <c r="AC29" s="177" t="s">
        <v>63</v>
      </c>
      <c r="AD29" s="183"/>
      <c r="AE29" s="50">
        <v>73.941999999999993</v>
      </c>
      <c r="AF29" s="50">
        <v>79.236999999999995</v>
      </c>
      <c r="AG29" s="105">
        <v>2.5446863580414503</v>
      </c>
    </row>
    <row r="30" spans="1:33">
      <c r="A30" s="68"/>
      <c r="B30" s="69" t="s">
        <v>90</v>
      </c>
      <c r="C30" s="49">
        <v>36.169468209627013</v>
      </c>
      <c r="D30" s="49">
        <v>40.251716523271106</v>
      </c>
      <c r="E30" s="49">
        <v>30.992747764597993</v>
      </c>
      <c r="F30" s="49">
        <v>5.2430886558627261</v>
      </c>
      <c r="G30" s="49">
        <v>4.0158801028103923</v>
      </c>
      <c r="H30" s="49">
        <v>9.2589687586731202</v>
      </c>
      <c r="I30" s="49">
        <v>29.790879801136704</v>
      </c>
      <c r="J30" s="49"/>
      <c r="K30" s="49" t="s">
        <v>63</v>
      </c>
      <c r="L30" s="49">
        <v>-1.0510311206574074</v>
      </c>
      <c r="M30" s="49" t="s">
        <v>63</v>
      </c>
      <c r="N30" s="49" t="s">
        <v>63</v>
      </c>
      <c r="O30" s="49">
        <v>4.0822483136440972</v>
      </c>
      <c r="P30" s="49"/>
      <c r="Q30" s="49">
        <v>-1.1608403422186289</v>
      </c>
      <c r="R30" s="49"/>
      <c r="S30" s="49"/>
      <c r="T30" s="49">
        <v>2.5762932750902001</v>
      </c>
      <c r="U30" s="49">
        <v>5.2744627191659337</v>
      </c>
      <c r="V30" s="49">
        <v>2.4339032954833417</v>
      </c>
      <c r="W30" s="49"/>
      <c r="X30" s="49" t="s">
        <v>63</v>
      </c>
      <c r="Y30" s="49"/>
      <c r="Z30" s="49"/>
      <c r="AA30" s="49">
        <v>3.6611118485356759</v>
      </c>
      <c r="AB30" s="49" t="s">
        <v>63</v>
      </c>
      <c r="AC30" s="177" t="s">
        <v>63</v>
      </c>
      <c r="AD30" s="183"/>
      <c r="AE30" s="50">
        <v>82.870999999999995</v>
      </c>
      <c r="AF30" s="50">
        <v>88.838999999999999</v>
      </c>
      <c r="AG30" s="105">
        <v>6.5394315949810444</v>
      </c>
    </row>
    <row r="31" spans="1:33">
      <c r="B31" s="69" t="s">
        <v>91</v>
      </c>
      <c r="C31" s="49">
        <v>39.008269512791266</v>
      </c>
      <c r="D31" s="49">
        <v>44.703234479387326</v>
      </c>
      <c r="E31" s="49">
        <v>34.767598175004075</v>
      </c>
      <c r="F31" s="49">
        <v>5.5259084243115533</v>
      </c>
      <c r="G31" s="49">
        <v>4.4097278800716966</v>
      </c>
      <c r="H31" s="49">
        <v>9.9356363043832499</v>
      </c>
      <c r="I31" s="49">
        <v>32.489408505784588</v>
      </c>
      <c r="J31" s="49"/>
      <c r="K31" s="49" t="s">
        <v>63</v>
      </c>
      <c r="L31" s="49">
        <v>-2.2965211015153986</v>
      </c>
      <c r="M31" s="49" t="s">
        <v>63</v>
      </c>
      <c r="N31" s="49" t="s">
        <v>63</v>
      </c>
      <c r="O31" s="49">
        <v>5.6949649665960571</v>
      </c>
      <c r="P31" s="49"/>
      <c r="Q31" s="49">
        <v>0.16905654228450384</v>
      </c>
      <c r="R31" s="49"/>
      <c r="S31" s="49"/>
      <c r="T31" s="49">
        <v>5.1877953397425456</v>
      </c>
      <c r="U31" s="49">
        <v>8.1340638748574214</v>
      </c>
      <c r="V31" s="49">
        <v>2.4156754114388135</v>
      </c>
      <c r="W31" s="49"/>
      <c r="X31" s="49">
        <v>47.746913863101078</v>
      </c>
      <c r="Y31" s="49"/>
      <c r="Z31" s="49"/>
      <c r="AA31" s="49">
        <v>3.433069903861822</v>
      </c>
      <c r="AB31" s="49" t="s">
        <v>63</v>
      </c>
      <c r="AC31" s="177">
        <v>54.658220628971819</v>
      </c>
      <c r="AD31" s="183"/>
      <c r="AE31" s="50">
        <v>98.191999999999993</v>
      </c>
      <c r="AF31" s="50">
        <v>109.117</v>
      </c>
      <c r="AG31" s="105">
        <v>3.1047807042479647</v>
      </c>
    </row>
    <row r="32" spans="1:33">
      <c r="B32" s="69" t="s">
        <v>92</v>
      </c>
      <c r="C32" s="49">
        <v>40.119492899937107</v>
      </c>
      <c r="D32" s="49">
        <v>46.450796067657478</v>
      </c>
      <c r="E32" s="49">
        <v>36.344377875608224</v>
      </c>
      <c r="F32" s="49">
        <v>5.5608884181258489</v>
      </c>
      <c r="G32" s="49">
        <v>4.5455297739234064</v>
      </c>
      <c r="H32" s="49">
        <v>10.106418192049253</v>
      </c>
      <c r="I32" s="49">
        <v>33.353745324550658</v>
      </c>
      <c r="J32" s="49"/>
      <c r="K32" s="49">
        <v>0.52283906452332762</v>
      </c>
      <c r="L32" s="49">
        <v>-2.9972526563172357</v>
      </c>
      <c r="M32" s="49">
        <v>-2.7496769712460445</v>
      </c>
      <c r="N32" s="49">
        <v>6.0837274826491772</v>
      </c>
      <c r="O32" s="49">
        <v>6.3313031677203675</v>
      </c>
      <c r="P32" s="49"/>
      <c r="Q32" s="49">
        <v>0.77041474959451861</v>
      </c>
      <c r="R32" s="49"/>
      <c r="S32" s="49"/>
      <c r="T32" s="49">
        <v>7.243222667240409</v>
      </c>
      <c r="U32" s="49">
        <v>8.5076627718380724</v>
      </c>
      <c r="V32" s="49">
        <v>2.572738406540664</v>
      </c>
      <c r="W32" s="49"/>
      <c r="X32" s="49">
        <v>49.330944302542797</v>
      </c>
      <c r="Y32" s="49"/>
      <c r="Z32" s="49"/>
      <c r="AA32" s="49">
        <v>4.2120419714673467</v>
      </c>
      <c r="AB32" s="49">
        <v>3.9644662863961551</v>
      </c>
      <c r="AC32" s="177">
        <v>54.316308629307208</v>
      </c>
      <c r="AD32" s="183"/>
      <c r="AE32" s="50">
        <v>120.84399999999999</v>
      </c>
      <c r="AF32" s="50">
        <v>131.155</v>
      </c>
      <c r="AG32" s="105">
        <v>-1.7370636518415679</v>
      </c>
    </row>
    <row r="33" spans="2:33">
      <c r="B33" s="69" t="s">
        <v>93</v>
      </c>
      <c r="C33" s="49">
        <v>40.210597443549752</v>
      </c>
      <c r="D33" s="49">
        <v>45.140492144827974</v>
      </c>
      <c r="E33" s="49">
        <v>36.084520524804319</v>
      </c>
      <c r="F33" s="49">
        <v>4.5040542823357166</v>
      </c>
      <c r="G33" s="49">
        <v>4.5519173376879323</v>
      </c>
      <c r="H33" s="49">
        <v>9.0559716200236497</v>
      </c>
      <c r="I33" s="49">
        <v>32.760149783208512</v>
      </c>
      <c r="J33" s="49"/>
      <c r="K33" s="49">
        <v>-0.2413933351603692</v>
      </c>
      <c r="L33" s="49">
        <v>-1.307083732192128</v>
      </c>
      <c r="M33" s="49">
        <v>-0.6398499780892507</v>
      </c>
      <c r="N33" s="49">
        <v>4.2626609471753474</v>
      </c>
      <c r="O33" s="49">
        <v>4.9298947012782248</v>
      </c>
      <c r="P33" s="49"/>
      <c r="Q33" s="49">
        <v>0.42584041894250801</v>
      </c>
      <c r="R33" s="49"/>
      <c r="S33" s="49"/>
      <c r="T33" s="49">
        <v>4.1098879441409988</v>
      </c>
      <c r="U33" s="49">
        <v>5.8040993299172259</v>
      </c>
      <c r="V33" s="49">
        <v>2.8710794526718844</v>
      </c>
      <c r="W33" s="49"/>
      <c r="X33" s="49">
        <v>47.792828478291923</v>
      </c>
      <c r="Y33" s="49"/>
      <c r="Z33" s="49"/>
      <c r="AA33" s="49">
        <v>3.6178838898586627</v>
      </c>
      <c r="AB33" s="49">
        <v>2.9506501357557857</v>
      </c>
      <c r="AC33" s="177">
        <v>53.487668224562192</v>
      </c>
      <c r="AD33" s="183"/>
      <c r="AE33" s="50">
        <v>142.072</v>
      </c>
      <c r="AF33" s="50">
        <v>153.99799999999999</v>
      </c>
      <c r="AG33" s="105">
        <v>-0.63964204746912723</v>
      </c>
    </row>
    <row r="34" spans="2:33">
      <c r="B34" s="69" t="s">
        <v>94</v>
      </c>
      <c r="C34" s="49">
        <v>38.388916652116059</v>
      </c>
      <c r="D34" s="49">
        <v>42.256769042730625</v>
      </c>
      <c r="E34" s="49">
        <v>34.65352495981022</v>
      </c>
      <c r="F34" s="49">
        <v>3.1507583374978174</v>
      </c>
      <c r="G34" s="49">
        <v>4.4524857454225799</v>
      </c>
      <c r="H34" s="49">
        <v>7.6032440829203978</v>
      </c>
      <c r="I34" s="49">
        <v>31.619572874457365</v>
      </c>
      <c r="J34" s="49"/>
      <c r="K34" s="49">
        <v>0.35463006014704074</v>
      </c>
      <c r="L34" s="49">
        <v>-0.32272242860669414</v>
      </c>
      <c r="M34" s="49">
        <v>3.9741564363005195E-2</v>
      </c>
      <c r="N34" s="49">
        <v>3.5053883976448588</v>
      </c>
      <c r="O34" s="49">
        <v>3.8678523906145581</v>
      </c>
      <c r="P34" s="49"/>
      <c r="Q34" s="49">
        <v>0.71709405311674002</v>
      </c>
      <c r="R34" s="49"/>
      <c r="S34" s="49"/>
      <c r="T34" s="49">
        <v>2.816596121309916</v>
      </c>
      <c r="U34" s="49">
        <v>3.3524598553770013</v>
      </c>
      <c r="V34" s="49">
        <v>2.9544756663676268</v>
      </c>
      <c r="W34" s="49"/>
      <c r="X34" s="49">
        <v>44.324511175909763</v>
      </c>
      <c r="Y34" s="49"/>
      <c r="Z34" s="49"/>
      <c r="AA34" s="49">
        <v>3.2206012511515052</v>
      </c>
      <c r="AB34" s="49">
        <v>2.8581372581818059</v>
      </c>
      <c r="AC34" s="177">
        <v>51.995038744754261</v>
      </c>
      <c r="AD34" s="183"/>
      <c r="AE34" s="50">
        <v>166.08699999999999</v>
      </c>
      <c r="AF34" s="50">
        <v>179.35900000000001</v>
      </c>
      <c r="AG34" s="105">
        <v>-0.46907116695174766</v>
      </c>
    </row>
    <row r="35" spans="2:33">
      <c r="B35" s="69" t="s">
        <v>95</v>
      </c>
      <c r="C35" s="49">
        <v>36.905288004117679</v>
      </c>
      <c r="D35" s="49">
        <v>41.420705933732279</v>
      </c>
      <c r="E35" s="49">
        <v>34.350970411924649</v>
      </c>
      <c r="F35" s="49">
        <v>2.7258878762198386</v>
      </c>
      <c r="G35" s="49">
        <v>4.3438476455877844</v>
      </c>
      <c r="H35" s="49">
        <v>7.0697355218076225</v>
      </c>
      <c r="I35" s="49">
        <v>30.379378291679881</v>
      </c>
      <c r="J35" s="49"/>
      <c r="K35" s="49">
        <v>2.4763794877586931</v>
      </c>
      <c r="L35" s="49">
        <v>-1.0538574718858693</v>
      </c>
      <c r="M35" s="49">
        <v>-1.7407069062498102</v>
      </c>
      <c r="N35" s="49">
        <v>5.2022673639785308</v>
      </c>
      <c r="O35" s="49">
        <v>4.5154179296145909</v>
      </c>
      <c r="P35" s="49"/>
      <c r="Q35" s="49">
        <v>1.789530053394752</v>
      </c>
      <c r="R35" s="49"/>
      <c r="S35" s="49"/>
      <c r="T35" s="49">
        <v>4.0319016746299532</v>
      </c>
      <c r="U35" s="49">
        <v>4.6942669529637469</v>
      </c>
      <c r="V35" s="49">
        <v>3.0445926765484215</v>
      </c>
      <c r="W35" s="49"/>
      <c r="X35" s="49">
        <v>42.182642271197253</v>
      </c>
      <c r="Y35" s="49"/>
      <c r="Z35" s="49"/>
      <c r="AA35" s="49">
        <v>3.7641480495578166</v>
      </c>
      <c r="AB35" s="49">
        <v>4.450997483921757</v>
      </c>
      <c r="AC35" s="177">
        <v>50.291409527869767</v>
      </c>
      <c r="AD35" s="183"/>
      <c r="AE35" s="50">
        <v>192.34100000000001</v>
      </c>
      <c r="AF35" s="50">
        <v>210.03899999999999</v>
      </c>
      <c r="AG35" s="105">
        <v>1.561327335508581</v>
      </c>
    </row>
    <row r="36" spans="2:33">
      <c r="B36" s="69" t="s">
        <v>96</v>
      </c>
      <c r="C36" s="49">
        <v>37.271292629333892</v>
      </c>
      <c r="D36" s="49">
        <v>40.946090635844115</v>
      </c>
      <c r="E36" s="49">
        <v>34.181297488357693</v>
      </c>
      <c r="F36" s="49">
        <v>2.5266923807926664</v>
      </c>
      <c r="G36" s="49">
        <v>4.2381007666937576</v>
      </c>
      <c r="H36" s="49">
        <v>6.7647931474864222</v>
      </c>
      <c r="I36" s="49">
        <v>31.193642848849962</v>
      </c>
      <c r="J36" s="49"/>
      <c r="K36" s="49">
        <v>1.4113887915864258</v>
      </c>
      <c r="L36" s="49">
        <v>-6.966034133567256E-2</v>
      </c>
      <c r="M36" s="49">
        <v>-0.3329435072045322</v>
      </c>
      <c r="N36" s="49">
        <v>3.9380811723790905</v>
      </c>
      <c r="O36" s="49">
        <v>3.6747980065102319</v>
      </c>
      <c r="P36" s="49"/>
      <c r="Q36" s="49">
        <v>1.1481056257175661</v>
      </c>
      <c r="R36" s="49"/>
      <c r="S36" s="49"/>
      <c r="T36" s="49">
        <v>3.4675369909312561</v>
      </c>
      <c r="U36" s="49">
        <v>4.180910486461384</v>
      </c>
      <c r="V36" s="49">
        <v>3.2624259858873308</v>
      </c>
      <c r="W36" s="49"/>
      <c r="X36" s="49">
        <v>39.083021571280746</v>
      </c>
      <c r="Y36" s="49"/>
      <c r="Z36" s="49"/>
      <c r="AA36" s="49">
        <v>2.6109727937666896</v>
      </c>
      <c r="AB36" s="49">
        <v>2.8742559596355495</v>
      </c>
      <c r="AC36" s="177">
        <v>46.224796501502858</v>
      </c>
      <c r="AD36" s="183"/>
      <c r="AE36" s="50">
        <v>232.55699999999999</v>
      </c>
      <c r="AF36" s="50">
        <v>251.26</v>
      </c>
      <c r="AG36" s="105">
        <v>-9.7964602465713146E-2</v>
      </c>
    </row>
    <row r="37" spans="2:33">
      <c r="B37" s="69" t="s">
        <v>97</v>
      </c>
      <c r="C37" s="49">
        <v>38.491784651726043</v>
      </c>
      <c r="D37" s="49">
        <v>42.803908083783099</v>
      </c>
      <c r="E37" s="49">
        <v>36.119126287619416</v>
      </c>
      <c r="F37" s="49">
        <v>2.2493160105850163</v>
      </c>
      <c r="G37" s="49">
        <v>4.4354657855786623</v>
      </c>
      <c r="H37" s="49">
        <v>6.68478179616368</v>
      </c>
      <c r="I37" s="49">
        <v>32.10937850404413</v>
      </c>
      <c r="J37" s="49"/>
      <c r="K37" s="49">
        <v>0.63491141315851274</v>
      </c>
      <c r="L37" s="49">
        <v>-0.55653564967781488</v>
      </c>
      <c r="M37" s="49">
        <v>0.87136035863570749</v>
      </c>
      <c r="N37" s="49">
        <v>2.8842274237435288</v>
      </c>
      <c r="O37" s="49">
        <v>4.3121234320570512</v>
      </c>
      <c r="P37" s="49"/>
      <c r="Q37" s="49">
        <v>2.0628074214720349</v>
      </c>
      <c r="R37" s="49"/>
      <c r="S37" s="49"/>
      <c r="T37" s="49">
        <v>4.6709375513926474</v>
      </c>
      <c r="U37" s="49">
        <v>4.5849716686351609</v>
      </c>
      <c r="V37" s="49">
        <v>3.424806016116734</v>
      </c>
      <c r="W37" s="49"/>
      <c r="X37" s="49">
        <v>40.295738141438754</v>
      </c>
      <c r="Y37" s="49"/>
      <c r="Z37" s="49"/>
      <c r="AA37" s="49">
        <v>3.3463154275120726</v>
      </c>
      <c r="AB37" s="49">
        <v>1.9184194191985506</v>
      </c>
      <c r="AC37" s="177">
        <v>47.177328927893306</v>
      </c>
      <c r="AD37" s="183"/>
      <c r="AE37" s="50">
        <v>267.548</v>
      </c>
      <c r="AF37" s="50">
        <v>282.41199999999998</v>
      </c>
      <c r="AG37" s="105">
        <v>-2.8166061756407594</v>
      </c>
    </row>
    <row r="38" spans="2:33">
      <c r="B38" s="69" t="s">
        <v>98</v>
      </c>
      <c r="C38" s="49">
        <v>40.812214006206091</v>
      </c>
      <c r="D38" s="49">
        <v>42.820321417692377</v>
      </c>
      <c r="E38" s="49">
        <v>37.017932041012394</v>
      </c>
      <c r="F38" s="49">
        <v>1.4621458865431032</v>
      </c>
      <c r="G38" s="49">
        <v>4.3402434901368752</v>
      </c>
      <c r="H38" s="49">
        <v>5.8023893766799786</v>
      </c>
      <c r="I38" s="49">
        <v>33.969451594870442</v>
      </c>
      <c r="J38" s="49"/>
      <c r="K38" s="49">
        <v>-1.5988648082532557</v>
      </c>
      <c r="L38" s="49">
        <v>1.9234181007501534</v>
      </c>
      <c r="M38" s="49">
        <v>4.068244433946588</v>
      </c>
      <c r="N38" s="49">
        <v>-0.13671892171015276</v>
      </c>
      <c r="O38" s="49">
        <v>2.0081074114862809</v>
      </c>
      <c r="P38" s="49"/>
      <c r="Q38" s="49">
        <v>0.54596152494317784</v>
      </c>
      <c r="R38" s="49"/>
      <c r="S38" s="49"/>
      <c r="T38" s="49">
        <v>2.5557426382226627</v>
      </c>
      <c r="U38" s="49">
        <v>2.9028683901331935</v>
      </c>
      <c r="V38" s="49">
        <v>3.7598037082536928</v>
      </c>
      <c r="W38" s="49"/>
      <c r="X38" s="49">
        <v>39.957999419140904</v>
      </c>
      <c r="Y38" s="49"/>
      <c r="Z38" s="49"/>
      <c r="AA38" s="49">
        <v>2.784370303174343</v>
      </c>
      <c r="AB38" s="49">
        <v>0.6395439699779093</v>
      </c>
      <c r="AC38" s="177">
        <v>44.737379451628343</v>
      </c>
      <c r="AD38" s="183"/>
      <c r="AE38" s="50">
        <v>298.73899999999998</v>
      </c>
      <c r="AF38" s="50">
        <v>313.32900000000001</v>
      </c>
      <c r="AG38" s="105">
        <v>-3.1630101961365638</v>
      </c>
    </row>
    <row r="39" spans="2:33">
      <c r="B39" s="69" t="s">
        <v>99</v>
      </c>
      <c r="C39" s="49">
        <v>40.523009362325027</v>
      </c>
      <c r="D39" s="49">
        <v>43.127992436949157</v>
      </c>
      <c r="E39" s="49">
        <v>37.033332316794244</v>
      </c>
      <c r="F39" s="49">
        <v>1.9325424659205268</v>
      </c>
      <c r="G39" s="49">
        <v>4.1621176542343932</v>
      </c>
      <c r="H39" s="49">
        <v>6.09466012015492</v>
      </c>
      <c r="I39" s="49">
        <v>33.674178890549236</v>
      </c>
      <c r="J39" s="49"/>
      <c r="K39" s="49">
        <v>-1.3162769018511955</v>
      </c>
      <c r="L39" s="49">
        <v>1.0265011741026502</v>
      </c>
      <c r="M39" s="49">
        <v>3.0152186846574525</v>
      </c>
      <c r="N39" s="49">
        <v>0.6162655640693312</v>
      </c>
      <c r="O39" s="49">
        <v>2.6049830746241343</v>
      </c>
      <c r="P39" s="49"/>
      <c r="Q39" s="49">
        <v>0.67244060870360767</v>
      </c>
      <c r="R39" s="49"/>
      <c r="S39" s="49"/>
      <c r="T39" s="49">
        <v>3.9093043823000211</v>
      </c>
      <c r="U39" s="49">
        <v>2.7440456222744039</v>
      </c>
      <c r="V39" s="49">
        <v>3.6860723979140615</v>
      </c>
      <c r="W39" s="49"/>
      <c r="X39" s="49">
        <v>38.603289291593221</v>
      </c>
      <c r="Y39" s="49"/>
      <c r="Z39" s="49"/>
      <c r="AA39" s="49">
        <v>2.6546918361745599</v>
      </c>
      <c r="AB39" s="49">
        <v>0.66597432561975645</v>
      </c>
      <c r="AC39" s="177">
        <v>43.575676252630295</v>
      </c>
      <c r="AD39" s="183"/>
      <c r="AE39" s="50">
        <v>327.91</v>
      </c>
      <c r="AF39" s="50">
        <v>343.23500000000001</v>
      </c>
      <c r="AG39" s="105">
        <v>-2.7122309426549811</v>
      </c>
    </row>
    <row r="40" spans="2:33">
      <c r="B40" s="69" t="s">
        <v>100</v>
      </c>
      <c r="C40" s="49">
        <v>39.41540915225125</v>
      </c>
      <c r="D40" s="49">
        <v>42.706137562596894</v>
      </c>
      <c r="E40" s="49">
        <v>36.534000289981144</v>
      </c>
      <c r="F40" s="49">
        <v>2.1832234750895041</v>
      </c>
      <c r="G40" s="49">
        <v>3.9889137975262376</v>
      </c>
      <c r="H40" s="49">
        <v>6.1721372726157417</v>
      </c>
      <c r="I40" s="49">
        <v>32.988144232163371</v>
      </c>
      <c r="J40" s="49"/>
      <c r="K40" s="49">
        <v>-0.1790641871150237</v>
      </c>
      <c r="L40" s="49">
        <v>0.1619990854440615</v>
      </c>
      <c r="M40" s="49">
        <v>1.4485682078152164</v>
      </c>
      <c r="N40" s="49">
        <v>2.0041592879744807</v>
      </c>
      <c r="O40" s="49">
        <v>3.2907284103456349</v>
      </c>
      <c r="P40" s="49"/>
      <c r="Q40" s="49">
        <v>1.1075049352561313</v>
      </c>
      <c r="R40" s="49"/>
      <c r="S40" s="49"/>
      <c r="T40" s="49">
        <v>3.4262388329373978</v>
      </c>
      <c r="U40" s="49">
        <v>2.7311205540870609</v>
      </c>
      <c r="V40" s="49">
        <v>3.687500697070075</v>
      </c>
      <c r="W40" s="49"/>
      <c r="X40" s="49">
        <v>38.754459731525507</v>
      </c>
      <c r="Y40" s="49"/>
      <c r="Z40" s="49"/>
      <c r="AA40" s="49">
        <v>3.279017633084619</v>
      </c>
      <c r="AB40" s="49">
        <v>1.9924485107134644</v>
      </c>
      <c r="AC40" s="177">
        <v>43.259611202194932</v>
      </c>
      <c r="AD40" s="183"/>
      <c r="AE40" s="50">
        <v>358.64400000000001</v>
      </c>
      <c r="AF40" s="50">
        <v>370.53800000000001</v>
      </c>
      <c r="AG40" s="105">
        <v>-1.4882458676803174</v>
      </c>
    </row>
    <row r="41" spans="2:33">
      <c r="B41" s="69" t="s">
        <v>101</v>
      </c>
      <c r="C41" s="49">
        <v>39.140924394520042</v>
      </c>
      <c r="D41" s="49">
        <v>42.382304418206544</v>
      </c>
      <c r="E41" s="49">
        <v>36.672459001132601</v>
      </c>
      <c r="F41" s="49">
        <v>1.9311229371273122</v>
      </c>
      <c r="G41" s="49">
        <v>3.778722479946627</v>
      </c>
      <c r="H41" s="49">
        <v>5.7098454170739394</v>
      </c>
      <c r="I41" s="49">
        <v>33.550804462166234</v>
      </c>
      <c r="J41" s="49"/>
      <c r="K41" s="49">
        <v>0.8263374933593729</v>
      </c>
      <c r="L41" s="49">
        <v>0.36719263132308294</v>
      </c>
      <c r="M41" s="49">
        <v>0.85111222452290791</v>
      </c>
      <c r="N41" s="49">
        <v>2.7574604304866854</v>
      </c>
      <c r="O41" s="49">
        <v>3.2413800236865105</v>
      </c>
      <c r="P41" s="49"/>
      <c r="Q41" s="49">
        <v>1.310257086559198</v>
      </c>
      <c r="R41" s="49"/>
      <c r="S41" s="49"/>
      <c r="T41" s="49">
        <v>2.656716263530531</v>
      </c>
      <c r="U41" s="49">
        <v>2.6528374681292313</v>
      </c>
      <c r="V41" s="49">
        <v>3.8063912204759021</v>
      </c>
      <c r="W41" s="49"/>
      <c r="X41" s="49">
        <v>38.614311890502599</v>
      </c>
      <c r="Y41" s="49"/>
      <c r="Z41" s="49"/>
      <c r="AA41" s="49">
        <v>2.8591893834784003</v>
      </c>
      <c r="AB41" s="49">
        <v>2.3752697902785758</v>
      </c>
      <c r="AC41" s="177">
        <v>43.049974399950344</v>
      </c>
      <c r="AD41" s="183"/>
      <c r="AE41" s="50">
        <v>386.71800000000002</v>
      </c>
      <c r="AF41" s="50">
        <v>406.58499999999998</v>
      </c>
      <c r="AG41" s="105">
        <v>-0.37254083932752319</v>
      </c>
    </row>
    <row r="42" spans="2:33">
      <c r="B42" s="69" t="s">
        <v>102</v>
      </c>
      <c r="C42" s="49">
        <v>38.214947745778559</v>
      </c>
      <c r="D42" s="49">
        <v>40.342802767106569</v>
      </c>
      <c r="E42" s="49">
        <v>35.462915637167036</v>
      </c>
      <c r="F42" s="49">
        <v>1.4911943922988324</v>
      </c>
      <c r="G42" s="49">
        <v>3.3886927376407048</v>
      </c>
      <c r="H42" s="49">
        <v>4.8798871299395374</v>
      </c>
      <c r="I42" s="49">
        <v>32.640221971504545</v>
      </c>
      <c r="J42" s="49"/>
      <c r="K42" s="49">
        <v>0.62058834906579063</v>
      </c>
      <c r="L42" s="49">
        <v>1.3074743439663274</v>
      </c>
      <c r="M42" s="49">
        <v>1.3235466239297173</v>
      </c>
      <c r="N42" s="49">
        <v>2.1117827413646229</v>
      </c>
      <c r="O42" s="49">
        <v>2.1278550213280134</v>
      </c>
      <c r="P42" s="49"/>
      <c r="Q42" s="49">
        <v>0.63666062902918086</v>
      </c>
      <c r="R42" s="49"/>
      <c r="S42" s="49"/>
      <c r="T42" s="49">
        <v>2.6177751502146935</v>
      </c>
      <c r="U42" s="49">
        <v>1.3517555863849311</v>
      </c>
      <c r="V42" s="49">
        <v>3.9101750286768149</v>
      </c>
      <c r="W42" s="49"/>
      <c r="X42" s="49">
        <v>37.005577025115969</v>
      </c>
      <c r="Y42" s="49"/>
      <c r="Z42" s="49"/>
      <c r="AA42" s="49">
        <v>2.2727112132824878</v>
      </c>
      <c r="AB42" s="49">
        <v>2.2566389333190973</v>
      </c>
      <c r="AC42" s="177">
        <v>42.228053109226273</v>
      </c>
      <c r="AD42" s="183"/>
      <c r="AE42" s="50">
        <v>424.55900000000003</v>
      </c>
      <c r="AF42" s="50">
        <v>439.12299999999999</v>
      </c>
      <c r="AG42" s="105">
        <v>0.1168717758042289</v>
      </c>
    </row>
    <row r="43" spans="2:33">
      <c r="B43" s="69" t="s">
        <v>103</v>
      </c>
      <c r="C43" s="49">
        <v>37.312392455146266</v>
      </c>
      <c r="D43" s="49">
        <v>39.228197849650932</v>
      </c>
      <c r="E43" s="49">
        <v>34.820749443780763</v>
      </c>
      <c r="F43" s="49">
        <v>0.93883232318804055</v>
      </c>
      <c r="G43" s="49">
        <v>3.4686160826821277</v>
      </c>
      <c r="H43" s="49">
        <v>4.4074484058701682</v>
      </c>
      <c r="I43" s="49">
        <v>32.436952685744352</v>
      </c>
      <c r="J43" s="49"/>
      <c r="K43" s="49">
        <v>1.1301814152313963</v>
      </c>
      <c r="L43" s="49">
        <v>1.3544349579684571</v>
      </c>
      <c r="M43" s="49">
        <v>1.2012266140536842</v>
      </c>
      <c r="N43" s="49">
        <v>2.0690137384194367</v>
      </c>
      <c r="O43" s="49">
        <v>1.9158053945046636</v>
      </c>
      <c r="P43" s="49"/>
      <c r="Q43" s="49">
        <v>0.97697307131662303</v>
      </c>
      <c r="R43" s="49"/>
      <c r="S43" s="49"/>
      <c r="T43" s="49">
        <v>2.2869104898017341</v>
      </c>
      <c r="U43" s="49">
        <v>0.80818930086255081</v>
      </c>
      <c r="V43" s="49">
        <v>3.8053068247827184</v>
      </c>
      <c r="W43" s="49"/>
      <c r="X43" s="49">
        <v>34.78095048585547</v>
      </c>
      <c r="Y43" s="49"/>
      <c r="Z43" s="49"/>
      <c r="AA43" s="49">
        <v>2.1293059041439704</v>
      </c>
      <c r="AB43" s="49">
        <v>2.2825142480587437</v>
      </c>
      <c r="AC43" s="177">
        <v>41.797875954888703</v>
      </c>
      <c r="AD43" s="183"/>
      <c r="AE43" s="50">
        <v>456.20499999999998</v>
      </c>
      <c r="AF43" s="50">
        <v>482.44799999999998</v>
      </c>
      <c r="AG43" s="105">
        <v>0.25966797750785497</v>
      </c>
    </row>
    <row r="44" spans="2:33">
      <c r="B44" s="69" t="s">
        <v>104</v>
      </c>
      <c r="C44" s="49">
        <v>36.058787283164854</v>
      </c>
      <c r="D44" s="49">
        <v>37.048195120429305</v>
      </c>
      <c r="E44" s="49">
        <v>33.151597404218144</v>
      </c>
      <c r="F44" s="49">
        <v>0.32057281916885061</v>
      </c>
      <c r="G44" s="49">
        <v>3.5760248970423061</v>
      </c>
      <c r="H44" s="49">
        <v>3.8965977162111574</v>
      </c>
      <c r="I44" s="49">
        <v>31.588707412953955</v>
      </c>
      <c r="J44" s="49"/>
      <c r="K44" s="49">
        <v>1.8276780466256772</v>
      </c>
      <c r="L44" s="49">
        <v>1.9868104954449022</v>
      </c>
      <c r="M44" s="49">
        <v>0.82796746691481959</v>
      </c>
      <c r="N44" s="49">
        <v>2.1482508657945281</v>
      </c>
      <c r="O44" s="49">
        <v>0.98940783726444526</v>
      </c>
      <c r="P44" s="49"/>
      <c r="Q44" s="49">
        <v>0.66883501809559476</v>
      </c>
      <c r="R44" s="49"/>
      <c r="S44" s="49"/>
      <c r="T44" s="49">
        <v>0.23379976288531137</v>
      </c>
      <c r="U44" s="49">
        <v>-0.63003088730812429</v>
      </c>
      <c r="V44" s="49">
        <v>3.627893735180332</v>
      </c>
      <c r="W44" s="49"/>
      <c r="X44" s="49">
        <v>30.887774419608753</v>
      </c>
      <c r="Y44" s="49"/>
      <c r="Z44" s="49"/>
      <c r="AA44" s="49">
        <v>1.2261325346312242</v>
      </c>
      <c r="AB44" s="49">
        <v>2.3849755631613068</v>
      </c>
      <c r="AC44" s="177">
        <v>39.177547422937728</v>
      </c>
      <c r="AD44" s="183"/>
      <c r="AE44" s="50">
        <v>512.83199999999999</v>
      </c>
      <c r="AF44" s="50">
        <v>541.96199999999999</v>
      </c>
      <c r="AG44" s="105">
        <v>2.2138188660570233</v>
      </c>
    </row>
    <row r="45" spans="2:33">
      <c r="B45" s="69" t="s">
        <v>105</v>
      </c>
      <c r="C45" s="49">
        <v>35.404200122021365</v>
      </c>
      <c r="D45" s="49">
        <v>34.437469297992592</v>
      </c>
      <c r="E45" s="49">
        <v>30.922974454181684</v>
      </c>
      <c r="F45" s="49">
        <v>8.338708916125176E-2</v>
      </c>
      <c r="G45" s="49">
        <v>3.4311077546496609</v>
      </c>
      <c r="H45" s="49">
        <v>3.5144948438109127</v>
      </c>
      <c r="I45" s="49">
        <v>31.064924803026411</v>
      </c>
      <c r="J45" s="49"/>
      <c r="K45" s="49">
        <v>1.0281407493287058</v>
      </c>
      <c r="L45" s="49">
        <v>3.6094197692083121</v>
      </c>
      <c r="M45" s="49">
        <v>1.5311611066895872</v>
      </c>
      <c r="N45" s="49">
        <v>1.1115278384899574</v>
      </c>
      <c r="O45" s="49">
        <v>-0.96673082402876775</v>
      </c>
      <c r="P45" s="49"/>
      <c r="Q45" s="49">
        <v>-1.0501179131900196</v>
      </c>
      <c r="R45" s="49"/>
      <c r="S45" s="49"/>
      <c r="T45" s="49">
        <v>-1.2165424601114276</v>
      </c>
      <c r="U45" s="49">
        <v>-2.535526920743806</v>
      </c>
      <c r="V45" s="49">
        <v>3.3512169794993634</v>
      </c>
      <c r="W45" s="49"/>
      <c r="X45" s="49">
        <v>25.575149673696362</v>
      </c>
      <c r="Y45" s="49"/>
      <c r="Z45" s="49"/>
      <c r="AA45" s="49">
        <v>-0.58965335794738405</v>
      </c>
      <c r="AB45" s="49">
        <v>1.4886053045713417</v>
      </c>
      <c r="AC45" s="177">
        <v>34.131716637734669</v>
      </c>
      <c r="AD45" s="183"/>
      <c r="AE45" s="50">
        <v>572.03099999999995</v>
      </c>
      <c r="AF45" s="50">
        <v>600.97400000000005</v>
      </c>
      <c r="AG45" s="105">
        <v>3.2709897786146414</v>
      </c>
    </row>
    <row r="46" spans="2:33" ht="15" customHeight="1">
      <c r="B46" s="69" t="s">
        <v>106</v>
      </c>
      <c r="C46" s="49">
        <v>34.584797191924729</v>
      </c>
      <c r="D46" s="49">
        <v>34.604429653249568</v>
      </c>
      <c r="E46" s="49">
        <v>30.403874561238236</v>
      </c>
      <c r="F46" s="49">
        <v>0.80730580883365766</v>
      </c>
      <c r="G46" s="49">
        <v>3.3932492831776719</v>
      </c>
      <c r="H46" s="49">
        <v>4.2005550920113297</v>
      </c>
      <c r="I46" s="49">
        <v>30.595449385456462</v>
      </c>
      <c r="J46" s="49"/>
      <c r="K46" s="49">
        <v>0.57811450861690672</v>
      </c>
      <c r="L46" s="49">
        <v>2.2718240931465292</v>
      </c>
      <c r="M46" s="49">
        <v>0.90603623702080782</v>
      </c>
      <c r="N46" s="49">
        <v>1.3854203174505646</v>
      </c>
      <c r="O46" s="49">
        <v>1.9632461324842823E-2</v>
      </c>
      <c r="P46" s="49"/>
      <c r="Q46" s="49">
        <v>-0.78767334750881479</v>
      </c>
      <c r="R46" s="49"/>
      <c r="S46" s="49"/>
      <c r="T46" s="49">
        <v>-0.7243428271060961</v>
      </c>
      <c r="U46" s="49">
        <v>-1.1067008440375108</v>
      </c>
      <c r="V46" s="49">
        <v>3.169850872457082</v>
      </c>
      <c r="W46" s="49"/>
      <c r="X46" s="49">
        <v>23.000654133152437</v>
      </c>
      <c r="Y46" s="49"/>
      <c r="Z46" s="49"/>
      <c r="AA46" s="49">
        <v>0.46817087207709862</v>
      </c>
      <c r="AB46" s="49">
        <v>1.8339587282028205</v>
      </c>
      <c r="AC46" s="177">
        <v>29.552870693326703</v>
      </c>
      <c r="AD46" s="183"/>
      <c r="AE46" s="50">
        <v>631.60699999999997</v>
      </c>
      <c r="AF46" s="50">
        <v>660.41600000000005</v>
      </c>
      <c r="AG46" s="105">
        <v>1.4231798008055865</v>
      </c>
    </row>
    <row r="47" spans="2:33">
      <c r="B47" s="69" t="s">
        <v>107</v>
      </c>
      <c r="C47" s="49">
        <v>33.774931617811063</v>
      </c>
      <c r="D47" s="49">
        <v>34.848355892607678</v>
      </c>
      <c r="E47" s="49">
        <v>30.724440322599577</v>
      </c>
      <c r="F47" s="49">
        <v>1.0106183158611459</v>
      </c>
      <c r="G47" s="49">
        <v>3.1132972541469539</v>
      </c>
      <c r="H47" s="49">
        <v>4.1239155700080996</v>
      </c>
      <c r="I47" s="49">
        <v>30.310918845309509</v>
      </c>
      <c r="J47" s="49"/>
      <c r="K47" s="49">
        <v>-0.16208228544475384</v>
      </c>
      <c r="L47" s="49">
        <v>1.0040148855992392</v>
      </c>
      <c r="M47" s="49">
        <v>1.2289031299794613</v>
      </c>
      <c r="N47" s="49">
        <v>0.84853603041639192</v>
      </c>
      <c r="O47" s="49">
        <v>1.0734242747966143</v>
      </c>
      <c r="P47" s="49"/>
      <c r="Q47" s="49">
        <v>6.2805958935468337E-2</v>
      </c>
      <c r="R47" s="49"/>
      <c r="S47" s="49"/>
      <c r="T47" s="49">
        <v>-0.38666752755831557</v>
      </c>
      <c r="U47" s="49">
        <v>-0.12487820339739147</v>
      </c>
      <c r="V47" s="49">
        <v>2.9040418862918655</v>
      </c>
      <c r="W47" s="49"/>
      <c r="X47" s="49">
        <v>21.581459655096566</v>
      </c>
      <c r="Y47" s="49"/>
      <c r="Z47" s="49"/>
      <c r="AA47" s="49">
        <v>1.3849594402639025</v>
      </c>
      <c r="AB47" s="49">
        <v>1.1600711958836802</v>
      </c>
      <c r="AC47" s="177">
        <v>27.63447518871136</v>
      </c>
      <c r="AD47" s="183"/>
      <c r="AE47" s="50">
        <v>681.46400000000006</v>
      </c>
      <c r="AF47" s="50">
        <v>700.13800000000003</v>
      </c>
      <c r="AG47" s="105">
        <v>-1.019048409082679</v>
      </c>
    </row>
    <row r="48" spans="2:33">
      <c r="B48" s="69" t="s">
        <v>108</v>
      </c>
      <c r="C48" s="49">
        <v>33.411574916548517</v>
      </c>
      <c r="D48" s="49">
        <v>36.727864423431164</v>
      </c>
      <c r="E48" s="49">
        <v>32.580130173154856</v>
      </c>
      <c r="F48" s="49">
        <v>1.2946144485503444</v>
      </c>
      <c r="G48" s="49">
        <v>2.8531198017259665</v>
      </c>
      <c r="H48" s="49">
        <v>4.1477342502763115</v>
      </c>
      <c r="I48" s="49">
        <v>30.247675080660468</v>
      </c>
      <c r="J48" s="49"/>
      <c r="K48" s="49">
        <v>0.63691647037658872</v>
      </c>
      <c r="L48" s="49">
        <v>-1.5349212374264569</v>
      </c>
      <c r="M48" s="49">
        <v>-0.1501626494707351</v>
      </c>
      <c r="N48" s="49">
        <v>1.9315309189269332</v>
      </c>
      <c r="O48" s="49">
        <v>3.3162895068826548</v>
      </c>
      <c r="P48" s="49"/>
      <c r="Q48" s="49">
        <v>2.0216750583323102</v>
      </c>
      <c r="R48" s="49"/>
      <c r="S48" s="49"/>
      <c r="T48" s="49">
        <v>1.8169537695510927</v>
      </c>
      <c r="U48" s="49">
        <v>1.9192446384513191</v>
      </c>
      <c r="V48" s="49">
        <v>2.5054983086421134</v>
      </c>
      <c r="W48" s="49"/>
      <c r="X48" s="49">
        <v>22.786932560025289</v>
      </c>
      <c r="Y48" s="49"/>
      <c r="Z48" s="49"/>
      <c r="AA48" s="49">
        <v>3.2992642872294109</v>
      </c>
      <c r="AB48" s="49">
        <v>1.9145056992736897</v>
      </c>
      <c r="AC48" s="177">
        <v>28.563713395777746</v>
      </c>
      <c r="AD48" s="183"/>
      <c r="AE48" s="50">
        <v>716.58399999999995</v>
      </c>
      <c r="AF48" s="50">
        <v>727.61</v>
      </c>
      <c r="AG48" s="105">
        <v>-2.3618978122783716</v>
      </c>
    </row>
    <row r="49" spans="2:33">
      <c r="B49" s="69" t="s">
        <v>109</v>
      </c>
      <c r="C49" s="49">
        <v>31.93282299387754</v>
      </c>
      <c r="D49" s="49">
        <v>38.18574053636911</v>
      </c>
      <c r="E49" s="49">
        <v>34.3179898705623</v>
      </c>
      <c r="F49" s="49">
        <v>1.0841790271530451</v>
      </c>
      <c r="G49" s="49">
        <v>2.7835716386537617</v>
      </c>
      <c r="H49" s="49">
        <v>3.8677506658068066</v>
      </c>
      <c r="I49" s="49">
        <v>28.979258127969821</v>
      </c>
      <c r="J49" s="49"/>
      <c r="K49" s="49">
        <v>3.5239846507702364</v>
      </c>
      <c r="L49" s="49">
        <v>-4.2943527170584153</v>
      </c>
      <c r="M49" s="49">
        <v>-2.6495988524901359</v>
      </c>
      <c r="N49" s="49">
        <v>4.6081636779232813</v>
      </c>
      <c r="O49" s="49">
        <v>6.2529175424915611</v>
      </c>
      <c r="P49" s="49"/>
      <c r="Q49" s="49">
        <v>5.1687385153385152</v>
      </c>
      <c r="R49" s="49"/>
      <c r="S49" s="49"/>
      <c r="T49" s="49">
        <v>4.8840673173179923</v>
      </c>
      <c r="U49" s="49">
        <v>4.8775913848511747</v>
      </c>
      <c r="V49" s="49">
        <v>2.5470651883551945</v>
      </c>
      <c r="W49" s="49"/>
      <c r="X49" s="49">
        <v>26.585693762830331</v>
      </c>
      <c r="Y49" s="49"/>
      <c r="Z49" s="49"/>
      <c r="AA49" s="49">
        <v>6.1768253360064547</v>
      </c>
      <c r="AB49" s="49">
        <v>4.5320714714381749</v>
      </c>
      <c r="AC49" s="177">
        <v>33.546139669673472</v>
      </c>
      <c r="AD49" s="183"/>
      <c r="AE49" s="50">
        <v>741.20600000000002</v>
      </c>
      <c r="AF49" s="50">
        <v>759.43100000000004</v>
      </c>
      <c r="AG49" s="105">
        <v>-2.3447486042252104</v>
      </c>
    </row>
    <row r="50" spans="2:33">
      <c r="B50" s="69" t="s">
        <v>110</v>
      </c>
      <c r="C50" s="49">
        <v>31.215622685835399</v>
      </c>
      <c r="D50" s="49">
        <v>37.77086897678813</v>
      </c>
      <c r="E50" s="49">
        <v>34.273767268455863</v>
      </c>
      <c r="F50" s="49">
        <v>0.81381987181124071</v>
      </c>
      <c r="G50" s="49">
        <v>2.6832818365210285</v>
      </c>
      <c r="H50" s="49">
        <v>3.4971017083322695</v>
      </c>
      <c r="I50" s="49">
        <v>28.317969408339927</v>
      </c>
      <c r="J50" s="49"/>
      <c r="K50" s="49">
        <v>4.4411106660647546</v>
      </c>
      <c r="L50" s="49">
        <v>-4.394550700952478</v>
      </c>
      <c r="M50" s="49">
        <v>-3.0942349478757403</v>
      </c>
      <c r="N50" s="49">
        <v>5.254930537875997</v>
      </c>
      <c r="O50" s="49">
        <v>6.5552462909527334</v>
      </c>
      <c r="P50" s="49"/>
      <c r="Q50" s="49">
        <v>5.7414264191414937</v>
      </c>
      <c r="R50" s="49"/>
      <c r="S50" s="49"/>
      <c r="T50" s="49">
        <v>6.3353846939557199</v>
      </c>
      <c r="U50" s="49">
        <v>5.8869793927632079</v>
      </c>
      <c r="V50" s="49">
        <v>2.6253160031664153</v>
      </c>
      <c r="W50" s="49"/>
      <c r="X50" s="49">
        <v>31.045209430883396</v>
      </c>
      <c r="Y50" s="49"/>
      <c r="Z50" s="49"/>
      <c r="AA50" s="49">
        <v>6.5456704374249899</v>
      </c>
      <c r="AB50" s="49">
        <v>5.2453546843482499</v>
      </c>
      <c r="AC50" s="177">
        <v>38.139347820535733</v>
      </c>
      <c r="AD50" s="183"/>
      <c r="AE50" s="50">
        <v>783.22</v>
      </c>
      <c r="AF50" s="50">
        <v>804.63300000000004</v>
      </c>
      <c r="AG50" s="105">
        <v>-1.6627320644633916</v>
      </c>
    </row>
    <row r="51" spans="2:33">
      <c r="B51" s="69" t="s">
        <v>111</v>
      </c>
      <c r="C51" s="49">
        <v>32.091614360119955</v>
      </c>
      <c r="D51" s="49">
        <v>37.424332560370047</v>
      </c>
      <c r="E51" s="49">
        <v>34.010222540580578</v>
      </c>
      <c r="F51" s="49">
        <v>0.8604174001723992</v>
      </c>
      <c r="G51" s="49">
        <v>2.5536926196170797</v>
      </c>
      <c r="H51" s="49">
        <v>3.4141100197894794</v>
      </c>
      <c r="I51" s="49">
        <v>29.25686257845982</v>
      </c>
      <c r="J51" s="49"/>
      <c r="K51" s="49">
        <v>3.9130641322032518</v>
      </c>
      <c r="L51" s="49">
        <v>-2.9309067951971057</v>
      </c>
      <c r="M51" s="49">
        <v>-2.371670127322655</v>
      </c>
      <c r="N51" s="49">
        <v>4.7734815323756496</v>
      </c>
      <c r="O51" s="49">
        <v>5.3327182002501008</v>
      </c>
      <c r="P51" s="49"/>
      <c r="Q51" s="49">
        <v>4.4723008000777016</v>
      </c>
      <c r="R51" s="49"/>
      <c r="S51" s="49"/>
      <c r="T51" s="49">
        <v>4.7380625736035071</v>
      </c>
      <c r="U51" s="49">
        <v>4.4608884626124539</v>
      </c>
      <c r="V51" s="49">
        <v>2.8138696322556367</v>
      </c>
      <c r="W51" s="49"/>
      <c r="X51" s="49">
        <v>34.427617122159873</v>
      </c>
      <c r="Y51" s="49"/>
      <c r="Z51" s="49"/>
      <c r="AA51" s="49">
        <v>5.5633931064625397</v>
      </c>
      <c r="AB51" s="49">
        <v>5.0041564385880895</v>
      </c>
      <c r="AC51" s="177">
        <v>41.270290286158293</v>
      </c>
      <c r="AD51" s="183"/>
      <c r="AE51" s="50">
        <v>823.67</v>
      </c>
      <c r="AF51" s="50">
        <v>842.34699999999998</v>
      </c>
      <c r="AG51" s="105">
        <v>-0.45338050996354412</v>
      </c>
    </row>
    <row r="52" spans="2:33">
      <c r="B52" s="69" t="s">
        <v>112</v>
      </c>
      <c r="C52" s="49">
        <v>33.1416335270725</v>
      </c>
      <c r="D52" s="49">
        <v>37.243632291913173</v>
      </c>
      <c r="E52" s="49">
        <v>33.948411896777621</v>
      </c>
      <c r="F52" s="49">
        <v>0.86195651546546459</v>
      </c>
      <c r="G52" s="49">
        <v>2.4332638796700854</v>
      </c>
      <c r="H52" s="49">
        <v>3.2952203951355501</v>
      </c>
      <c r="I52" s="49">
        <v>30.077630341054039</v>
      </c>
      <c r="J52" s="49"/>
      <c r="K52" s="49">
        <v>2.7884443876472687</v>
      </c>
      <c r="L52" s="49">
        <v>-1.4731872305303684</v>
      </c>
      <c r="M52" s="49">
        <v>-1.0215893688024309</v>
      </c>
      <c r="N52" s="49">
        <v>3.6504009031127342</v>
      </c>
      <c r="O52" s="49">
        <v>4.1019987648406699</v>
      </c>
      <c r="P52" s="49"/>
      <c r="Q52" s="49">
        <v>3.2400422493752057</v>
      </c>
      <c r="R52" s="49"/>
      <c r="S52" s="49"/>
      <c r="T52" s="49">
        <v>4.0792579809185199</v>
      </c>
      <c r="U52" s="49">
        <v>3.6406032656689202</v>
      </c>
      <c r="V52" s="49">
        <v>3.0626179606018806</v>
      </c>
      <c r="W52" s="49"/>
      <c r="X52" s="49">
        <v>35.910305622231611</v>
      </c>
      <c r="Y52" s="49"/>
      <c r="Z52" s="49"/>
      <c r="AA52" s="49">
        <v>4.3130147699660046</v>
      </c>
      <c r="AB52" s="49">
        <v>3.861416908238068</v>
      </c>
      <c r="AC52" s="177">
        <v>43.560144756056033</v>
      </c>
      <c r="AD52" s="183"/>
      <c r="AE52" s="50">
        <v>866.28499999999997</v>
      </c>
      <c r="AF52" s="50">
        <v>896.95699999999999</v>
      </c>
      <c r="AG52" s="105">
        <v>-0.72184351947045644</v>
      </c>
    </row>
    <row r="53" spans="2:33">
      <c r="B53" s="69" t="s">
        <v>113</v>
      </c>
      <c r="C53" s="49">
        <v>32.304539184980044</v>
      </c>
      <c r="D53" s="49">
        <v>35.426213690729305</v>
      </c>
      <c r="E53" s="49">
        <v>32.731497570567932</v>
      </c>
      <c r="F53" s="49">
        <v>0.45804130142441779</v>
      </c>
      <c r="G53" s="49">
        <v>2.2366748187369545</v>
      </c>
      <c r="H53" s="49">
        <v>2.6947161201613721</v>
      </c>
      <c r="I53" s="49">
        <v>29.560392594495298</v>
      </c>
      <c r="J53" s="49"/>
      <c r="K53" s="49">
        <v>2.4254484703376611</v>
      </c>
      <c r="L53" s="49">
        <v>-0.50919860040537301</v>
      </c>
      <c r="M53" s="49">
        <v>-0.27101386641819197</v>
      </c>
      <c r="N53" s="49">
        <v>2.8834897717620791</v>
      </c>
      <c r="O53" s="49">
        <v>3.1216745057492603</v>
      </c>
      <c r="P53" s="49"/>
      <c r="Q53" s="49">
        <v>2.6636332043248423</v>
      </c>
      <c r="R53" s="49"/>
      <c r="S53" s="49"/>
      <c r="T53" s="49">
        <v>2.7095020905419438</v>
      </c>
      <c r="U53" s="49">
        <v>2.4414119414518742</v>
      </c>
      <c r="V53" s="49">
        <v>3.0209788096538355</v>
      </c>
      <c r="W53" s="49"/>
      <c r="X53" s="49">
        <v>36.362836133551163</v>
      </c>
      <c r="Y53" s="49"/>
      <c r="Z53" s="49"/>
      <c r="AA53" s="49">
        <v>3.3279226035395673</v>
      </c>
      <c r="AB53" s="49">
        <v>3.0897378695523861</v>
      </c>
      <c r="AC53" s="177">
        <v>44.073631973959429</v>
      </c>
      <c r="AD53" s="183"/>
      <c r="AE53" s="50">
        <v>926.55399999999997</v>
      </c>
      <c r="AF53" s="50">
        <v>954.27099999999996</v>
      </c>
      <c r="AG53" s="105">
        <v>-0.18763206018617951</v>
      </c>
    </row>
    <row r="54" spans="2:33">
      <c r="B54" s="69" t="s">
        <v>114</v>
      </c>
      <c r="C54" s="49">
        <v>34.385421089296244</v>
      </c>
      <c r="D54" s="49">
        <v>35.470966252674188</v>
      </c>
      <c r="E54" s="49">
        <v>32.648693100079555</v>
      </c>
      <c r="F54" s="49">
        <v>0.6338701632748962</v>
      </c>
      <c r="G54" s="49">
        <v>2.1884029893197359</v>
      </c>
      <c r="H54" s="49">
        <v>2.8222731525946321</v>
      </c>
      <c r="I54" s="49">
        <v>31.022539437833114</v>
      </c>
      <c r="J54" s="49"/>
      <c r="K54" s="49">
        <v>1.0195645055419109</v>
      </c>
      <c r="L54" s="49">
        <v>1.5413422259961995</v>
      </c>
      <c r="M54" s="49">
        <v>0.97345272055734022</v>
      </c>
      <c r="N54" s="49">
        <v>1.6534346688168069</v>
      </c>
      <c r="O54" s="49">
        <v>1.0855451633779478</v>
      </c>
      <c r="P54" s="49"/>
      <c r="Q54" s="49">
        <v>0.45167500010305162</v>
      </c>
      <c r="R54" s="49"/>
      <c r="S54" s="49"/>
      <c r="T54" s="49">
        <v>0.36511168728384935</v>
      </c>
      <c r="U54" s="49">
        <v>9.2849458154882367E-2</v>
      </c>
      <c r="V54" s="49">
        <v>3.072997605081679</v>
      </c>
      <c r="W54" s="49"/>
      <c r="X54" s="49">
        <v>36.461126005361926</v>
      </c>
      <c r="Y54" s="49"/>
      <c r="Z54" s="49"/>
      <c r="AA54" s="49">
        <v>0.98373021925250503</v>
      </c>
      <c r="AB54" s="49">
        <v>1.5516197246913641</v>
      </c>
      <c r="AC54" s="177">
        <v>42.485892241041725</v>
      </c>
      <c r="AD54" s="183"/>
      <c r="AE54" s="50">
        <v>970.38800000000003</v>
      </c>
      <c r="AF54" s="50">
        <v>988.45</v>
      </c>
      <c r="AG54" s="105">
        <v>1.2108318349521903</v>
      </c>
    </row>
    <row r="55" spans="2:33">
      <c r="B55" s="69" t="s">
        <v>115</v>
      </c>
      <c r="C55" s="49">
        <v>34.976304065287579</v>
      </c>
      <c r="D55" s="49">
        <v>34.988433070571091</v>
      </c>
      <c r="E55" s="49">
        <v>32.192746657620866</v>
      </c>
      <c r="F55" s="49">
        <v>0.63396239811142518</v>
      </c>
      <c r="G55" s="49">
        <v>2.1617240148388026</v>
      </c>
      <c r="H55" s="49">
        <v>2.7956864129502277</v>
      </c>
      <c r="I55" s="49">
        <v>31.670114722640218</v>
      </c>
      <c r="J55" s="49"/>
      <c r="K55" s="49">
        <v>8.1511776877272735E-2</v>
      </c>
      <c r="L55" s="49">
        <v>2.4560742650118628</v>
      </c>
      <c r="M55" s="49">
        <v>1.7527290953066779</v>
      </c>
      <c r="N55" s="49">
        <v>0.71547417498869803</v>
      </c>
      <c r="O55" s="49">
        <v>1.2129005283513034E-2</v>
      </c>
      <c r="P55" s="49"/>
      <c r="Q55" s="49">
        <v>-0.62183339282791217</v>
      </c>
      <c r="R55" s="49"/>
      <c r="S55" s="49"/>
      <c r="T55" s="49">
        <v>-0.44818153669566457</v>
      </c>
      <c r="U55" s="49">
        <v>-0.75811213511909104</v>
      </c>
      <c r="V55" s="49">
        <v>2.9032697037169979</v>
      </c>
      <c r="W55" s="49"/>
      <c r="X55" s="49">
        <v>35.061393649359026</v>
      </c>
      <c r="Y55" s="49"/>
      <c r="Z55" s="49"/>
      <c r="AA55" s="49">
        <v>-0.12553027419440724</v>
      </c>
      <c r="AB55" s="49">
        <v>0.57781489551077758</v>
      </c>
      <c r="AC55" s="177">
        <v>40.934998392660276</v>
      </c>
      <c r="AD55" s="183"/>
      <c r="AE55" s="50">
        <v>1014.098</v>
      </c>
      <c r="AF55" s="50">
        <v>1035.6120000000001</v>
      </c>
      <c r="AG55" s="105">
        <v>0.92235760542949352</v>
      </c>
    </row>
    <row r="56" spans="2:33">
      <c r="B56" s="69" t="s">
        <v>116</v>
      </c>
      <c r="C56" s="49">
        <v>35.676214192067093</v>
      </c>
      <c r="D56" s="49">
        <v>34.60135177803771</v>
      </c>
      <c r="E56" s="49">
        <v>31.865372634364874</v>
      </c>
      <c r="F56" s="49">
        <v>0.56269103926301611</v>
      </c>
      <c r="G56" s="49">
        <v>2.1732881044098198</v>
      </c>
      <c r="H56" s="49">
        <v>2.7359791436728362</v>
      </c>
      <c r="I56" s="49">
        <v>32.453512012087018</v>
      </c>
      <c r="J56" s="49"/>
      <c r="K56" s="49">
        <v>-1.0158334794755488</v>
      </c>
      <c r="L56" s="49">
        <v>3.1587043214106298</v>
      </c>
      <c r="M56" s="49">
        <v>2.5369843475937768</v>
      </c>
      <c r="N56" s="49">
        <v>-0.45314244021253242</v>
      </c>
      <c r="O56" s="49">
        <v>-1.0748624140293863</v>
      </c>
      <c r="P56" s="49"/>
      <c r="Q56" s="49">
        <v>-1.6375534532924021</v>
      </c>
      <c r="R56" s="49">
        <v>27.438863031397393</v>
      </c>
      <c r="S56" s="49"/>
      <c r="T56" s="49">
        <v>-0.86119062407808677</v>
      </c>
      <c r="U56" s="49">
        <v>-0.82565720334070702</v>
      </c>
      <c r="V56" s="49">
        <v>2.441061176863125</v>
      </c>
      <c r="W56" s="49"/>
      <c r="X56" s="49">
        <v>32.35060621904465</v>
      </c>
      <c r="Y56" s="49">
        <v>32.451329872712769</v>
      </c>
      <c r="Z56" s="49">
        <v>32.744801972718541</v>
      </c>
      <c r="AA56" s="49">
        <v>-1.0636462944862877</v>
      </c>
      <c r="AB56" s="49">
        <v>-0.44192632066943399</v>
      </c>
      <c r="AC56" s="177">
        <v>38.486087770376813</v>
      </c>
      <c r="AD56" s="183"/>
      <c r="AE56" s="50">
        <v>1060.973</v>
      </c>
      <c r="AF56" s="50">
        <v>1092.097</v>
      </c>
      <c r="AG56" s="105">
        <v>0.87449690546190983</v>
      </c>
    </row>
    <row r="57" spans="2:33">
      <c r="B57" s="69" t="s">
        <v>117</v>
      </c>
      <c r="C57" s="49">
        <v>36.36363636363636</v>
      </c>
      <c r="D57" s="49">
        <v>34.905644339420903</v>
      </c>
      <c r="E57" s="49">
        <v>32.255400475827038</v>
      </c>
      <c r="F57" s="49">
        <v>0.49765889160395227</v>
      </c>
      <c r="G57" s="49">
        <v>2.1525849719899108</v>
      </c>
      <c r="H57" s="49">
        <v>2.6502438635938632</v>
      </c>
      <c r="I57" s="49">
        <v>32.970035780976396</v>
      </c>
      <c r="J57" s="49"/>
      <c r="K57" s="49">
        <v>-1.145557320919296</v>
      </c>
      <c r="L57" s="49">
        <v>3.3611212267354307</v>
      </c>
      <c r="M57" s="49">
        <v>2.5510276318353129</v>
      </c>
      <c r="N57" s="49">
        <v>-0.6478984293153438</v>
      </c>
      <c r="O57" s="49">
        <v>-1.4579920242154625</v>
      </c>
      <c r="P57" s="49"/>
      <c r="Q57" s="49">
        <v>-1.9556509158194144</v>
      </c>
      <c r="R57" s="49">
        <v>26.867819867930248</v>
      </c>
      <c r="S57" s="49"/>
      <c r="T57" s="49">
        <v>-3.182529506555372</v>
      </c>
      <c r="U57" s="49">
        <v>-3.4025480636309058</v>
      </c>
      <c r="V57" s="49">
        <v>2.4060671078967779</v>
      </c>
      <c r="W57" s="49"/>
      <c r="X57" s="49">
        <v>28.208052785851823</v>
      </c>
      <c r="Y57" s="49">
        <v>28.313175963935738</v>
      </c>
      <c r="Z57" s="49">
        <v>33.097945017073755</v>
      </c>
      <c r="AA57" s="49">
        <v>-1.3889174711197683</v>
      </c>
      <c r="AB57" s="49">
        <v>-0.57882387621964959</v>
      </c>
      <c r="AC57" s="177">
        <v>35.643632569904433</v>
      </c>
      <c r="AD57" s="183"/>
      <c r="AE57" s="50">
        <v>1117.633</v>
      </c>
      <c r="AF57" s="50">
        <v>1141.518</v>
      </c>
      <c r="AG57" s="105">
        <v>1.2703884276154733</v>
      </c>
    </row>
    <row r="58" spans="2:33">
      <c r="B58" s="69" t="s">
        <v>118</v>
      </c>
      <c r="C58" s="49">
        <v>35.565396240896526</v>
      </c>
      <c r="D58" s="49">
        <v>36.05134595566517</v>
      </c>
      <c r="E58" s="49">
        <v>32.703596545315776</v>
      </c>
      <c r="F58" s="49">
        <v>1.1589491067925162</v>
      </c>
      <c r="G58" s="49">
        <v>2.1888003035568762</v>
      </c>
      <c r="H58" s="49">
        <v>3.3477494103493917</v>
      </c>
      <c r="I58" s="49">
        <v>32.298537838968251</v>
      </c>
      <c r="J58" s="49"/>
      <c r="K58" s="49">
        <v>-6.9387353563543253E-2</v>
      </c>
      <c r="L58" s="49">
        <v>1.2035340229478648</v>
      </c>
      <c r="M58" s="49">
        <v>0.59992198448753775</v>
      </c>
      <c r="N58" s="49">
        <v>1.0895617532289732</v>
      </c>
      <c r="O58" s="49">
        <v>0.48594971476864568</v>
      </c>
      <c r="P58" s="49"/>
      <c r="Q58" s="49">
        <v>-0.6729993920238706</v>
      </c>
      <c r="R58" s="49">
        <v>28.243998957370682</v>
      </c>
      <c r="S58" s="49"/>
      <c r="T58" s="49">
        <v>0.23896480206280693</v>
      </c>
      <c r="U58" s="49">
        <v>0.34451980665496706</v>
      </c>
      <c r="V58" s="49">
        <v>1.9847617897782395</v>
      </c>
      <c r="W58" s="49"/>
      <c r="X58" s="49">
        <v>27.978348515776542</v>
      </c>
      <c r="Y58" s="49">
        <v>28.079903319826549</v>
      </c>
      <c r="Z58" s="49">
        <v>34.676734132908159</v>
      </c>
      <c r="AA58" s="49">
        <v>0.4263594303134311</v>
      </c>
      <c r="AB58" s="49">
        <v>1.0299714687737584</v>
      </c>
      <c r="AC58" s="177">
        <v>34.292785781119967</v>
      </c>
      <c r="AD58" s="183"/>
      <c r="AE58" s="50">
        <v>1159.585</v>
      </c>
      <c r="AF58" s="50">
        <v>1181.6279999999999</v>
      </c>
      <c r="AG58" s="105">
        <v>0.69906870587446535</v>
      </c>
    </row>
    <row r="59" spans="2:33">
      <c r="B59" s="69" t="s">
        <v>119</v>
      </c>
      <c r="C59" s="49">
        <v>34.523355033194342</v>
      </c>
      <c r="D59" s="49">
        <v>37.416807558757377</v>
      </c>
      <c r="E59" s="49">
        <v>33.665607290360015</v>
      </c>
      <c r="F59" s="49">
        <v>1.5253531392079964</v>
      </c>
      <c r="G59" s="49">
        <v>2.2258471291893707</v>
      </c>
      <c r="H59" s="49">
        <v>3.7512002683973673</v>
      </c>
      <c r="I59" s="49">
        <v>31.414721860006971</v>
      </c>
      <c r="J59" s="49"/>
      <c r="K59" s="49">
        <v>1.5446931539178841</v>
      </c>
      <c r="L59" s="49">
        <v>-1.2443953043682332</v>
      </c>
      <c r="M59" s="49">
        <v>-1.4209890719310825</v>
      </c>
      <c r="N59" s="49">
        <v>3.0700462931258801</v>
      </c>
      <c r="O59" s="49">
        <v>2.8934525255630317</v>
      </c>
      <c r="P59" s="49"/>
      <c r="Q59" s="49">
        <v>1.368099386355035</v>
      </c>
      <c r="R59" s="49">
        <v>31.277550777179542</v>
      </c>
      <c r="S59" s="49"/>
      <c r="T59" s="49">
        <v>1.797386431058732</v>
      </c>
      <c r="U59" s="49">
        <v>1.9321635571245124</v>
      </c>
      <c r="V59" s="49">
        <v>1.7971385270868143</v>
      </c>
      <c r="W59" s="49"/>
      <c r="X59" s="49">
        <v>29.731083477344946</v>
      </c>
      <c r="Y59" s="49">
        <v>29.819664711974092</v>
      </c>
      <c r="Z59" s="49">
        <v>37.379509388805587</v>
      </c>
      <c r="AA59" s="49">
        <v>2.5143247178439627</v>
      </c>
      <c r="AB59" s="49">
        <v>2.690918485406812</v>
      </c>
      <c r="AC59" s="177">
        <v>34.872238556339482</v>
      </c>
      <c r="AD59" s="183"/>
      <c r="AE59" s="50">
        <v>1210.146</v>
      </c>
      <c r="AF59" s="50">
        <v>1241.798</v>
      </c>
      <c r="AG59" s="105">
        <v>7.3560052775912529E-2</v>
      </c>
    </row>
    <row r="60" spans="2:33">
      <c r="B60" s="69" t="s">
        <v>120</v>
      </c>
      <c r="C60" s="49">
        <v>35.290945323788307</v>
      </c>
      <c r="D60" s="49">
        <v>38.697504841131064</v>
      </c>
      <c r="E60" s="49">
        <v>34.823582452641446</v>
      </c>
      <c r="F60" s="49">
        <v>1.6983486146616218</v>
      </c>
      <c r="G60" s="49">
        <v>2.1755737738279923</v>
      </c>
      <c r="H60" s="49">
        <v>3.8739223884896137</v>
      </c>
      <c r="I60" s="49">
        <v>32.22479128737298</v>
      </c>
      <c r="J60" s="49"/>
      <c r="K60" s="49">
        <v>1.9148422335777213</v>
      </c>
      <c r="L60" s="49">
        <v>-1.6534986858109852</v>
      </c>
      <c r="M60" s="49">
        <v>-1.8601300167075729</v>
      </c>
      <c r="N60" s="49">
        <v>3.6131908482393427</v>
      </c>
      <c r="O60" s="49">
        <v>3.4065595173427545</v>
      </c>
      <c r="P60" s="49"/>
      <c r="Q60" s="49">
        <v>1.7082109026811336</v>
      </c>
      <c r="R60" s="49">
        <v>31.177818008575514</v>
      </c>
      <c r="S60" s="49"/>
      <c r="T60" s="49">
        <v>3.0832173601316222</v>
      </c>
      <c r="U60" s="49">
        <v>3.1297110036521776</v>
      </c>
      <c r="V60" s="49">
        <v>1.8175570642942906</v>
      </c>
      <c r="W60" s="49"/>
      <c r="X60" s="49">
        <v>30.833730347784659</v>
      </c>
      <c r="Y60" s="49">
        <v>30.940447832301093</v>
      </c>
      <c r="Z60" s="49">
        <v>37.709004287756073</v>
      </c>
      <c r="AA60" s="49">
        <v>2.9360657611103371</v>
      </c>
      <c r="AB60" s="49">
        <v>3.1426970920069248</v>
      </c>
      <c r="AC60" s="177">
        <v>36.605917059723197</v>
      </c>
      <c r="AD60" s="183"/>
      <c r="AE60" s="50">
        <v>1277.5940000000001</v>
      </c>
      <c r="AF60" s="50">
        <v>1311.875</v>
      </c>
      <c r="AG60" s="105">
        <v>0.38383864068281015</v>
      </c>
    </row>
    <row r="61" spans="2:33">
      <c r="B61" s="69" t="s">
        <v>121</v>
      </c>
      <c r="C61" s="49">
        <v>35.888955650441133</v>
      </c>
      <c r="D61" s="49">
        <v>39.725954143478582</v>
      </c>
      <c r="E61" s="49">
        <v>35.507053164064331</v>
      </c>
      <c r="F61" s="49">
        <v>2.0426064139118862</v>
      </c>
      <c r="G61" s="49">
        <v>2.1762945655023667</v>
      </c>
      <c r="H61" s="49">
        <v>4.2189009794142525</v>
      </c>
      <c r="I61" s="49">
        <v>32.840123082224906</v>
      </c>
      <c r="J61" s="49"/>
      <c r="K61" s="49">
        <v>2.1125804507918082</v>
      </c>
      <c r="L61" s="49">
        <v>-2.0399326508800768</v>
      </c>
      <c r="M61" s="49">
        <v>-2.3581210225463245</v>
      </c>
      <c r="N61" s="49">
        <v>4.155186864703694</v>
      </c>
      <c r="O61" s="49">
        <v>3.8369984930374468</v>
      </c>
      <c r="P61" s="49"/>
      <c r="Q61" s="49">
        <v>1.7943920791255608</v>
      </c>
      <c r="R61" s="49">
        <v>33.265383507658285</v>
      </c>
      <c r="S61" s="49"/>
      <c r="T61" s="49">
        <v>3.0533631111312469</v>
      </c>
      <c r="U61" s="49">
        <v>3.1464249188772873</v>
      </c>
      <c r="V61" s="49">
        <v>1.922509891066438</v>
      </c>
      <c r="W61" s="49"/>
      <c r="X61" s="49">
        <v>33.352582165739683</v>
      </c>
      <c r="Y61" s="49">
        <v>33.461128213143908</v>
      </c>
      <c r="Z61" s="49">
        <v>37.64044049433317</v>
      </c>
      <c r="AA61" s="49">
        <v>3.3078904975204564</v>
      </c>
      <c r="AB61" s="49">
        <v>3.6260788691867036</v>
      </c>
      <c r="AC61" s="177">
        <v>39.03827714593622</v>
      </c>
      <c r="AD61" s="183"/>
      <c r="AE61" s="50">
        <v>1346.4169999999999</v>
      </c>
      <c r="AF61" s="50">
        <v>1381.902</v>
      </c>
      <c r="AG61" s="105">
        <v>0.48284128705937113</v>
      </c>
    </row>
    <row r="62" spans="2:33">
      <c r="B62" s="69" t="s">
        <v>122</v>
      </c>
      <c r="C62" s="49">
        <v>36.50911062921962</v>
      </c>
      <c r="D62" s="49">
        <v>39.69633811642246</v>
      </c>
      <c r="E62" s="49">
        <v>35.629131815585893</v>
      </c>
      <c r="F62" s="49">
        <v>1.8542285275545694</v>
      </c>
      <c r="G62" s="49">
        <v>2.2129777732819971</v>
      </c>
      <c r="H62" s="49">
        <v>4.067206300836566</v>
      </c>
      <c r="I62" s="49">
        <v>33.238570707038775</v>
      </c>
      <c r="J62" s="49"/>
      <c r="K62" s="49">
        <v>1.5885385295972481</v>
      </c>
      <c r="L62" s="49">
        <v>-1.4036670115773375</v>
      </c>
      <c r="M62" s="49">
        <v>-1.6592065815263246</v>
      </c>
      <c r="N62" s="49">
        <v>3.4427670571518179</v>
      </c>
      <c r="O62" s="49">
        <v>3.1872274872028301</v>
      </c>
      <c r="P62" s="49"/>
      <c r="Q62" s="49">
        <v>1.3329989596482612</v>
      </c>
      <c r="R62" s="49">
        <v>32.261952096488642</v>
      </c>
      <c r="S62" s="49"/>
      <c r="T62" s="49">
        <v>3.0234124801465625</v>
      </c>
      <c r="U62" s="49">
        <v>3.0234124801465625</v>
      </c>
      <c r="V62" s="49">
        <v>1.9526439756188194</v>
      </c>
      <c r="W62" s="49"/>
      <c r="X62" s="49">
        <v>34.176710152891843</v>
      </c>
      <c r="Y62" s="49">
        <v>34.327268347397975</v>
      </c>
      <c r="Z62" s="49">
        <v>35.440167146970111</v>
      </c>
      <c r="AA62" s="49">
        <v>2.9476866749979105</v>
      </c>
      <c r="AB62" s="49">
        <v>3.2032262449468969</v>
      </c>
      <c r="AC62" s="177">
        <v>40.373796061555666</v>
      </c>
      <c r="AD62" s="183"/>
      <c r="AE62" s="50">
        <v>1423.557</v>
      </c>
      <c r="AF62" s="50">
        <v>1461.229</v>
      </c>
      <c r="AG62" s="105">
        <v>0.31794262507422538</v>
      </c>
    </row>
    <row r="63" spans="2:33">
      <c r="B63" s="69" t="s">
        <v>123</v>
      </c>
      <c r="C63" s="49">
        <v>36.928034990170396</v>
      </c>
      <c r="D63" s="49">
        <v>39.669141476636611</v>
      </c>
      <c r="E63" s="49">
        <v>35.615033131384557</v>
      </c>
      <c r="F63" s="49">
        <v>1.8131197068796501</v>
      </c>
      <c r="G63" s="49">
        <v>2.2409886383724107</v>
      </c>
      <c r="H63" s="49">
        <v>4.054108345252061</v>
      </c>
      <c r="I63" s="49">
        <v>33.635452992002399</v>
      </c>
      <c r="J63" s="49"/>
      <c r="K63" s="49">
        <v>0.99550109781646245</v>
      </c>
      <c r="L63" s="49">
        <v>-0.86953144669248605</v>
      </c>
      <c r="M63" s="49">
        <v>-0.93704576492238101</v>
      </c>
      <c r="N63" s="49">
        <v>2.8086208046961127</v>
      </c>
      <c r="O63" s="49">
        <v>2.7411064864662174</v>
      </c>
      <c r="P63" s="49"/>
      <c r="Q63" s="49">
        <v>0.92798677958656739</v>
      </c>
      <c r="R63" s="49">
        <v>32.284343869784934</v>
      </c>
      <c r="S63" s="49"/>
      <c r="T63" s="49">
        <v>2.5070842774572668</v>
      </c>
      <c r="U63" s="49">
        <v>2.3941242011774095</v>
      </c>
      <c r="V63" s="49">
        <v>2.0598641532882294</v>
      </c>
      <c r="W63" s="49"/>
      <c r="X63" s="49">
        <v>34.930781315164808</v>
      </c>
      <c r="Y63" s="49">
        <v>35.06131487762805</v>
      </c>
      <c r="Z63" s="49">
        <v>35.408403620217818</v>
      </c>
      <c r="AA63" s="49">
        <v>2.5810741318077359</v>
      </c>
      <c r="AB63" s="49">
        <v>2.6485884500376313</v>
      </c>
      <c r="AC63" s="177">
        <v>41.382157262924444</v>
      </c>
      <c r="AD63" s="183"/>
      <c r="AE63" s="50">
        <v>1493.4480000000001</v>
      </c>
      <c r="AF63" s="50">
        <v>1532.173</v>
      </c>
      <c r="AG63" s="105">
        <v>7.8515864301000604E-3</v>
      </c>
    </row>
    <row r="64" spans="2:33">
      <c r="B64" s="69" t="s">
        <v>124</v>
      </c>
      <c r="C64" s="49">
        <v>37.161140434638504</v>
      </c>
      <c r="D64" s="49">
        <v>40.027240450733395</v>
      </c>
      <c r="E64" s="49">
        <v>35.959748766959279</v>
      </c>
      <c r="F64" s="49">
        <v>1.8213313977048551</v>
      </c>
      <c r="G64" s="49">
        <v>2.2461602860692644</v>
      </c>
      <c r="H64" s="49">
        <v>4.0674916837741195</v>
      </c>
      <c r="I64" s="49">
        <v>33.642974514719832</v>
      </c>
      <c r="J64" s="49"/>
      <c r="K64" s="49">
        <v>1.3882967334328513</v>
      </c>
      <c r="L64" s="49">
        <v>-1.0932441519230853</v>
      </c>
      <c r="M64" s="49">
        <v>-1.4367722669658971</v>
      </c>
      <c r="N64" s="49">
        <v>3.2096281311377068</v>
      </c>
      <c r="O64" s="49">
        <v>2.8661000160948951</v>
      </c>
      <c r="P64" s="49"/>
      <c r="Q64" s="49">
        <v>1.0447686183900395</v>
      </c>
      <c r="R64" s="49">
        <v>34.069040639506959</v>
      </c>
      <c r="S64" s="49"/>
      <c r="T64" s="49">
        <v>2.1160651862332029</v>
      </c>
      <c r="U64" s="49">
        <v>1.8526941772741354</v>
      </c>
      <c r="V64" s="49">
        <v>2.1438018432153658</v>
      </c>
      <c r="W64" s="49"/>
      <c r="X64" s="49">
        <v>35.467024171602375</v>
      </c>
      <c r="Y64" s="49">
        <v>35.598337201856886</v>
      </c>
      <c r="Z64" s="49">
        <v>38.082154434128384</v>
      </c>
      <c r="AA64" s="49">
        <v>2.8765966867418147</v>
      </c>
      <c r="AB64" s="49">
        <v>3.2201248017846269</v>
      </c>
      <c r="AC64" s="177">
        <v>42.109207361410554</v>
      </c>
      <c r="AD64" s="183"/>
      <c r="AE64" s="50">
        <v>1571.9269999999999</v>
      </c>
      <c r="AF64" s="50">
        <v>1599.232</v>
      </c>
      <c r="AG64" s="105">
        <v>0.68391559551358327</v>
      </c>
    </row>
    <row r="65" spans="1:71">
      <c r="B65" s="69" t="s">
        <v>125</v>
      </c>
      <c r="C65" s="49">
        <v>35.742910635819356</v>
      </c>
      <c r="D65" s="49">
        <v>43.041875592728651</v>
      </c>
      <c r="E65" s="49">
        <v>37.592380938034871</v>
      </c>
      <c r="F65" s="49">
        <v>3.0475745747574008</v>
      </c>
      <c r="G65" s="49">
        <v>2.4019200799363825</v>
      </c>
      <c r="H65" s="49">
        <v>5.4494946546937832</v>
      </c>
      <c r="I65" s="49">
        <v>32.02206535376682</v>
      </c>
      <c r="J65" s="49"/>
      <c r="K65" s="49">
        <v>3.9059447559039921</v>
      </c>
      <c r="L65" s="49">
        <v>-5.3773159175455207</v>
      </c>
      <c r="M65" s="49">
        <v>-5.0318702912976212</v>
      </c>
      <c r="N65" s="49">
        <v>6.9535193306613934</v>
      </c>
      <c r="O65" s="49">
        <v>7.2989649569092947</v>
      </c>
      <c r="P65" s="49"/>
      <c r="Q65" s="49">
        <v>4.251390382151893</v>
      </c>
      <c r="R65" s="49">
        <v>47.209226625477889</v>
      </c>
      <c r="S65" s="49"/>
      <c r="T65" s="49">
        <v>10.282582894141409</v>
      </c>
      <c r="U65" s="49">
        <v>10.915307980394999</v>
      </c>
      <c r="V65" s="49">
        <v>2.1037277493351709</v>
      </c>
      <c r="W65" s="49"/>
      <c r="X65" s="49">
        <v>50.243494578017199</v>
      </c>
      <c r="Y65" s="49">
        <v>50.275407366748162</v>
      </c>
      <c r="Z65" s="49">
        <v>48.834034350925783</v>
      </c>
      <c r="AA65" s="49">
        <v>6.7112417441646626</v>
      </c>
      <c r="AB65" s="49">
        <v>6.3657961179167621</v>
      </c>
      <c r="AC65" s="177">
        <v>53.186754009215029</v>
      </c>
      <c r="AD65" s="183"/>
      <c r="AE65" s="50">
        <v>1593.2670000000001</v>
      </c>
      <c r="AF65" s="50">
        <v>1566.77</v>
      </c>
      <c r="AG65" s="105">
        <v>-0.96445749070123332</v>
      </c>
    </row>
    <row r="66" spans="1:71">
      <c r="B66" s="69" t="s">
        <v>126</v>
      </c>
      <c r="C66" s="49">
        <v>35.780022589928976</v>
      </c>
      <c r="D66" s="49">
        <v>45.967506237755813</v>
      </c>
      <c r="E66" s="49">
        <v>40.368458333067444</v>
      </c>
      <c r="F66" s="49">
        <v>3.0444077163113326</v>
      </c>
      <c r="G66" s="49">
        <v>2.5546401883770353</v>
      </c>
      <c r="H66" s="49">
        <v>5.5990479046883674</v>
      </c>
      <c r="I66" s="49">
        <v>32.152871282074194</v>
      </c>
      <c r="J66" s="49"/>
      <c r="K66" s="49">
        <v>5.3939827095529287</v>
      </c>
      <c r="L66" s="49">
        <v>-8.1880834933985067</v>
      </c>
      <c r="M66" s="49">
        <v>-6.4389902714359319</v>
      </c>
      <c r="N66" s="49">
        <v>8.4383904258642595</v>
      </c>
      <c r="O66" s="49">
        <v>10.187483647826836</v>
      </c>
      <c r="P66" s="49"/>
      <c r="Q66" s="49">
        <v>7.1430759315155035</v>
      </c>
      <c r="R66" s="49">
        <v>54.332474359183145</v>
      </c>
      <c r="S66" s="49"/>
      <c r="T66" s="49">
        <v>12.672822528668155</v>
      </c>
      <c r="U66" s="49">
        <v>12.81225471740254</v>
      </c>
      <c r="V66" s="49">
        <v>1.790539031440842</v>
      </c>
      <c r="W66" s="49"/>
      <c r="X66" s="49">
        <v>64.38547853462434</v>
      </c>
      <c r="Y66" s="49">
        <v>63.602505014162425</v>
      </c>
      <c r="Z66" s="49">
        <v>55.60966076576063</v>
      </c>
      <c r="AA66" s="49">
        <v>9.9660512931777152</v>
      </c>
      <c r="AB66" s="49">
        <v>8.2169580712151351</v>
      </c>
      <c r="AC66" s="177">
        <v>70.342741549515978</v>
      </c>
      <c r="AD66" s="183"/>
      <c r="AE66" s="50">
        <v>1567.07</v>
      </c>
      <c r="AF66" s="50">
        <v>1596.4780000000001</v>
      </c>
      <c r="AG66" s="105">
        <v>-3.1124034476446587</v>
      </c>
    </row>
    <row r="67" spans="1:71">
      <c r="B67" s="69" t="s">
        <v>127</v>
      </c>
      <c r="C67" s="49">
        <v>36.807362979093973</v>
      </c>
      <c r="D67" s="49">
        <v>45.502551860892659</v>
      </c>
      <c r="E67" s="49">
        <v>40.498099730177607</v>
      </c>
      <c r="F67" s="49">
        <v>2.5055023926375108</v>
      </c>
      <c r="G67" s="49">
        <v>2.498949738077537</v>
      </c>
      <c r="H67" s="49">
        <v>5.0044521307150474</v>
      </c>
      <c r="I67" s="49">
        <v>33.122505245185636</v>
      </c>
      <c r="J67" s="49"/>
      <c r="K67" s="49">
        <v>4.374201409194586</v>
      </c>
      <c r="L67" s="49">
        <v>-6.1269769726246022</v>
      </c>
      <c r="M67" s="49">
        <v>-4.3114918926580135</v>
      </c>
      <c r="N67" s="49">
        <v>6.8797038018320986</v>
      </c>
      <c r="O67" s="49">
        <v>8.6951888817986855</v>
      </c>
      <c r="P67" s="49"/>
      <c r="Q67" s="49">
        <v>6.1896864891611747</v>
      </c>
      <c r="R67" s="49">
        <v>58.625817749808753</v>
      </c>
      <c r="S67" s="49"/>
      <c r="T67" s="49">
        <v>8.2069242574372634</v>
      </c>
      <c r="U67" s="49">
        <v>7.7188433523625699</v>
      </c>
      <c r="V67" s="49">
        <v>2.5110752110016006</v>
      </c>
      <c r="W67" s="49"/>
      <c r="X67" s="49">
        <v>70.622885754928262</v>
      </c>
      <c r="Y67" s="49">
        <v>70.344914269968314</v>
      </c>
      <c r="Z67" s="49">
        <v>49.871528831081562</v>
      </c>
      <c r="AA67" s="49">
        <v>8.7660432867135452</v>
      </c>
      <c r="AB67" s="49">
        <v>6.9505582067469582</v>
      </c>
      <c r="AC67" s="177">
        <v>75.976376149317232</v>
      </c>
      <c r="AD67" s="183"/>
      <c r="AE67" s="50">
        <v>1632.9259999999999</v>
      </c>
      <c r="AF67" s="50">
        <v>1654.846</v>
      </c>
      <c r="AG67" s="105">
        <v>-2.3860087808753123</v>
      </c>
    </row>
    <row r="68" spans="1:71">
      <c r="B68" s="69" t="s">
        <v>128</v>
      </c>
      <c r="C68" s="49">
        <v>37.089492348612715</v>
      </c>
      <c r="D68" s="49">
        <v>44.350799583803564</v>
      </c>
      <c r="E68" s="49">
        <v>39.955274944867064</v>
      </c>
      <c r="F68" s="49">
        <v>1.8704448768752189</v>
      </c>
      <c r="G68" s="49">
        <v>2.5250797620612793</v>
      </c>
      <c r="H68" s="49">
        <v>4.3955246389364984</v>
      </c>
      <c r="I68" s="49">
        <v>33.3145739548835</v>
      </c>
      <c r="J68" s="49"/>
      <c r="K68" s="49">
        <v>3.6635780405077876</v>
      </c>
      <c r="L68" s="49">
        <v>-4.6779861470120538</v>
      </c>
      <c r="M68" s="49">
        <v>-2.9507018292042102</v>
      </c>
      <c r="N68" s="49">
        <v>5.5340229173830062</v>
      </c>
      <c r="O68" s="49">
        <v>7.2613072351908503</v>
      </c>
      <c r="P68" s="49"/>
      <c r="Q68" s="49">
        <v>5.3908623583156308</v>
      </c>
      <c r="R68" s="49">
        <v>64.558870827423661</v>
      </c>
      <c r="S68" s="49"/>
      <c r="T68" s="49">
        <v>7.000381334934028</v>
      </c>
      <c r="U68" s="49">
        <v>6.4134467859295148</v>
      </c>
      <c r="V68" s="49">
        <v>2.5858791852401373</v>
      </c>
      <c r="W68" s="49"/>
      <c r="X68" s="49">
        <v>73.88035612077455</v>
      </c>
      <c r="Y68" s="49">
        <v>74.202568442290882</v>
      </c>
      <c r="Z68" s="49">
        <v>54.791092176743419</v>
      </c>
      <c r="AA68" s="49">
        <v>7.4202661967700161</v>
      </c>
      <c r="AB68" s="49">
        <v>5.6929818789621738</v>
      </c>
      <c r="AC68" s="177">
        <v>81.7472040891479</v>
      </c>
      <c r="AD68" s="183"/>
      <c r="AE68" s="50">
        <v>1680.9369999999999</v>
      </c>
      <c r="AF68" s="50">
        <v>1706.9490000000001</v>
      </c>
      <c r="AG68" s="105">
        <v>-2.5001651232655617</v>
      </c>
    </row>
    <row r="69" spans="1:71">
      <c r="A69" s="82"/>
      <c r="B69" s="75" t="s">
        <v>129</v>
      </c>
      <c r="C69" s="49">
        <v>36.654260253173902</v>
      </c>
      <c r="D69" s="49">
        <v>43.791851455311523</v>
      </c>
      <c r="E69" s="49">
        <v>39.343483056361883</v>
      </c>
      <c r="F69" s="49">
        <v>1.9020923997064918</v>
      </c>
      <c r="G69" s="49">
        <v>2.546275999243155</v>
      </c>
      <c r="H69" s="49">
        <v>4.448368398949647</v>
      </c>
      <c r="I69" s="49">
        <v>32.666344392193416</v>
      </c>
      <c r="J69" s="49"/>
      <c r="K69" s="49">
        <v>3.6573989708319785</v>
      </c>
      <c r="L69" s="49">
        <v>-4.8870731786108204</v>
      </c>
      <c r="M69" s="49">
        <v>-3.3089733470116642</v>
      </c>
      <c r="N69" s="49">
        <v>5.5594913705384705</v>
      </c>
      <c r="O69" s="49">
        <v>7.1375912021376262</v>
      </c>
      <c r="P69" s="49"/>
      <c r="Q69" s="49">
        <v>5.2354988024311346</v>
      </c>
      <c r="R69" s="49">
        <v>69.331717911134831</v>
      </c>
      <c r="S69" s="49"/>
      <c r="T69" s="49">
        <v>5.5299299918316116</v>
      </c>
      <c r="U69" s="49">
        <v>5.0120218377490326</v>
      </c>
      <c r="V69" s="49">
        <v>2.2288279515803753</v>
      </c>
      <c r="W69" s="49"/>
      <c r="X69" s="49">
        <v>77.167475789848254</v>
      </c>
      <c r="Y69" s="49">
        <v>75.902250012002696</v>
      </c>
      <c r="Z69" s="49">
        <v>59.015496191613927</v>
      </c>
      <c r="AA69" s="49">
        <v>7.1810867187536056</v>
      </c>
      <c r="AB69" s="49">
        <v>5.602986887154449</v>
      </c>
      <c r="AC69" s="177">
        <v>83.532562797373203</v>
      </c>
      <c r="AD69" s="183"/>
      <c r="AE69" s="50">
        <v>1733.5119999999999</v>
      </c>
      <c r="AF69" s="50">
        <v>1770.4349999999999</v>
      </c>
      <c r="AG69" s="105">
        <v>-2.156133613892087</v>
      </c>
    </row>
    <row r="70" spans="1:71">
      <c r="A70" s="82"/>
      <c r="B70" s="75" t="s">
        <v>130</v>
      </c>
      <c r="C70" s="49">
        <v>36.537096936168616</v>
      </c>
      <c r="D70" s="49">
        <v>42.18989508394278</v>
      </c>
      <c r="E70" s="49">
        <v>38.22682262266968</v>
      </c>
      <c r="F70" s="49">
        <v>1.4515208800279864</v>
      </c>
      <c r="G70" s="49">
        <v>2.5115515812451101</v>
      </c>
      <c r="H70" s="49">
        <v>3.9630724612730956</v>
      </c>
      <c r="I70" s="49">
        <v>32.552449751863101</v>
      </c>
      <c r="J70" s="49"/>
      <c r="K70" s="49">
        <v>2.9852955253670084</v>
      </c>
      <c r="L70" s="49">
        <v>-3.5659540938450793</v>
      </c>
      <c r="M70" s="49">
        <v>-2.3499723514659121</v>
      </c>
      <c r="N70" s="49">
        <v>4.4368164053949943</v>
      </c>
      <c r="O70" s="49">
        <v>5.6527981477741616</v>
      </c>
      <c r="P70" s="49"/>
      <c r="Q70" s="49">
        <v>4.2012772677461747</v>
      </c>
      <c r="R70" s="49">
        <v>70.241022959444962</v>
      </c>
      <c r="S70" s="49"/>
      <c r="T70" s="49">
        <v>4.3278011549925903</v>
      </c>
      <c r="U70" s="49">
        <v>3.5647401708100066</v>
      </c>
      <c r="V70" s="49">
        <v>2.0865129840104264</v>
      </c>
      <c r="W70" s="49"/>
      <c r="X70" s="49">
        <v>78.76507404272752</v>
      </c>
      <c r="Y70" s="49">
        <v>76.517107724486664</v>
      </c>
      <c r="Z70" s="49">
        <v>56.51462795348813</v>
      </c>
      <c r="AA70" s="49">
        <v>5.5044788242162195</v>
      </c>
      <c r="AB70" s="49">
        <v>4.2884970818370522</v>
      </c>
      <c r="AC70" s="177">
        <v>84.962859472958769</v>
      </c>
      <c r="AD70" s="183"/>
      <c r="AE70" s="50">
        <v>1812.306</v>
      </c>
      <c r="AF70" s="50">
        <v>1855.01</v>
      </c>
      <c r="AG70" s="105">
        <v>-1.5695100392014991</v>
      </c>
    </row>
    <row r="71" spans="1:71">
      <c r="A71" s="82"/>
      <c r="B71" s="75" t="s">
        <v>131</v>
      </c>
      <c r="C71" s="49">
        <v>36.473909943997022</v>
      </c>
      <c r="D71" s="49">
        <v>41.636098244067888</v>
      </c>
      <c r="E71" s="49">
        <v>37.248810188367862</v>
      </c>
      <c r="F71" s="49">
        <v>1.9268434003455299</v>
      </c>
      <c r="G71" s="49">
        <v>2.4604446553544967</v>
      </c>
      <c r="H71" s="49">
        <v>4.3872880557000267</v>
      </c>
      <c r="I71" s="49">
        <v>32.413667818786365</v>
      </c>
      <c r="J71" s="49"/>
      <c r="K71" s="49">
        <v>2.5987829864143293</v>
      </c>
      <c r="L71" s="49">
        <v>-3.3562592089248846</v>
      </c>
      <c r="M71" s="49">
        <v>-2.7196972956138787</v>
      </c>
      <c r="N71" s="49">
        <v>4.5256263867598605</v>
      </c>
      <c r="O71" s="49">
        <v>5.1621883000708646</v>
      </c>
      <c r="P71" s="49"/>
      <c r="Q71" s="49">
        <v>3.2353448997253342</v>
      </c>
      <c r="R71" s="49">
        <v>72.28305801849568</v>
      </c>
      <c r="S71" s="49"/>
      <c r="T71" s="49">
        <v>4.4774838807402526</v>
      </c>
      <c r="U71" s="49">
        <v>4.3359670019924641</v>
      </c>
      <c r="V71" s="49">
        <v>1.8095305685991416</v>
      </c>
      <c r="W71" s="49"/>
      <c r="X71" s="49">
        <v>81.05114228368997</v>
      </c>
      <c r="Y71" s="49">
        <v>78.680034699644906</v>
      </c>
      <c r="Z71" s="49">
        <v>53.308086782537565</v>
      </c>
      <c r="AA71" s="49">
        <v>4.9603466739826088</v>
      </c>
      <c r="AB71" s="49">
        <v>4.3237847606716038</v>
      </c>
      <c r="AC71" s="177">
        <v>85.874687651275295</v>
      </c>
      <c r="AD71" s="183"/>
      <c r="AE71" s="184">
        <v>1888.114</v>
      </c>
      <c r="AF71" s="52">
        <v>1914.7170000000001</v>
      </c>
      <c r="AG71" s="105">
        <v>-0.64531981094141067</v>
      </c>
    </row>
    <row r="72" spans="1:71">
      <c r="A72" s="82"/>
      <c r="B72" s="75" t="s">
        <v>132</v>
      </c>
      <c r="C72" s="49">
        <v>36.678178262889325</v>
      </c>
      <c r="D72" s="49">
        <v>40.829452263744336</v>
      </c>
      <c r="E72" s="49">
        <v>36.726124669918306</v>
      </c>
      <c r="F72" s="49">
        <v>1.6666006460418235</v>
      </c>
      <c r="G72" s="49">
        <v>2.436726947784202</v>
      </c>
      <c r="H72" s="49">
        <v>4.1033275938260259</v>
      </c>
      <c r="I72" s="49">
        <v>32.619298840386307</v>
      </c>
      <c r="J72" s="49"/>
      <c r="K72" s="49">
        <v>2.3076675965096256</v>
      </c>
      <c r="L72" s="49">
        <v>-2.4049341585739956</v>
      </c>
      <c r="M72" s="49">
        <v>-2.2279284002704345</v>
      </c>
      <c r="N72" s="49">
        <v>3.9742682425514477</v>
      </c>
      <c r="O72" s="49">
        <v>4.1512740008550102</v>
      </c>
      <c r="P72" s="49"/>
      <c r="Q72" s="49">
        <v>2.4846733548131867</v>
      </c>
      <c r="R72" s="49">
        <v>73.170500034609205</v>
      </c>
      <c r="S72" s="49"/>
      <c r="T72" s="49">
        <v>3.1251591568634614</v>
      </c>
      <c r="U72" s="49">
        <v>2.613593629507001</v>
      </c>
      <c r="V72" s="49">
        <v>1.773708392216014</v>
      </c>
      <c r="W72" s="49"/>
      <c r="X72" s="49">
        <v>80.586365595331145</v>
      </c>
      <c r="Y72" s="49">
        <v>78.408765371407156</v>
      </c>
      <c r="Z72" s="49">
        <v>51.384595019408927</v>
      </c>
      <c r="AA72" s="49">
        <v>4.2976854540787119</v>
      </c>
      <c r="AB72" s="49">
        <v>4.1206796957751504</v>
      </c>
      <c r="AC72" s="177">
        <v>85.925157304856313</v>
      </c>
      <c r="AD72" s="183"/>
      <c r="AE72" s="57">
        <v>1943.837</v>
      </c>
      <c r="AF72" s="50">
        <v>1979.2429999999999</v>
      </c>
      <c r="AG72" s="105">
        <v>-9.5883592230557452E-2</v>
      </c>
    </row>
    <row r="73" spans="1:71">
      <c r="A73" s="82"/>
      <c r="B73" s="185" t="s">
        <v>133</v>
      </c>
      <c r="C73" s="49">
        <v>37.207454129458675</v>
      </c>
      <c r="D73" s="49">
        <v>40.027418236136228</v>
      </c>
      <c r="E73" s="49">
        <v>35.810150173793531</v>
      </c>
      <c r="F73" s="49">
        <v>1.802016458834661</v>
      </c>
      <c r="G73" s="49">
        <v>2.4152516035080347</v>
      </c>
      <c r="H73" s="49">
        <v>4.2172680623426961</v>
      </c>
      <c r="I73" s="49">
        <v>33.387153584547129</v>
      </c>
      <c r="J73" s="49"/>
      <c r="K73" s="49">
        <v>0.90911052483878507</v>
      </c>
      <c r="L73" s="49">
        <v>-0.89141332670323092</v>
      </c>
      <c r="M73" s="49">
        <v>-0.78257620369911773</v>
      </c>
      <c r="N73" s="49">
        <v>2.711126983673446</v>
      </c>
      <c r="O73" s="49">
        <v>2.8199641066775594</v>
      </c>
      <c r="P73" s="49"/>
      <c r="Q73" s="49">
        <v>1.0179476478428982</v>
      </c>
      <c r="R73" s="49">
        <v>73.276383567670607</v>
      </c>
      <c r="S73" s="49"/>
      <c r="T73" s="49">
        <v>3.3032610829759292</v>
      </c>
      <c r="U73" s="49">
        <v>4.8618777989243842</v>
      </c>
      <c r="V73" s="49">
        <v>1.8134119474051338</v>
      </c>
      <c r="W73" s="49"/>
      <c r="X73" s="49">
        <v>82.708696545675735</v>
      </c>
      <c r="Y73" s="49">
        <v>76.842626262821184</v>
      </c>
      <c r="Z73" s="49">
        <v>60.53591569067671</v>
      </c>
      <c r="AA73" s="49">
        <v>2.6782851318966139</v>
      </c>
      <c r="AB73" s="49">
        <v>2.5694480088925014</v>
      </c>
      <c r="AC73" s="177">
        <v>85.720712854407097</v>
      </c>
      <c r="AD73" s="183"/>
      <c r="AE73" s="57">
        <v>2027.1179999999999</v>
      </c>
      <c r="AF73" s="50">
        <v>2072.9380000000001</v>
      </c>
      <c r="AG73" s="105">
        <v>-0.17932080911600343</v>
      </c>
    </row>
    <row r="74" spans="1:71">
      <c r="A74" s="82"/>
      <c r="B74" s="75" t="s">
        <v>134</v>
      </c>
      <c r="C74" s="49">
        <v>36.859866349319994</v>
      </c>
      <c r="D74" s="49">
        <v>39.663352748984799</v>
      </c>
      <c r="E74" s="49">
        <v>35.111086310192341</v>
      </c>
      <c r="F74" s="49">
        <v>2.1904675882204674</v>
      </c>
      <c r="G74" s="49">
        <v>2.3617988505719945</v>
      </c>
      <c r="H74" s="49">
        <v>4.5522664387924623</v>
      </c>
      <c r="I74" s="49">
        <v>33.141651656068213</v>
      </c>
      <c r="J74" s="49"/>
      <c r="K74" s="49">
        <v>0.61545418805529872</v>
      </c>
      <c r="L74" s="49">
        <v>-0.86620886902923788</v>
      </c>
      <c r="M74" s="49">
        <v>-0.8686442456401946</v>
      </c>
      <c r="N74" s="49">
        <v>2.805921776275766</v>
      </c>
      <c r="O74" s="49">
        <v>2.8034863996648092</v>
      </c>
      <c r="P74" s="49"/>
      <c r="Q74" s="49">
        <v>0.61301881144434178</v>
      </c>
      <c r="R74" s="49">
        <v>69.374527620395284</v>
      </c>
      <c r="S74" s="49"/>
      <c r="T74" s="49">
        <v>1.8260990051626371</v>
      </c>
      <c r="U74" s="49">
        <v>3.8164830794418085</v>
      </c>
      <c r="V74" s="49">
        <v>2.0270810269661124</v>
      </c>
      <c r="W74" s="49"/>
      <c r="X74" s="49">
        <v>81.606768468533716</v>
      </c>
      <c r="Y74" s="49">
        <v>73.120184513562762</v>
      </c>
      <c r="Z74" s="49">
        <v>61.942777768492682</v>
      </c>
      <c r="AA74" s="49">
        <v>2.7943594513805574</v>
      </c>
      <c r="AB74" s="49">
        <v>2.7967948279915138</v>
      </c>
      <c r="AC74" s="177">
        <v>84.374617247473182</v>
      </c>
      <c r="AD74" s="183"/>
      <c r="AE74" s="50">
        <v>2114.6170000000002</v>
      </c>
      <c r="AF74" s="50">
        <v>2153.9879999999998</v>
      </c>
      <c r="AG74" s="105">
        <v>7.6599076868315269E-2</v>
      </c>
    </row>
    <row r="75" spans="1:71">
      <c r="A75" s="82"/>
      <c r="B75" s="75" t="s">
        <v>135</v>
      </c>
      <c r="C75" s="49">
        <v>37.067245582894451</v>
      </c>
      <c r="D75" s="49">
        <v>39.090636343585075</v>
      </c>
      <c r="E75" s="49">
        <v>34.70022225378213</v>
      </c>
      <c r="F75" s="49">
        <v>2.0809292372635615</v>
      </c>
      <c r="G75" s="49">
        <v>2.3094848525393874</v>
      </c>
      <c r="H75" s="49">
        <v>4.3904140898029489</v>
      </c>
      <c r="I75" s="49">
        <v>33.568723545429599</v>
      </c>
      <c r="J75" s="49"/>
      <c r="K75" s="49">
        <v>0.14728176865971945</v>
      </c>
      <c r="L75" s="49">
        <v>-0.4330911998553319</v>
      </c>
      <c r="M75" s="49">
        <v>-0.63791144508798647</v>
      </c>
      <c r="N75" s="49">
        <v>2.2282110059232809</v>
      </c>
      <c r="O75" s="49">
        <v>2.0233907606906261</v>
      </c>
      <c r="P75" s="49"/>
      <c r="Q75" s="49">
        <v>-5.7538476572935274E-2</v>
      </c>
      <c r="R75" s="49">
        <v>66.256054581256848</v>
      </c>
      <c r="S75" s="49"/>
      <c r="T75" s="49">
        <v>1.5897972408017209</v>
      </c>
      <c r="U75" s="49">
        <v>0.75252107575031779</v>
      </c>
      <c r="V75" s="49">
        <v>1.7837384392185911</v>
      </c>
      <c r="W75" s="49"/>
      <c r="X75" s="49">
        <v>79.644005645037979</v>
      </c>
      <c r="Y75" s="49">
        <v>71.778263195635006</v>
      </c>
      <c r="Z75" s="49">
        <v>57.827557274399169</v>
      </c>
      <c r="AA75" s="49">
        <v>1.8447474905689414</v>
      </c>
      <c r="AB75" s="49">
        <v>2.0495677358015962</v>
      </c>
      <c r="AC75" s="177">
        <v>84.12979219020211</v>
      </c>
      <c r="AD75" s="183"/>
      <c r="AE75" s="50">
        <v>2189.8389999999999</v>
      </c>
      <c r="AF75" s="50">
        <v>2229.9229999999998</v>
      </c>
      <c r="AG75" s="105">
        <v>0.37900085971798331</v>
      </c>
    </row>
    <row r="76" spans="1:71">
      <c r="A76" s="82"/>
      <c r="B76" s="75" t="s">
        <v>136</v>
      </c>
      <c r="C76" s="49">
        <v>36.516554834257256</v>
      </c>
      <c r="D76" s="49">
        <v>39.095600031280966</v>
      </c>
      <c r="E76" s="49">
        <v>34.914156273181824</v>
      </c>
      <c r="F76" s="49">
        <v>1.8742072063753092</v>
      </c>
      <c r="G76" s="49">
        <v>2.3072365517238329</v>
      </c>
      <c r="H76" s="49">
        <v>4.1814437580991424</v>
      </c>
      <c r="I76" s="49">
        <v>32.851953978095374</v>
      </c>
      <c r="J76" s="49"/>
      <c r="K76" s="49">
        <v>1.0568206184810149</v>
      </c>
      <c r="L76" s="49">
        <v>-1.213021189321879</v>
      </c>
      <c r="M76" s="49">
        <v>-1.5650038171544893</v>
      </c>
      <c r="N76" s="49">
        <v>2.9310278248563235</v>
      </c>
      <c r="O76" s="49">
        <v>2.5790451970237127</v>
      </c>
      <c r="P76" s="49"/>
      <c r="Q76" s="49">
        <v>0.70483799064840413</v>
      </c>
      <c r="R76" s="49">
        <v>73.780818947163667</v>
      </c>
      <c r="S76" s="49"/>
      <c r="T76" s="49">
        <v>2.4775587766313492</v>
      </c>
      <c r="U76" s="49">
        <v>1.1509452552116173</v>
      </c>
      <c r="V76" s="49">
        <v>1.731277920363425</v>
      </c>
      <c r="W76" s="49"/>
      <c r="X76" s="49">
        <v>84.499793148154794</v>
      </c>
      <c r="Y76" s="49">
        <v>76.477012919747551</v>
      </c>
      <c r="Z76" s="49">
        <v>65.810903442303243</v>
      </c>
      <c r="AA76" s="49">
        <v>2.847982001955502</v>
      </c>
      <c r="AB76" s="49">
        <v>3.1999646297881128</v>
      </c>
      <c r="AC76" s="177">
        <v>83.899800164092539</v>
      </c>
      <c r="AD76" s="183"/>
      <c r="AE76" s="57">
        <v>2263.357</v>
      </c>
      <c r="AF76" s="50">
        <v>2148.8809999999999</v>
      </c>
      <c r="AG76" s="105">
        <v>0.55236491177802816</v>
      </c>
    </row>
    <row r="77" spans="1:71">
      <c r="A77" s="82"/>
      <c r="B77" s="75" t="s">
        <v>137</v>
      </c>
      <c r="C77" s="49">
        <v>37.532488213247795</v>
      </c>
      <c r="D77" s="49">
        <v>52.268392925863374</v>
      </c>
      <c r="E77" s="49">
        <v>46.33539589648511</v>
      </c>
      <c r="F77" s="49">
        <v>3.4057884469923159</v>
      </c>
      <c r="G77" s="49">
        <v>2.527208582385938</v>
      </c>
      <c r="H77" s="49">
        <v>5.9329970293782548</v>
      </c>
      <c r="I77" s="49">
        <v>33.716841169367143</v>
      </c>
      <c r="J77" s="49"/>
      <c r="K77" s="49">
        <v>11.296853013548164</v>
      </c>
      <c r="L77" s="49">
        <v>-13.737372013975383</v>
      </c>
      <c r="M77" s="49">
        <v>-13.704108761900294</v>
      </c>
      <c r="N77" s="49">
        <v>14.702641460540484</v>
      </c>
      <c r="O77" s="49">
        <v>14.73590471261557</v>
      </c>
      <c r="P77" s="49"/>
      <c r="Q77" s="49">
        <v>11.330116265623252</v>
      </c>
      <c r="R77" s="49">
        <v>81.856183590444459</v>
      </c>
      <c r="S77" s="49"/>
      <c r="T77" s="49">
        <v>16.018182024989621</v>
      </c>
      <c r="U77" s="49">
        <v>15.748939808416699</v>
      </c>
      <c r="V77" s="49">
        <v>1.194552027586782</v>
      </c>
      <c r="W77" s="49"/>
      <c r="X77" s="49">
        <v>95.381028420899824</v>
      </c>
      <c r="Y77" s="49">
        <v>85.427340289555403</v>
      </c>
      <c r="Z77" s="49">
        <v>71.835798224711695</v>
      </c>
      <c r="AA77" s="49">
        <v>14.98628433418831</v>
      </c>
      <c r="AB77" s="49">
        <v>14.953021082113221</v>
      </c>
      <c r="AC77" s="177">
        <v>106.37242914204576</v>
      </c>
      <c r="AD77" s="183"/>
      <c r="AE77" s="186">
        <v>2109.9960000000001</v>
      </c>
      <c r="AF77" s="50">
        <v>2259.4639999999999</v>
      </c>
      <c r="AG77" s="105">
        <v>-0.28747246886138811</v>
      </c>
      <c r="AH77" s="110"/>
      <c r="BS77" s="82">
        <v>60</v>
      </c>
    </row>
    <row r="78" spans="1:71">
      <c r="A78" s="82"/>
      <c r="B78" s="75" t="s">
        <v>138</v>
      </c>
      <c r="C78" s="49">
        <v>38.350890144051107</v>
      </c>
      <c r="D78" s="49">
        <v>43.362517382534058</v>
      </c>
      <c r="E78" s="49">
        <v>38.863096869769095</v>
      </c>
      <c r="F78" s="49">
        <v>2.201426596756038</v>
      </c>
      <c r="G78" s="49">
        <v>2.2979939160089282</v>
      </c>
      <c r="H78" s="49">
        <v>4.4994205127649662</v>
      </c>
      <c r="I78" s="49">
        <v>34.668084209368608</v>
      </c>
      <c r="J78" s="49"/>
      <c r="K78" s="49">
        <v>3.6434134430651186</v>
      </c>
      <c r="L78" s="49">
        <v>-2.9830053182847176</v>
      </c>
      <c r="M78" s="49">
        <v>-3.8162181196229232</v>
      </c>
      <c r="N78" s="49">
        <v>5.8448400398211575</v>
      </c>
      <c r="O78" s="49">
        <v>5.0116272384829514</v>
      </c>
      <c r="P78" s="49"/>
      <c r="Q78" s="49">
        <v>2.8102006417269134</v>
      </c>
      <c r="R78" s="49">
        <v>78.543902238053903</v>
      </c>
      <c r="S78" s="49"/>
      <c r="T78" s="49">
        <v>5.3656935224908535</v>
      </c>
      <c r="U78" s="49">
        <v>3.2630005524083918</v>
      </c>
      <c r="V78" s="49">
        <v>2.3068674444821231</v>
      </c>
      <c r="W78" s="49"/>
      <c r="X78" s="49">
        <v>94.317872105773574</v>
      </c>
      <c r="Y78" s="49">
        <v>81.229281680410224</v>
      </c>
      <c r="Z78" s="49">
        <v>65.212277604883027</v>
      </c>
      <c r="AA78" s="49">
        <v>5.6265669276511643</v>
      </c>
      <c r="AB78" s="49">
        <v>6.4597797289893704</v>
      </c>
      <c r="AC78" s="177">
        <v>99.37318727977609</v>
      </c>
      <c r="AD78" s="183"/>
      <c r="AE78" s="186">
        <v>2400.3980000000001</v>
      </c>
      <c r="AF78" s="187">
        <v>2524.3359999999998</v>
      </c>
      <c r="AG78" s="105">
        <v>1.7814145902209666</v>
      </c>
      <c r="BS78" s="82">
        <v>60</v>
      </c>
    </row>
    <row r="79" spans="1:71">
      <c r="A79" s="82"/>
      <c r="B79" s="75" t="s">
        <v>139</v>
      </c>
      <c r="C79" s="188">
        <v>39.233036332495175</v>
      </c>
      <c r="D79" s="76">
        <v>44.0576676627431</v>
      </c>
      <c r="E79" s="76">
        <v>39.980131615708856</v>
      </c>
      <c r="F79" s="76">
        <v>1.7720594487567267</v>
      </c>
      <c r="G79" s="76">
        <v>2.3054765982775169</v>
      </c>
      <c r="H79" s="76">
        <v>4.0775360470342434</v>
      </c>
      <c r="I79" s="76">
        <v>35.193080912989082</v>
      </c>
      <c r="J79" s="76"/>
      <c r="K79" s="76">
        <v>3.9230444250790177</v>
      </c>
      <c r="L79" s="76">
        <v>-1.1624561179743209</v>
      </c>
      <c r="M79" s="76">
        <v>-2.0329286615621389</v>
      </c>
      <c r="N79" s="76">
        <v>5.6951038738357438</v>
      </c>
      <c r="O79" s="49">
        <v>4.824631330247926</v>
      </c>
      <c r="P79" s="76"/>
      <c r="Q79" s="49">
        <v>3.0525718814912</v>
      </c>
      <c r="R79" s="49">
        <v>79.029430117386497</v>
      </c>
      <c r="S79" s="76"/>
      <c r="T79" s="76">
        <v>4.2273271139292783</v>
      </c>
      <c r="U79" s="76">
        <v>1.6546104976737974</v>
      </c>
      <c r="V79" s="76">
        <v>4.2557972862990905</v>
      </c>
      <c r="W79" s="76"/>
      <c r="X79" s="49">
        <v>93.214169579113587</v>
      </c>
      <c r="Y79" s="49">
        <v>82.495730201464184</v>
      </c>
      <c r="Z79" s="49">
        <v>67.272799845320492</v>
      </c>
      <c r="AA79" s="76">
        <v>5.2379043523681119</v>
      </c>
      <c r="AB79" s="76">
        <v>6.1083768959559297</v>
      </c>
      <c r="AC79" s="189">
        <v>96.359651919876583</v>
      </c>
      <c r="AD79" s="183"/>
      <c r="AE79" s="57">
        <v>2634.3359999999998</v>
      </c>
      <c r="AF79" s="50">
        <v>2730.808</v>
      </c>
      <c r="AG79" s="105">
        <v>1.02837925108725</v>
      </c>
      <c r="BS79" s="82">
        <v>60</v>
      </c>
    </row>
    <row r="80" spans="1:71">
      <c r="A80" s="82"/>
      <c r="B80" s="88" t="s">
        <v>140</v>
      </c>
      <c r="C80" s="76">
        <v>39.307805031439777</v>
      </c>
      <c r="D80" s="76">
        <v>44.130674156135044</v>
      </c>
      <c r="E80" s="76">
        <v>39.342297891381911</v>
      </c>
      <c r="F80" s="76">
        <v>2.4480249610700389</v>
      </c>
      <c r="G80" s="76">
        <v>2.3403513036830992</v>
      </c>
      <c r="H80" s="76">
        <v>4.7883762647531372</v>
      </c>
      <c r="I80" s="76">
        <v>34.938577969101999</v>
      </c>
      <c r="J80" s="76"/>
      <c r="K80" s="76">
        <v>2.5883877055823548</v>
      </c>
      <c r="L80" s="76">
        <v>-1.8431091189871005</v>
      </c>
      <c r="M80" s="76">
        <v>-2.0566526609442191</v>
      </c>
      <c r="N80" s="76">
        <v>5.0364126666523932</v>
      </c>
      <c r="O80" s="49">
        <v>4.8228691246952735</v>
      </c>
      <c r="P80" s="76"/>
      <c r="Q80" s="49">
        <v>2.3748441636252351</v>
      </c>
      <c r="R80" s="49">
        <v>79.743716618602846</v>
      </c>
      <c r="S80" s="76"/>
      <c r="T80" s="76">
        <v>5.6435984012810403</v>
      </c>
      <c r="U80" s="76">
        <v>2.195854187709283</v>
      </c>
      <c r="V80" s="76">
        <v>3.8573558892255706</v>
      </c>
      <c r="W80" s="76"/>
      <c r="X80" s="49">
        <v>94.386899837709919</v>
      </c>
      <c r="Y80" s="49">
        <v>85.966652164348048</v>
      </c>
      <c r="Z80" s="49">
        <v>69.132869118565949</v>
      </c>
      <c r="AA80" s="76">
        <v>5.729221009952373</v>
      </c>
      <c r="AB80" s="76">
        <v>5.9427645519094918</v>
      </c>
      <c r="AC80" s="189">
        <v>98.119206893695647</v>
      </c>
      <c r="AD80" s="183"/>
      <c r="AE80" s="57">
        <v>2788.9830000000002</v>
      </c>
      <c r="AF80" s="190">
        <v>2845.5219999999999</v>
      </c>
      <c r="AG80" s="105">
        <v>1.5735383479338338E-2</v>
      </c>
      <c r="BS80" s="82">
        <v>60</v>
      </c>
    </row>
    <row r="81" spans="1:71">
      <c r="B81" s="191" t="s">
        <v>141</v>
      </c>
      <c r="C81" s="52">
        <v>38.902213940190336</v>
      </c>
      <c r="D81" s="52">
        <v>44.008646933290699</v>
      </c>
      <c r="E81" s="52">
        <v>39.13290816169642</v>
      </c>
      <c r="F81" s="52">
        <v>2.5159746865025432</v>
      </c>
      <c r="G81" s="52">
        <v>2.3597640850917272</v>
      </c>
      <c r="H81" s="52">
        <v>4.8757387715942704</v>
      </c>
      <c r="I81" s="52">
        <v>34.679402682366991</v>
      </c>
      <c r="J81" s="77"/>
      <c r="K81" s="77">
        <v>2.4006732201526759</v>
      </c>
      <c r="L81" s="95">
        <v>-2.2652928880442857</v>
      </c>
      <c r="M81" s="77">
        <v>-2.0666614435775839</v>
      </c>
      <c r="N81" s="52">
        <v>4.9166479066552196</v>
      </c>
      <c r="O81" s="51">
        <v>5.1064329931003556</v>
      </c>
      <c r="P81" s="109"/>
      <c r="Q81" s="52">
        <v>2.5904583065978133</v>
      </c>
      <c r="R81" s="49">
        <v>81.3</v>
      </c>
      <c r="S81" s="77"/>
      <c r="T81" s="52">
        <v>6.1578820411791915</v>
      </c>
      <c r="U81" s="113">
        <v>2.4901445870566601</v>
      </c>
      <c r="V81" s="95">
        <v>3.6292656393393776</v>
      </c>
      <c r="W81" s="76"/>
      <c r="X81" s="72">
        <v>93.7</v>
      </c>
      <c r="Y81" s="72">
        <v>88.2</v>
      </c>
      <c r="Z81" s="49">
        <v>71.368973994753219</v>
      </c>
      <c r="AA81" s="192">
        <v>5.7426187757489524</v>
      </c>
      <c r="AB81" s="193">
        <v>5.5528336893038164</v>
      </c>
      <c r="AC81" s="194">
        <v>99.947109796372715</v>
      </c>
      <c r="AD81" s="183"/>
      <c r="AE81" s="195">
        <v>2926.8180000000002</v>
      </c>
      <c r="AF81" s="196">
        <v>2934.070483</v>
      </c>
      <c r="AG81" s="197">
        <v>-0.39250352742968175</v>
      </c>
      <c r="BS81" s="82">
        <v>60</v>
      </c>
    </row>
    <row r="82" spans="1:71">
      <c r="B82" s="130" t="s">
        <v>142</v>
      </c>
      <c r="C82" s="131">
        <v>41.067447936937896</v>
      </c>
      <c r="D82" s="132">
        <v>44.998420923426444</v>
      </c>
      <c r="E82" s="132">
        <v>39.799125199348687</v>
      </c>
      <c r="F82" s="132">
        <v>2.723804364609816</v>
      </c>
      <c r="G82" s="132">
        <v>2.475491359467938</v>
      </c>
      <c r="H82" s="132">
        <v>5.1992957240777544</v>
      </c>
      <c r="I82" s="132">
        <v>36.793961568058727</v>
      </c>
      <c r="J82" s="133"/>
      <c r="K82" s="132">
        <v>0.87689985823932382</v>
      </c>
      <c r="L82" s="132">
        <v>-0.90450281394744125</v>
      </c>
      <c r="M82" s="132">
        <v>-1.1415345658692753</v>
      </c>
      <c r="N82" s="132">
        <v>3.6007042228491408</v>
      </c>
      <c r="O82" s="132">
        <v>3.930972986488551</v>
      </c>
      <c r="P82" s="133"/>
      <c r="Q82" s="133">
        <v>1.2071686218787336</v>
      </c>
      <c r="R82" s="133">
        <v>82.9164585176988</v>
      </c>
      <c r="S82" s="132"/>
      <c r="T82" s="134">
        <v>4.7763547930505412</v>
      </c>
      <c r="U82" s="134">
        <v>2.3904097771391357</v>
      </c>
      <c r="V82" s="134">
        <v>3.7147453649698834</v>
      </c>
      <c r="W82" s="135"/>
      <c r="X82" s="134">
        <v>95.118116788774984</v>
      </c>
      <c r="Y82" s="134">
        <v>91.961246680928426</v>
      </c>
      <c r="Z82" s="198">
        <v>69.696046000112787</v>
      </c>
      <c r="AA82" s="134">
        <v>4.3048148660047687</v>
      </c>
      <c r="AB82" s="136">
        <v>3.974546102365359</v>
      </c>
      <c r="AC82" s="137">
        <v>103.67514306714408</v>
      </c>
      <c r="AD82" s="199"/>
      <c r="AE82" s="200">
        <v>2993.8517429999997</v>
      </c>
      <c r="AF82" s="196">
        <v>3045.8936869999998</v>
      </c>
      <c r="AG82" s="201">
        <v>-0.50353611630694672</v>
      </c>
      <c r="BS82" s="82">
        <v>60</v>
      </c>
    </row>
    <row r="83" spans="1:71">
      <c r="B83" s="202" t="s">
        <v>143</v>
      </c>
      <c r="C83" s="203">
        <v>41.669876704561418</v>
      </c>
      <c r="D83" s="204">
        <v>44.802800066288391</v>
      </c>
      <c r="E83" s="204">
        <v>39.639199090406372</v>
      </c>
      <c r="F83" s="204">
        <v>2.700232173276627</v>
      </c>
      <c r="G83" s="204">
        <v>2.4633688026053795</v>
      </c>
      <c r="H83" s="204">
        <v>5.1636009758820069</v>
      </c>
      <c r="I83" s="204">
        <v>37.437998212868777</v>
      </c>
      <c r="J83" s="204"/>
      <c r="K83" s="204">
        <v>0.27138729491250946</v>
      </c>
      <c r="L83" s="204">
        <v>-0.20675090848983352</v>
      </c>
      <c r="M83" s="204">
        <v>-0.32917965263215437</v>
      </c>
      <c r="N83" s="204">
        <v>2.9716194681891368</v>
      </c>
      <c r="O83" s="204">
        <v>3.1329233617269652</v>
      </c>
      <c r="P83" s="204"/>
      <c r="Q83" s="204">
        <v>0.43269118845033794</v>
      </c>
      <c r="R83" s="204">
        <v>83.493895894241859</v>
      </c>
      <c r="S83" s="204"/>
      <c r="T83" s="204">
        <v>4.1872493177439374</v>
      </c>
      <c r="U83" s="204">
        <v>3.7773446917076727</v>
      </c>
      <c r="V83" s="204">
        <v>3.5912068653749185</v>
      </c>
      <c r="W83" s="204"/>
      <c r="X83" s="204">
        <v>95.765322710508741</v>
      </c>
      <c r="Y83" s="204">
        <v>93.405878075719315</v>
      </c>
      <c r="Z83" s="204">
        <v>70.027664645486723</v>
      </c>
      <c r="AA83" s="204">
        <v>3.7422648301482662</v>
      </c>
      <c r="AB83" s="204">
        <v>3.5809609366104382</v>
      </c>
      <c r="AC83" s="205">
        <v>105.016010723992</v>
      </c>
      <c r="AD83" s="199"/>
      <c r="AE83" s="200">
        <v>3101.2963059999997</v>
      </c>
      <c r="AF83" s="196">
        <v>3160.1124519999998</v>
      </c>
      <c r="AG83" s="201">
        <v>-0.12119334055287823</v>
      </c>
    </row>
    <row r="84" spans="1:71">
      <c r="B84" s="202" t="s">
        <v>144</v>
      </c>
      <c r="C84" s="203">
        <v>41.949114720405319</v>
      </c>
      <c r="D84" s="204">
        <v>44.438891902709287</v>
      </c>
      <c r="E84" s="204">
        <v>39.305362659186649</v>
      </c>
      <c r="F84" s="204">
        <v>2.6761998958976916</v>
      </c>
      <c r="G84" s="204">
        <v>2.4573293476249449</v>
      </c>
      <c r="H84" s="204">
        <v>5.133529243522637</v>
      </c>
      <c r="I84" s="204">
        <v>37.73208735834038</v>
      </c>
      <c r="J84" s="204"/>
      <c r="K84" s="204">
        <v>-0.21066555944901375</v>
      </c>
      <c r="L84" s="204">
        <v>0.52016359743481422</v>
      </c>
      <c r="M84" s="204">
        <v>9.6025454981370634E-2</v>
      </c>
      <c r="N84" s="204">
        <v>2.4655343364486773</v>
      </c>
      <c r="O84" s="204">
        <v>2.4897771823039596</v>
      </c>
      <c r="P84" s="204"/>
      <c r="Q84" s="204">
        <v>-0.1864227135937315</v>
      </c>
      <c r="R84" s="204">
        <v>83.383325440394955</v>
      </c>
      <c r="S84" s="204"/>
      <c r="T84" s="204">
        <v>4.0906416655939539</v>
      </c>
      <c r="U84" s="204">
        <v>4.0705622965749235</v>
      </c>
      <c r="V84" s="204">
        <v>3.6605944075092358</v>
      </c>
      <c r="W84" s="204"/>
      <c r="X84" s="204">
        <v>96.138698229473533</v>
      </c>
      <c r="Y84" s="204">
        <v>94.183081479454955</v>
      </c>
      <c r="Z84" s="204">
        <v>69.744932982417936</v>
      </c>
      <c r="AA84" s="204">
        <v>3.1201123668705257</v>
      </c>
      <c r="AB84" s="204">
        <v>3.0958695210152429</v>
      </c>
      <c r="AC84" s="205">
        <v>105.48750945081756</v>
      </c>
      <c r="AD84" s="199"/>
      <c r="AE84" s="200">
        <v>3219.746666</v>
      </c>
      <c r="AF84" s="196">
        <v>3278.739086</v>
      </c>
      <c r="AG84" s="201">
        <v>-8.3554894132475965E-6</v>
      </c>
    </row>
    <row r="85" spans="1:71">
      <c r="B85" s="202" t="s">
        <v>145</v>
      </c>
      <c r="C85" s="203">
        <v>41.743448031412804</v>
      </c>
      <c r="D85" s="204">
        <v>44.061903438702132</v>
      </c>
      <c r="E85" s="204">
        <v>39.085630077938553</v>
      </c>
      <c r="F85" s="204">
        <v>2.5316441893549344</v>
      </c>
      <c r="G85" s="204">
        <v>2.4446291714086419</v>
      </c>
      <c r="H85" s="204">
        <v>4.9762733607635763</v>
      </c>
      <c r="I85" s="204">
        <v>37.54702445051263</v>
      </c>
      <c r="J85" s="204"/>
      <c r="K85" s="204">
        <v>-0.21319463090820637</v>
      </c>
      <c r="L85" s="204">
        <v>0.76503160673313542</v>
      </c>
      <c r="M85" s="204">
        <v>0.60980436545472361</v>
      </c>
      <c r="N85" s="204">
        <v>2.3184495584467282</v>
      </c>
      <c r="O85" s="204">
        <v>2.3184554072893246</v>
      </c>
      <c r="P85" s="204"/>
      <c r="Q85" s="204">
        <v>-0.21318878206560998</v>
      </c>
      <c r="R85" s="204">
        <v>83.151761036210843</v>
      </c>
      <c r="S85" s="204"/>
      <c r="T85" s="204">
        <v>4.1437784673844975</v>
      </c>
      <c r="U85" s="204">
        <v>4.0975469555739128</v>
      </c>
      <c r="V85" s="204">
        <v>3.7203485860925678</v>
      </c>
      <c r="W85" s="204"/>
      <c r="X85" s="204">
        <v>96.261882575581083</v>
      </c>
      <c r="Y85" s="204">
        <v>94.771691320066594</v>
      </c>
      <c r="Z85" s="204">
        <v>69.61629757792582</v>
      </c>
      <c r="AA85" s="204">
        <v>3.0321028969956623</v>
      </c>
      <c r="AB85" s="204">
        <v>3.0320970481530662</v>
      </c>
      <c r="AC85" s="205">
        <v>105.8618708276835</v>
      </c>
      <c r="AD85" s="199"/>
      <c r="AE85" s="200">
        <v>3339.494087</v>
      </c>
      <c r="AF85" s="196">
        <v>3400.785758</v>
      </c>
      <c r="AG85" s="201">
        <v>-8.3554894274584512E-6</v>
      </c>
    </row>
    <row r="86" spans="1:71">
      <c r="B86" s="206" t="s">
        <v>146</v>
      </c>
      <c r="C86" s="207">
        <v>41.714841219438206</v>
      </c>
      <c r="D86" s="208">
        <v>43.852317084645854</v>
      </c>
      <c r="E86" s="208">
        <v>39.005789864169664</v>
      </c>
      <c r="F86" s="208">
        <v>2.4241846481942124</v>
      </c>
      <c r="G86" s="208">
        <v>2.4223425722819729</v>
      </c>
      <c r="H86" s="208">
        <v>4.8465272204761849</v>
      </c>
      <c r="I86" s="208">
        <v>37.539168415443456</v>
      </c>
      <c r="J86" s="208"/>
      <c r="K86" s="208">
        <v>-0.28671463182917373</v>
      </c>
      <c r="L86" s="208">
        <v>1.0251720020246855</v>
      </c>
      <c r="M86" s="208">
        <v>1.3166059127576477</v>
      </c>
      <c r="N86" s="208">
        <v>2.1374700163650386</v>
      </c>
      <c r="O86" s="208">
        <v>2.1374758652076453</v>
      </c>
      <c r="P86" s="208"/>
      <c r="Q86" s="208">
        <v>-0.28670878298656738</v>
      </c>
      <c r="R86" s="208">
        <v>82.723703187554023</v>
      </c>
      <c r="S86" s="208"/>
      <c r="T86" s="208">
        <v>3.1791533879164287</v>
      </c>
      <c r="U86" s="208">
        <v>3.1015140522941711</v>
      </c>
      <c r="V86" s="208">
        <v>3.7984016879017828</v>
      </c>
      <c r="W86" s="208"/>
      <c r="X86" s="208">
        <v>96.114047049736158</v>
      </c>
      <c r="Y86" s="208">
        <v>94.978331956318868</v>
      </c>
      <c r="Z86" s="208">
        <v>69.148716601115041</v>
      </c>
      <c r="AA86" s="208">
        <v>2.7671164906928118</v>
      </c>
      <c r="AB86" s="208">
        <v>2.7671106418502056</v>
      </c>
      <c r="AC86" s="209">
        <v>105.89124263799812</v>
      </c>
      <c r="AD86" s="199"/>
      <c r="AE86" s="210">
        <v>3464.0105589999998</v>
      </c>
      <c r="AF86" s="211">
        <v>3528.4196103777158</v>
      </c>
      <c r="AG86" s="212">
        <v>-8.355489441669306E-6</v>
      </c>
    </row>
    <row r="87" spans="1:71">
      <c r="B87" s="366" t="s">
        <v>752</v>
      </c>
      <c r="C87" s="367"/>
      <c r="D87" s="367"/>
      <c r="E87" s="367"/>
      <c r="F87" s="367"/>
      <c r="G87" s="367"/>
      <c r="H87" s="367"/>
      <c r="I87" s="367"/>
      <c r="J87" s="367"/>
      <c r="K87" s="367"/>
      <c r="L87" s="367"/>
      <c r="M87" s="367">
        <v>1.3610837803981526</v>
      </c>
      <c r="N87" s="367"/>
      <c r="O87" s="367"/>
      <c r="P87" s="367"/>
      <c r="Q87" s="367"/>
      <c r="R87" s="367"/>
      <c r="S87" s="367"/>
      <c r="T87" s="367"/>
      <c r="U87" s="367"/>
      <c r="V87" s="367"/>
      <c r="W87" s="367"/>
      <c r="X87" s="367"/>
      <c r="Y87" s="367"/>
      <c r="Z87" s="367"/>
      <c r="AA87" s="367"/>
      <c r="AB87" s="367"/>
      <c r="AC87" s="205"/>
      <c r="AD87" s="199"/>
      <c r="AE87" s="368"/>
      <c r="AF87" s="368"/>
      <c r="AG87" s="368"/>
    </row>
    <row r="88" spans="1:71" s="174" customFormat="1">
      <c r="A88" s="14"/>
      <c r="B88" s="213" t="s">
        <v>156</v>
      </c>
      <c r="C88" s="214" t="s">
        <v>157</v>
      </c>
      <c r="D88" s="214"/>
      <c r="E88" s="214"/>
      <c r="F88" s="214"/>
      <c r="G88" s="214"/>
      <c r="H88" s="214"/>
      <c r="I88" s="214"/>
      <c r="J88" s="214"/>
      <c r="K88" s="214"/>
      <c r="L88" s="214"/>
      <c r="M88" s="214"/>
      <c r="N88" s="214"/>
      <c r="O88" s="214"/>
      <c r="P88" s="214"/>
      <c r="Q88" s="214"/>
      <c r="R88" s="214"/>
      <c r="S88" s="214"/>
      <c r="T88" s="214"/>
      <c r="U88" s="214"/>
      <c r="V88" s="214"/>
      <c r="W88" s="214"/>
      <c r="X88" s="214"/>
      <c r="Y88" s="214"/>
      <c r="Z88" s="214"/>
      <c r="AA88" s="214"/>
      <c r="AB88" s="214"/>
      <c r="AC88" s="215"/>
      <c r="AD88" s="189"/>
      <c r="AE88" s="216"/>
      <c r="AF88" s="216"/>
      <c r="AG88" s="217"/>
    </row>
    <row r="89" spans="1:71" s="174" customFormat="1">
      <c r="A89" s="14"/>
      <c r="B89" s="213"/>
      <c r="C89" s="218" t="s">
        <v>158</v>
      </c>
      <c r="D89" s="216"/>
      <c r="E89" s="216"/>
      <c r="F89" s="216"/>
      <c r="G89" s="216"/>
      <c r="H89" s="216"/>
      <c r="I89" s="216"/>
      <c r="J89" s="216"/>
      <c r="K89" s="216"/>
      <c r="L89" s="216"/>
      <c r="M89" s="216"/>
      <c r="N89" s="216"/>
      <c r="O89" s="216"/>
      <c r="P89" s="216"/>
      <c r="Q89" s="216"/>
      <c r="R89" s="216"/>
      <c r="S89" s="216"/>
      <c r="T89" s="216"/>
      <c r="U89" s="216"/>
      <c r="V89" s="216"/>
      <c r="W89" s="216"/>
      <c r="X89" s="216"/>
      <c r="Y89" s="216"/>
      <c r="Z89" s="216"/>
      <c r="AA89" s="216"/>
      <c r="AB89" s="216"/>
      <c r="AC89" s="219"/>
      <c r="AD89" s="220"/>
      <c r="AE89" s="216"/>
      <c r="AF89" s="216"/>
      <c r="AG89" s="219"/>
    </row>
    <row r="90" spans="1:71" s="174" customFormat="1">
      <c r="A90" s="14"/>
      <c r="B90" s="213"/>
      <c r="C90" s="491" t="s">
        <v>159</v>
      </c>
      <c r="D90" s="491"/>
      <c r="E90" s="491"/>
      <c r="F90" s="491"/>
      <c r="G90" s="491"/>
      <c r="H90" s="491"/>
      <c r="I90" s="491"/>
      <c r="J90" s="491"/>
      <c r="K90" s="491"/>
      <c r="L90" s="491"/>
      <c r="M90" s="491"/>
      <c r="N90" s="491"/>
      <c r="O90" s="491"/>
      <c r="P90" s="491"/>
      <c r="Q90" s="491"/>
      <c r="R90" s="491"/>
      <c r="S90" s="491"/>
      <c r="T90" s="491"/>
      <c r="U90" s="491"/>
      <c r="V90" s="491"/>
      <c r="W90" s="491"/>
      <c r="X90" s="491"/>
      <c r="Y90" s="491"/>
      <c r="Z90" s="491"/>
      <c r="AA90" s="491"/>
      <c r="AB90" s="491"/>
      <c r="AC90" s="221"/>
      <c r="AD90" s="189"/>
      <c r="AE90" s="216"/>
      <c r="AF90" s="216"/>
      <c r="AG90" s="219"/>
    </row>
    <row r="91" spans="1:71" s="174" customFormat="1">
      <c r="A91" s="14"/>
      <c r="B91" s="213"/>
      <c r="C91" s="478" t="s">
        <v>149</v>
      </c>
      <c r="D91" s="478"/>
      <c r="E91" s="478"/>
      <c r="F91" s="478"/>
      <c r="G91" s="478"/>
      <c r="H91" s="478"/>
      <c r="I91" s="478"/>
      <c r="J91" s="478"/>
      <c r="K91" s="478"/>
      <c r="L91" s="478"/>
      <c r="M91" s="478"/>
      <c r="N91" s="478"/>
      <c r="O91" s="478"/>
      <c r="P91" s="478"/>
      <c r="Q91" s="478"/>
      <c r="R91" s="478"/>
      <c r="S91" s="478"/>
      <c r="T91" s="478"/>
      <c r="U91" s="478"/>
      <c r="V91" s="478"/>
      <c r="W91" s="478"/>
      <c r="X91" s="478"/>
      <c r="Y91" s="478"/>
      <c r="Z91" s="478"/>
      <c r="AA91" s="478"/>
      <c r="AB91" s="478"/>
      <c r="AC91" s="222"/>
      <c r="AD91" s="189"/>
      <c r="AE91" s="216"/>
      <c r="AF91" s="216"/>
      <c r="AG91" s="219"/>
    </row>
    <row r="92" spans="1:71" s="174" customFormat="1">
      <c r="A92" s="14"/>
      <c r="B92" s="213"/>
      <c r="C92" s="159" t="s">
        <v>150</v>
      </c>
      <c r="D92" s="216"/>
      <c r="E92" s="216"/>
      <c r="F92" s="216"/>
      <c r="G92" s="216"/>
      <c r="H92" s="216"/>
      <c r="I92" s="216"/>
      <c r="J92" s="216"/>
      <c r="K92" s="216"/>
      <c r="L92" s="216"/>
      <c r="M92" s="216"/>
      <c r="N92" s="216"/>
      <c r="O92" s="216"/>
      <c r="P92" s="216"/>
      <c r="Q92" s="216"/>
      <c r="R92" s="216"/>
      <c r="S92" s="216"/>
      <c r="T92" s="216"/>
      <c r="U92" s="216"/>
      <c r="V92" s="216"/>
      <c r="W92" s="216"/>
      <c r="X92" s="216"/>
      <c r="Y92" s="216"/>
      <c r="Z92" s="216"/>
      <c r="AA92" s="216"/>
      <c r="AB92" s="216"/>
      <c r="AC92" s="219"/>
      <c r="AD92" s="183"/>
      <c r="AE92" s="216"/>
      <c r="AF92" s="216"/>
      <c r="AG92" s="219"/>
    </row>
    <row r="93" spans="1:71" s="174" customFormat="1" ht="16.5" thickBot="1">
      <c r="A93" s="14"/>
      <c r="B93" s="223"/>
      <c r="C93" s="162" t="s">
        <v>160</v>
      </c>
      <c r="D93" s="224"/>
      <c r="E93" s="224"/>
      <c r="F93" s="224"/>
      <c r="G93" s="224"/>
      <c r="H93" s="224"/>
      <c r="I93" s="224"/>
      <c r="J93" s="224"/>
      <c r="K93" s="224"/>
      <c r="L93" s="224"/>
      <c r="M93" s="224"/>
      <c r="N93" s="224"/>
      <c r="O93" s="224"/>
      <c r="P93" s="224"/>
      <c r="Q93" s="224"/>
      <c r="R93" s="224"/>
      <c r="S93" s="224"/>
      <c r="T93" s="224"/>
      <c r="U93" s="224"/>
      <c r="V93" s="224"/>
      <c r="W93" s="224"/>
      <c r="X93" s="224"/>
      <c r="Y93" s="224"/>
      <c r="Z93" s="224"/>
      <c r="AA93" s="224"/>
      <c r="AB93" s="224"/>
      <c r="AC93" s="225"/>
      <c r="AD93" s="183"/>
      <c r="AE93" s="224"/>
      <c r="AF93" s="224"/>
      <c r="AG93" s="225"/>
    </row>
    <row r="94" spans="1:71">
      <c r="AD94" s="70"/>
    </row>
    <row r="95" spans="1:71">
      <c r="AG95" s="5"/>
      <c r="AH95" s="5"/>
      <c r="AI95" s="5"/>
    </row>
    <row r="96" spans="1:71">
      <c r="AG96" s="5"/>
      <c r="AH96" s="165"/>
      <c r="AI96" s="165"/>
    </row>
    <row r="97" spans="2:45">
      <c r="AG97" s="5"/>
      <c r="AH97" s="5"/>
      <c r="AI97" s="5"/>
      <c r="AJ97" s="5"/>
      <c r="AK97" s="5"/>
      <c r="AL97" s="5"/>
      <c r="AM97" s="5"/>
      <c r="AN97" s="5"/>
      <c r="AO97" s="5"/>
      <c r="AP97" s="5"/>
      <c r="AQ97" s="5"/>
      <c r="AR97" s="5"/>
      <c r="AS97" s="5"/>
    </row>
    <row r="98" spans="2:45">
      <c r="B98" s="165"/>
    </row>
    <row r="99" spans="2:45">
      <c r="B99" s="165"/>
    </row>
    <row r="100" spans="2:45">
      <c r="B100" s="165"/>
    </row>
    <row r="101" spans="2:45">
      <c r="B101" s="165"/>
    </row>
    <row r="102" spans="2:45">
      <c r="B102" s="165"/>
    </row>
    <row r="103" spans="2:45">
      <c r="B103" s="165"/>
    </row>
  </sheetData>
  <mergeCells count="9">
    <mergeCell ref="AE3:AG3"/>
    <mergeCell ref="C90:AB90"/>
    <mergeCell ref="C91:AB91"/>
    <mergeCell ref="C1:AC1"/>
    <mergeCell ref="C3:I3"/>
    <mergeCell ref="K3:N3"/>
    <mergeCell ref="Q3:R3"/>
    <mergeCell ref="T3:V3"/>
    <mergeCell ref="X3:AC3"/>
  </mergeCells>
  <pageMargins left="0.74803149606299213" right="0.74803149606299213" top="0.98425196850393704" bottom="0.98425196850393704" header="0.51181102362204722" footer="0.51181102362204722"/>
  <pageSetup paperSize="8" scale="26"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32312-DA4D-460E-8E6B-6D845950D557}">
  <sheetPr>
    <tabColor theme="6"/>
  </sheetPr>
  <dimension ref="A1:V167"/>
  <sheetViews>
    <sheetView zoomScaleNormal="100" zoomScaleSheetLayoutView="85" workbookViewId="0">
      <pane xSplit="2" ySplit="4" topLeftCell="C97" activePane="bottomRight" state="frozen"/>
      <selection pane="topRight" activeCell="C1" sqref="C1"/>
      <selection pane="bottomLeft" activeCell="A5" sqref="A5"/>
      <selection pane="bottomRight" activeCell="J21" sqref="J21"/>
    </sheetView>
  </sheetViews>
  <sheetFormatPr defaultColWidth="10" defaultRowHeight="15"/>
  <cols>
    <col min="1" max="2" width="10.5703125" style="242" customWidth="1"/>
    <col min="3" max="4" width="12.5703125" style="242" bestFit="1" customWidth="1"/>
    <col min="5" max="6" width="11.140625" style="242" customWidth="1"/>
    <col min="7" max="7" width="10.5703125" style="242" customWidth="1"/>
    <col min="8" max="8" width="11.7109375" style="242" customWidth="1"/>
    <col min="9" max="9" width="10.5703125" style="242" customWidth="1"/>
    <col min="10" max="10" width="14.5703125" style="242" bestFit="1" customWidth="1"/>
    <col min="11" max="11" width="10.5703125" style="242" customWidth="1"/>
    <col min="12" max="12" width="11.7109375" style="242" customWidth="1"/>
    <col min="13" max="14" width="10.5703125" style="242" customWidth="1"/>
    <col min="15" max="15" width="11.42578125" style="242" bestFit="1" customWidth="1"/>
    <col min="16" max="16" width="10.5703125" style="242" customWidth="1"/>
    <col min="17" max="17" width="11.7109375" style="242" bestFit="1" customWidth="1"/>
    <col min="18" max="19" width="10.5703125" style="242" customWidth="1"/>
    <col min="20" max="20" width="10" style="242"/>
    <col min="21" max="22" width="10.5703125" style="242" bestFit="1" customWidth="1"/>
    <col min="23" max="16384" width="10" style="242"/>
  </cols>
  <sheetData>
    <row r="1" spans="1:22" ht="33.75" customHeight="1" thickBot="1">
      <c r="A1" s="239" t="s">
        <v>621</v>
      </c>
      <c r="B1" s="240"/>
      <c r="C1" s="240"/>
      <c r="D1" s="240"/>
      <c r="E1" s="240"/>
      <c r="F1" s="240"/>
      <c r="G1" s="240"/>
      <c r="H1" s="240"/>
      <c r="I1" s="240"/>
      <c r="J1" s="240"/>
      <c r="K1" s="240"/>
      <c r="L1" s="240"/>
      <c r="M1" s="240"/>
      <c r="N1" s="240"/>
      <c r="O1" s="240"/>
      <c r="P1" s="240"/>
      <c r="Q1" s="240"/>
      <c r="R1" s="240"/>
      <c r="S1" s="241"/>
    </row>
    <row r="2" spans="1:22" s="244" customFormat="1" ht="34.5" customHeight="1" thickBot="1">
      <c r="A2" s="243"/>
      <c r="B2" s="497" t="s">
        <v>622</v>
      </c>
      <c r="C2" s="498"/>
      <c r="D2" s="498"/>
      <c r="E2" s="498"/>
      <c r="F2" s="498"/>
      <c r="G2" s="498"/>
      <c r="H2" s="498"/>
      <c r="I2" s="498"/>
      <c r="J2" s="498"/>
      <c r="K2" s="498"/>
      <c r="L2" s="498"/>
      <c r="M2" s="498"/>
      <c r="N2" s="498"/>
      <c r="O2" s="498"/>
      <c r="P2" s="498"/>
      <c r="Q2" s="498"/>
      <c r="R2" s="498"/>
      <c r="S2" s="499"/>
    </row>
    <row r="3" spans="1:22" s="249" customFormat="1" ht="38.25" customHeight="1">
      <c r="A3" s="245"/>
      <c r="B3" s="246" t="s">
        <v>623</v>
      </c>
      <c r="C3" s="500" t="s">
        <v>624</v>
      </c>
      <c r="D3" s="500" t="s">
        <v>625</v>
      </c>
      <c r="E3" s="495" t="s">
        <v>626</v>
      </c>
      <c r="F3" s="495"/>
      <c r="G3" s="495"/>
      <c r="H3" s="495"/>
      <c r="I3" s="495"/>
      <c r="J3" s="495" t="s">
        <v>627</v>
      </c>
      <c r="K3" s="495" t="s">
        <v>628</v>
      </c>
      <c r="L3" s="495" t="s">
        <v>629</v>
      </c>
      <c r="M3" s="495" t="s">
        <v>630</v>
      </c>
      <c r="N3" s="495" t="s">
        <v>631</v>
      </c>
      <c r="O3" s="495" t="s">
        <v>632</v>
      </c>
      <c r="P3" s="495" t="s">
        <v>633</v>
      </c>
      <c r="Q3" s="500" t="s">
        <v>634</v>
      </c>
      <c r="R3" s="500" t="s">
        <v>635</v>
      </c>
      <c r="S3" s="495" t="s">
        <v>636</v>
      </c>
    </row>
    <row r="4" spans="1:22" s="249" customFormat="1" ht="30.75" customHeight="1">
      <c r="A4" s="245"/>
      <c r="B4" s="246"/>
      <c r="C4" s="501"/>
      <c r="D4" s="501"/>
      <c r="E4" s="496" t="s">
        <v>637</v>
      </c>
      <c r="F4" s="496" t="s">
        <v>638</v>
      </c>
      <c r="G4" s="496" t="s">
        <v>639</v>
      </c>
      <c r="H4" s="496" t="s">
        <v>640</v>
      </c>
      <c r="I4" s="496" t="s">
        <v>641</v>
      </c>
      <c r="J4" s="496"/>
      <c r="K4" s="496"/>
      <c r="L4" s="496"/>
      <c r="M4" s="496"/>
      <c r="N4" s="496"/>
      <c r="O4" s="496"/>
      <c r="P4" s="496"/>
      <c r="Q4" s="501"/>
      <c r="R4" s="501"/>
      <c r="S4" s="496"/>
    </row>
    <row r="5" spans="1:22" ht="15.75" customHeight="1">
      <c r="A5" s="251"/>
      <c r="B5" s="252" t="s">
        <v>642</v>
      </c>
      <c r="C5" s="253">
        <v>343.24599999999998</v>
      </c>
      <c r="D5" s="253">
        <v>107.345</v>
      </c>
      <c r="E5" s="253">
        <v>92.244</v>
      </c>
      <c r="F5" s="253">
        <v>49.124000000000002</v>
      </c>
      <c r="G5" s="253">
        <v>27.946999999999999</v>
      </c>
      <c r="H5" s="253">
        <v>14.053000000000001</v>
      </c>
      <c r="I5" s="253">
        <v>1.6709999999999998</v>
      </c>
      <c r="J5" s="253">
        <v>0.54600000000000004</v>
      </c>
      <c r="K5" s="253">
        <v>543.38099999999997</v>
      </c>
      <c r="L5" s="253">
        <v>-2.6139999999999999</v>
      </c>
      <c r="M5" s="253">
        <v>540.76700000000005</v>
      </c>
      <c r="N5" s="253">
        <v>164.28399999999999</v>
      </c>
      <c r="O5" s="253">
        <v>708.79700000000003</v>
      </c>
      <c r="P5" s="253">
        <v>164.791</v>
      </c>
      <c r="Q5" s="253">
        <v>0</v>
      </c>
      <c r="R5" s="253">
        <v>542.80399999999997</v>
      </c>
      <c r="S5" s="254">
        <v>469.29899999999998</v>
      </c>
      <c r="T5" s="255"/>
      <c r="U5" s="256"/>
      <c r="V5" s="256"/>
    </row>
    <row r="6" spans="1:22">
      <c r="A6" s="251"/>
      <c r="B6" s="252" t="s">
        <v>643</v>
      </c>
      <c r="C6" s="253">
        <v>339.22300000000001</v>
      </c>
      <c r="D6" s="253">
        <v>106.712</v>
      </c>
      <c r="E6" s="253">
        <v>93.278000000000006</v>
      </c>
      <c r="F6" s="253">
        <v>50.99</v>
      </c>
      <c r="G6" s="253">
        <v>26.652000000000001</v>
      </c>
      <c r="H6" s="253">
        <v>14.461</v>
      </c>
      <c r="I6" s="253">
        <v>1.6229999999999998</v>
      </c>
      <c r="J6" s="253">
        <v>-0.26700000000000002</v>
      </c>
      <c r="K6" s="253">
        <v>538.94600000000003</v>
      </c>
      <c r="L6" s="253">
        <v>-1.4339999999999999</v>
      </c>
      <c r="M6" s="253">
        <v>537.51199999999994</v>
      </c>
      <c r="N6" s="253">
        <v>164.30699999999999</v>
      </c>
      <c r="O6" s="253">
        <v>704.89300000000003</v>
      </c>
      <c r="P6" s="253">
        <v>163.78</v>
      </c>
      <c r="Q6" s="253">
        <v>0</v>
      </c>
      <c r="R6" s="253">
        <v>539.91800000000001</v>
      </c>
      <c r="S6" s="254">
        <v>467.56599999999997</v>
      </c>
      <c r="U6" s="256"/>
      <c r="V6" s="256"/>
    </row>
    <row r="7" spans="1:22">
      <c r="A7" s="251"/>
      <c r="B7" s="252" t="s">
        <v>644</v>
      </c>
      <c r="C7" s="253">
        <v>333.80700000000002</v>
      </c>
      <c r="D7" s="253">
        <v>108.63500000000001</v>
      </c>
      <c r="E7" s="253">
        <v>88.414000000000001</v>
      </c>
      <c r="F7" s="253">
        <v>49.052</v>
      </c>
      <c r="G7" s="253">
        <v>21.943999999999999</v>
      </c>
      <c r="H7" s="253">
        <v>14.475</v>
      </c>
      <c r="I7" s="253">
        <v>3.1119999999999997</v>
      </c>
      <c r="J7" s="253">
        <v>-0.92500000000000004</v>
      </c>
      <c r="K7" s="253">
        <v>529.93100000000004</v>
      </c>
      <c r="L7" s="253">
        <v>-1.88</v>
      </c>
      <c r="M7" s="253">
        <v>528.05100000000004</v>
      </c>
      <c r="N7" s="253">
        <v>164.94200000000001</v>
      </c>
      <c r="O7" s="253">
        <v>693.64200000000005</v>
      </c>
      <c r="P7" s="253">
        <v>160.84800000000001</v>
      </c>
      <c r="Q7" s="253">
        <v>0</v>
      </c>
      <c r="R7" s="253">
        <v>531.61900000000003</v>
      </c>
      <c r="S7" s="254">
        <v>460.34</v>
      </c>
      <c r="U7" s="256"/>
      <c r="V7" s="256"/>
    </row>
    <row r="8" spans="1:22">
      <c r="A8" s="251"/>
      <c r="B8" s="252" t="s">
        <v>645</v>
      </c>
      <c r="C8" s="253">
        <v>325.75200000000001</v>
      </c>
      <c r="D8" s="253">
        <v>109.824</v>
      </c>
      <c r="E8" s="253">
        <v>86.953000000000003</v>
      </c>
      <c r="F8" s="253">
        <v>47.384</v>
      </c>
      <c r="G8" s="253">
        <v>20.99</v>
      </c>
      <c r="H8" s="253">
        <v>15.545999999999999</v>
      </c>
      <c r="I8" s="253">
        <v>3.0550000000000002</v>
      </c>
      <c r="J8" s="253">
        <v>0.32600000000000001</v>
      </c>
      <c r="K8" s="253">
        <v>522.85500000000002</v>
      </c>
      <c r="L8" s="253">
        <v>-4.5990000000000002</v>
      </c>
      <c r="M8" s="253">
        <v>518.25599999999997</v>
      </c>
      <c r="N8" s="253">
        <v>158.58000000000001</v>
      </c>
      <c r="O8" s="253">
        <v>674.04</v>
      </c>
      <c r="P8" s="253">
        <v>152.35</v>
      </c>
      <c r="Q8" s="253">
        <v>0</v>
      </c>
      <c r="R8" s="253">
        <v>520.23</v>
      </c>
      <c r="S8" s="254">
        <v>450.51900000000001</v>
      </c>
      <c r="U8" s="256"/>
      <c r="V8" s="256"/>
    </row>
    <row r="9" spans="1:22">
      <c r="A9" s="251"/>
      <c r="B9" s="252" t="s">
        <v>646</v>
      </c>
      <c r="C9" s="253">
        <v>324.51499999999999</v>
      </c>
      <c r="D9" s="253">
        <v>109.105</v>
      </c>
      <c r="E9" s="253">
        <v>81.802999999999997</v>
      </c>
      <c r="F9" s="253">
        <v>43.119</v>
      </c>
      <c r="G9" s="253">
        <v>19.739000000000001</v>
      </c>
      <c r="H9" s="253">
        <v>15.856999999999999</v>
      </c>
      <c r="I9" s="253">
        <v>3.0100000000000002</v>
      </c>
      <c r="J9" s="253">
        <v>1.7909999999999999</v>
      </c>
      <c r="K9" s="253">
        <v>517.21400000000006</v>
      </c>
      <c r="L9" s="253">
        <v>-7.5990000000000002</v>
      </c>
      <c r="M9" s="253">
        <v>509.61500000000001</v>
      </c>
      <c r="N9" s="253">
        <v>148.38300000000001</v>
      </c>
      <c r="O9" s="253">
        <v>657.37099999999998</v>
      </c>
      <c r="P9" s="253">
        <v>146.327</v>
      </c>
      <c r="Q9" s="253">
        <v>0</v>
      </c>
      <c r="R9" s="253">
        <v>509.64600000000002</v>
      </c>
      <c r="S9" s="254">
        <v>441.6</v>
      </c>
      <c r="U9" s="256"/>
      <c r="V9" s="256"/>
    </row>
    <row r="10" spans="1:22" ht="15.75">
      <c r="A10" s="241"/>
      <c r="B10" s="252" t="s">
        <v>647</v>
      </c>
      <c r="C10" s="253">
        <v>324.30599999999998</v>
      </c>
      <c r="D10" s="253">
        <v>108.831</v>
      </c>
      <c r="E10" s="253">
        <v>78.328000000000003</v>
      </c>
      <c r="F10" s="253">
        <v>40.877000000000002</v>
      </c>
      <c r="G10" s="253">
        <v>19.167999999999999</v>
      </c>
      <c r="H10" s="253">
        <v>15.175000000000001</v>
      </c>
      <c r="I10" s="253">
        <v>2.9689999999999999</v>
      </c>
      <c r="J10" s="253">
        <v>0.92</v>
      </c>
      <c r="K10" s="253">
        <v>512.38499999999999</v>
      </c>
      <c r="L10" s="253">
        <v>-7.3949999999999996</v>
      </c>
      <c r="M10" s="253">
        <v>504.99</v>
      </c>
      <c r="N10" s="253">
        <v>146.86199999999999</v>
      </c>
      <c r="O10" s="253">
        <v>656.01400000000001</v>
      </c>
      <c r="P10" s="253">
        <v>146.67699999999999</v>
      </c>
      <c r="Q10" s="253">
        <v>0</v>
      </c>
      <c r="R10" s="253">
        <v>508.00900000000001</v>
      </c>
      <c r="S10" s="254">
        <v>439.63799999999998</v>
      </c>
      <c r="U10" s="256"/>
      <c r="V10" s="256"/>
    </row>
    <row r="11" spans="1:22" ht="15.75">
      <c r="A11" s="241"/>
      <c r="B11" s="252" t="s">
        <v>648</v>
      </c>
      <c r="C11" s="253">
        <v>326.12799999999999</v>
      </c>
      <c r="D11" s="253">
        <v>109.697</v>
      </c>
      <c r="E11" s="253">
        <v>78.858000000000004</v>
      </c>
      <c r="F11" s="253">
        <v>39.978000000000002</v>
      </c>
      <c r="G11" s="253">
        <v>19.234999999999999</v>
      </c>
      <c r="H11" s="253">
        <v>16.45</v>
      </c>
      <c r="I11" s="253">
        <v>3.0030000000000001</v>
      </c>
      <c r="J11" s="253">
        <v>1.476</v>
      </c>
      <c r="K11" s="253">
        <v>516.15899999999999</v>
      </c>
      <c r="L11" s="253">
        <v>-7.9219999999999997</v>
      </c>
      <c r="M11" s="253">
        <v>508.23700000000002</v>
      </c>
      <c r="N11" s="253">
        <v>146.17099999999999</v>
      </c>
      <c r="O11" s="253">
        <v>660.25599999999997</v>
      </c>
      <c r="P11" s="253">
        <v>150.636</v>
      </c>
      <c r="Q11" s="253">
        <v>0</v>
      </c>
      <c r="R11" s="253">
        <v>508.39800000000002</v>
      </c>
      <c r="S11" s="254">
        <v>440.38799999999998</v>
      </c>
      <c r="U11" s="256"/>
      <c r="V11" s="256"/>
    </row>
    <row r="12" spans="1:22" ht="15.75">
      <c r="A12" s="241"/>
      <c r="B12" s="252" t="s">
        <v>649</v>
      </c>
      <c r="C12" s="253">
        <v>328.61099999999999</v>
      </c>
      <c r="D12" s="253">
        <v>110.527</v>
      </c>
      <c r="E12" s="253">
        <v>77.537000000000006</v>
      </c>
      <c r="F12" s="253">
        <v>39.618000000000002</v>
      </c>
      <c r="G12" s="253">
        <v>18.358000000000001</v>
      </c>
      <c r="H12" s="253">
        <v>16.22</v>
      </c>
      <c r="I12" s="253">
        <v>3.0640000000000001</v>
      </c>
      <c r="J12" s="253">
        <v>-8.8999999999999996E-2</v>
      </c>
      <c r="K12" s="253">
        <v>516.58600000000001</v>
      </c>
      <c r="L12" s="253">
        <v>-6.2480000000000002</v>
      </c>
      <c r="M12" s="253">
        <v>510.33800000000002</v>
      </c>
      <c r="N12" s="253">
        <v>152.995</v>
      </c>
      <c r="O12" s="253">
        <v>664.16800000000001</v>
      </c>
      <c r="P12" s="253">
        <v>153.10900000000001</v>
      </c>
      <c r="Q12" s="253">
        <v>0</v>
      </c>
      <c r="R12" s="253">
        <v>509.88900000000001</v>
      </c>
      <c r="S12" s="254">
        <v>442.00400000000002</v>
      </c>
      <c r="U12" s="256"/>
      <c r="V12" s="256"/>
    </row>
    <row r="13" spans="1:22" ht="18.75" customHeight="1">
      <c r="A13" s="241"/>
      <c r="B13" s="252" t="s">
        <v>650</v>
      </c>
      <c r="C13" s="253">
        <v>326.98500000000001</v>
      </c>
      <c r="D13" s="253">
        <v>109.05</v>
      </c>
      <c r="E13" s="253">
        <v>81.644000000000005</v>
      </c>
      <c r="F13" s="253">
        <v>41.478999999999999</v>
      </c>
      <c r="G13" s="253">
        <v>19.725999999999999</v>
      </c>
      <c r="H13" s="253">
        <v>17.177</v>
      </c>
      <c r="I13" s="253">
        <v>3.0429999999999997</v>
      </c>
      <c r="J13" s="253">
        <v>-0.247</v>
      </c>
      <c r="K13" s="253">
        <v>517.43200000000002</v>
      </c>
      <c r="L13" s="253">
        <v>-1.2470000000000001</v>
      </c>
      <c r="M13" s="253">
        <v>516.18499999999995</v>
      </c>
      <c r="N13" s="253">
        <v>152.875</v>
      </c>
      <c r="O13" s="253">
        <v>671.64599999999996</v>
      </c>
      <c r="P13" s="253">
        <v>155.91300000000001</v>
      </c>
      <c r="Q13" s="253">
        <v>0</v>
      </c>
      <c r="R13" s="253">
        <v>514.59500000000003</v>
      </c>
      <c r="S13" s="254">
        <v>446.63900000000001</v>
      </c>
      <c r="U13" s="256"/>
      <c r="V13" s="256"/>
    </row>
    <row r="14" spans="1:22" ht="15.75">
      <c r="A14" s="241"/>
      <c r="B14" s="252" t="s">
        <v>651</v>
      </c>
      <c r="C14" s="253">
        <v>334.90699999999998</v>
      </c>
      <c r="D14" s="253">
        <v>109.456</v>
      </c>
      <c r="E14" s="253">
        <v>80.430999999999997</v>
      </c>
      <c r="F14" s="253">
        <v>40.857999999999997</v>
      </c>
      <c r="G14" s="253">
        <v>20.834</v>
      </c>
      <c r="H14" s="253">
        <v>15.7</v>
      </c>
      <c r="I14" s="253">
        <v>3.03</v>
      </c>
      <c r="J14" s="253">
        <v>-0.47699999999999998</v>
      </c>
      <c r="K14" s="253">
        <v>524.31700000000001</v>
      </c>
      <c r="L14" s="253">
        <v>-0.80100000000000005</v>
      </c>
      <c r="M14" s="253">
        <v>523.51599999999996</v>
      </c>
      <c r="N14" s="253">
        <v>157.92699999999999</v>
      </c>
      <c r="O14" s="253">
        <v>682.03599999999994</v>
      </c>
      <c r="P14" s="253">
        <v>160.85300000000001</v>
      </c>
      <c r="Q14" s="253">
        <v>0</v>
      </c>
      <c r="R14" s="253">
        <v>520.12800000000004</v>
      </c>
      <c r="S14" s="254">
        <v>452.041</v>
      </c>
      <c r="U14" s="256"/>
      <c r="V14" s="256"/>
    </row>
    <row r="15" spans="1:22" ht="15.75">
      <c r="A15" s="241"/>
      <c r="B15" s="252" t="s">
        <v>652</v>
      </c>
      <c r="C15" s="253">
        <v>335.17599999999999</v>
      </c>
      <c r="D15" s="253">
        <v>109.504</v>
      </c>
      <c r="E15" s="253">
        <v>83.557000000000002</v>
      </c>
      <c r="F15" s="253">
        <v>42.697000000000003</v>
      </c>
      <c r="G15" s="253">
        <v>21.916</v>
      </c>
      <c r="H15" s="253">
        <v>15.983000000000001</v>
      </c>
      <c r="I15" s="253">
        <v>3.0070000000000001</v>
      </c>
      <c r="J15" s="253">
        <v>0.86699999999999999</v>
      </c>
      <c r="K15" s="253">
        <v>529.10400000000004</v>
      </c>
      <c r="L15" s="253">
        <v>0.246</v>
      </c>
      <c r="M15" s="253">
        <v>529.35</v>
      </c>
      <c r="N15" s="253">
        <v>159.59</v>
      </c>
      <c r="O15" s="253">
        <v>690.15899999999999</v>
      </c>
      <c r="P15" s="253">
        <v>166.05</v>
      </c>
      <c r="Q15" s="253">
        <v>0</v>
      </c>
      <c r="R15" s="253">
        <v>523.173</v>
      </c>
      <c r="S15" s="254">
        <v>454.97699999999998</v>
      </c>
      <c r="U15" s="256"/>
      <c r="V15" s="256"/>
    </row>
    <row r="16" spans="1:22" ht="15.75">
      <c r="A16" s="241"/>
      <c r="B16" s="252" t="s">
        <v>653</v>
      </c>
      <c r="C16" s="253">
        <v>334.596</v>
      </c>
      <c r="D16" s="253">
        <v>110.17400000000001</v>
      </c>
      <c r="E16" s="253">
        <v>85.811000000000007</v>
      </c>
      <c r="F16" s="253">
        <v>45.515000000000001</v>
      </c>
      <c r="G16" s="253">
        <v>21.361999999999998</v>
      </c>
      <c r="H16" s="253">
        <v>15.903</v>
      </c>
      <c r="I16" s="253">
        <v>2.9390000000000001</v>
      </c>
      <c r="J16" s="253">
        <v>0.74399999999999999</v>
      </c>
      <c r="K16" s="253">
        <v>531.32500000000005</v>
      </c>
      <c r="L16" s="253">
        <v>-3.44</v>
      </c>
      <c r="M16" s="253">
        <v>527.88499999999999</v>
      </c>
      <c r="N16" s="253">
        <v>162.83799999999999</v>
      </c>
      <c r="O16" s="253">
        <v>691.90099999999995</v>
      </c>
      <c r="P16" s="253">
        <v>167.47800000000001</v>
      </c>
      <c r="Q16" s="253">
        <v>0</v>
      </c>
      <c r="R16" s="253">
        <v>523.51499999999999</v>
      </c>
      <c r="S16" s="254">
        <v>455.95499999999998</v>
      </c>
      <c r="U16" s="256"/>
      <c r="V16" s="256"/>
    </row>
    <row r="17" spans="1:22" ht="18.75" customHeight="1">
      <c r="A17" s="241"/>
      <c r="B17" s="252" t="s">
        <v>654</v>
      </c>
      <c r="C17" s="253">
        <v>331.65199999999999</v>
      </c>
      <c r="D17" s="253">
        <v>110.804</v>
      </c>
      <c r="E17" s="253">
        <v>82.495999999999995</v>
      </c>
      <c r="F17" s="253">
        <v>42.33</v>
      </c>
      <c r="G17" s="253">
        <v>20.295000000000002</v>
      </c>
      <c r="H17" s="253">
        <v>16.841000000000001</v>
      </c>
      <c r="I17" s="253">
        <v>2.9460000000000002</v>
      </c>
      <c r="J17" s="253">
        <v>-2.415</v>
      </c>
      <c r="K17" s="253">
        <v>522.53700000000003</v>
      </c>
      <c r="L17" s="253">
        <v>-1.5369999999999999</v>
      </c>
      <c r="M17" s="253">
        <v>521</v>
      </c>
      <c r="N17" s="253">
        <v>169.542</v>
      </c>
      <c r="O17" s="253">
        <v>689.52099999999996</v>
      </c>
      <c r="P17" s="253">
        <v>163.55099999999999</v>
      </c>
      <c r="Q17" s="253">
        <v>0</v>
      </c>
      <c r="R17" s="253">
        <v>524.95500000000004</v>
      </c>
      <c r="S17" s="254">
        <v>457.88400000000001</v>
      </c>
      <c r="U17" s="256"/>
      <c r="V17" s="256"/>
    </row>
    <row r="18" spans="1:22" ht="15.75">
      <c r="A18" s="241"/>
      <c r="B18" s="252" t="s">
        <v>655</v>
      </c>
      <c r="C18" s="253">
        <v>330.86500000000001</v>
      </c>
      <c r="D18" s="253">
        <v>108.851</v>
      </c>
      <c r="E18" s="253">
        <v>81.61</v>
      </c>
      <c r="F18" s="253">
        <v>44.741999999999997</v>
      </c>
      <c r="G18" s="253">
        <v>19.814</v>
      </c>
      <c r="H18" s="253">
        <v>14.079000000000001</v>
      </c>
      <c r="I18" s="253">
        <v>2.8679999999999999</v>
      </c>
      <c r="J18" s="253">
        <v>0.44900000000000001</v>
      </c>
      <c r="K18" s="253">
        <v>521.77499999999998</v>
      </c>
      <c r="L18" s="253">
        <v>5.3449999999999998</v>
      </c>
      <c r="M18" s="253">
        <v>527.12</v>
      </c>
      <c r="N18" s="253">
        <v>167.089</v>
      </c>
      <c r="O18" s="253">
        <v>694.79300000000001</v>
      </c>
      <c r="P18" s="253">
        <v>168.441</v>
      </c>
      <c r="Q18" s="253">
        <v>0</v>
      </c>
      <c r="R18" s="253">
        <v>525.41800000000001</v>
      </c>
      <c r="S18" s="254">
        <v>458.90600000000001</v>
      </c>
      <c r="U18" s="256"/>
      <c r="V18" s="256"/>
    </row>
    <row r="19" spans="1:22" ht="15.75">
      <c r="A19" s="241"/>
      <c r="B19" s="252" t="s">
        <v>656</v>
      </c>
      <c r="C19" s="253">
        <v>332.036</v>
      </c>
      <c r="D19" s="253">
        <v>108.63</v>
      </c>
      <c r="E19" s="253">
        <v>83.475999999999999</v>
      </c>
      <c r="F19" s="253">
        <v>46.218000000000004</v>
      </c>
      <c r="G19" s="253">
        <v>19.969000000000001</v>
      </c>
      <c r="H19" s="253">
        <v>14.388999999999999</v>
      </c>
      <c r="I19" s="253">
        <v>2.7250000000000001</v>
      </c>
      <c r="J19" s="253">
        <v>1.9730000000000001</v>
      </c>
      <c r="K19" s="253">
        <v>526.11500000000001</v>
      </c>
      <c r="L19" s="253">
        <v>0.99199999999999999</v>
      </c>
      <c r="M19" s="253">
        <v>527.10699999999997</v>
      </c>
      <c r="N19" s="253">
        <v>169</v>
      </c>
      <c r="O19" s="253">
        <v>696.12800000000004</v>
      </c>
      <c r="P19" s="253">
        <v>168.13399999999999</v>
      </c>
      <c r="Q19" s="253">
        <v>0</v>
      </c>
      <c r="R19" s="253">
        <v>527.03399999999999</v>
      </c>
      <c r="S19" s="254">
        <v>460.96100000000001</v>
      </c>
      <c r="U19" s="256"/>
      <c r="V19" s="256"/>
    </row>
    <row r="20" spans="1:22" ht="15.75">
      <c r="A20" s="241"/>
      <c r="B20" s="252" t="s">
        <v>657</v>
      </c>
      <c r="C20" s="253">
        <v>332.64800000000002</v>
      </c>
      <c r="D20" s="253">
        <v>109.56699999999999</v>
      </c>
      <c r="E20" s="253">
        <v>84.212000000000003</v>
      </c>
      <c r="F20" s="253">
        <v>47.372999999999998</v>
      </c>
      <c r="G20" s="253">
        <v>19.925000000000001</v>
      </c>
      <c r="H20" s="253">
        <v>14.015000000000001</v>
      </c>
      <c r="I20" s="253">
        <v>2.661</v>
      </c>
      <c r="J20" s="253">
        <v>0.29199999999999998</v>
      </c>
      <c r="K20" s="253">
        <v>526.71900000000005</v>
      </c>
      <c r="L20" s="253">
        <v>-5.8760000000000003</v>
      </c>
      <c r="M20" s="253">
        <v>520.84299999999996</v>
      </c>
      <c r="N20" s="253">
        <v>171.53399999999999</v>
      </c>
      <c r="O20" s="253">
        <v>697.88900000000001</v>
      </c>
      <c r="P20" s="253">
        <v>169.238</v>
      </c>
      <c r="Q20" s="253">
        <v>0</v>
      </c>
      <c r="R20" s="253">
        <v>527.69799999999998</v>
      </c>
      <c r="S20" s="254">
        <v>462.18200000000002</v>
      </c>
      <c r="U20" s="256"/>
      <c r="V20" s="256"/>
    </row>
    <row r="21" spans="1:22" ht="18.75" customHeight="1">
      <c r="A21" s="241"/>
      <c r="B21" s="252" t="s">
        <v>658</v>
      </c>
      <c r="C21" s="253">
        <v>332.65199999999999</v>
      </c>
      <c r="D21" s="253">
        <v>113.001</v>
      </c>
      <c r="E21" s="253">
        <v>85.491</v>
      </c>
      <c r="F21" s="253">
        <v>49.127000000000002</v>
      </c>
      <c r="G21" s="253">
        <v>18.882999999999999</v>
      </c>
      <c r="H21" s="253">
        <v>14.435</v>
      </c>
      <c r="I21" s="253">
        <v>2.5810000000000004</v>
      </c>
      <c r="J21" s="253">
        <v>-2.012</v>
      </c>
      <c r="K21" s="253">
        <v>529.13199999999995</v>
      </c>
      <c r="L21" s="253">
        <v>-4.5659999999999998</v>
      </c>
      <c r="M21" s="253">
        <v>524.56600000000003</v>
      </c>
      <c r="N21" s="253">
        <v>175.68799999999999</v>
      </c>
      <c r="O21" s="253">
        <v>703.85400000000004</v>
      </c>
      <c r="P21" s="253">
        <v>170.58099999999999</v>
      </c>
      <c r="Q21" s="253">
        <v>0</v>
      </c>
      <c r="R21" s="253">
        <v>532.29999999999995</v>
      </c>
      <c r="S21" s="254">
        <v>466.85599999999999</v>
      </c>
      <c r="U21" s="256"/>
      <c r="V21" s="256"/>
    </row>
    <row r="22" spans="1:22" ht="15.75">
      <c r="A22" s="241"/>
      <c r="B22" s="252" t="s">
        <v>659</v>
      </c>
      <c r="C22" s="253">
        <v>335.29300000000001</v>
      </c>
      <c r="D22" s="253">
        <v>109.30500000000001</v>
      </c>
      <c r="E22" s="253">
        <v>83.307000000000002</v>
      </c>
      <c r="F22" s="253">
        <v>47.014000000000003</v>
      </c>
      <c r="G22" s="253">
        <v>19.311</v>
      </c>
      <c r="H22" s="253">
        <v>14.117000000000001</v>
      </c>
      <c r="I22" s="253">
        <v>2.6120000000000001</v>
      </c>
      <c r="J22" s="253">
        <v>1.222</v>
      </c>
      <c r="K22" s="253">
        <v>529.12699999999995</v>
      </c>
      <c r="L22" s="253">
        <v>8.4529999999999994</v>
      </c>
      <c r="M22" s="253">
        <v>537.58000000000004</v>
      </c>
      <c r="N22" s="253">
        <v>167.44399999999999</v>
      </c>
      <c r="O22" s="253">
        <v>706.47500000000002</v>
      </c>
      <c r="P22" s="253">
        <v>173.79599999999999</v>
      </c>
      <c r="Q22" s="253">
        <v>0</v>
      </c>
      <c r="R22" s="253">
        <v>531.66300000000001</v>
      </c>
      <c r="S22" s="254">
        <v>466.93599999999998</v>
      </c>
      <c r="U22" s="256"/>
      <c r="V22" s="256"/>
    </row>
    <row r="23" spans="1:22" ht="15.75">
      <c r="A23" s="241"/>
      <c r="B23" s="252" t="s">
        <v>660</v>
      </c>
      <c r="C23" s="253">
        <v>339.12299999999999</v>
      </c>
      <c r="D23" s="253">
        <v>110.307</v>
      </c>
      <c r="E23" s="253">
        <v>82.537000000000006</v>
      </c>
      <c r="F23" s="253">
        <v>47.249000000000002</v>
      </c>
      <c r="G23" s="253">
        <v>19.832000000000001</v>
      </c>
      <c r="H23" s="253">
        <v>12.875</v>
      </c>
      <c r="I23" s="253">
        <v>2.5209999999999999</v>
      </c>
      <c r="J23" s="253">
        <v>0.53200000000000003</v>
      </c>
      <c r="K23" s="253">
        <v>532.49900000000002</v>
      </c>
      <c r="L23" s="253">
        <v>8.9109999999999996</v>
      </c>
      <c r="M23" s="253">
        <v>541.41</v>
      </c>
      <c r="N23" s="253">
        <v>171.661</v>
      </c>
      <c r="O23" s="253">
        <v>709.84900000000005</v>
      </c>
      <c r="P23" s="253">
        <v>172.124</v>
      </c>
      <c r="Q23" s="253">
        <v>0</v>
      </c>
      <c r="R23" s="253">
        <v>536.72</v>
      </c>
      <c r="S23" s="254">
        <v>471.94900000000001</v>
      </c>
      <c r="U23" s="256"/>
      <c r="V23" s="256"/>
    </row>
    <row r="24" spans="1:22" ht="15.75">
      <c r="A24" s="241"/>
      <c r="B24" s="252" t="s">
        <v>661</v>
      </c>
      <c r="C24" s="253">
        <v>343.10500000000002</v>
      </c>
      <c r="D24" s="253">
        <v>111.72799999999999</v>
      </c>
      <c r="E24" s="253">
        <v>85.850999999999999</v>
      </c>
      <c r="F24" s="253">
        <v>49.988999999999997</v>
      </c>
      <c r="G24" s="253">
        <v>20.256</v>
      </c>
      <c r="H24" s="253">
        <v>12.862</v>
      </c>
      <c r="I24" s="253">
        <v>2.4569999999999999</v>
      </c>
      <c r="J24" s="253">
        <v>0.121</v>
      </c>
      <c r="K24" s="253">
        <v>540.80499999999995</v>
      </c>
      <c r="L24" s="253">
        <v>-3.9969999999999999</v>
      </c>
      <c r="M24" s="253">
        <v>536.80799999999999</v>
      </c>
      <c r="N24" s="253">
        <v>167.43700000000001</v>
      </c>
      <c r="O24" s="253">
        <v>706.52499999999998</v>
      </c>
      <c r="P24" s="253">
        <v>169.34399999999999</v>
      </c>
      <c r="Q24" s="253">
        <v>0</v>
      </c>
      <c r="R24" s="253">
        <v>536.18799999999999</v>
      </c>
      <c r="S24" s="254">
        <v>472.28800000000001</v>
      </c>
      <c r="U24" s="256"/>
      <c r="V24" s="256"/>
    </row>
    <row r="25" spans="1:22" ht="18.75" customHeight="1">
      <c r="A25" s="241"/>
      <c r="B25" s="252" t="s">
        <v>662</v>
      </c>
      <c r="C25" s="253">
        <v>341.262</v>
      </c>
      <c r="D25" s="253">
        <v>110.324</v>
      </c>
      <c r="E25" s="253">
        <v>83.337000000000003</v>
      </c>
      <c r="F25" s="253">
        <v>48.539000000000001</v>
      </c>
      <c r="G25" s="253">
        <v>20.126000000000001</v>
      </c>
      <c r="H25" s="253">
        <v>12.103</v>
      </c>
      <c r="I25" s="253">
        <v>2.36</v>
      </c>
      <c r="J25" s="253">
        <v>1.22</v>
      </c>
      <c r="K25" s="253">
        <v>536.14300000000003</v>
      </c>
      <c r="L25" s="253">
        <v>2.0459999999999998</v>
      </c>
      <c r="M25" s="253">
        <v>538.18899999999996</v>
      </c>
      <c r="N25" s="253">
        <v>171.07400000000001</v>
      </c>
      <c r="O25" s="253">
        <v>708.78200000000004</v>
      </c>
      <c r="P25" s="253">
        <v>169.78899999999999</v>
      </c>
      <c r="Q25" s="253">
        <v>0</v>
      </c>
      <c r="R25" s="253">
        <v>537.97400000000005</v>
      </c>
      <c r="S25" s="254">
        <v>473.60500000000002</v>
      </c>
      <c r="U25" s="256"/>
      <c r="V25" s="256"/>
    </row>
    <row r="26" spans="1:22" ht="15.75">
      <c r="A26" s="241"/>
      <c r="B26" s="252" t="s">
        <v>663</v>
      </c>
      <c r="C26" s="253">
        <v>344.59899999999999</v>
      </c>
      <c r="D26" s="253">
        <v>111.008</v>
      </c>
      <c r="E26" s="253">
        <v>86.814999999999998</v>
      </c>
      <c r="F26" s="253">
        <v>49.51</v>
      </c>
      <c r="G26" s="253">
        <v>22.242000000000001</v>
      </c>
      <c r="H26" s="253">
        <v>12.502000000000001</v>
      </c>
      <c r="I26" s="253">
        <v>2.4500000000000002</v>
      </c>
      <c r="J26" s="253">
        <v>4.4630000000000001</v>
      </c>
      <c r="K26" s="253">
        <v>546.88499999999999</v>
      </c>
      <c r="L26" s="253">
        <v>2.0179999999999998</v>
      </c>
      <c r="M26" s="253">
        <v>548.90300000000002</v>
      </c>
      <c r="N26" s="253">
        <v>172.72</v>
      </c>
      <c r="O26" s="253">
        <v>720.93100000000004</v>
      </c>
      <c r="P26" s="253">
        <v>178.386</v>
      </c>
      <c r="Q26" s="253">
        <v>0</v>
      </c>
      <c r="R26" s="253">
        <v>541.58600000000001</v>
      </c>
      <c r="S26" s="254">
        <v>477.23700000000002</v>
      </c>
      <c r="U26" s="256"/>
      <c r="V26" s="256"/>
    </row>
    <row r="27" spans="1:22" ht="15.75">
      <c r="A27" s="241"/>
      <c r="B27" s="252" t="s">
        <v>664</v>
      </c>
      <c r="C27" s="253">
        <v>348.709</v>
      </c>
      <c r="D27" s="253">
        <v>110.95099999999999</v>
      </c>
      <c r="E27" s="253">
        <v>88.950999999999993</v>
      </c>
      <c r="F27" s="253">
        <v>51.243000000000002</v>
      </c>
      <c r="G27" s="253">
        <v>22.196000000000002</v>
      </c>
      <c r="H27" s="253">
        <v>12.927</v>
      </c>
      <c r="I27" s="253">
        <v>2.3960000000000004</v>
      </c>
      <c r="J27" s="253">
        <v>-1.488</v>
      </c>
      <c r="K27" s="253">
        <v>547.12300000000005</v>
      </c>
      <c r="L27" s="253">
        <v>1.972</v>
      </c>
      <c r="M27" s="253">
        <v>549.09500000000003</v>
      </c>
      <c r="N27" s="253">
        <v>172.14599999999999</v>
      </c>
      <c r="O27" s="253">
        <v>725.00099999999998</v>
      </c>
      <c r="P27" s="253">
        <v>177.941</v>
      </c>
      <c r="Q27" s="253">
        <v>0</v>
      </c>
      <c r="R27" s="253">
        <v>546.06399999999996</v>
      </c>
      <c r="S27" s="254">
        <v>480.48099999999999</v>
      </c>
      <c r="U27" s="256"/>
      <c r="V27" s="256"/>
    </row>
    <row r="28" spans="1:22" ht="15.75">
      <c r="A28" s="241"/>
      <c r="B28" s="252" t="s">
        <v>665</v>
      </c>
      <c r="C28" s="253">
        <v>349.81900000000002</v>
      </c>
      <c r="D28" s="253">
        <v>113.083</v>
      </c>
      <c r="E28" s="253">
        <v>88.938000000000002</v>
      </c>
      <c r="F28" s="253">
        <v>51.037999999999997</v>
      </c>
      <c r="G28" s="253">
        <v>22.047000000000001</v>
      </c>
      <c r="H28" s="253">
        <v>13.289</v>
      </c>
      <c r="I28" s="253">
        <v>2.3660000000000001</v>
      </c>
      <c r="J28" s="253">
        <v>5.88</v>
      </c>
      <c r="K28" s="253">
        <v>557.72</v>
      </c>
      <c r="L28" s="253">
        <v>2.8530000000000002</v>
      </c>
      <c r="M28" s="253">
        <v>560.57299999999998</v>
      </c>
      <c r="N28" s="253">
        <v>168.273</v>
      </c>
      <c r="O28" s="253">
        <v>732.64</v>
      </c>
      <c r="P28" s="253">
        <v>181.946</v>
      </c>
      <c r="Q28" s="253">
        <v>0</v>
      </c>
      <c r="R28" s="253">
        <v>549.70899999999995</v>
      </c>
      <c r="S28" s="254">
        <v>483.60399999999998</v>
      </c>
      <c r="U28" s="256"/>
      <c r="V28" s="256"/>
    </row>
    <row r="29" spans="1:22" ht="18.75" customHeight="1">
      <c r="A29" s="241"/>
      <c r="B29" s="252" t="s">
        <v>666</v>
      </c>
      <c r="C29" s="253">
        <v>350.83300000000003</v>
      </c>
      <c r="D29" s="253">
        <v>113.73699999999999</v>
      </c>
      <c r="E29" s="253">
        <v>91.936999999999998</v>
      </c>
      <c r="F29" s="253">
        <v>52.058999999999997</v>
      </c>
      <c r="G29" s="253">
        <v>22.8</v>
      </c>
      <c r="H29" s="253">
        <v>14.458</v>
      </c>
      <c r="I29" s="253">
        <v>2.3940000000000001</v>
      </c>
      <c r="J29" s="253">
        <v>2.234</v>
      </c>
      <c r="K29" s="253">
        <v>558.74099999999999</v>
      </c>
      <c r="L29" s="253">
        <v>-1.361</v>
      </c>
      <c r="M29" s="253">
        <v>557.38</v>
      </c>
      <c r="N29" s="253">
        <v>169.36199999999999</v>
      </c>
      <c r="O29" s="253">
        <v>734.42399999999998</v>
      </c>
      <c r="P29" s="253">
        <v>179.155</v>
      </c>
      <c r="Q29" s="253">
        <v>0</v>
      </c>
      <c r="R29" s="253">
        <v>554.18299999999999</v>
      </c>
      <c r="S29" s="254">
        <v>487.69</v>
      </c>
      <c r="U29" s="256"/>
      <c r="V29" s="256"/>
    </row>
    <row r="30" spans="1:22" ht="15.75">
      <c r="A30" s="241"/>
      <c r="B30" s="252" t="s">
        <v>667</v>
      </c>
      <c r="C30" s="253">
        <v>352.61</v>
      </c>
      <c r="D30" s="253">
        <v>114.4</v>
      </c>
      <c r="E30" s="253">
        <v>91.644999999999996</v>
      </c>
      <c r="F30" s="253">
        <v>52.215000000000003</v>
      </c>
      <c r="G30" s="253">
        <v>22.785</v>
      </c>
      <c r="H30" s="253">
        <v>13.576000000000001</v>
      </c>
      <c r="I30" s="253">
        <v>2.8370000000000002</v>
      </c>
      <c r="J30" s="253">
        <v>-3.3580000000000001</v>
      </c>
      <c r="K30" s="253">
        <v>555.29700000000003</v>
      </c>
      <c r="L30" s="253">
        <v>4.5679999999999996</v>
      </c>
      <c r="M30" s="253">
        <v>559.86500000000001</v>
      </c>
      <c r="N30" s="253">
        <v>171.923</v>
      </c>
      <c r="O30" s="253">
        <v>740.58500000000004</v>
      </c>
      <c r="P30" s="253">
        <v>180.15899999999999</v>
      </c>
      <c r="Q30" s="253">
        <v>0</v>
      </c>
      <c r="R30" s="253">
        <v>559.33100000000002</v>
      </c>
      <c r="S30" s="254">
        <v>492.60599999999999</v>
      </c>
      <c r="U30" s="256"/>
      <c r="V30" s="256"/>
    </row>
    <row r="31" spans="1:22" ht="15.75">
      <c r="A31" s="241"/>
      <c r="B31" s="252" t="s">
        <v>668</v>
      </c>
      <c r="C31" s="253">
        <v>358.20400000000001</v>
      </c>
      <c r="D31" s="253">
        <v>114.502</v>
      </c>
      <c r="E31" s="253">
        <v>93.278000000000006</v>
      </c>
      <c r="F31" s="253">
        <v>52.581000000000003</v>
      </c>
      <c r="G31" s="253">
        <v>23.324000000000002</v>
      </c>
      <c r="H31" s="253">
        <v>14.268000000000001</v>
      </c>
      <c r="I31" s="253">
        <v>2.9079999999999999</v>
      </c>
      <c r="J31" s="253">
        <v>2.2480000000000002</v>
      </c>
      <c r="K31" s="253">
        <v>568.23199999999997</v>
      </c>
      <c r="L31" s="253">
        <v>6.3550000000000004</v>
      </c>
      <c r="M31" s="253">
        <v>574.58699999999999</v>
      </c>
      <c r="N31" s="253">
        <v>172.435</v>
      </c>
      <c r="O31" s="253">
        <v>751.33900000000006</v>
      </c>
      <c r="P31" s="253">
        <v>186.67699999999999</v>
      </c>
      <c r="Q31" s="253">
        <v>0</v>
      </c>
      <c r="R31" s="253">
        <v>563.69399999999996</v>
      </c>
      <c r="S31" s="254">
        <v>497.10199999999998</v>
      </c>
      <c r="U31" s="256"/>
      <c r="V31" s="256"/>
    </row>
    <row r="32" spans="1:22" ht="15.75">
      <c r="A32" s="241"/>
      <c r="B32" s="252" t="s">
        <v>669</v>
      </c>
      <c r="C32" s="253">
        <v>360.21800000000002</v>
      </c>
      <c r="D32" s="253">
        <v>114.214</v>
      </c>
      <c r="E32" s="253">
        <v>95.67</v>
      </c>
      <c r="F32" s="253">
        <v>54.473999999999997</v>
      </c>
      <c r="G32" s="253">
        <v>23.355</v>
      </c>
      <c r="H32" s="253">
        <v>14.638999999999999</v>
      </c>
      <c r="I32" s="253">
        <v>2.9550000000000001</v>
      </c>
      <c r="J32" s="253">
        <v>8.01</v>
      </c>
      <c r="K32" s="253">
        <v>578.11199999999997</v>
      </c>
      <c r="L32" s="253">
        <v>8.3889999999999993</v>
      </c>
      <c r="M32" s="253">
        <v>586.50099999999998</v>
      </c>
      <c r="N32" s="253">
        <v>177.39500000000001</v>
      </c>
      <c r="O32" s="253">
        <v>766.45500000000004</v>
      </c>
      <c r="P32" s="253">
        <v>198.14599999999999</v>
      </c>
      <c r="Q32" s="253">
        <v>0</v>
      </c>
      <c r="R32" s="253">
        <v>567.61900000000003</v>
      </c>
      <c r="S32" s="254">
        <v>500.24799999999999</v>
      </c>
      <c r="U32" s="256"/>
      <c r="V32" s="256"/>
    </row>
    <row r="33" spans="1:22" ht="18.75" customHeight="1">
      <c r="A33" s="241"/>
      <c r="B33" s="252" t="s">
        <v>670</v>
      </c>
      <c r="C33" s="253">
        <v>361.98899999999998</v>
      </c>
      <c r="D33" s="253">
        <v>114.438</v>
      </c>
      <c r="E33" s="253">
        <v>99.019000000000005</v>
      </c>
      <c r="F33" s="253">
        <v>57.96</v>
      </c>
      <c r="G33" s="253">
        <v>22.841999999999999</v>
      </c>
      <c r="H33" s="253">
        <v>14.961</v>
      </c>
      <c r="I33" s="253">
        <v>2.9319999999999999</v>
      </c>
      <c r="J33" s="253">
        <v>4.1210000000000004</v>
      </c>
      <c r="K33" s="253">
        <v>579.56700000000001</v>
      </c>
      <c r="L33" s="253">
        <v>5.8159999999999998</v>
      </c>
      <c r="M33" s="253">
        <v>585.38300000000004</v>
      </c>
      <c r="N33" s="253">
        <v>176.739</v>
      </c>
      <c r="O33" s="253">
        <v>766.44600000000003</v>
      </c>
      <c r="P33" s="253">
        <v>196.68700000000001</v>
      </c>
      <c r="Q33" s="253">
        <v>0</v>
      </c>
      <c r="R33" s="253">
        <v>569.15</v>
      </c>
      <c r="S33" s="254">
        <v>501.13200000000001</v>
      </c>
      <c r="U33" s="256"/>
      <c r="V33" s="256"/>
    </row>
    <row r="34" spans="1:22" ht="15.75">
      <c r="A34" s="241"/>
      <c r="B34" s="252" t="s">
        <v>671</v>
      </c>
      <c r="C34" s="253">
        <v>364.11399999999998</v>
      </c>
      <c r="D34" s="253">
        <v>115.491</v>
      </c>
      <c r="E34" s="253">
        <v>99.456000000000003</v>
      </c>
      <c r="F34" s="253">
        <v>56.395000000000003</v>
      </c>
      <c r="G34" s="253">
        <v>25.260999999999999</v>
      </c>
      <c r="H34" s="253">
        <v>14.946</v>
      </c>
      <c r="I34" s="253">
        <v>2.597</v>
      </c>
      <c r="J34" s="253">
        <v>0.52600000000000002</v>
      </c>
      <c r="K34" s="253">
        <v>579.58699999999999</v>
      </c>
      <c r="L34" s="253">
        <v>-3.8519999999999999</v>
      </c>
      <c r="M34" s="253">
        <v>575.73500000000001</v>
      </c>
      <c r="N34" s="253">
        <v>182.297</v>
      </c>
      <c r="O34" s="253">
        <v>765.85799999999995</v>
      </c>
      <c r="P34" s="253">
        <v>192.34200000000001</v>
      </c>
      <c r="Q34" s="253">
        <v>0</v>
      </c>
      <c r="R34" s="253">
        <v>572.673</v>
      </c>
      <c r="S34" s="254">
        <v>502.97699999999998</v>
      </c>
      <c r="U34" s="256"/>
      <c r="V34" s="256"/>
    </row>
    <row r="35" spans="1:22" ht="15.75">
      <c r="A35" s="241"/>
      <c r="B35" s="252" t="s">
        <v>672</v>
      </c>
      <c r="C35" s="253">
        <v>368.55799999999999</v>
      </c>
      <c r="D35" s="253">
        <v>116.55</v>
      </c>
      <c r="E35" s="253">
        <v>98.716999999999999</v>
      </c>
      <c r="F35" s="253">
        <v>56.508000000000003</v>
      </c>
      <c r="G35" s="253">
        <v>25.108000000000001</v>
      </c>
      <c r="H35" s="253">
        <v>14.169</v>
      </c>
      <c r="I35" s="253">
        <v>2.6880000000000002</v>
      </c>
      <c r="J35" s="253">
        <v>0.69299999999999995</v>
      </c>
      <c r="K35" s="253">
        <v>584.51800000000003</v>
      </c>
      <c r="L35" s="253">
        <v>-3.2429999999999999</v>
      </c>
      <c r="M35" s="253">
        <v>581.27499999999998</v>
      </c>
      <c r="N35" s="253">
        <v>176.53399999999999</v>
      </c>
      <c r="O35" s="253">
        <v>767.80799999999999</v>
      </c>
      <c r="P35" s="253">
        <v>192.126</v>
      </c>
      <c r="Q35" s="253">
        <v>0</v>
      </c>
      <c r="R35" s="253">
        <v>574.83600000000001</v>
      </c>
      <c r="S35" s="254">
        <v>504.44499999999999</v>
      </c>
      <c r="U35" s="256"/>
      <c r="V35" s="256"/>
    </row>
    <row r="36" spans="1:22" ht="15.75">
      <c r="A36" s="241"/>
      <c r="B36" s="252" t="s">
        <v>673</v>
      </c>
      <c r="C36" s="253">
        <v>367.49099999999999</v>
      </c>
      <c r="D36" s="253">
        <v>116.15900000000001</v>
      </c>
      <c r="E36" s="253">
        <v>101.962</v>
      </c>
      <c r="F36" s="253">
        <v>60.238</v>
      </c>
      <c r="G36" s="253">
        <v>25.004999999999999</v>
      </c>
      <c r="H36" s="253">
        <v>13.843</v>
      </c>
      <c r="I36" s="253">
        <v>2.6219999999999999</v>
      </c>
      <c r="J36" s="253">
        <v>-3.1629999999999998</v>
      </c>
      <c r="K36" s="253">
        <v>582.44899999999996</v>
      </c>
      <c r="L36" s="253">
        <v>15.231</v>
      </c>
      <c r="M36" s="253">
        <v>597.67999999999995</v>
      </c>
      <c r="N36" s="253">
        <v>181.607</v>
      </c>
      <c r="O36" s="253">
        <v>778.33900000000006</v>
      </c>
      <c r="P36" s="253">
        <v>199.85499999999999</v>
      </c>
      <c r="Q36" s="253">
        <v>0</v>
      </c>
      <c r="R36" s="253">
        <v>578.06799999999998</v>
      </c>
      <c r="S36" s="254">
        <v>506.755</v>
      </c>
      <c r="U36" s="256"/>
      <c r="V36" s="256"/>
    </row>
    <row r="37" spans="1:22" ht="18.75" customHeight="1">
      <c r="A37" s="241"/>
      <c r="B37" s="252" t="s">
        <v>674</v>
      </c>
      <c r="C37" s="253">
        <v>375.065</v>
      </c>
      <c r="D37" s="253">
        <v>116.38200000000001</v>
      </c>
      <c r="E37" s="253">
        <v>103.05200000000001</v>
      </c>
      <c r="F37" s="253">
        <v>61.683999999999997</v>
      </c>
      <c r="G37" s="253">
        <v>24.978000000000002</v>
      </c>
      <c r="H37" s="253">
        <v>13.483000000000001</v>
      </c>
      <c r="I37" s="253">
        <v>2.6759999999999997</v>
      </c>
      <c r="J37" s="253">
        <v>2.036</v>
      </c>
      <c r="K37" s="253">
        <v>596.53499999999997</v>
      </c>
      <c r="L37" s="253">
        <v>0.97599999999999998</v>
      </c>
      <c r="M37" s="253">
        <v>597.51099999999997</v>
      </c>
      <c r="N37" s="253">
        <v>180.917</v>
      </c>
      <c r="O37" s="253">
        <v>779.702</v>
      </c>
      <c r="P37" s="253">
        <v>199.05600000000001</v>
      </c>
      <c r="Q37" s="253">
        <v>0</v>
      </c>
      <c r="R37" s="253">
        <v>580.11</v>
      </c>
      <c r="S37" s="254">
        <v>509.01299999999998</v>
      </c>
      <c r="U37" s="256"/>
      <c r="V37" s="256"/>
    </row>
    <row r="38" spans="1:22" ht="15.75">
      <c r="A38" s="241"/>
      <c r="B38" s="252" t="s">
        <v>675</v>
      </c>
      <c r="C38" s="253">
        <v>378.221</v>
      </c>
      <c r="D38" s="253">
        <v>116.54</v>
      </c>
      <c r="E38" s="253">
        <v>103.914</v>
      </c>
      <c r="F38" s="253">
        <v>61.499000000000002</v>
      </c>
      <c r="G38" s="253">
        <v>25.462</v>
      </c>
      <c r="H38" s="253">
        <v>13.914</v>
      </c>
      <c r="I38" s="253">
        <v>2.7960000000000003</v>
      </c>
      <c r="J38" s="253">
        <v>-0.64</v>
      </c>
      <c r="K38" s="253">
        <v>598.03499999999997</v>
      </c>
      <c r="L38" s="253">
        <v>-1.2E-2</v>
      </c>
      <c r="M38" s="253">
        <v>598.02300000000002</v>
      </c>
      <c r="N38" s="253">
        <v>186.36699999999999</v>
      </c>
      <c r="O38" s="253">
        <v>785.202</v>
      </c>
      <c r="P38" s="253">
        <v>201.43199999999999</v>
      </c>
      <c r="Q38" s="253">
        <v>0</v>
      </c>
      <c r="R38" s="253">
        <v>583.38300000000004</v>
      </c>
      <c r="S38" s="254">
        <v>512.28599999999994</v>
      </c>
      <c r="U38" s="256"/>
      <c r="V38" s="256"/>
    </row>
    <row r="39" spans="1:22" ht="15.75">
      <c r="A39" s="241"/>
      <c r="B39" s="252" t="s">
        <v>676</v>
      </c>
      <c r="C39" s="253">
        <v>381.34300000000002</v>
      </c>
      <c r="D39" s="253">
        <v>116.779</v>
      </c>
      <c r="E39" s="253">
        <v>106.846</v>
      </c>
      <c r="F39" s="253">
        <v>62.975000000000001</v>
      </c>
      <c r="G39" s="253">
        <v>26.603999999999999</v>
      </c>
      <c r="H39" s="253">
        <v>14.276</v>
      </c>
      <c r="I39" s="253">
        <v>2.7229999999999999</v>
      </c>
      <c r="J39" s="253">
        <v>4.298</v>
      </c>
      <c r="K39" s="253">
        <v>609.26599999999996</v>
      </c>
      <c r="L39" s="253">
        <v>2.8460000000000001</v>
      </c>
      <c r="M39" s="253">
        <v>612.11199999999997</v>
      </c>
      <c r="N39" s="253">
        <v>181.291</v>
      </c>
      <c r="O39" s="253">
        <v>793.85699999999997</v>
      </c>
      <c r="P39" s="253">
        <v>208.25</v>
      </c>
      <c r="Q39" s="253">
        <v>0</v>
      </c>
      <c r="R39" s="253">
        <v>585.85599999999999</v>
      </c>
      <c r="S39" s="254">
        <v>514.61800000000005</v>
      </c>
      <c r="U39" s="256"/>
      <c r="V39" s="256"/>
    </row>
    <row r="40" spans="1:22" ht="15.75">
      <c r="A40" s="241"/>
      <c r="B40" s="252" t="s">
        <v>677</v>
      </c>
      <c r="C40" s="253">
        <v>381.35399999999998</v>
      </c>
      <c r="D40" s="253">
        <v>116.295</v>
      </c>
      <c r="E40" s="253">
        <v>105.866</v>
      </c>
      <c r="F40" s="253">
        <v>60.645000000000003</v>
      </c>
      <c r="G40" s="253">
        <v>28.04</v>
      </c>
      <c r="H40" s="253">
        <v>14.218999999999999</v>
      </c>
      <c r="I40" s="253">
        <v>2.7469999999999999</v>
      </c>
      <c r="J40" s="253">
        <v>-1.91</v>
      </c>
      <c r="K40" s="253">
        <v>601.60500000000002</v>
      </c>
      <c r="L40" s="253">
        <v>3.577</v>
      </c>
      <c r="M40" s="253">
        <v>605.18200000000002</v>
      </c>
      <c r="N40" s="253">
        <v>188.453</v>
      </c>
      <c r="O40" s="253">
        <v>793.22699999999998</v>
      </c>
      <c r="P40" s="253">
        <v>203.35300000000001</v>
      </c>
      <c r="Q40" s="253">
        <v>0</v>
      </c>
      <c r="R40" s="253">
        <v>589.476</v>
      </c>
      <c r="S40" s="254">
        <v>518.77099999999996</v>
      </c>
      <c r="U40" s="256"/>
      <c r="V40" s="256"/>
    </row>
    <row r="41" spans="1:22" ht="18.75" customHeight="1">
      <c r="A41" s="241"/>
      <c r="B41" s="252" t="s">
        <v>678</v>
      </c>
      <c r="C41" s="253">
        <v>384.089</v>
      </c>
      <c r="D41" s="253">
        <v>116.56699999999999</v>
      </c>
      <c r="E41" s="253">
        <v>107.65900000000001</v>
      </c>
      <c r="F41" s="253">
        <v>62.04</v>
      </c>
      <c r="G41" s="253">
        <v>28.318999999999999</v>
      </c>
      <c r="H41" s="253">
        <v>14.304</v>
      </c>
      <c r="I41" s="253">
        <v>2.778</v>
      </c>
      <c r="J41" s="253">
        <v>-0.26500000000000001</v>
      </c>
      <c r="K41" s="253">
        <v>608.04999999999995</v>
      </c>
      <c r="L41" s="253">
        <v>5.7960000000000003</v>
      </c>
      <c r="M41" s="253">
        <v>613.846</v>
      </c>
      <c r="N41" s="253">
        <v>191.572</v>
      </c>
      <c r="O41" s="253">
        <v>800.524</v>
      </c>
      <c r="P41" s="253">
        <v>205.761</v>
      </c>
      <c r="Q41" s="253">
        <v>0</v>
      </c>
      <c r="R41" s="253">
        <v>594.423</v>
      </c>
      <c r="S41" s="254">
        <v>523.28099999999995</v>
      </c>
      <c r="U41" s="256"/>
      <c r="V41" s="256"/>
    </row>
    <row r="42" spans="1:22" ht="15.75">
      <c r="A42" s="241"/>
      <c r="B42" s="252" t="s">
        <v>679</v>
      </c>
      <c r="C42" s="253">
        <v>384.15699999999998</v>
      </c>
      <c r="D42" s="253">
        <v>117.184</v>
      </c>
      <c r="E42" s="253">
        <v>108.992</v>
      </c>
      <c r="F42" s="253">
        <v>61.73</v>
      </c>
      <c r="G42" s="253">
        <v>27.934000000000001</v>
      </c>
      <c r="H42" s="253">
        <v>16.120999999999999</v>
      </c>
      <c r="I42" s="253">
        <v>2.8929999999999998</v>
      </c>
      <c r="J42" s="253">
        <v>0.67500000000000004</v>
      </c>
      <c r="K42" s="253">
        <v>611.00800000000004</v>
      </c>
      <c r="L42" s="253">
        <v>7.0570000000000004</v>
      </c>
      <c r="M42" s="253">
        <v>618.06500000000005</v>
      </c>
      <c r="N42" s="253">
        <v>196.71</v>
      </c>
      <c r="O42" s="253">
        <v>809.41899999999998</v>
      </c>
      <c r="P42" s="253">
        <v>211.268</v>
      </c>
      <c r="Q42" s="253">
        <v>0</v>
      </c>
      <c r="R42" s="253">
        <v>598.17600000000004</v>
      </c>
      <c r="S42" s="254">
        <v>526.54600000000005</v>
      </c>
      <c r="U42" s="256"/>
      <c r="V42" s="256"/>
    </row>
    <row r="43" spans="1:22" ht="15.75">
      <c r="A43" s="241"/>
      <c r="B43" s="252" t="s">
        <v>680</v>
      </c>
      <c r="C43" s="253">
        <v>386.68799999999999</v>
      </c>
      <c r="D43" s="253">
        <v>117.65</v>
      </c>
      <c r="E43" s="253">
        <v>108.03</v>
      </c>
      <c r="F43" s="253">
        <v>60.680999999999997</v>
      </c>
      <c r="G43" s="253">
        <v>28.51</v>
      </c>
      <c r="H43" s="253">
        <v>15.702</v>
      </c>
      <c r="I43" s="253">
        <v>2.8770000000000002</v>
      </c>
      <c r="J43" s="253">
        <v>0.45</v>
      </c>
      <c r="K43" s="253">
        <v>612.81799999999998</v>
      </c>
      <c r="L43" s="253">
        <v>2.1960000000000002</v>
      </c>
      <c r="M43" s="253">
        <v>615.01400000000001</v>
      </c>
      <c r="N43" s="253">
        <v>201.489</v>
      </c>
      <c r="O43" s="253">
        <v>814.25800000000004</v>
      </c>
      <c r="P43" s="253">
        <v>212.304</v>
      </c>
      <c r="Q43" s="253">
        <v>0</v>
      </c>
      <c r="R43" s="253">
        <v>601.96100000000001</v>
      </c>
      <c r="S43" s="254">
        <v>529.41200000000003</v>
      </c>
      <c r="U43" s="256"/>
      <c r="V43" s="256"/>
    </row>
    <row r="44" spans="1:22" ht="15.75">
      <c r="A44" s="241"/>
      <c r="B44" s="252" t="s">
        <v>681</v>
      </c>
      <c r="C44" s="253">
        <v>388.77499999999998</v>
      </c>
      <c r="D44" s="253">
        <v>117.59699999999999</v>
      </c>
      <c r="E44" s="253">
        <v>109.696</v>
      </c>
      <c r="F44" s="253">
        <v>61.713000000000001</v>
      </c>
      <c r="G44" s="253">
        <v>29.62</v>
      </c>
      <c r="H44" s="253">
        <v>15.843</v>
      </c>
      <c r="I44" s="253">
        <v>2.2440000000000002</v>
      </c>
      <c r="J44" s="253">
        <v>1.4359999999999999</v>
      </c>
      <c r="K44" s="253">
        <v>617.50400000000002</v>
      </c>
      <c r="L44" s="253">
        <v>0.91800000000000004</v>
      </c>
      <c r="M44" s="253">
        <v>618.42200000000003</v>
      </c>
      <c r="N44" s="253">
        <v>197.125</v>
      </c>
      <c r="O44" s="253">
        <v>815.27800000000002</v>
      </c>
      <c r="P44" s="253">
        <v>208.44399999999999</v>
      </c>
      <c r="Q44" s="253">
        <v>0</v>
      </c>
      <c r="R44" s="253">
        <v>606.39599999999996</v>
      </c>
      <c r="S44" s="254">
        <v>532.76300000000003</v>
      </c>
      <c r="U44" s="256"/>
      <c r="V44" s="256"/>
    </row>
    <row r="45" spans="1:22" ht="18.75" customHeight="1">
      <c r="A45" s="241"/>
      <c r="B45" s="252" t="s">
        <v>682</v>
      </c>
      <c r="C45" s="253">
        <v>391.25200000000001</v>
      </c>
      <c r="D45" s="253">
        <v>117.261</v>
      </c>
      <c r="E45" s="253">
        <v>109.09699999999999</v>
      </c>
      <c r="F45" s="253">
        <v>61.341999999999999</v>
      </c>
      <c r="G45" s="253">
        <v>29.834</v>
      </c>
      <c r="H45" s="253">
        <v>16.065000000000001</v>
      </c>
      <c r="I45" s="253">
        <v>1.5569999999999999</v>
      </c>
      <c r="J45" s="253">
        <v>0.99399999999999999</v>
      </c>
      <c r="K45" s="253">
        <v>618.60400000000004</v>
      </c>
      <c r="L45" s="253">
        <v>-0.314</v>
      </c>
      <c r="M45" s="253">
        <v>618.29</v>
      </c>
      <c r="N45" s="253">
        <v>201.006</v>
      </c>
      <c r="O45" s="253">
        <v>819.27599999999995</v>
      </c>
      <c r="P45" s="253">
        <v>212.31299999999999</v>
      </c>
      <c r="Q45" s="253">
        <v>0</v>
      </c>
      <c r="R45" s="253">
        <v>606.78499999999997</v>
      </c>
      <c r="S45" s="254">
        <v>532.94100000000003</v>
      </c>
      <c r="U45" s="256"/>
      <c r="V45" s="256"/>
    </row>
    <row r="46" spans="1:22" ht="15.75">
      <c r="A46" s="241"/>
      <c r="B46" s="252" t="s">
        <v>683</v>
      </c>
      <c r="C46" s="253">
        <v>390.80500000000001</v>
      </c>
      <c r="D46" s="253">
        <v>117.325</v>
      </c>
      <c r="E46" s="253">
        <v>107.82899999999999</v>
      </c>
      <c r="F46" s="253">
        <v>60.055</v>
      </c>
      <c r="G46" s="253">
        <v>31.146000000000001</v>
      </c>
      <c r="H46" s="253">
        <v>14.891999999999999</v>
      </c>
      <c r="I46" s="253">
        <v>1.534</v>
      </c>
      <c r="J46" s="253">
        <v>1.9359999999999999</v>
      </c>
      <c r="K46" s="253">
        <v>617.89499999999998</v>
      </c>
      <c r="L46" s="253">
        <v>3.992</v>
      </c>
      <c r="M46" s="253">
        <v>621.88699999999994</v>
      </c>
      <c r="N46" s="253">
        <v>202.16399999999999</v>
      </c>
      <c r="O46" s="253">
        <v>821.62</v>
      </c>
      <c r="P46" s="253">
        <v>213.75200000000001</v>
      </c>
      <c r="Q46" s="253">
        <v>0</v>
      </c>
      <c r="R46" s="253">
        <v>607.77499999999998</v>
      </c>
      <c r="S46" s="254">
        <v>533.75099999999998</v>
      </c>
      <c r="U46" s="256"/>
      <c r="V46" s="256"/>
    </row>
    <row r="47" spans="1:22" ht="15.75">
      <c r="A47" s="241"/>
      <c r="B47" s="252" t="s">
        <v>684</v>
      </c>
      <c r="C47" s="253">
        <v>393.86</v>
      </c>
      <c r="D47" s="253">
        <v>117.988</v>
      </c>
      <c r="E47" s="253">
        <v>107.807</v>
      </c>
      <c r="F47" s="253">
        <v>60.115000000000002</v>
      </c>
      <c r="G47" s="253">
        <v>30.321000000000002</v>
      </c>
      <c r="H47" s="253">
        <v>15.561999999999999</v>
      </c>
      <c r="I47" s="253">
        <v>1.5130000000000001</v>
      </c>
      <c r="J47" s="253">
        <v>1.681</v>
      </c>
      <c r="K47" s="253">
        <v>621.33600000000001</v>
      </c>
      <c r="L47" s="253">
        <v>-2.2639999999999998</v>
      </c>
      <c r="M47" s="253">
        <v>619.072</v>
      </c>
      <c r="N47" s="253">
        <v>204.858</v>
      </c>
      <c r="O47" s="253">
        <v>824.54300000000001</v>
      </c>
      <c r="P47" s="253">
        <v>214.83099999999999</v>
      </c>
      <c r="Q47" s="253">
        <v>0</v>
      </c>
      <c r="R47" s="253">
        <v>609.65300000000002</v>
      </c>
      <c r="S47" s="254">
        <v>535.81399999999996</v>
      </c>
      <c r="U47" s="256"/>
      <c r="V47" s="256"/>
    </row>
    <row r="48" spans="1:22" ht="15.75">
      <c r="A48" s="241"/>
      <c r="B48" s="252" t="s">
        <v>685</v>
      </c>
      <c r="C48" s="253">
        <v>398.12200000000001</v>
      </c>
      <c r="D48" s="253">
        <v>119.426</v>
      </c>
      <c r="E48" s="253">
        <v>107.66200000000001</v>
      </c>
      <c r="F48" s="253">
        <v>60.536000000000001</v>
      </c>
      <c r="G48" s="253">
        <v>30.01</v>
      </c>
      <c r="H48" s="253">
        <v>15.438000000000001</v>
      </c>
      <c r="I48" s="253">
        <v>1.3859999999999999</v>
      </c>
      <c r="J48" s="253">
        <v>0.77700000000000002</v>
      </c>
      <c r="K48" s="253">
        <v>625.98699999999997</v>
      </c>
      <c r="L48" s="253">
        <v>1.429</v>
      </c>
      <c r="M48" s="253">
        <v>627.41600000000005</v>
      </c>
      <c r="N48" s="253">
        <v>203.1</v>
      </c>
      <c r="O48" s="253">
        <v>832.92399999999998</v>
      </c>
      <c r="P48" s="253">
        <v>222.83099999999999</v>
      </c>
      <c r="Q48" s="253">
        <v>0</v>
      </c>
      <c r="R48" s="253">
        <v>610.48099999999999</v>
      </c>
      <c r="S48" s="254">
        <v>536.47500000000002</v>
      </c>
      <c r="U48" s="256"/>
      <c r="V48" s="256"/>
    </row>
    <row r="49" spans="1:22" ht="18.75" customHeight="1">
      <c r="A49" s="241"/>
      <c r="B49" s="252" t="s">
        <v>686</v>
      </c>
      <c r="C49" s="253">
        <v>397.72300000000001</v>
      </c>
      <c r="D49" s="253">
        <v>121.134</v>
      </c>
      <c r="E49" s="253">
        <v>110.94799999999999</v>
      </c>
      <c r="F49" s="253">
        <v>61.201000000000001</v>
      </c>
      <c r="G49" s="253">
        <v>31.132000000000001</v>
      </c>
      <c r="H49" s="253">
        <v>16.75</v>
      </c>
      <c r="I49" s="253">
        <v>1.5763983700000002</v>
      </c>
      <c r="J49" s="253">
        <v>15.645</v>
      </c>
      <c r="K49" s="253">
        <v>645.45000000000005</v>
      </c>
      <c r="L49" s="253">
        <v>8.1479999999999997</v>
      </c>
      <c r="M49" s="253">
        <v>653.59799999999996</v>
      </c>
      <c r="N49" s="253">
        <v>200.81100000000001</v>
      </c>
      <c r="O49" s="253">
        <v>852.36300000000006</v>
      </c>
      <c r="P49" s="253">
        <v>238.57499999999999</v>
      </c>
      <c r="Q49" s="253">
        <v>0</v>
      </c>
      <c r="R49" s="253">
        <v>614.93600000000004</v>
      </c>
      <c r="S49" s="254">
        <v>540.45100000000002</v>
      </c>
      <c r="U49" s="256"/>
      <c r="V49" s="256"/>
    </row>
    <row r="50" spans="1:22" ht="15.75" customHeight="1">
      <c r="A50" s="494"/>
      <c r="B50" s="252" t="s">
        <v>687</v>
      </c>
      <c r="C50" s="253">
        <v>398.83300000000003</v>
      </c>
      <c r="D50" s="253">
        <v>123.253</v>
      </c>
      <c r="E50" s="253">
        <v>110.04600000000001</v>
      </c>
      <c r="F50" s="253">
        <v>62.180999999999997</v>
      </c>
      <c r="G50" s="253">
        <v>30.466999999999999</v>
      </c>
      <c r="H50" s="253">
        <v>15.561</v>
      </c>
      <c r="I50" s="253">
        <v>1.5791700500000001</v>
      </c>
      <c r="J50" s="253">
        <v>2.6709999999999998</v>
      </c>
      <c r="K50" s="253">
        <v>634.803</v>
      </c>
      <c r="L50" s="253">
        <v>-3.7149999999999999</v>
      </c>
      <c r="M50" s="253">
        <v>631.08799999999997</v>
      </c>
      <c r="N50" s="253">
        <v>198.31100000000001</v>
      </c>
      <c r="O50" s="253">
        <v>833.35900000000004</v>
      </c>
      <c r="P50" s="253">
        <v>216.41300000000001</v>
      </c>
      <c r="Q50" s="253">
        <v>0</v>
      </c>
      <c r="R50" s="253">
        <v>616.85299999999995</v>
      </c>
      <c r="S50" s="254">
        <v>542.29399999999998</v>
      </c>
      <c r="U50" s="256"/>
      <c r="V50" s="256"/>
    </row>
    <row r="51" spans="1:22">
      <c r="A51" s="494"/>
      <c r="B51" s="252" t="s">
        <v>688</v>
      </c>
      <c r="C51" s="253">
        <v>398</v>
      </c>
      <c r="D51" s="253">
        <v>122.923</v>
      </c>
      <c r="E51" s="253">
        <v>110.94199999999999</v>
      </c>
      <c r="F51" s="253">
        <v>61.932000000000002</v>
      </c>
      <c r="G51" s="253">
        <v>31.503</v>
      </c>
      <c r="H51" s="253">
        <v>15.638999999999999</v>
      </c>
      <c r="I51" s="253">
        <v>1.61616676</v>
      </c>
      <c r="J51" s="253">
        <v>1.726</v>
      </c>
      <c r="K51" s="253">
        <v>633.59100000000001</v>
      </c>
      <c r="L51" s="253">
        <v>-0.71799999999999997</v>
      </c>
      <c r="M51" s="253">
        <v>632.87300000000005</v>
      </c>
      <c r="N51" s="253">
        <v>210.04</v>
      </c>
      <c r="O51" s="253">
        <v>840.86</v>
      </c>
      <c r="P51" s="253">
        <v>219.59800000000001</v>
      </c>
      <c r="Q51" s="253">
        <v>0</v>
      </c>
      <c r="R51" s="253">
        <v>621.22699999999998</v>
      </c>
      <c r="S51" s="254">
        <v>546.86099999999999</v>
      </c>
      <c r="U51" s="256"/>
      <c r="V51" s="256"/>
    </row>
    <row r="52" spans="1:22">
      <c r="A52" s="494"/>
      <c r="B52" s="252" t="s">
        <v>689</v>
      </c>
      <c r="C52" s="253">
        <v>396.35199999999998</v>
      </c>
      <c r="D52" s="253">
        <v>123.43600000000001</v>
      </c>
      <c r="E52" s="253">
        <v>109.685</v>
      </c>
      <c r="F52" s="253">
        <v>61.994</v>
      </c>
      <c r="G52" s="253">
        <v>30.033999999999999</v>
      </c>
      <c r="H52" s="253">
        <v>15.702</v>
      </c>
      <c r="I52" s="253">
        <v>1.6259281300000001</v>
      </c>
      <c r="J52" s="253">
        <v>-13.404</v>
      </c>
      <c r="K52" s="253">
        <v>616.06899999999996</v>
      </c>
      <c r="L52" s="253">
        <v>-0.35199999999999998</v>
      </c>
      <c r="M52" s="253">
        <v>615.71699999999998</v>
      </c>
      <c r="N52" s="253">
        <v>218.197</v>
      </c>
      <c r="O52" s="253">
        <v>834.32100000000003</v>
      </c>
      <c r="P52" s="253">
        <v>212.636</v>
      </c>
      <c r="Q52" s="253">
        <v>0</v>
      </c>
      <c r="R52" s="253">
        <v>621.22900000000004</v>
      </c>
      <c r="S52" s="254">
        <v>547.16999999999996</v>
      </c>
      <c r="U52" s="256"/>
      <c r="V52" s="256"/>
    </row>
    <row r="53" spans="1:22">
      <c r="A53" s="494"/>
      <c r="B53" s="257" t="s">
        <v>690</v>
      </c>
      <c r="C53" s="253">
        <v>385.14499999999998</v>
      </c>
      <c r="D53" s="253">
        <v>119.746</v>
      </c>
      <c r="E53" s="253">
        <v>106.217</v>
      </c>
      <c r="F53" s="253">
        <v>60.598999999999997</v>
      </c>
      <c r="G53" s="253">
        <v>28.295000000000002</v>
      </c>
      <c r="H53" s="253">
        <v>15.772</v>
      </c>
      <c r="I53" s="253">
        <v>1.4391647599999997</v>
      </c>
      <c r="J53" s="253">
        <v>0.81599999999999995</v>
      </c>
      <c r="K53" s="253">
        <v>611.92399999999998</v>
      </c>
      <c r="L53" s="253">
        <v>-0.74</v>
      </c>
      <c r="M53" s="253">
        <v>611.18399999999997</v>
      </c>
      <c r="N53" s="253">
        <v>199.459</v>
      </c>
      <c r="O53" s="253">
        <v>810.20899999999995</v>
      </c>
      <c r="P53" s="253">
        <v>204.82599999999999</v>
      </c>
      <c r="Q53" s="253">
        <v>0</v>
      </c>
      <c r="R53" s="253">
        <v>604.71900000000005</v>
      </c>
      <c r="S53" s="254">
        <v>533.67700000000002</v>
      </c>
      <c r="U53" s="256"/>
      <c r="V53" s="256"/>
    </row>
    <row r="54" spans="1:22">
      <c r="A54" s="494"/>
      <c r="B54" s="257" t="s">
        <v>691</v>
      </c>
      <c r="C54" s="253">
        <v>295.53699999999998</v>
      </c>
      <c r="D54" s="253">
        <v>98.584999999999994</v>
      </c>
      <c r="E54" s="253">
        <v>86.236999999999995</v>
      </c>
      <c r="F54" s="253">
        <v>48.951000000000001</v>
      </c>
      <c r="G54" s="253">
        <v>17.748000000000001</v>
      </c>
      <c r="H54" s="253">
        <v>17.943999999999999</v>
      </c>
      <c r="I54" s="253">
        <v>0.89271858500000001</v>
      </c>
      <c r="J54" s="253">
        <v>-8.48</v>
      </c>
      <c r="K54" s="253">
        <v>471.87900000000002</v>
      </c>
      <c r="L54" s="253">
        <v>-5.1870000000000003</v>
      </c>
      <c r="M54" s="253">
        <v>466.69200000000001</v>
      </c>
      <c r="N54" s="253">
        <v>173.36099999999999</v>
      </c>
      <c r="O54" s="253">
        <v>637.09500000000003</v>
      </c>
      <c r="P54" s="253">
        <v>154.30199999999999</v>
      </c>
      <c r="Q54" s="253">
        <v>0</v>
      </c>
      <c r="R54" s="253">
        <v>481.76900000000001</v>
      </c>
      <c r="S54" s="254">
        <v>424.7</v>
      </c>
      <c r="U54" s="256"/>
      <c r="V54" s="256"/>
    </row>
    <row r="55" spans="1:22" ht="15.75">
      <c r="A55" s="258"/>
      <c r="B55" s="257" t="s">
        <v>692</v>
      </c>
      <c r="C55" s="253">
        <v>353.58499999999998</v>
      </c>
      <c r="D55" s="253">
        <v>116.72799999999999</v>
      </c>
      <c r="E55" s="253">
        <v>100.07599999999999</v>
      </c>
      <c r="F55" s="253">
        <v>54.71</v>
      </c>
      <c r="G55" s="253">
        <v>25.844000000000001</v>
      </c>
      <c r="H55" s="253">
        <v>18.096</v>
      </c>
      <c r="I55" s="253">
        <v>1.3416841999999998</v>
      </c>
      <c r="J55" s="253">
        <v>1.4339999999999999</v>
      </c>
      <c r="K55" s="253">
        <v>571.82299999999998</v>
      </c>
      <c r="L55" s="253">
        <v>0.375</v>
      </c>
      <c r="M55" s="253">
        <v>572.19799999999998</v>
      </c>
      <c r="N55" s="253">
        <v>173.434</v>
      </c>
      <c r="O55" s="253">
        <v>744.72900000000004</v>
      </c>
      <c r="P55" s="253">
        <v>180.964</v>
      </c>
      <c r="Q55" s="253">
        <v>0</v>
      </c>
      <c r="R55" s="253">
        <v>562.64800000000002</v>
      </c>
      <c r="S55" s="254">
        <v>497.61500000000001</v>
      </c>
      <c r="U55" s="256"/>
      <c r="V55" s="256"/>
    </row>
    <row r="56" spans="1:22" ht="15.75">
      <c r="A56" s="258"/>
      <c r="B56" s="257" t="s">
        <v>693</v>
      </c>
      <c r="C56" s="253">
        <v>347.65800000000002</v>
      </c>
      <c r="D56" s="253">
        <v>122.361</v>
      </c>
      <c r="E56" s="253">
        <v>106.348</v>
      </c>
      <c r="F56" s="253">
        <v>57.774999999999999</v>
      </c>
      <c r="G56" s="253">
        <v>28.305</v>
      </c>
      <c r="H56" s="253">
        <v>18.754000000000001</v>
      </c>
      <c r="I56" s="253">
        <v>1.43575929</v>
      </c>
      <c r="J56" s="253">
        <v>6.8170000000000002</v>
      </c>
      <c r="K56" s="253">
        <v>583.18399999999997</v>
      </c>
      <c r="L56" s="253">
        <v>9.0329999999999995</v>
      </c>
      <c r="M56" s="253">
        <v>592.21699999999998</v>
      </c>
      <c r="N56" s="253">
        <v>183.541</v>
      </c>
      <c r="O56" s="253">
        <v>776.16700000000003</v>
      </c>
      <c r="P56" s="253">
        <v>206.19200000000001</v>
      </c>
      <c r="Q56" s="253">
        <v>0</v>
      </c>
      <c r="R56" s="253">
        <v>570.33799999999997</v>
      </c>
      <c r="S56" s="254">
        <v>505.59399999999999</v>
      </c>
      <c r="U56" s="256"/>
      <c r="V56" s="256"/>
    </row>
    <row r="57" spans="1:22" ht="15.75">
      <c r="A57" s="258"/>
      <c r="B57" s="257" t="s">
        <v>694</v>
      </c>
      <c r="C57" s="253">
        <v>335.26499999999999</v>
      </c>
      <c r="D57" s="253">
        <v>123.066</v>
      </c>
      <c r="E57" s="253">
        <v>103.49299999999999</v>
      </c>
      <c r="F57" s="253">
        <v>53.828000000000003</v>
      </c>
      <c r="G57" s="253">
        <v>30.026</v>
      </c>
      <c r="H57" s="253">
        <v>18.170999999999999</v>
      </c>
      <c r="I57" s="253">
        <v>1.5287027399999999</v>
      </c>
      <c r="J57" s="253">
        <v>8.6389999999999993</v>
      </c>
      <c r="K57" s="253">
        <v>570.46299999999997</v>
      </c>
      <c r="L57" s="253">
        <v>6.3730000000000002</v>
      </c>
      <c r="M57" s="253">
        <v>576.83600000000001</v>
      </c>
      <c r="N57" s="253">
        <v>178.76300000000001</v>
      </c>
      <c r="O57" s="253">
        <v>755.38499999999999</v>
      </c>
      <c r="P57" s="253">
        <v>190.27699999999999</v>
      </c>
      <c r="Q57" s="253">
        <v>0</v>
      </c>
      <c r="R57" s="253">
        <v>564.41099999999994</v>
      </c>
      <c r="S57" s="254">
        <v>500.19600000000003</v>
      </c>
      <c r="U57" s="256"/>
      <c r="V57" s="256"/>
    </row>
    <row r="58" spans="1:22" ht="15.75">
      <c r="A58" s="241"/>
      <c r="B58" s="257" t="s">
        <v>695</v>
      </c>
      <c r="C58" s="253">
        <v>374.41500000000002</v>
      </c>
      <c r="D58" s="253">
        <v>132.75800000000001</v>
      </c>
      <c r="E58" s="253">
        <v>108.6</v>
      </c>
      <c r="F58" s="253">
        <v>57.987000000000002</v>
      </c>
      <c r="G58" s="253">
        <v>29.338000000000001</v>
      </c>
      <c r="H58" s="253">
        <v>19.641999999999999</v>
      </c>
      <c r="I58" s="253">
        <v>1.6536120399999998</v>
      </c>
      <c r="J58" s="253">
        <v>-0.44800000000000001</v>
      </c>
      <c r="K58" s="253">
        <v>615.32500000000005</v>
      </c>
      <c r="L58" s="253">
        <v>-5.2409999999999997</v>
      </c>
      <c r="M58" s="253">
        <v>610.08399999999995</v>
      </c>
      <c r="N58" s="253">
        <v>191.113</v>
      </c>
      <c r="O58" s="253">
        <v>800.43200000000002</v>
      </c>
      <c r="P58" s="253">
        <v>193.36500000000001</v>
      </c>
      <c r="Q58" s="253">
        <v>0</v>
      </c>
      <c r="R58" s="253">
        <v>605.35299999999995</v>
      </c>
      <c r="S58" s="254">
        <v>536.79200000000003</v>
      </c>
      <c r="U58" s="256"/>
      <c r="V58" s="256"/>
    </row>
    <row r="59" spans="1:22" ht="15.75">
      <c r="A59" s="241"/>
      <c r="B59" s="257" t="s">
        <v>696</v>
      </c>
      <c r="C59" s="253">
        <v>385.346</v>
      </c>
      <c r="D59" s="253">
        <v>132.98599999999999</v>
      </c>
      <c r="E59" s="253">
        <v>108.182</v>
      </c>
      <c r="F59" s="253">
        <v>56.997999999999998</v>
      </c>
      <c r="G59" s="253">
        <v>29.622</v>
      </c>
      <c r="H59" s="253">
        <v>19.917999999999999</v>
      </c>
      <c r="I59" s="253">
        <v>1.6627453700000001</v>
      </c>
      <c r="J59" s="253">
        <v>3.6429999999999998</v>
      </c>
      <c r="K59" s="253">
        <v>630.15700000000004</v>
      </c>
      <c r="L59" s="253">
        <v>2.2250000000000001</v>
      </c>
      <c r="M59" s="253">
        <v>632.38199999999995</v>
      </c>
      <c r="N59" s="253">
        <v>181.773</v>
      </c>
      <c r="O59" s="253">
        <v>817.78599999999994</v>
      </c>
      <c r="P59" s="253">
        <v>201.10900000000001</v>
      </c>
      <c r="Q59" s="253">
        <v>0</v>
      </c>
      <c r="R59" s="253">
        <v>615.45899999999995</v>
      </c>
      <c r="S59" s="254">
        <v>544.69100000000003</v>
      </c>
      <c r="U59" s="256"/>
      <c r="V59" s="256"/>
    </row>
    <row r="60" spans="1:22" ht="15.75">
      <c r="A60" s="241"/>
      <c r="B60" s="257" t="s">
        <v>697</v>
      </c>
      <c r="C60" s="253">
        <v>386.36900000000003</v>
      </c>
      <c r="D60" s="253">
        <v>134.08099999999999</v>
      </c>
      <c r="E60" s="253">
        <v>108.845</v>
      </c>
      <c r="F60" s="253">
        <v>57.177999999999997</v>
      </c>
      <c r="G60" s="253">
        <v>30.126999999999999</v>
      </c>
      <c r="H60" s="253">
        <v>19.891999999999999</v>
      </c>
      <c r="I60" s="253">
        <v>1.68547705</v>
      </c>
      <c r="J60" s="253">
        <v>-2.496</v>
      </c>
      <c r="K60" s="253">
        <v>626.79899999999998</v>
      </c>
      <c r="L60" s="253">
        <v>0.56100000000000005</v>
      </c>
      <c r="M60" s="253">
        <v>627.36</v>
      </c>
      <c r="N60" s="253">
        <v>201.72</v>
      </c>
      <c r="O60" s="253">
        <v>830.63699999999994</v>
      </c>
      <c r="P60" s="253">
        <v>204.893</v>
      </c>
      <c r="Q60" s="253">
        <v>0</v>
      </c>
      <c r="R60" s="253">
        <v>624.59199999999998</v>
      </c>
      <c r="S60" s="254">
        <v>552.13499999999999</v>
      </c>
      <c r="U60" s="256"/>
      <c r="V60" s="256"/>
    </row>
    <row r="61" spans="1:22" ht="15.75">
      <c r="A61" s="241"/>
      <c r="B61" s="257" t="s">
        <v>698</v>
      </c>
      <c r="C61" s="253">
        <v>391.37900000000002</v>
      </c>
      <c r="D61" s="253">
        <v>133.92599999999999</v>
      </c>
      <c r="E61" s="253">
        <v>113.041</v>
      </c>
      <c r="F61" s="253">
        <v>58.902999999999999</v>
      </c>
      <c r="G61" s="253">
        <v>32.154000000000003</v>
      </c>
      <c r="H61" s="253">
        <v>20.14</v>
      </c>
      <c r="I61" s="253">
        <v>1.7338671200000002</v>
      </c>
      <c r="J61" s="253">
        <v>5.9429999999999996</v>
      </c>
      <c r="K61" s="253">
        <v>644.28899999999999</v>
      </c>
      <c r="L61" s="253">
        <v>12.24</v>
      </c>
      <c r="M61" s="253">
        <v>656.529</v>
      </c>
      <c r="N61" s="253">
        <v>191.62100000000001</v>
      </c>
      <c r="O61" s="253">
        <v>854.05600000000004</v>
      </c>
      <c r="P61" s="253">
        <v>225.154</v>
      </c>
      <c r="Q61" s="253">
        <v>0</v>
      </c>
      <c r="R61" s="253">
        <v>629.149</v>
      </c>
      <c r="S61" s="254">
        <v>555.91200000000003</v>
      </c>
      <c r="U61" s="256"/>
      <c r="V61" s="256"/>
    </row>
    <row r="62" spans="1:22" ht="15.75">
      <c r="A62" s="241"/>
      <c r="B62" s="257" t="s">
        <v>699</v>
      </c>
      <c r="C62" s="253">
        <v>398.55700000000002</v>
      </c>
      <c r="D62" s="253">
        <v>129.626</v>
      </c>
      <c r="E62" s="253">
        <v>112.982</v>
      </c>
      <c r="F62" s="253">
        <v>60.332000000000001</v>
      </c>
      <c r="G62" s="253">
        <v>32.014000000000003</v>
      </c>
      <c r="H62" s="253">
        <v>18.893999999999998</v>
      </c>
      <c r="I62" s="253">
        <v>1.7039901199999998</v>
      </c>
      <c r="J62" s="253">
        <v>2.1059999999999999</v>
      </c>
      <c r="K62" s="253">
        <v>643.27099999999996</v>
      </c>
      <c r="L62" s="253">
        <v>11.356999999999999</v>
      </c>
      <c r="M62" s="253">
        <v>654.62800000000004</v>
      </c>
      <c r="N62" s="253">
        <v>205.09800000000001</v>
      </c>
      <c r="O62" s="253">
        <v>857.51499999999999</v>
      </c>
      <c r="P62" s="253">
        <v>226.51400000000001</v>
      </c>
      <c r="Q62" s="253">
        <v>0</v>
      </c>
      <c r="R62" s="253">
        <v>631.25800000000004</v>
      </c>
      <c r="S62" s="254">
        <v>556.96799999999996</v>
      </c>
      <c r="U62" s="256"/>
      <c r="V62" s="256"/>
    </row>
    <row r="63" spans="1:22" ht="15.75">
      <c r="A63" s="241"/>
      <c r="B63" s="257" t="s">
        <v>700</v>
      </c>
      <c r="C63" s="253">
        <v>399.33800000000002</v>
      </c>
      <c r="D63" s="253">
        <v>131.62799999999999</v>
      </c>
      <c r="E63" s="253">
        <v>113.28100000000001</v>
      </c>
      <c r="F63" s="253">
        <v>60.887</v>
      </c>
      <c r="G63" s="253">
        <v>31.844999999999999</v>
      </c>
      <c r="H63" s="253">
        <v>18.800999999999998</v>
      </c>
      <c r="I63" s="253">
        <v>1.7053418</v>
      </c>
      <c r="J63" s="253">
        <v>-12.247</v>
      </c>
      <c r="K63" s="253">
        <v>632</v>
      </c>
      <c r="L63" s="253">
        <v>-1.2070000000000001</v>
      </c>
      <c r="M63" s="253">
        <v>630.79300000000001</v>
      </c>
      <c r="N63" s="253">
        <v>224.767</v>
      </c>
      <c r="O63" s="253">
        <v>851.82600000000002</v>
      </c>
      <c r="P63" s="253">
        <v>219.547</v>
      </c>
      <c r="Q63" s="253">
        <v>0</v>
      </c>
      <c r="R63" s="253">
        <v>631.97699999999998</v>
      </c>
      <c r="S63" s="254">
        <v>557.05600000000004</v>
      </c>
      <c r="U63" s="256"/>
      <c r="V63" s="256"/>
    </row>
    <row r="64" spans="1:22" ht="15.75">
      <c r="A64" s="241"/>
      <c r="B64" s="257" t="s">
        <v>701</v>
      </c>
      <c r="C64" s="253">
        <v>401.82600000000002</v>
      </c>
      <c r="D64" s="253">
        <v>131.06899999999999</v>
      </c>
      <c r="E64" s="253">
        <v>111.78700000000001</v>
      </c>
      <c r="F64" s="253">
        <v>59.247999999999998</v>
      </c>
      <c r="G64" s="253">
        <v>31.123000000000001</v>
      </c>
      <c r="H64" s="253">
        <v>19.702000000000002</v>
      </c>
      <c r="I64" s="253">
        <v>1.67117011</v>
      </c>
      <c r="J64" s="253">
        <v>-16.172999999999998</v>
      </c>
      <c r="K64" s="253">
        <v>628.50900000000001</v>
      </c>
      <c r="L64" s="253">
        <v>8.4000000000000005E-2</v>
      </c>
      <c r="M64" s="253">
        <v>628.59299999999996</v>
      </c>
      <c r="N64" s="253">
        <v>226.565</v>
      </c>
      <c r="O64" s="253">
        <v>855.197</v>
      </c>
      <c r="P64" s="253">
        <v>220.95099999999999</v>
      </c>
      <c r="Q64" s="253">
        <v>0</v>
      </c>
      <c r="R64" s="253">
        <v>634.04399999999998</v>
      </c>
      <c r="S64" s="254">
        <v>559.52499999999998</v>
      </c>
      <c r="U64" s="256"/>
      <c r="V64" s="256"/>
    </row>
    <row r="65" spans="1:22" ht="15.75">
      <c r="A65" s="241"/>
      <c r="B65" s="259" t="s">
        <v>702</v>
      </c>
      <c r="C65" s="253">
        <v>400.13900000000001</v>
      </c>
      <c r="D65" s="253">
        <v>130.19499999999999</v>
      </c>
      <c r="E65" s="253">
        <v>114.813</v>
      </c>
      <c r="F65" s="253">
        <v>62.59</v>
      </c>
      <c r="G65" s="253">
        <v>30.56</v>
      </c>
      <c r="H65" s="253">
        <v>19.946999999999999</v>
      </c>
      <c r="I65" s="253">
        <v>1.6246134099999998</v>
      </c>
      <c r="J65" s="253">
        <v>-6.0179999999999998</v>
      </c>
      <c r="K65" s="253">
        <v>639.12900000000002</v>
      </c>
      <c r="L65" s="253">
        <v>2.5059999999999998</v>
      </c>
      <c r="M65" s="253">
        <v>641.63499999999999</v>
      </c>
      <c r="N65" s="253">
        <v>207.779</v>
      </c>
      <c r="O65" s="253">
        <v>849.41399999999999</v>
      </c>
      <c r="P65" s="253">
        <v>214.71600000000001</v>
      </c>
      <c r="Q65" s="253">
        <v>0.109</v>
      </c>
      <c r="R65" s="253">
        <v>634.80700000000002</v>
      </c>
      <c r="S65" s="254">
        <v>561.13499999999999</v>
      </c>
      <c r="U65" s="256"/>
      <c r="V65" s="256"/>
    </row>
    <row r="66" spans="1:22" ht="15.75">
      <c r="A66" s="241"/>
      <c r="B66" s="259" t="s">
        <v>703</v>
      </c>
      <c r="C66" s="253">
        <v>401.86700000000002</v>
      </c>
      <c r="D66" s="253">
        <v>133.00399999999999</v>
      </c>
      <c r="E66" s="253">
        <v>113.461</v>
      </c>
      <c r="F66" s="253">
        <v>63.198999999999998</v>
      </c>
      <c r="G66" s="253">
        <v>29.468</v>
      </c>
      <c r="H66" s="253">
        <v>19.067</v>
      </c>
      <c r="I66" s="253">
        <v>1.6398631399999999</v>
      </c>
      <c r="J66" s="253">
        <v>-3.819</v>
      </c>
      <c r="K66" s="253">
        <v>644.51300000000003</v>
      </c>
      <c r="L66" s="253">
        <v>-4.7E-2</v>
      </c>
      <c r="M66" s="253">
        <v>644.46600000000001</v>
      </c>
      <c r="N66" s="253">
        <v>206.45500000000001</v>
      </c>
      <c r="O66" s="253">
        <v>850.92100000000005</v>
      </c>
      <c r="P66" s="253">
        <v>216.209</v>
      </c>
      <c r="Q66" s="253">
        <v>0.154</v>
      </c>
      <c r="R66" s="253">
        <v>634.86599999999999</v>
      </c>
      <c r="S66" s="254">
        <v>561.12400000000002</v>
      </c>
      <c r="U66" s="256"/>
      <c r="V66" s="256"/>
    </row>
    <row r="67" spans="1:22" ht="15.6" customHeight="1">
      <c r="A67" s="241"/>
      <c r="B67" s="259" t="s">
        <v>704</v>
      </c>
      <c r="C67" s="253">
        <v>398.74700000000001</v>
      </c>
      <c r="D67" s="253">
        <v>134.49100000000001</v>
      </c>
      <c r="E67" s="253">
        <v>111.648</v>
      </c>
      <c r="F67" s="253">
        <v>61.723999999999997</v>
      </c>
      <c r="G67" s="253">
        <v>29.047000000000001</v>
      </c>
      <c r="H67" s="253">
        <v>19.088999999999999</v>
      </c>
      <c r="I67" s="253">
        <v>1.6182664500000001</v>
      </c>
      <c r="J67" s="253">
        <v>-1.349</v>
      </c>
      <c r="K67" s="253">
        <v>643.53700000000003</v>
      </c>
      <c r="L67" s="253">
        <v>-2.0099999999999998</v>
      </c>
      <c r="M67" s="253">
        <v>641.52700000000004</v>
      </c>
      <c r="N67" s="253">
        <v>202.56299999999999</v>
      </c>
      <c r="O67" s="253">
        <v>844.09</v>
      </c>
      <c r="P67" s="253">
        <v>210.20500000000001</v>
      </c>
      <c r="Q67" s="253">
        <v>0.16700000000000001</v>
      </c>
      <c r="R67" s="253">
        <v>634.05200000000002</v>
      </c>
      <c r="S67" s="254">
        <v>560.36099999999999</v>
      </c>
      <c r="U67" s="256"/>
      <c r="V67" s="256"/>
    </row>
    <row r="68" spans="1:22" ht="15.6" customHeight="1">
      <c r="A68" s="241"/>
      <c r="B68" s="259" t="s">
        <v>705</v>
      </c>
      <c r="C68" s="253">
        <v>398.25700000000001</v>
      </c>
      <c r="D68" s="253">
        <v>134.01300000000001</v>
      </c>
      <c r="E68" s="253">
        <v>112.622</v>
      </c>
      <c r="F68" s="253">
        <v>62.795000000000002</v>
      </c>
      <c r="G68" s="253">
        <v>28.581</v>
      </c>
      <c r="H68" s="253">
        <v>19.437000000000001</v>
      </c>
      <c r="I68" s="253">
        <v>1.59597309</v>
      </c>
      <c r="J68" s="253">
        <v>-4.6829999999999998</v>
      </c>
      <c r="K68" s="253">
        <v>640.20899999999995</v>
      </c>
      <c r="L68" s="253">
        <v>-1.2609999999999999</v>
      </c>
      <c r="M68" s="253">
        <v>638.94799999999998</v>
      </c>
      <c r="N68" s="253">
        <v>204.38800000000001</v>
      </c>
      <c r="O68" s="253">
        <v>843.33600000000001</v>
      </c>
      <c r="P68" s="253">
        <v>211.333</v>
      </c>
      <c r="Q68" s="253">
        <v>0.36199999999999999</v>
      </c>
      <c r="R68" s="253">
        <v>632.36500000000001</v>
      </c>
      <c r="S68" s="254">
        <v>559.04399999999998</v>
      </c>
      <c r="U68" s="256"/>
      <c r="V68" s="256"/>
    </row>
    <row r="69" spans="1:22" ht="15.6" customHeight="1">
      <c r="A69" s="241"/>
      <c r="B69" s="259" t="s">
        <v>706</v>
      </c>
      <c r="C69" s="253">
        <v>401.35500000000002</v>
      </c>
      <c r="D69" s="253">
        <v>134.35300000000001</v>
      </c>
      <c r="E69" s="253">
        <v>113.684</v>
      </c>
      <c r="F69" s="253">
        <v>62.348999999999997</v>
      </c>
      <c r="G69" s="253">
        <v>29.952000000000002</v>
      </c>
      <c r="H69" s="253">
        <v>19.385999999999999</v>
      </c>
      <c r="I69" s="253">
        <v>1.6618331799999999</v>
      </c>
      <c r="J69" s="253">
        <v>-2.3490000000000002</v>
      </c>
      <c r="K69" s="253">
        <v>647.04300000000001</v>
      </c>
      <c r="L69" s="253">
        <v>-4.8170000000000002</v>
      </c>
      <c r="M69" s="253">
        <v>642.226</v>
      </c>
      <c r="N69" s="253">
        <v>204.63300000000001</v>
      </c>
      <c r="O69" s="253">
        <v>846.85900000000004</v>
      </c>
      <c r="P69" s="253">
        <v>209.53899999999999</v>
      </c>
      <c r="Q69" s="253">
        <v>0.40899999999999997</v>
      </c>
      <c r="R69" s="253">
        <v>637.72900000000004</v>
      </c>
      <c r="S69" s="254">
        <v>564.197</v>
      </c>
      <c r="U69" s="256"/>
      <c r="V69" s="256"/>
    </row>
    <row r="70" spans="1:22" ht="15.6" customHeight="1">
      <c r="A70" s="241"/>
      <c r="B70" s="259" t="s">
        <v>707</v>
      </c>
      <c r="C70" s="253">
        <v>401.57299999999998</v>
      </c>
      <c r="D70" s="253">
        <v>135.363</v>
      </c>
      <c r="E70" s="253">
        <v>114.46</v>
      </c>
      <c r="F70" s="253">
        <v>63.235999999999997</v>
      </c>
      <c r="G70" s="253">
        <v>29.641999999999999</v>
      </c>
      <c r="H70" s="253">
        <v>19.809999999999999</v>
      </c>
      <c r="I70" s="253">
        <v>1.65199315</v>
      </c>
      <c r="J70" s="253">
        <v>7.2069999999999999</v>
      </c>
      <c r="K70" s="253">
        <v>658.60299999999995</v>
      </c>
      <c r="L70" s="253">
        <v>0.53500000000000003</v>
      </c>
      <c r="M70" s="253">
        <v>659.13800000000003</v>
      </c>
      <c r="N70" s="253">
        <v>202.27199999999999</v>
      </c>
      <c r="O70" s="253">
        <v>861.41</v>
      </c>
      <c r="P70" s="253">
        <v>221.21299999999999</v>
      </c>
      <c r="Q70" s="253">
        <v>0.39500000000000002</v>
      </c>
      <c r="R70" s="253">
        <v>640.59199999999998</v>
      </c>
      <c r="S70" s="254">
        <v>566.93399999999997</v>
      </c>
      <c r="U70" s="256"/>
      <c r="V70" s="256"/>
    </row>
    <row r="71" spans="1:22" ht="15.6" customHeight="1">
      <c r="A71" s="241"/>
      <c r="B71" s="259" t="s">
        <v>708</v>
      </c>
      <c r="C71" s="253">
        <v>403.84</v>
      </c>
      <c r="D71" s="253">
        <v>135.75899999999999</v>
      </c>
      <c r="E71" s="253">
        <v>115.571</v>
      </c>
      <c r="F71" s="253">
        <v>64.412000000000006</v>
      </c>
      <c r="G71" s="253">
        <v>29.032</v>
      </c>
      <c r="H71" s="253">
        <v>20.260999999999999</v>
      </c>
      <c r="I71" s="253">
        <v>1.6245214499999998</v>
      </c>
      <c r="J71" s="253">
        <v>-0.79500000000000004</v>
      </c>
      <c r="K71" s="253">
        <v>654.375</v>
      </c>
      <c r="L71" s="253">
        <v>0.496</v>
      </c>
      <c r="M71" s="253">
        <v>654.87099999999998</v>
      </c>
      <c r="N71" s="253">
        <v>200.74</v>
      </c>
      <c r="O71" s="253">
        <v>855.61099999999999</v>
      </c>
      <c r="P71" s="253">
        <v>215.589</v>
      </c>
      <c r="Q71" s="253">
        <v>0.39500000000000002</v>
      </c>
      <c r="R71" s="253">
        <v>640.41700000000003</v>
      </c>
      <c r="S71" s="254">
        <v>566.73099999999999</v>
      </c>
      <c r="U71" s="256"/>
      <c r="V71" s="256"/>
    </row>
    <row r="72" spans="1:22" ht="15.6" customHeight="1">
      <c r="A72" s="241"/>
      <c r="B72" s="259" t="s">
        <v>709</v>
      </c>
      <c r="C72" s="253">
        <v>403.61799999999999</v>
      </c>
      <c r="D72" s="253">
        <v>136.80699999999999</v>
      </c>
      <c r="E72" s="253">
        <v>114.538</v>
      </c>
      <c r="F72" s="253">
        <v>62.338000000000001</v>
      </c>
      <c r="G72" s="253">
        <v>29.215</v>
      </c>
      <c r="H72" s="253">
        <v>21.071000000000002</v>
      </c>
      <c r="I72" s="253">
        <v>1.62301144</v>
      </c>
      <c r="J72" s="253">
        <v>2.5779999999999998</v>
      </c>
      <c r="K72" s="253">
        <v>657.54100000000005</v>
      </c>
      <c r="L72" s="253">
        <v>7.4459999999999997</v>
      </c>
      <c r="M72" s="253">
        <v>664.98699999999997</v>
      </c>
      <c r="N72" s="253">
        <v>195.744</v>
      </c>
      <c r="O72" s="253">
        <v>860.73099999999999</v>
      </c>
      <c r="P72" s="253">
        <v>220.06100000000001</v>
      </c>
      <c r="Q72" s="253">
        <v>0.39500000000000002</v>
      </c>
      <c r="R72" s="253">
        <v>641.06500000000005</v>
      </c>
      <c r="S72" s="254">
        <v>567.322</v>
      </c>
      <c r="U72" s="256"/>
      <c r="V72" s="256"/>
    </row>
    <row r="73" spans="1:22" ht="15.6" customHeight="1">
      <c r="A73" s="241"/>
      <c r="B73" s="259" t="s">
        <v>710</v>
      </c>
      <c r="C73" s="253">
        <v>405.19211000000001</v>
      </c>
      <c r="D73" s="253">
        <v>139.28858</v>
      </c>
      <c r="E73" s="253">
        <v>114.2478749880852</v>
      </c>
      <c r="F73" s="253">
        <v>62.607289100000003</v>
      </c>
      <c r="G73" s="253">
        <v>28.988429296202501</v>
      </c>
      <c r="H73" s="253">
        <v>21.043727699999998</v>
      </c>
      <c r="I73" s="253">
        <v>1.6084288337914037</v>
      </c>
      <c r="J73" s="253">
        <v>-1.6735</v>
      </c>
      <c r="K73" s="253">
        <v>657.05506498808518</v>
      </c>
      <c r="L73" s="253">
        <v>2.6485779200000001</v>
      </c>
      <c r="M73" s="253">
        <v>659.70364290808516</v>
      </c>
      <c r="N73" s="253">
        <v>198.38629899745183</v>
      </c>
      <c r="O73" s="253">
        <v>858.08994200000006</v>
      </c>
      <c r="P73" s="253">
        <v>216.13382456583898</v>
      </c>
      <c r="Q73" s="253">
        <v>0.39500000000000002</v>
      </c>
      <c r="R73" s="253">
        <v>642.35111734301233</v>
      </c>
      <c r="S73" s="254">
        <v>568.62543900000003</v>
      </c>
      <c r="U73" s="256"/>
      <c r="V73" s="256"/>
    </row>
    <row r="74" spans="1:22" ht="15.6" customHeight="1">
      <c r="A74" s="241"/>
      <c r="B74" s="259" t="s">
        <v>711</v>
      </c>
      <c r="C74" s="253">
        <v>406.81287900000001</v>
      </c>
      <c r="D74" s="253">
        <v>140.29282000000001</v>
      </c>
      <c r="E74" s="253">
        <v>114.31320957895358</v>
      </c>
      <c r="F74" s="253">
        <v>62.798796899999999</v>
      </c>
      <c r="G74" s="253">
        <v>28.836978277716387</v>
      </c>
      <c r="H74" s="253">
        <v>21.082001599999998</v>
      </c>
      <c r="I74" s="253">
        <v>1.5954328064552361</v>
      </c>
      <c r="J74" s="253">
        <v>-1.6735</v>
      </c>
      <c r="K74" s="253">
        <v>659.74540857895363</v>
      </c>
      <c r="L74" s="253">
        <v>1.0636109300000001</v>
      </c>
      <c r="M74" s="253">
        <v>660.80901950895361</v>
      </c>
      <c r="N74" s="253">
        <v>200.13683690053998</v>
      </c>
      <c r="O74" s="253">
        <v>860.94585600000005</v>
      </c>
      <c r="P74" s="253">
        <v>216.67206776752124</v>
      </c>
      <c r="Q74" s="253">
        <v>0.39500000000000002</v>
      </c>
      <c r="R74" s="253">
        <v>644.66878863961358</v>
      </c>
      <c r="S74" s="254">
        <v>570.84502599999996</v>
      </c>
      <c r="U74" s="256"/>
      <c r="V74" s="256"/>
    </row>
    <row r="75" spans="1:22" ht="15.6" customHeight="1">
      <c r="A75" s="241"/>
      <c r="B75" s="259" t="s">
        <v>712</v>
      </c>
      <c r="C75" s="253">
        <v>408.44013000000001</v>
      </c>
      <c r="D75" s="253">
        <v>141.177706</v>
      </c>
      <c r="E75" s="253">
        <v>114.45683498947159</v>
      </c>
      <c r="F75" s="253">
        <v>63.021597999999997</v>
      </c>
      <c r="G75" s="253">
        <v>28.762850719755125</v>
      </c>
      <c r="H75" s="253">
        <v>21.084992200000002</v>
      </c>
      <c r="I75" s="253">
        <v>1.5873941406516212</v>
      </c>
      <c r="J75" s="253">
        <v>-1.6735</v>
      </c>
      <c r="K75" s="253">
        <v>662.40117098947155</v>
      </c>
      <c r="L75" s="253">
        <v>0.3000602</v>
      </c>
      <c r="M75" s="253">
        <v>662.70123118947151</v>
      </c>
      <c r="N75" s="253">
        <v>201.43758497803708</v>
      </c>
      <c r="O75" s="253">
        <v>864.13881600000002</v>
      </c>
      <c r="P75" s="253">
        <v>217.15881024904979</v>
      </c>
      <c r="Q75" s="253">
        <v>0.39500000000000002</v>
      </c>
      <c r="R75" s="253">
        <v>647.37500591861578</v>
      </c>
      <c r="S75" s="254">
        <v>573.40394900000001</v>
      </c>
      <c r="U75" s="256"/>
      <c r="V75" s="256"/>
    </row>
    <row r="76" spans="1:22" ht="15.6" customHeight="1">
      <c r="A76" s="241"/>
      <c r="B76" s="259" t="s">
        <v>713</v>
      </c>
      <c r="C76" s="253">
        <v>410.02896299999998</v>
      </c>
      <c r="D76" s="253">
        <v>141.84820199999999</v>
      </c>
      <c r="E76" s="253">
        <v>115.03468294939947</v>
      </c>
      <c r="F76" s="253">
        <v>63.304151899999994</v>
      </c>
      <c r="G76" s="253">
        <v>28.971233831891343</v>
      </c>
      <c r="H76" s="253">
        <v>21.161156399999999</v>
      </c>
      <c r="I76" s="253">
        <v>1.5981407864389305</v>
      </c>
      <c r="J76" s="253">
        <v>-1.6735</v>
      </c>
      <c r="K76" s="253">
        <v>665.23834794939944</v>
      </c>
      <c r="L76" s="253">
        <v>2.03067587E-2</v>
      </c>
      <c r="M76" s="253">
        <v>665.25865470809958</v>
      </c>
      <c r="N76" s="253">
        <v>202.27560287542536</v>
      </c>
      <c r="O76" s="253">
        <v>867.53425800000002</v>
      </c>
      <c r="P76" s="253">
        <v>217.65030106826359</v>
      </c>
      <c r="Q76" s="253">
        <v>0.39500000000000002</v>
      </c>
      <c r="R76" s="253">
        <v>650.2789565152317</v>
      </c>
      <c r="S76" s="254">
        <v>576.13069900000005</v>
      </c>
      <c r="U76" s="256"/>
      <c r="V76" s="256"/>
    </row>
    <row r="77" spans="1:22" ht="15.6" customHeight="1">
      <c r="A77" s="241"/>
      <c r="B77" s="259" t="s">
        <v>714</v>
      </c>
      <c r="C77" s="253">
        <v>411.59527299999996</v>
      </c>
      <c r="D77" s="253">
        <v>142.18543299999999</v>
      </c>
      <c r="E77" s="253">
        <v>115.81652234219132</v>
      </c>
      <c r="F77" s="253">
        <v>63.611690299999999</v>
      </c>
      <c r="G77" s="253">
        <v>29.319109441437661</v>
      </c>
      <c r="H77" s="253">
        <v>21.2682261</v>
      </c>
      <c r="I77" s="253">
        <v>1.6174965316020293</v>
      </c>
      <c r="J77" s="253">
        <v>-1.6735</v>
      </c>
      <c r="K77" s="253">
        <v>667.92372834219134</v>
      </c>
      <c r="L77" s="253">
        <v>0.50485460500000001</v>
      </c>
      <c r="M77" s="253">
        <v>668.42858294719133</v>
      </c>
      <c r="N77" s="253">
        <v>202.72080455150186</v>
      </c>
      <c r="O77" s="253">
        <v>871.14938699999993</v>
      </c>
      <c r="P77" s="253">
        <v>218.10656063089831</v>
      </c>
      <c r="Q77" s="253">
        <v>0.39500000000000002</v>
      </c>
      <c r="R77" s="253">
        <v>653.43782686799</v>
      </c>
      <c r="S77" s="254">
        <v>579.07604299999991</v>
      </c>
      <c r="U77" s="256"/>
      <c r="V77" s="256"/>
    </row>
    <row r="78" spans="1:22" ht="15.6" customHeight="1">
      <c r="A78" s="241"/>
      <c r="B78" s="259" t="s">
        <v>715</v>
      </c>
      <c r="C78" s="253">
        <v>413.14753000000002</v>
      </c>
      <c r="D78" s="253">
        <v>142.364317</v>
      </c>
      <c r="E78" s="253">
        <v>116.69407552909134</v>
      </c>
      <c r="F78" s="253">
        <v>63.921242200000002</v>
      </c>
      <c r="G78" s="253">
        <v>29.71653261569352</v>
      </c>
      <c r="H78" s="253">
        <v>21.416172100000001</v>
      </c>
      <c r="I78" s="253">
        <v>1.6401286493344573</v>
      </c>
      <c r="J78" s="253">
        <v>-1.6735</v>
      </c>
      <c r="K78" s="253">
        <v>670.53242252909138</v>
      </c>
      <c r="L78" s="253">
        <v>1.1840046</v>
      </c>
      <c r="M78" s="253">
        <v>671.71642712909136</v>
      </c>
      <c r="N78" s="253">
        <v>203.12204276148944</v>
      </c>
      <c r="O78" s="253">
        <v>874.83846999999992</v>
      </c>
      <c r="P78" s="253">
        <v>218.55786155898136</v>
      </c>
      <c r="Q78" s="253">
        <v>0.39500000000000002</v>
      </c>
      <c r="R78" s="253">
        <v>656.67560833302468</v>
      </c>
      <c r="S78" s="254">
        <v>582.10182900000007</v>
      </c>
      <c r="U78" s="256"/>
      <c r="V78" s="256"/>
    </row>
    <row r="79" spans="1:22" ht="15.6" customHeight="1">
      <c r="A79" s="241"/>
      <c r="B79" s="259" t="s">
        <v>716</v>
      </c>
      <c r="C79" s="253">
        <v>414.68939599999999</v>
      </c>
      <c r="D79" s="253">
        <v>142.64132500000002</v>
      </c>
      <c r="E79" s="253">
        <v>117.67298686831194</v>
      </c>
      <c r="F79" s="253">
        <v>64.236486999999997</v>
      </c>
      <c r="G79" s="253">
        <v>30.209009042162659</v>
      </c>
      <c r="H79" s="253">
        <v>21.559413599999999</v>
      </c>
      <c r="I79" s="253">
        <v>1.6680772290287473</v>
      </c>
      <c r="J79" s="253">
        <v>-1.6735</v>
      </c>
      <c r="K79" s="253">
        <v>673.33020786831207</v>
      </c>
      <c r="L79" s="253">
        <v>1.5982949900000001</v>
      </c>
      <c r="M79" s="253">
        <v>674.92850285831196</v>
      </c>
      <c r="N79" s="253">
        <v>203.48444362099565</v>
      </c>
      <c r="O79" s="253">
        <v>878.41294600000003</v>
      </c>
      <c r="P79" s="253">
        <v>219.00503632027792</v>
      </c>
      <c r="Q79" s="253">
        <v>0.39500000000000002</v>
      </c>
      <c r="R79" s="253">
        <v>659.80291016213027</v>
      </c>
      <c r="S79" s="254">
        <v>585.06606499999998</v>
      </c>
      <c r="U79" s="256"/>
      <c r="V79" s="256"/>
    </row>
    <row r="80" spans="1:22" ht="15.6" customHeight="1">
      <c r="A80" s="241"/>
      <c r="B80" s="259" t="s">
        <v>717</v>
      </c>
      <c r="C80" s="253">
        <v>416.22486700000002</v>
      </c>
      <c r="D80" s="253">
        <v>143.16244500000002</v>
      </c>
      <c r="E80" s="253">
        <v>118.8132454106034</v>
      </c>
      <c r="F80" s="253">
        <v>64.521161300000003</v>
      </c>
      <c r="G80" s="253">
        <v>30.856998927305046</v>
      </c>
      <c r="H80" s="253">
        <v>21.729999199999995</v>
      </c>
      <c r="I80" s="253">
        <v>1.7050859827906977</v>
      </c>
      <c r="J80" s="253">
        <v>-1.6735</v>
      </c>
      <c r="K80" s="253">
        <v>676.52705741060333</v>
      </c>
      <c r="L80" s="253">
        <v>1.65126108</v>
      </c>
      <c r="M80" s="253">
        <v>678.17831849060337</v>
      </c>
      <c r="N80" s="253">
        <v>203.79897362457416</v>
      </c>
      <c r="O80" s="253">
        <v>881.97729200000003</v>
      </c>
      <c r="P80" s="253">
        <v>219.49533671380999</v>
      </c>
      <c r="Q80" s="253">
        <v>0.39500000000000002</v>
      </c>
      <c r="R80" s="253">
        <v>662.87695540173979</v>
      </c>
      <c r="S80" s="254">
        <v>587.97855700000002</v>
      </c>
      <c r="U80" s="256"/>
      <c r="V80" s="256"/>
    </row>
    <row r="81" spans="1:22" ht="15.75">
      <c r="A81" s="241"/>
      <c r="B81" s="259" t="s">
        <v>718</v>
      </c>
      <c r="C81" s="253">
        <v>417.77049</v>
      </c>
      <c r="D81" s="253">
        <v>143.75404</v>
      </c>
      <c r="E81" s="253">
        <v>119.90180452933396</v>
      </c>
      <c r="F81" s="253">
        <v>64.774829699999998</v>
      </c>
      <c r="G81" s="253">
        <v>31.53585750319904</v>
      </c>
      <c r="H81" s="253">
        <v>21.847447899999999</v>
      </c>
      <c r="I81" s="253">
        <v>1.7436694527972068</v>
      </c>
      <c r="J81" s="253">
        <v>-1.6735</v>
      </c>
      <c r="K81" s="253">
        <v>679.752834529334</v>
      </c>
      <c r="L81" s="253">
        <v>1.5334793799999999</v>
      </c>
      <c r="M81" s="253">
        <v>681.28631390933401</v>
      </c>
      <c r="N81" s="253">
        <v>204.08661325728298</v>
      </c>
      <c r="O81" s="253">
        <v>885.372927</v>
      </c>
      <c r="P81" s="253">
        <v>220.0303992456758</v>
      </c>
      <c r="Q81" s="253">
        <v>0.39500000000000002</v>
      </c>
      <c r="R81" s="253">
        <v>665.7375279197571</v>
      </c>
      <c r="S81" s="254">
        <v>590.69580200000007</v>
      </c>
      <c r="U81" s="256"/>
      <c r="V81" s="256"/>
    </row>
    <row r="82" spans="1:22" ht="15.75">
      <c r="A82" s="241"/>
      <c r="B82" s="259" t="s">
        <v>719</v>
      </c>
      <c r="C82" s="253">
        <v>419.32258200000001</v>
      </c>
      <c r="D82" s="253">
        <v>144.40163099999998</v>
      </c>
      <c r="E82" s="253">
        <v>121.11400625983124</v>
      </c>
      <c r="F82" s="253">
        <v>65.029488400000005</v>
      </c>
      <c r="G82" s="253">
        <v>32.285471820888546</v>
      </c>
      <c r="H82" s="253">
        <v>22.0121368</v>
      </c>
      <c r="I82" s="253">
        <v>1.7869092414153123</v>
      </c>
      <c r="J82" s="253">
        <v>-1.6735</v>
      </c>
      <c r="K82" s="253">
        <v>683.16471925983126</v>
      </c>
      <c r="L82" s="253">
        <v>1.2784768799999999</v>
      </c>
      <c r="M82" s="253">
        <v>684.44319613983123</v>
      </c>
      <c r="N82" s="253">
        <v>204.3544911374434</v>
      </c>
      <c r="O82" s="253">
        <v>888.797687</v>
      </c>
      <c r="P82" s="253">
        <v>220.60343658265725</v>
      </c>
      <c r="Q82" s="253">
        <v>0.39500000000000002</v>
      </c>
      <c r="R82" s="253">
        <v>668.58925069768861</v>
      </c>
      <c r="S82" s="254">
        <v>593.40130099999999</v>
      </c>
      <c r="U82" s="256"/>
      <c r="V82" s="256"/>
    </row>
    <row r="83" spans="1:22" ht="15.75">
      <c r="A83" s="241"/>
      <c r="B83" s="259" t="s">
        <v>720</v>
      </c>
      <c r="C83" s="253">
        <v>420.88524699999999</v>
      </c>
      <c r="D83" s="253">
        <v>144.98817099999999</v>
      </c>
      <c r="E83" s="253">
        <v>122.25669717473592</v>
      </c>
      <c r="F83" s="253">
        <v>65.259189399999997</v>
      </c>
      <c r="G83" s="253">
        <v>33.060171087652591</v>
      </c>
      <c r="H83" s="253">
        <v>22.105209500000001</v>
      </c>
      <c r="I83" s="253">
        <v>1.832127213875024</v>
      </c>
      <c r="J83" s="253">
        <v>-1.6735</v>
      </c>
      <c r="K83" s="253">
        <v>686.45661517473593</v>
      </c>
      <c r="L83" s="253">
        <v>1.1139938700000001</v>
      </c>
      <c r="M83" s="253">
        <v>687.57060904473587</v>
      </c>
      <c r="N83" s="253">
        <v>204.597908002324</v>
      </c>
      <c r="O83" s="253">
        <v>892.16851699999995</v>
      </c>
      <c r="P83" s="253">
        <v>221.18227470652624</v>
      </c>
      <c r="Q83" s="253">
        <v>0.39500000000000002</v>
      </c>
      <c r="R83" s="253">
        <v>671.38124234372413</v>
      </c>
      <c r="S83" s="254">
        <v>596.04954500000008</v>
      </c>
      <c r="U83" s="256"/>
      <c r="V83" s="256"/>
    </row>
    <row r="84" spans="1:22" ht="15.75">
      <c r="A84" s="241"/>
      <c r="B84" s="259" t="s">
        <v>721</v>
      </c>
      <c r="C84" s="253">
        <v>422.45374900000002</v>
      </c>
      <c r="D84" s="253">
        <v>145.58588</v>
      </c>
      <c r="E84" s="253">
        <v>123.29904737492856</v>
      </c>
      <c r="F84" s="253">
        <v>65.496280100000007</v>
      </c>
      <c r="G84" s="253">
        <v>33.809199349951854</v>
      </c>
      <c r="H84" s="253">
        <v>22.117759999999993</v>
      </c>
      <c r="I84" s="253">
        <v>1.8758078932765392</v>
      </c>
      <c r="J84" s="253">
        <v>-1.6735</v>
      </c>
      <c r="K84" s="253">
        <v>689.66517637492859</v>
      </c>
      <c r="L84" s="253">
        <v>1.0904350600000001</v>
      </c>
      <c r="M84" s="253">
        <v>690.7556114349286</v>
      </c>
      <c r="N84" s="253">
        <v>204.84203966071917</v>
      </c>
      <c r="O84" s="253">
        <v>895.59765099999993</v>
      </c>
      <c r="P84" s="253">
        <v>221.77099314544878</v>
      </c>
      <c r="Q84" s="253">
        <v>0.39500000000000002</v>
      </c>
      <c r="R84" s="253">
        <v>674.22165794914793</v>
      </c>
      <c r="S84" s="254">
        <v>598.73756600000002</v>
      </c>
      <c r="U84" s="256"/>
      <c r="V84" s="256"/>
    </row>
    <row r="85" spans="1:22" ht="15.75">
      <c r="A85" s="241"/>
      <c r="B85" s="259" t="s">
        <v>722</v>
      </c>
      <c r="C85" s="253">
        <v>424.04078999999996</v>
      </c>
      <c r="D85" s="253">
        <v>146.19462299999998</v>
      </c>
      <c r="E85" s="253">
        <v>124.26883228894512</v>
      </c>
      <c r="F85" s="253">
        <v>65.740834199999995</v>
      </c>
      <c r="G85" s="253">
        <v>34.557541731403425</v>
      </c>
      <c r="H85" s="253">
        <v>22.051214299999998</v>
      </c>
      <c r="I85" s="253">
        <v>1.9192421434983531</v>
      </c>
      <c r="J85" s="253">
        <v>-1.6735</v>
      </c>
      <c r="K85" s="253">
        <v>692.83074528894508</v>
      </c>
      <c r="L85" s="253">
        <v>1.14775738</v>
      </c>
      <c r="M85" s="253">
        <v>693.978502668945</v>
      </c>
      <c r="N85" s="253">
        <v>205.10620561350407</v>
      </c>
      <c r="O85" s="253">
        <v>899.08470799999998</v>
      </c>
      <c r="P85" s="253">
        <v>222.36938412695687</v>
      </c>
      <c r="Q85" s="253">
        <v>0.39500000000000002</v>
      </c>
      <c r="R85" s="253">
        <v>677.11032416015883</v>
      </c>
      <c r="S85" s="254">
        <v>601.46529799999996</v>
      </c>
      <c r="U85" s="256"/>
      <c r="V85" s="256"/>
    </row>
    <row r="86" spans="1:22" ht="15.75">
      <c r="A86" s="241"/>
      <c r="B86" s="259" t="s">
        <v>723</v>
      </c>
      <c r="C86" s="253">
        <v>425.742501</v>
      </c>
      <c r="D86" s="253">
        <v>146.812702</v>
      </c>
      <c r="E86" s="253">
        <v>125.20068272970106</v>
      </c>
      <c r="F86" s="253">
        <v>65.992926900000001</v>
      </c>
      <c r="G86" s="253">
        <v>35.330776926049772</v>
      </c>
      <c r="H86" s="253">
        <v>21.9123001</v>
      </c>
      <c r="I86" s="253">
        <v>1.9646788288114245</v>
      </c>
      <c r="J86" s="253">
        <v>-1.6735</v>
      </c>
      <c r="K86" s="253">
        <v>696.08238572970106</v>
      </c>
      <c r="L86" s="253">
        <v>1.12161789</v>
      </c>
      <c r="M86" s="253">
        <v>697.20400361970098</v>
      </c>
      <c r="N86" s="253">
        <v>205.38847945998052</v>
      </c>
      <c r="O86" s="253">
        <v>902.59248300000002</v>
      </c>
      <c r="P86" s="253">
        <v>222.97917221665057</v>
      </c>
      <c r="Q86" s="253">
        <v>0.39500000000000002</v>
      </c>
      <c r="R86" s="253">
        <v>680.00831086616222</v>
      </c>
      <c r="S86" s="254">
        <v>604.19793700000002</v>
      </c>
      <c r="U86" s="256"/>
      <c r="V86" s="256"/>
    </row>
    <row r="87" spans="1:22" ht="15.75">
      <c r="A87" s="241"/>
      <c r="B87" s="259" t="s">
        <v>724</v>
      </c>
      <c r="C87" s="253">
        <v>427.60148399999997</v>
      </c>
      <c r="D87" s="253">
        <v>147.41637899999998</v>
      </c>
      <c r="E87" s="253">
        <v>126.03150009214508</v>
      </c>
      <c r="F87" s="253">
        <v>66.252636799999976</v>
      </c>
      <c r="G87" s="253">
        <v>35.950931285529983</v>
      </c>
      <c r="H87" s="253">
        <v>21.8269144</v>
      </c>
      <c r="I87" s="253">
        <v>2.0010175960257142</v>
      </c>
      <c r="J87" s="253">
        <v>-1.6735</v>
      </c>
      <c r="K87" s="253">
        <v>699.3758630921451</v>
      </c>
      <c r="L87" s="253">
        <v>1.1273243500000001</v>
      </c>
      <c r="M87" s="253">
        <v>700.50318744214508</v>
      </c>
      <c r="N87" s="253">
        <v>205.69035034534289</v>
      </c>
      <c r="O87" s="253">
        <v>906.19353799999999</v>
      </c>
      <c r="P87" s="253">
        <v>223.6087032141497</v>
      </c>
      <c r="Q87" s="253">
        <v>0.39500000000000002</v>
      </c>
      <c r="R87" s="253">
        <v>682.97983457779844</v>
      </c>
      <c r="S87" s="254">
        <v>606.99312499999996</v>
      </c>
      <c r="U87" s="256"/>
      <c r="V87" s="256"/>
    </row>
    <row r="88" spans="1:22" ht="15.75">
      <c r="A88" s="241"/>
      <c r="B88" s="259" t="s">
        <v>725</v>
      </c>
      <c r="C88" s="253">
        <v>429.511393</v>
      </c>
      <c r="D88" s="253">
        <v>148.01914099999999</v>
      </c>
      <c r="E88" s="253">
        <v>126.61288075276801</v>
      </c>
      <c r="F88" s="253">
        <v>66.513359600000001</v>
      </c>
      <c r="G88" s="253">
        <v>36.339945029598567</v>
      </c>
      <c r="H88" s="253">
        <v>21.7365128</v>
      </c>
      <c r="I88" s="253">
        <v>2.023063359385437</v>
      </c>
      <c r="J88" s="253">
        <v>-1.6735</v>
      </c>
      <c r="K88" s="253">
        <v>702.46991475276798</v>
      </c>
      <c r="L88" s="253">
        <v>1.26811582</v>
      </c>
      <c r="M88" s="253">
        <v>703.73803057276791</v>
      </c>
      <c r="N88" s="253">
        <v>206.06088562570397</v>
      </c>
      <c r="O88" s="253">
        <v>909.79891599999996</v>
      </c>
      <c r="P88" s="253">
        <v>224.19753962428621</v>
      </c>
      <c r="Q88" s="253">
        <v>0.39500000000000002</v>
      </c>
      <c r="R88" s="253">
        <v>685.99637657782102</v>
      </c>
      <c r="S88" s="254">
        <v>609.82538600000009</v>
      </c>
      <c r="U88" s="256"/>
      <c r="V88" s="256"/>
    </row>
    <row r="89" spans="1:22" ht="15.75">
      <c r="A89" s="241"/>
      <c r="B89" s="259" t="s">
        <v>726</v>
      </c>
      <c r="C89" s="253">
        <v>431.46853299999998</v>
      </c>
      <c r="D89" s="253">
        <v>148.62099900000001</v>
      </c>
      <c r="E89" s="253">
        <v>127.06945293493123</v>
      </c>
      <c r="F89" s="253">
        <v>66.775099400000016</v>
      </c>
      <c r="G89" s="253">
        <v>36.579677767779899</v>
      </c>
      <c r="H89" s="253">
        <v>21.6793066</v>
      </c>
      <c r="I89" s="253">
        <v>2.0353691874179338</v>
      </c>
      <c r="J89" s="253">
        <v>-1.6735</v>
      </c>
      <c r="K89" s="253">
        <v>705.48548493493126</v>
      </c>
      <c r="L89" s="253">
        <v>1.41503592</v>
      </c>
      <c r="M89" s="253">
        <v>706.9005208549313</v>
      </c>
      <c r="N89" s="253">
        <v>206.53147446966224</v>
      </c>
      <c r="O89" s="253">
        <v>913.43199500000003</v>
      </c>
      <c r="P89" s="253">
        <v>224.72991924962628</v>
      </c>
      <c r="Q89" s="253">
        <v>0.39500000000000002</v>
      </c>
      <c r="R89" s="253">
        <v>689.09707607656014</v>
      </c>
      <c r="S89" s="254">
        <v>612.72988100000009</v>
      </c>
      <c r="U89" s="256"/>
      <c r="V89" s="256"/>
    </row>
    <row r="90" spans="1:22" ht="15.75">
      <c r="A90" s="241"/>
      <c r="B90" s="259" t="s">
        <v>727</v>
      </c>
      <c r="C90" s="253">
        <v>433.458417</v>
      </c>
      <c r="D90" s="253">
        <v>149.19576800000002</v>
      </c>
      <c r="E90" s="253">
        <v>127.51904422881702</v>
      </c>
      <c r="F90" s="253">
        <v>67.037859699999998</v>
      </c>
      <c r="G90" s="253">
        <v>36.806462066325111</v>
      </c>
      <c r="H90" s="253">
        <v>21.627287499999998</v>
      </c>
      <c r="I90" s="253">
        <v>2.0474348990335081</v>
      </c>
      <c r="J90" s="253">
        <v>-1.6735</v>
      </c>
      <c r="K90" s="253">
        <v>708.49972922881705</v>
      </c>
      <c r="L90" s="253">
        <v>1.57915461</v>
      </c>
      <c r="M90" s="253">
        <v>710.07888383881698</v>
      </c>
      <c r="N90" s="253">
        <v>207.0010551116498</v>
      </c>
      <c r="O90" s="253">
        <v>917.07993899999997</v>
      </c>
      <c r="P90" s="253">
        <v>225.21512881624929</v>
      </c>
      <c r="Q90" s="253">
        <v>0.39500000000000002</v>
      </c>
      <c r="R90" s="253">
        <v>692.25981013700959</v>
      </c>
      <c r="S90" s="254">
        <v>615.68686000000002</v>
      </c>
      <c r="U90" s="256"/>
      <c r="V90" s="256"/>
    </row>
    <row r="91" spans="1:22" ht="15.75">
      <c r="A91" s="241"/>
      <c r="B91" s="259" t="s">
        <v>728</v>
      </c>
      <c r="C91" s="253">
        <v>435.45648599999998</v>
      </c>
      <c r="D91" s="253">
        <v>149.80924299999998</v>
      </c>
      <c r="E91" s="253">
        <v>127.94212874283498</v>
      </c>
      <c r="F91" s="253">
        <v>67.315172399999994</v>
      </c>
      <c r="G91" s="253">
        <v>36.993748356094741</v>
      </c>
      <c r="H91" s="253">
        <v>21.575395799999995</v>
      </c>
      <c r="I91" s="253">
        <v>2.0578121392551312</v>
      </c>
      <c r="J91" s="253">
        <v>-1.6735</v>
      </c>
      <c r="K91" s="253">
        <v>711.53435774283491</v>
      </c>
      <c r="L91" s="253">
        <v>1.53648198</v>
      </c>
      <c r="M91" s="253">
        <v>713.07083972283499</v>
      </c>
      <c r="N91" s="253">
        <v>207.48969631564952</v>
      </c>
      <c r="O91" s="253">
        <v>920.56053599999996</v>
      </c>
      <c r="P91" s="253">
        <v>225.58770754756787</v>
      </c>
      <c r="Q91" s="253">
        <v>0.39500000000000002</v>
      </c>
      <c r="R91" s="253">
        <v>695.36782848891926</v>
      </c>
      <c r="S91" s="254">
        <v>618.59175800000003</v>
      </c>
      <c r="U91" s="256"/>
      <c r="V91" s="256"/>
    </row>
    <row r="92" spans="1:22" ht="15.75">
      <c r="A92" s="241"/>
      <c r="B92" s="259" t="s">
        <v>729</v>
      </c>
      <c r="C92" s="253">
        <v>437.46372499999995</v>
      </c>
      <c r="D92" s="253">
        <v>150.42178899999999</v>
      </c>
      <c r="E92" s="253">
        <v>128.36597673138283</v>
      </c>
      <c r="F92" s="253">
        <v>67.593622099999976</v>
      </c>
      <c r="G92" s="253">
        <v>37.180183500262402</v>
      </c>
      <c r="H92" s="253">
        <v>21.523631300000002</v>
      </c>
      <c r="I92" s="253">
        <v>2.0685398409455691</v>
      </c>
      <c r="J92" s="253">
        <v>-1.6735</v>
      </c>
      <c r="K92" s="253">
        <v>714.57799073138278</v>
      </c>
      <c r="L92" s="253">
        <v>1.472688</v>
      </c>
      <c r="M92" s="253">
        <v>716.05067873138273</v>
      </c>
      <c r="N92" s="253">
        <v>207.99565620471847</v>
      </c>
      <c r="O92" s="253">
        <v>924.046335</v>
      </c>
      <c r="P92" s="253">
        <v>225.97926290545337</v>
      </c>
      <c r="Q92" s="253">
        <v>0.39500000000000002</v>
      </c>
      <c r="R92" s="253">
        <v>698.46207203518816</v>
      </c>
      <c r="S92" s="254">
        <v>621.48134600000003</v>
      </c>
      <c r="U92" s="256"/>
      <c r="V92" s="256"/>
    </row>
    <row r="93" spans="1:22" ht="15.75">
      <c r="A93" s="241"/>
      <c r="B93" s="260" t="s">
        <v>730</v>
      </c>
      <c r="C93" s="261">
        <v>439.46705300000002</v>
      </c>
      <c r="D93" s="261">
        <v>151.03341699999999</v>
      </c>
      <c r="E93" s="261">
        <v>128.81396363854057</v>
      </c>
      <c r="F93" s="261">
        <v>67.873213199999995</v>
      </c>
      <c r="G93" s="261">
        <v>37.388864542078601</v>
      </c>
      <c r="H93" s="261">
        <v>21.471433600000001</v>
      </c>
      <c r="I93" s="261">
        <v>2.0804522998145218</v>
      </c>
      <c r="J93" s="261">
        <v>-1.6735</v>
      </c>
      <c r="K93" s="261">
        <v>717.64093363854056</v>
      </c>
      <c r="L93" s="261">
        <v>1.66096172</v>
      </c>
      <c r="M93" s="261">
        <v>719.30189535854061</v>
      </c>
      <c r="N93" s="261">
        <v>208.44856664100044</v>
      </c>
      <c r="O93" s="261">
        <v>927.75046200000008</v>
      </c>
      <c r="P93" s="261">
        <v>226.49987473686764</v>
      </c>
      <c r="Q93" s="261">
        <v>0.39500000000000002</v>
      </c>
      <c r="R93" s="261">
        <v>701.64558725963025</v>
      </c>
      <c r="S93" s="262">
        <v>624.44805799999995</v>
      </c>
      <c r="U93" s="256"/>
      <c r="V93" s="256"/>
    </row>
    <row r="94" spans="1:22" ht="15.75">
      <c r="A94" s="241"/>
      <c r="B94" s="259">
        <v>2008</v>
      </c>
      <c r="C94" s="253">
        <v>1342.028</v>
      </c>
      <c r="D94" s="253">
        <v>432.51600000000002</v>
      </c>
      <c r="E94" s="253">
        <v>360.88900000000001</v>
      </c>
      <c r="F94" s="253">
        <v>196.55</v>
      </c>
      <c r="G94" s="253">
        <v>97.533000000000001</v>
      </c>
      <c r="H94" s="253">
        <v>58.534999999999997</v>
      </c>
      <c r="I94" s="253">
        <v>9.4610000000000003</v>
      </c>
      <c r="J94" s="253">
        <v>-0.32</v>
      </c>
      <c r="K94" s="253">
        <v>2135.1129999999998</v>
      </c>
      <c r="L94" s="253">
        <v>-10.526999999999999</v>
      </c>
      <c r="M94" s="253">
        <v>2124.5859999999998</v>
      </c>
      <c r="N94" s="253">
        <v>652.11300000000006</v>
      </c>
      <c r="O94" s="253">
        <v>2781.3719999999998</v>
      </c>
      <c r="P94" s="253">
        <v>641.76900000000001</v>
      </c>
      <c r="Q94" s="253">
        <v>0</v>
      </c>
      <c r="R94" s="253">
        <v>2134.5709999999999</v>
      </c>
      <c r="S94" s="254">
        <v>1847.7239999999999</v>
      </c>
      <c r="U94" s="256"/>
      <c r="V94" s="256"/>
    </row>
    <row r="95" spans="1:22" ht="15.75">
      <c r="A95" s="241"/>
      <c r="B95" s="259">
        <v>2009</v>
      </c>
      <c r="C95" s="253">
        <v>1303.56</v>
      </c>
      <c r="D95" s="253">
        <v>438.16</v>
      </c>
      <c r="E95" s="253">
        <v>316.52600000000001</v>
      </c>
      <c r="F95" s="253">
        <v>163.59200000000001</v>
      </c>
      <c r="G95" s="253">
        <v>76.5</v>
      </c>
      <c r="H95" s="253">
        <v>63.701999999999998</v>
      </c>
      <c r="I95" s="253">
        <v>12.045999999999999</v>
      </c>
      <c r="J95" s="253">
        <v>4.0979999999999999</v>
      </c>
      <c r="K95" s="253">
        <v>2062.3440000000001</v>
      </c>
      <c r="L95" s="253">
        <v>-29.164000000000001</v>
      </c>
      <c r="M95" s="253">
        <v>2033.18</v>
      </c>
      <c r="N95" s="253">
        <v>594.41099999999994</v>
      </c>
      <c r="O95" s="253">
        <v>2637.8090000000002</v>
      </c>
      <c r="P95" s="253">
        <v>596.74900000000002</v>
      </c>
      <c r="Q95" s="253">
        <v>0</v>
      </c>
      <c r="R95" s="253">
        <v>2035.942</v>
      </c>
      <c r="S95" s="254">
        <v>1763.63</v>
      </c>
    </row>
    <row r="96" spans="1:22" ht="15.75">
      <c r="A96" s="241"/>
      <c r="B96" s="259">
        <v>2010</v>
      </c>
      <c r="C96" s="253">
        <v>1331.664</v>
      </c>
      <c r="D96" s="253">
        <v>438.18400000000003</v>
      </c>
      <c r="E96" s="253">
        <v>331.44299999999998</v>
      </c>
      <c r="F96" s="253">
        <v>170.54900000000001</v>
      </c>
      <c r="G96" s="253">
        <v>83.837999999999994</v>
      </c>
      <c r="H96" s="253">
        <v>64.763000000000005</v>
      </c>
      <c r="I96" s="253">
        <v>12.018999999999998</v>
      </c>
      <c r="J96" s="253">
        <v>0.88700000000000001</v>
      </c>
      <c r="K96" s="253">
        <v>2102.1779999999999</v>
      </c>
      <c r="L96" s="253">
        <v>-5.242</v>
      </c>
      <c r="M96" s="253">
        <v>2096.9360000000001</v>
      </c>
      <c r="N96" s="253">
        <v>633.23</v>
      </c>
      <c r="O96" s="253">
        <v>2735.7420000000002</v>
      </c>
      <c r="P96" s="253">
        <v>650.29399999999998</v>
      </c>
      <c r="Q96" s="253">
        <v>0</v>
      </c>
      <c r="R96" s="253">
        <v>2081.4110000000001</v>
      </c>
      <c r="S96" s="254">
        <v>1809.6120000000001</v>
      </c>
    </row>
    <row r="97" spans="1:19" ht="15.75">
      <c r="A97" s="241"/>
      <c r="B97" s="259">
        <v>2011</v>
      </c>
      <c r="C97" s="253">
        <v>1327.201</v>
      </c>
      <c r="D97" s="253">
        <v>437.85199999999998</v>
      </c>
      <c r="E97" s="253">
        <v>331.79399999999998</v>
      </c>
      <c r="F97" s="253">
        <v>180.66300000000001</v>
      </c>
      <c r="G97" s="253">
        <v>80.003</v>
      </c>
      <c r="H97" s="253">
        <v>59.323999999999998</v>
      </c>
      <c r="I97" s="253">
        <v>11.2</v>
      </c>
      <c r="J97" s="253">
        <v>0.29899999999999999</v>
      </c>
      <c r="K97" s="253">
        <v>2097.1460000000002</v>
      </c>
      <c r="L97" s="253">
        <v>-1.0760000000000001</v>
      </c>
      <c r="M97" s="253">
        <v>2096.0700000000002</v>
      </c>
      <c r="N97" s="253">
        <v>677.16499999999996</v>
      </c>
      <c r="O97" s="253">
        <v>2778.3310000000001</v>
      </c>
      <c r="P97" s="253">
        <v>669.36400000000003</v>
      </c>
      <c r="Q97" s="253">
        <v>0</v>
      </c>
      <c r="R97" s="253">
        <v>2105.105</v>
      </c>
      <c r="S97" s="254">
        <v>1839.933</v>
      </c>
    </row>
    <row r="98" spans="1:19" ht="15.75">
      <c r="A98" s="241"/>
      <c r="B98" s="259">
        <v>2012</v>
      </c>
      <c r="C98" s="253">
        <v>1350.173</v>
      </c>
      <c r="D98" s="253">
        <v>444.34100000000001</v>
      </c>
      <c r="E98" s="253">
        <v>337.18599999999998</v>
      </c>
      <c r="F98" s="253">
        <v>193.37899999999999</v>
      </c>
      <c r="G98" s="253">
        <v>78.281999999999996</v>
      </c>
      <c r="H98" s="253">
        <v>54.289000000000001</v>
      </c>
      <c r="I98" s="253">
        <v>10.170999999999999</v>
      </c>
      <c r="J98" s="253">
        <v>-0.13700000000000001</v>
      </c>
      <c r="K98" s="253">
        <v>2131.5630000000001</v>
      </c>
      <c r="L98" s="253">
        <v>8.8010000000000002</v>
      </c>
      <c r="M98" s="253">
        <v>2140.364</v>
      </c>
      <c r="N98" s="253">
        <v>682.23</v>
      </c>
      <c r="O98" s="253">
        <v>2826.703</v>
      </c>
      <c r="P98" s="253">
        <v>685.84500000000003</v>
      </c>
      <c r="Q98" s="253">
        <v>0</v>
      </c>
      <c r="R98" s="253">
        <v>2136.8710000000001</v>
      </c>
      <c r="S98" s="254">
        <v>1878.029</v>
      </c>
    </row>
    <row r="99" spans="1:19" ht="15.75">
      <c r="A99" s="241"/>
      <c r="B99" s="259">
        <v>2013</v>
      </c>
      <c r="C99" s="253">
        <v>1384.3889999999999</v>
      </c>
      <c r="D99" s="253">
        <v>445.36599999999999</v>
      </c>
      <c r="E99" s="253">
        <v>348.041</v>
      </c>
      <c r="F99" s="253">
        <v>200.33</v>
      </c>
      <c r="G99" s="253">
        <v>86.611000000000004</v>
      </c>
      <c r="H99" s="253">
        <v>50.820999999999998</v>
      </c>
      <c r="I99" s="253">
        <v>9.5719999999999992</v>
      </c>
      <c r="J99" s="253">
        <v>10.074999999999999</v>
      </c>
      <c r="K99" s="253">
        <v>2187.8710000000001</v>
      </c>
      <c r="L99" s="253">
        <v>8.8889999999999993</v>
      </c>
      <c r="M99" s="253">
        <v>2196.7600000000002</v>
      </c>
      <c r="N99" s="253">
        <v>684.21299999999997</v>
      </c>
      <c r="O99" s="253">
        <v>2887.3539999999998</v>
      </c>
      <c r="P99" s="253">
        <v>708.06200000000001</v>
      </c>
      <c r="Q99" s="253">
        <v>0</v>
      </c>
      <c r="R99" s="253">
        <v>2175.3330000000001</v>
      </c>
      <c r="S99" s="254">
        <v>1914.9269999999999</v>
      </c>
    </row>
    <row r="100" spans="1:19" ht="15.75">
      <c r="A100" s="241"/>
      <c r="B100" s="259">
        <v>2014</v>
      </c>
      <c r="C100" s="253">
        <v>1421.865</v>
      </c>
      <c r="D100" s="253">
        <v>456.85300000000001</v>
      </c>
      <c r="E100" s="253">
        <v>372.53</v>
      </c>
      <c r="F100" s="253">
        <v>211.32900000000001</v>
      </c>
      <c r="G100" s="253">
        <v>92.263999999999996</v>
      </c>
      <c r="H100" s="253">
        <v>56.941000000000003</v>
      </c>
      <c r="I100" s="253">
        <v>11.093999999999999</v>
      </c>
      <c r="J100" s="253">
        <v>9.1340000000000003</v>
      </c>
      <c r="K100" s="253">
        <v>2260.3820000000001</v>
      </c>
      <c r="L100" s="253">
        <v>17.951000000000001</v>
      </c>
      <c r="M100" s="253">
        <v>2278.3330000000001</v>
      </c>
      <c r="N100" s="253">
        <v>691.11500000000001</v>
      </c>
      <c r="O100" s="253">
        <v>2992.8029999999999</v>
      </c>
      <c r="P100" s="253">
        <v>744.13699999999994</v>
      </c>
      <c r="Q100" s="253">
        <v>0</v>
      </c>
      <c r="R100" s="253">
        <v>2244.8270000000002</v>
      </c>
      <c r="S100" s="254">
        <v>1977.646</v>
      </c>
    </row>
    <row r="101" spans="1:19" ht="15.75">
      <c r="A101" s="241"/>
      <c r="B101" s="259">
        <v>2015</v>
      </c>
      <c r="C101" s="253">
        <v>1462.152</v>
      </c>
      <c r="D101" s="253">
        <v>462.63799999999998</v>
      </c>
      <c r="E101" s="253">
        <v>399.154</v>
      </c>
      <c r="F101" s="253">
        <v>231.101</v>
      </c>
      <c r="G101" s="253">
        <v>98.215999999999994</v>
      </c>
      <c r="H101" s="253">
        <v>57.918999999999997</v>
      </c>
      <c r="I101" s="253">
        <v>10.839</v>
      </c>
      <c r="J101" s="253">
        <v>2.177</v>
      </c>
      <c r="K101" s="253">
        <v>2326.1210000000001</v>
      </c>
      <c r="L101" s="253">
        <v>13.952</v>
      </c>
      <c r="M101" s="253">
        <v>2340.0729999999999</v>
      </c>
      <c r="N101" s="253">
        <v>717.17700000000002</v>
      </c>
      <c r="O101" s="253">
        <v>3078.451</v>
      </c>
      <c r="P101" s="253">
        <v>781.01</v>
      </c>
      <c r="Q101" s="253">
        <v>0</v>
      </c>
      <c r="R101" s="253">
        <v>2294.7269999999999</v>
      </c>
      <c r="S101" s="254">
        <v>2015.309</v>
      </c>
    </row>
    <row r="102" spans="1:19" ht="15.75">
      <c r="A102" s="241"/>
      <c r="B102" s="259">
        <v>2016</v>
      </c>
      <c r="C102" s="253">
        <v>1515.9829999999999</v>
      </c>
      <c r="D102" s="253">
        <v>465.99599999999998</v>
      </c>
      <c r="E102" s="253">
        <v>419.678</v>
      </c>
      <c r="F102" s="253">
        <v>246.803</v>
      </c>
      <c r="G102" s="253">
        <v>105.084</v>
      </c>
      <c r="H102" s="253">
        <v>55.892000000000003</v>
      </c>
      <c r="I102" s="253">
        <v>10.942</v>
      </c>
      <c r="J102" s="253">
        <v>3.7839999999999998</v>
      </c>
      <c r="K102" s="253">
        <v>2405.4409999999998</v>
      </c>
      <c r="L102" s="253">
        <v>7.3869999999999996</v>
      </c>
      <c r="M102" s="253">
        <v>2412.828</v>
      </c>
      <c r="N102" s="253">
        <v>737.02800000000002</v>
      </c>
      <c r="O102" s="253">
        <v>3151.9879999999998</v>
      </c>
      <c r="P102" s="253">
        <v>812.09100000000001</v>
      </c>
      <c r="Q102" s="253">
        <v>0</v>
      </c>
      <c r="R102" s="253">
        <v>2338.8249999999998</v>
      </c>
      <c r="S102" s="254">
        <v>2054.6880000000001</v>
      </c>
    </row>
    <row r="103" spans="1:19" ht="15.75">
      <c r="A103" s="241"/>
      <c r="B103" s="259">
        <v>2017</v>
      </c>
      <c r="C103" s="253">
        <v>1543.7090000000001</v>
      </c>
      <c r="D103" s="253">
        <v>468.99799999999999</v>
      </c>
      <c r="E103" s="253">
        <v>434.37700000000001</v>
      </c>
      <c r="F103" s="253">
        <v>246.16399999999999</v>
      </c>
      <c r="G103" s="253">
        <v>114.383</v>
      </c>
      <c r="H103" s="253">
        <v>61.97</v>
      </c>
      <c r="I103" s="253">
        <v>10.792</v>
      </c>
      <c r="J103" s="253">
        <v>2.2959999999999998</v>
      </c>
      <c r="K103" s="253">
        <v>2449.38</v>
      </c>
      <c r="L103" s="253">
        <v>15.967000000000001</v>
      </c>
      <c r="M103" s="253">
        <v>2465.3470000000002</v>
      </c>
      <c r="N103" s="253">
        <v>786.89599999999996</v>
      </c>
      <c r="O103" s="253">
        <v>3239.4789999999998</v>
      </c>
      <c r="P103" s="253">
        <v>837.77700000000004</v>
      </c>
      <c r="Q103" s="253">
        <v>0</v>
      </c>
      <c r="R103" s="253">
        <v>2400.9560000000001</v>
      </c>
      <c r="S103" s="254">
        <v>2112.002</v>
      </c>
    </row>
    <row r="104" spans="1:19" ht="15.75">
      <c r="A104" s="241"/>
      <c r="B104" s="259">
        <v>2018</v>
      </c>
      <c r="C104" s="253">
        <v>1574.039</v>
      </c>
      <c r="D104" s="253">
        <v>472</v>
      </c>
      <c r="E104" s="253">
        <v>432.39499999999998</v>
      </c>
      <c r="F104" s="253">
        <v>242.048</v>
      </c>
      <c r="G104" s="253">
        <v>121.31100000000001</v>
      </c>
      <c r="H104" s="253">
        <v>61.957000000000001</v>
      </c>
      <c r="I104" s="253">
        <v>5.99</v>
      </c>
      <c r="J104" s="253">
        <v>5.3879999999999999</v>
      </c>
      <c r="K104" s="253">
        <v>2483.8220000000001</v>
      </c>
      <c r="L104" s="253">
        <v>2.843</v>
      </c>
      <c r="M104" s="253">
        <v>2486.665</v>
      </c>
      <c r="N104" s="253">
        <v>811.12800000000004</v>
      </c>
      <c r="O104" s="253">
        <v>3298.3629999999998</v>
      </c>
      <c r="P104" s="253">
        <v>863.72699999999998</v>
      </c>
      <c r="Q104" s="253">
        <v>0</v>
      </c>
      <c r="R104" s="253">
        <v>2434.694</v>
      </c>
      <c r="S104" s="254">
        <v>2138.9810000000002</v>
      </c>
    </row>
    <row r="105" spans="1:19" ht="15.75">
      <c r="A105" s="241"/>
      <c r="B105" s="259">
        <v>2019</v>
      </c>
      <c r="C105" s="253">
        <v>1590.9079999999999</v>
      </c>
      <c r="D105" s="253">
        <v>490.74599999999998</v>
      </c>
      <c r="E105" s="253">
        <v>441.62099999999998</v>
      </c>
      <c r="F105" s="253">
        <v>247.30799999999999</v>
      </c>
      <c r="G105" s="253">
        <v>123.136</v>
      </c>
      <c r="H105" s="253">
        <v>63.652000000000001</v>
      </c>
      <c r="I105" s="253">
        <v>6.3976633099999995</v>
      </c>
      <c r="J105" s="253">
        <v>6.6379999999999999</v>
      </c>
      <c r="K105" s="253">
        <v>2529.913</v>
      </c>
      <c r="L105" s="253">
        <v>3.363</v>
      </c>
      <c r="M105" s="253">
        <v>2533.2759999999998</v>
      </c>
      <c r="N105" s="253">
        <v>827.35900000000004</v>
      </c>
      <c r="O105" s="253">
        <v>3360.9029999999998</v>
      </c>
      <c r="P105" s="253">
        <v>887.22199999999998</v>
      </c>
      <c r="Q105" s="253">
        <v>0</v>
      </c>
      <c r="R105" s="253">
        <v>2474.2449999999999</v>
      </c>
      <c r="S105" s="254">
        <v>2176.7759999999998</v>
      </c>
    </row>
    <row r="106" spans="1:19" ht="15.75">
      <c r="A106" s="241"/>
      <c r="B106" s="259">
        <v>2020</v>
      </c>
      <c r="C106" s="253">
        <v>1381.925</v>
      </c>
      <c r="D106" s="253">
        <v>457.42</v>
      </c>
      <c r="E106" s="253">
        <v>398.87799999999999</v>
      </c>
      <c r="F106" s="253">
        <v>222.035</v>
      </c>
      <c r="G106" s="253">
        <v>100.19199999999999</v>
      </c>
      <c r="H106" s="253">
        <v>70.566000000000003</v>
      </c>
      <c r="I106" s="253">
        <v>5.1093268350000001</v>
      </c>
      <c r="J106" s="253">
        <v>0.58699999999999997</v>
      </c>
      <c r="K106" s="253">
        <v>2238.81</v>
      </c>
      <c r="L106" s="253">
        <v>3.4809999999999999</v>
      </c>
      <c r="M106" s="253">
        <v>2242.2910000000002</v>
      </c>
      <c r="N106" s="253">
        <v>729.79499999999996</v>
      </c>
      <c r="O106" s="253">
        <v>2968.2</v>
      </c>
      <c r="P106" s="253">
        <v>746.28399999999999</v>
      </c>
      <c r="Q106" s="253">
        <v>0</v>
      </c>
      <c r="R106" s="253">
        <v>2219.4740000000002</v>
      </c>
      <c r="S106" s="254">
        <v>1961.586</v>
      </c>
    </row>
    <row r="107" spans="1:19" ht="15.75">
      <c r="A107" s="241"/>
      <c r="B107" s="259">
        <v>2021</v>
      </c>
      <c r="C107" s="253">
        <v>1481.395</v>
      </c>
      <c r="D107" s="253">
        <v>522.89099999999996</v>
      </c>
      <c r="E107" s="253">
        <v>429.12</v>
      </c>
      <c r="F107" s="253">
        <v>225.99100000000001</v>
      </c>
      <c r="G107" s="253">
        <v>119.113</v>
      </c>
      <c r="H107" s="253">
        <v>77.623000000000005</v>
      </c>
      <c r="I107" s="253">
        <v>6.5305371999999986</v>
      </c>
      <c r="J107" s="253">
        <v>9.3379999999999992</v>
      </c>
      <c r="K107" s="253">
        <v>2442.7440000000001</v>
      </c>
      <c r="L107" s="253">
        <v>3.9180000000000001</v>
      </c>
      <c r="M107" s="253">
        <v>2446.6619999999998</v>
      </c>
      <c r="N107" s="253">
        <v>753.36900000000003</v>
      </c>
      <c r="O107" s="253">
        <v>3204.24</v>
      </c>
      <c r="P107" s="253">
        <v>789.64400000000001</v>
      </c>
      <c r="Q107" s="253">
        <v>0</v>
      </c>
      <c r="R107" s="253">
        <v>2409.8150000000001</v>
      </c>
      <c r="S107" s="254">
        <v>2133.8139999999999</v>
      </c>
    </row>
    <row r="108" spans="1:19" ht="15.75">
      <c r="A108" s="241"/>
      <c r="B108" s="259">
        <v>2022</v>
      </c>
      <c r="C108" s="253">
        <v>1591.1</v>
      </c>
      <c r="D108" s="253">
        <v>526.24900000000002</v>
      </c>
      <c r="E108" s="253">
        <v>451.09100000000001</v>
      </c>
      <c r="F108" s="253">
        <v>239.37</v>
      </c>
      <c r="G108" s="253">
        <v>127.136</v>
      </c>
      <c r="H108" s="253">
        <v>77.537000000000006</v>
      </c>
      <c r="I108" s="253">
        <v>6.8143691500000001</v>
      </c>
      <c r="J108" s="253">
        <v>-20.370999999999999</v>
      </c>
      <c r="K108" s="253">
        <v>2548.069</v>
      </c>
      <c r="L108" s="253">
        <v>22.474</v>
      </c>
      <c r="M108" s="253">
        <v>2570.5430000000001</v>
      </c>
      <c r="N108" s="253">
        <v>848.05100000000004</v>
      </c>
      <c r="O108" s="253">
        <v>3418.5940000000001</v>
      </c>
      <c r="P108" s="253">
        <v>892.16600000000005</v>
      </c>
      <c r="Q108" s="253">
        <v>0</v>
      </c>
      <c r="R108" s="253">
        <v>2526.4279999999999</v>
      </c>
      <c r="S108" s="254">
        <v>2229.4609999999998</v>
      </c>
    </row>
    <row r="109" spans="1:19" ht="15.75">
      <c r="A109" s="241"/>
      <c r="B109" s="259">
        <v>2023</v>
      </c>
      <c r="C109" s="253">
        <v>1599.01</v>
      </c>
      <c r="D109" s="253">
        <v>531.70299999999997</v>
      </c>
      <c r="E109" s="253">
        <v>452.54399999999998</v>
      </c>
      <c r="F109" s="253">
        <v>250.30799999999999</v>
      </c>
      <c r="G109" s="253">
        <v>117.65600000000001</v>
      </c>
      <c r="H109" s="253">
        <v>77.540000000000006</v>
      </c>
      <c r="I109" s="253">
        <v>6.4787160899999998</v>
      </c>
      <c r="J109" s="253">
        <v>-15.869</v>
      </c>
      <c r="K109" s="253">
        <v>2567.3879999999999</v>
      </c>
      <c r="L109" s="253">
        <v>-0.81200000000000006</v>
      </c>
      <c r="M109" s="253">
        <v>2566.576</v>
      </c>
      <c r="N109" s="253">
        <v>821.18499999999995</v>
      </c>
      <c r="O109" s="253">
        <v>3387.761</v>
      </c>
      <c r="P109" s="253">
        <v>852.46299999999997</v>
      </c>
      <c r="Q109" s="253">
        <v>0.79200000000000004</v>
      </c>
      <c r="R109" s="253">
        <v>2536.09</v>
      </c>
      <c r="S109" s="254">
        <v>2241.6640000000002</v>
      </c>
    </row>
    <row r="110" spans="1:19" ht="15.75">
      <c r="A110" s="241"/>
      <c r="B110" s="259">
        <v>2024</v>
      </c>
      <c r="C110" s="253">
        <v>1610.386</v>
      </c>
      <c r="D110" s="253">
        <v>542.28200000000004</v>
      </c>
      <c r="E110" s="253">
        <v>458.25299999999999</v>
      </c>
      <c r="F110" s="253">
        <v>252.33500000000001</v>
      </c>
      <c r="G110" s="253">
        <v>117.84099999999999</v>
      </c>
      <c r="H110" s="253">
        <v>80.528000000000006</v>
      </c>
      <c r="I110" s="253">
        <v>6.5613592200000008</v>
      </c>
      <c r="J110" s="253">
        <v>6.641</v>
      </c>
      <c r="K110" s="253">
        <v>2617.5619999999999</v>
      </c>
      <c r="L110" s="253">
        <v>3.66</v>
      </c>
      <c r="M110" s="253">
        <v>2621.2220000000002</v>
      </c>
      <c r="N110" s="253">
        <v>803.38900000000001</v>
      </c>
      <c r="O110" s="253">
        <v>3424.6109999999999</v>
      </c>
      <c r="P110" s="253">
        <v>866.40200000000004</v>
      </c>
      <c r="Q110" s="253">
        <v>1.5940000000000001</v>
      </c>
      <c r="R110" s="253">
        <v>2559.8029999999999</v>
      </c>
      <c r="S110" s="254">
        <v>2265.1840000000002</v>
      </c>
    </row>
    <row r="111" spans="1:19" ht="15.75">
      <c r="A111" s="241"/>
      <c r="B111" s="259">
        <v>2025</v>
      </c>
      <c r="C111" s="253">
        <v>1630.474082</v>
      </c>
      <c r="D111" s="253">
        <v>562.60730799999999</v>
      </c>
      <c r="E111" s="253">
        <v>458.05260250590987</v>
      </c>
      <c r="F111" s="253">
        <v>251.73183589999999</v>
      </c>
      <c r="G111" s="253">
        <v>115.55949212556534</v>
      </c>
      <c r="H111" s="253">
        <v>84.371877899999987</v>
      </c>
      <c r="I111" s="253">
        <v>6.3893965673371929</v>
      </c>
      <c r="J111" s="253">
        <v>-6.694</v>
      </c>
      <c r="K111" s="253">
        <v>2644.4399925059092</v>
      </c>
      <c r="L111" s="253">
        <v>4.0325558087000006</v>
      </c>
      <c r="M111" s="253">
        <v>2648.4725483146094</v>
      </c>
      <c r="N111" s="253">
        <v>802.23632375145428</v>
      </c>
      <c r="O111" s="253">
        <v>3450.7088720000002</v>
      </c>
      <c r="P111" s="253">
        <v>867.61500365067366</v>
      </c>
      <c r="Q111" s="253">
        <v>1.58</v>
      </c>
      <c r="R111" s="253">
        <v>2584.6738684164734</v>
      </c>
      <c r="S111" s="254">
        <v>2289.0051129999997</v>
      </c>
    </row>
    <row r="112" spans="1:19" ht="15.75">
      <c r="A112" s="241"/>
      <c r="B112" s="259">
        <v>2026</v>
      </c>
      <c r="C112" s="253">
        <v>1655.6570660000002</v>
      </c>
      <c r="D112" s="253">
        <v>570.35352</v>
      </c>
      <c r="E112" s="253">
        <v>468.99683015019804</v>
      </c>
      <c r="F112" s="253">
        <v>256.29058079999999</v>
      </c>
      <c r="G112" s="253">
        <v>120.10165002659889</v>
      </c>
      <c r="H112" s="253">
        <v>85.973810999999984</v>
      </c>
      <c r="I112" s="253">
        <v>6.6307883927559308</v>
      </c>
      <c r="J112" s="253">
        <v>-6.694</v>
      </c>
      <c r="K112" s="253">
        <v>2688.3134161501985</v>
      </c>
      <c r="L112" s="253">
        <v>4.9384152750000005</v>
      </c>
      <c r="M112" s="253">
        <v>2693.2518314251984</v>
      </c>
      <c r="N112" s="253">
        <v>813.12626455856105</v>
      </c>
      <c r="O112" s="253">
        <v>3506.3780949999996</v>
      </c>
      <c r="P112" s="253">
        <v>875.16479522396764</v>
      </c>
      <c r="Q112" s="253">
        <v>1.58</v>
      </c>
      <c r="R112" s="253">
        <v>2632.7933007648849</v>
      </c>
      <c r="S112" s="254">
        <v>2334.2224940000001</v>
      </c>
    </row>
    <row r="113" spans="1:20" ht="15.75">
      <c r="A113" s="241"/>
      <c r="B113" s="259">
        <v>2027</v>
      </c>
      <c r="C113" s="253">
        <v>1680.4320680000001</v>
      </c>
      <c r="D113" s="253">
        <v>578.72972199999992</v>
      </c>
      <c r="E113" s="253">
        <v>486.57155533882968</v>
      </c>
      <c r="F113" s="253">
        <v>260.55978759999999</v>
      </c>
      <c r="G113" s="253">
        <v>130.69069976169203</v>
      </c>
      <c r="H113" s="253">
        <v>88.082554200000004</v>
      </c>
      <c r="I113" s="253">
        <v>7.2385138013640828</v>
      </c>
      <c r="J113" s="253">
        <v>-6.694</v>
      </c>
      <c r="K113" s="253">
        <v>2739.0393453388297</v>
      </c>
      <c r="L113" s="253">
        <v>5.0163851900000003</v>
      </c>
      <c r="M113" s="253">
        <v>2744.0557305288298</v>
      </c>
      <c r="N113" s="253">
        <v>817.88105205776958</v>
      </c>
      <c r="O113" s="253">
        <v>3561.9367820000002</v>
      </c>
      <c r="P113" s="253">
        <v>883.58710368030825</v>
      </c>
      <c r="Q113" s="253">
        <v>1.58</v>
      </c>
      <c r="R113" s="253">
        <v>2679.9296789103178</v>
      </c>
      <c r="S113" s="254">
        <v>2378.8842140000002</v>
      </c>
    </row>
    <row r="114" spans="1:20" ht="15.75">
      <c r="A114" s="241"/>
      <c r="B114" s="259">
        <v>2028</v>
      </c>
      <c r="C114" s="253">
        <v>1706.8961679999998</v>
      </c>
      <c r="D114" s="253">
        <v>588.44284499999992</v>
      </c>
      <c r="E114" s="253">
        <v>502.11389586355932</v>
      </c>
      <c r="F114" s="253">
        <v>264.49975749999993</v>
      </c>
      <c r="G114" s="253">
        <v>142.17919497258174</v>
      </c>
      <c r="H114" s="253">
        <v>87.526941599999986</v>
      </c>
      <c r="I114" s="253">
        <v>7.908001927720929</v>
      </c>
      <c r="J114" s="253">
        <v>-6.694</v>
      </c>
      <c r="K114" s="253">
        <v>2790.7589088635596</v>
      </c>
      <c r="L114" s="253">
        <v>4.6648154399999999</v>
      </c>
      <c r="M114" s="253">
        <v>2795.4237243035595</v>
      </c>
      <c r="N114" s="253">
        <v>822.24592104453143</v>
      </c>
      <c r="O114" s="253">
        <v>3617.6696450000004</v>
      </c>
      <c r="P114" s="253">
        <v>893.15479918204335</v>
      </c>
      <c r="Q114" s="253">
        <v>1.58</v>
      </c>
      <c r="R114" s="253">
        <v>2726.0948461819407</v>
      </c>
      <c r="S114" s="254">
        <v>2422.4817459999999</v>
      </c>
      <c r="T114" s="263"/>
    </row>
    <row r="115" spans="1:20" ht="15.75">
      <c r="A115" s="241"/>
      <c r="B115" s="260">
        <v>2029</v>
      </c>
      <c r="C115" s="261">
        <v>1737.8471609999999</v>
      </c>
      <c r="D115" s="261">
        <v>598.04779900000005</v>
      </c>
      <c r="E115" s="261">
        <v>510.89660263796605</v>
      </c>
      <c r="F115" s="261">
        <v>268.7217536</v>
      </c>
      <c r="G115" s="261">
        <v>147.56007169046214</v>
      </c>
      <c r="H115" s="261">
        <v>86.405621199999999</v>
      </c>
      <c r="I115" s="261">
        <v>8.2091560666521417</v>
      </c>
      <c r="J115" s="261">
        <v>-6.694</v>
      </c>
      <c r="K115" s="261">
        <v>2840.0975626379663</v>
      </c>
      <c r="L115" s="261">
        <v>6.0033605100000003</v>
      </c>
      <c r="M115" s="261">
        <v>2846.1009231479661</v>
      </c>
      <c r="N115" s="261">
        <v>829.01788210168002</v>
      </c>
      <c r="O115" s="261">
        <v>3675.1188049999996</v>
      </c>
      <c r="P115" s="261">
        <v>901.51201851889675</v>
      </c>
      <c r="Q115" s="261">
        <v>1.58</v>
      </c>
      <c r="R115" s="261">
        <v>2775.1867867376777</v>
      </c>
      <c r="S115" s="262">
        <v>2468.4898449999996</v>
      </c>
    </row>
    <row r="116" spans="1:20" ht="15.75">
      <c r="A116" s="241"/>
      <c r="B116" s="259" t="s">
        <v>125</v>
      </c>
      <c r="C116" s="253">
        <v>1323.297</v>
      </c>
      <c r="D116" s="253">
        <v>434.27600000000001</v>
      </c>
      <c r="E116" s="253">
        <v>350.44799999999998</v>
      </c>
      <c r="F116" s="253">
        <v>190.54499999999999</v>
      </c>
      <c r="G116" s="253">
        <v>89.325000000000003</v>
      </c>
      <c r="H116" s="253">
        <v>60.338999999999999</v>
      </c>
      <c r="I116" s="253">
        <v>10.8</v>
      </c>
      <c r="J116" s="253">
        <v>0.92500000000000004</v>
      </c>
      <c r="K116" s="253">
        <v>2108.9459999999999</v>
      </c>
      <c r="L116" s="253">
        <v>-15.512</v>
      </c>
      <c r="M116" s="253">
        <v>2093.4340000000002</v>
      </c>
      <c r="N116" s="253">
        <v>636.21199999999999</v>
      </c>
      <c r="O116" s="253">
        <v>2729.9459999999999</v>
      </c>
      <c r="P116" s="253">
        <v>623.30499999999995</v>
      </c>
      <c r="Q116" s="253">
        <v>0</v>
      </c>
      <c r="R116" s="253">
        <v>2101.413</v>
      </c>
      <c r="S116" s="254">
        <v>1820.0250000000001</v>
      </c>
    </row>
    <row r="117" spans="1:20" ht="15.75">
      <c r="A117" s="241"/>
      <c r="B117" s="259" t="s">
        <v>126</v>
      </c>
      <c r="C117" s="253">
        <v>1306.03</v>
      </c>
      <c r="D117" s="253">
        <v>438.10500000000002</v>
      </c>
      <c r="E117" s="253">
        <v>316.36700000000002</v>
      </c>
      <c r="F117" s="253">
        <v>161.952</v>
      </c>
      <c r="G117" s="253">
        <v>76.486999999999995</v>
      </c>
      <c r="H117" s="253">
        <v>65.022000000000006</v>
      </c>
      <c r="I117" s="253">
        <v>12.078999999999999</v>
      </c>
      <c r="J117" s="253">
        <v>2.06</v>
      </c>
      <c r="K117" s="253">
        <v>2062.5619999999999</v>
      </c>
      <c r="L117" s="253">
        <v>-22.812000000000001</v>
      </c>
      <c r="M117" s="253">
        <v>2039.75</v>
      </c>
      <c r="N117" s="253">
        <v>598.90300000000002</v>
      </c>
      <c r="O117" s="253">
        <v>2652.0839999999998</v>
      </c>
      <c r="P117" s="253">
        <v>606.33500000000004</v>
      </c>
      <c r="Q117" s="253">
        <v>0</v>
      </c>
      <c r="R117" s="253">
        <v>2040.8910000000001</v>
      </c>
      <c r="S117" s="254">
        <v>1768.6690000000001</v>
      </c>
    </row>
    <row r="118" spans="1:20" ht="15.75">
      <c r="A118" s="241"/>
      <c r="B118" s="259" t="s">
        <v>127</v>
      </c>
      <c r="C118" s="253">
        <v>1336.3309999999999</v>
      </c>
      <c r="D118" s="253">
        <v>439.93799999999999</v>
      </c>
      <c r="E118" s="253">
        <v>332.29500000000002</v>
      </c>
      <c r="F118" s="253">
        <v>171.4</v>
      </c>
      <c r="G118" s="253">
        <v>84.406999999999996</v>
      </c>
      <c r="H118" s="253">
        <v>64.427000000000007</v>
      </c>
      <c r="I118" s="253">
        <v>11.922000000000001</v>
      </c>
      <c r="J118" s="253">
        <v>-1.2809999999999999</v>
      </c>
      <c r="K118" s="253">
        <v>2107.2829999999999</v>
      </c>
      <c r="L118" s="253">
        <v>-5.532</v>
      </c>
      <c r="M118" s="253">
        <v>2101.7510000000002</v>
      </c>
      <c r="N118" s="253">
        <v>649.89700000000005</v>
      </c>
      <c r="O118" s="253">
        <v>2753.6170000000002</v>
      </c>
      <c r="P118" s="253">
        <v>657.93200000000002</v>
      </c>
      <c r="Q118" s="253">
        <v>0</v>
      </c>
      <c r="R118" s="253">
        <v>2091.7710000000002</v>
      </c>
      <c r="S118" s="254">
        <v>1820.857</v>
      </c>
    </row>
    <row r="119" spans="1:20">
      <c r="B119" s="259" t="s">
        <v>128</v>
      </c>
      <c r="C119" s="253">
        <v>1328.201</v>
      </c>
      <c r="D119" s="253">
        <v>440.04899999999998</v>
      </c>
      <c r="E119" s="253">
        <v>334.78899999999999</v>
      </c>
      <c r="F119" s="253">
        <v>187.46</v>
      </c>
      <c r="G119" s="253">
        <v>78.590999999999994</v>
      </c>
      <c r="H119" s="253">
        <v>56.917999999999999</v>
      </c>
      <c r="I119" s="253">
        <v>10.835000000000001</v>
      </c>
      <c r="J119" s="253">
        <v>0.70199999999999996</v>
      </c>
      <c r="K119" s="253">
        <v>2103.741</v>
      </c>
      <c r="L119" s="253">
        <v>-4.1050000000000004</v>
      </c>
      <c r="M119" s="253">
        <v>2099.636</v>
      </c>
      <c r="N119" s="253">
        <v>683.31100000000004</v>
      </c>
      <c r="O119" s="253">
        <v>2792.6640000000002</v>
      </c>
      <c r="P119" s="253">
        <v>676.39400000000001</v>
      </c>
      <c r="Q119" s="253">
        <v>0</v>
      </c>
      <c r="R119" s="253">
        <v>2112.4499999999998</v>
      </c>
      <c r="S119" s="254">
        <v>1848.905</v>
      </c>
    </row>
    <row r="120" spans="1:20">
      <c r="B120" s="257" t="s">
        <v>129</v>
      </c>
      <c r="C120" s="253">
        <v>1358.7829999999999</v>
      </c>
      <c r="D120" s="253">
        <v>441.66399999999999</v>
      </c>
      <c r="E120" s="253">
        <v>335.03199999999998</v>
      </c>
      <c r="F120" s="253">
        <v>192.791</v>
      </c>
      <c r="G120" s="253">
        <v>79.525000000000006</v>
      </c>
      <c r="H120" s="253">
        <v>51.957000000000001</v>
      </c>
      <c r="I120" s="253">
        <v>9.9499999999999993</v>
      </c>
      <c r="J120" s="253">
        <v>3.0950000000000002</v>
      </c>
      <c r="K120" s="253">
        <v>2138.5740000000001</v>
      </c>
      <c r="L120" s="253">
        <v>15.413</v>
      </c>
      <c r="M120" s="253">
        <v>2153.9870000000001</v>
      </c>
      <c r="N120" s="253">
        <v>677.61599999999999</v>
      </c>
      <c r="O120" s="253">
        <v>2831.6309999999999</v>
      </c>
      <c r="P120" s="253">
        <v>685.053</v>
      </c>
      <c r="Q120" s="253">
        <v>0</v>
      </c>
      <c r="R120" s="253">
        <v>2142.5450000000001</v>
      </c>
      <c r="S120" s="254">
        <v>1884.778</v>
      </c>
    </row>
    <row r="121" spans="1:20">
      <c r="B121" s="257" t="s">
        <v>130</v>
      </c>
      <c r="C121" s="253">
        <v>1393.96</v>
      </c>
      <c r="D121" s="253">
        <v>448.779</v>
      </c>
      <c r="E121" s="253">
        <v>356.64100000000002</v>
      </c>
      <c r="F121" s="253">
        <v>203.85</v>
      </c>
      <c r="G121" s="253">
        <v>89.284999999999997</v>
      </c>
      <c r="H121" s="253">
        <v>53.176000000000002</v>
      </c>
      <c r="I121" s="253">
        <v>9.6059999999999999</v>
      </c>
      <c r="J121" s="253">
        <v>11.089</v>
      </c>
      <c r="K121" s="253">
        <v>2210.4690000000001</v>
      </c>
      <c r="L121" s="253">
        <v>5.4820000000000002</v>
      </c>
      <c r="M121" s="253">
        <v>2215.951</v>
      </c>
      <c r="N121" s="253">
        <v>682.50099999999998</v>
      </c>
      <c r="O121" s="253">
        <v>2912.9960000000001</v>
      </c>
      <c r="P121" s="253">
        <v>717.428</v>
      </c>
      <c r="Q121" s="253">
        <v>0</v>
      </c>
      <c r="R121" s="253">
        <v>2191.5419999999999</v>
      </c>
      <c r="S121" s="254">
        <v>1929.0119999999999</v>
      </c>
    </row>
    <row r="122" spans="1:20">
      <c r="B122" s="257" t="s">
        <v>131</v>
      </c>
      <c r="C122" s="253">
        <v>1433.021</v>
      </c>
      <c r="D122" s="253">
        <v>457.55399999999997</v>
      </c>
      <c r="E122" s="253">
        <v>379.61200000000002</v>
      </c>
      <c r="F122" s="253">
        <v>217.23</v>
      </c>
      <c r="G122" s="253">
        <v>92.305999999999997</v>
      </c>
      <c r="H122" s="253">
        <v>57.444000000000003</v>
      </c>
      <c r="I122" s="253">
        <v>11.632</v>
      </c>
      <c r="J122" s="253">
        <v>11.021000000000001</v>
      </c>
      <c r="K122" s="253">
        <v>2281.2080000000001</v>
      </c>
      <c r="L122" s="253">
        <v>25.128</v>
      </c>
      <c r="M122" s="253">
        <v>2306.3359999999998</v>
      </c>
      <c r="N122" s="253">
        <v>698.49199999999996</v>
      </c>
      <c r="O122" s="253">
        <v>3024.8249999999998</v>
      </c>
      <c r="P122" s="253">
        <v>761.66899999999998</v>
      </c>
      <c r="Q122" s="253">
        <v>0</v>
      </c>
      <c r="R122" s="253">
        <v>2259.7939999999999</v>
      </c>
      <c r="S122" s="254">
        <v>1991.088</v>
      </c>
    </row>
    <row r="123" spans="1:20">
      <c r="B123" s="257" t="s">
        <v>132</v>
      </c>
      <c r="C123" s="253">
        <v>1475.2280000000001</v>
      </c>
      <c r="D123" s="253">
        <v>464.58199999999999</v>
      </c>
      <c r="E123" s="253">
        <v>403.18700000000001</v>
      </c>
      <c r="F123" s="253">
        <v>234.82499999999999</v>
      </c>
      <c r="G123" s="253">
        <v>100.352</v>
      </c>
      <c r="H123" s="253">
        <v>56.441000000000003</v>
      </c>
      <c r="I123" s="253">
        <v>10.583</v>
      </c>
      <c r="J123" s="253">
        <v>9.1999999999999998E-2</v>
      </c>
      <c r="K123" s="253">
        <v>2343.0889999999999</v>
      </c>
      <c r="L123" s="253">
        <v>9.1120000000000001</v>
      </c>
      <c r="M123" s="253">
        <v>2352.201</v>
      </c>
      <c r="N123" s="253">
        <v>721.35500000000002</v>
      </c>
      <c r="O123" s="253">
        <v>3091.7069999999999</v>
      </c>
      <c r="P123" s="253">
        <v>783.37900000000002</v>
      </c>
      <c r="Q123" s="253">
        <v>0</v>
      </c>
      <c r="R123" s="253">
        <v>2305.6869999999999</v>
      </c>
      <c r="S123" s="254">
        <v>2023.19</v>
      </c>
    </row>
    <row r="124" spans="1:20">
      <c r="B124" s="257" t="s">
        <v>133</v>
      </c>
      <c r="C124" s="253">
        <v>1525.0070000000001</v>
      </c>
      <c r="D124" s="253">
        <v>466.18099999999998</v>
      </c>
      <c r="E124" s="253">
        <v>424.28500000000003</v>
      </c>
      <c r="F124" s="253">
        <v>247.15899999999999</v>
      </c>
      <c r="G124" s="253">
        <v>108.425</v>
      </c>
      <c r="H124" s="253">
        <v>56.713000000000001</v>
      </c>
      <c r="I124" s="253">
        <v>11.044</v>
      </c>
      <c r="J124" s="253">
        <v>1.4830000000000001</v>
      </c>
      <c r="K124" s="253">
        <v>2416.9560000000001</v>
      </c>
      <c r="L124" s="253">
        <v>12.207000000000001</v>
      </c>
      <c r="M124" s="253">
        <v>2429.163</v>
      </c>
      <c r="N124" s="253">
        <v>747.68299999999999</v>
      </c>
      <c r="O124" s="253">
        <v>3172.81</v>
      </c>
      <c r="P124" s="253">
        <v>818.79600000000005</v>
      </c>
      <c r="Q124" s="253">
        <v>0</v>
      </c>
      <c r="R124" s="253">
        <v>2353.1379999999999</v>
      </c>
      <c r="S124" s="254">
        <v>2068.9560000000001</v>
      </c>
    </row>
    <row r="125" spans="1:20">
      <c r="B125" s="257" t="s">
        <v>134</v>
      </c>
      <c r="C125" s="253">
        <v>1550.8720000000001</v>
      </c>
      <c r="D125" s="253">
        <v>469.69200000000001</v>
      </c>
      <c r="E125" s="253">
        <v>435.815</v>
      </c>
      <c r="F125" s="253">
        <v>245.46600000000001</v>
      </c>
      <c r="G125" s="253">
        <v>115.898</v>
      </c>
      <c r="H125" s="253">
        <v>63.731000000000002</v>
      </c>
      <c r="I125" s="253">
        <v>9.5709999999999997</v>
      </c>
      <c r="J125" s="253">
        <v>3.5550000000000002</v>
      </c>
      <c r="K125" s="253">
        <v>2459.9340000000002</v>
      </c>
      <c r="L125" s="253">
        <v>9.8569999999999993</v>
      </c>
      <c r="M125" s="253">
        <v>2469.7910000000002</v>
      </c>
      <c r="N125" s="253">
        <v>796.33</v>
      </c>
      <c r="O125" s="253">
        <v>3258.2310000000002</v>
      </c>
      <c r="P125" s="253">
        <v>844.32899999999995</v>
      </c>
      <c r="Q125" s="253">
        <v>0</v>
      </c>
      <c r="R125" s="253">
        <v>2413.3180000000002</v>
      </c>
      <c r="S125" s="254">
        <v>2121.6619999999998</v>
      </c>
    </row>
    <row r="126" spans="1:20">
      <c r="B126" s="257" t="s">
        <v>135</v>
      </c>
      <c r="C126" s="253">
        <v>1580.51</v>
      </c>
      <c r="D126" s="253">
        <v>475.87299999999999</v>
      </c>
      <c r="E126" s="253">
        <v>434.24599999999998</v>
      </c>
      <c r="F126" s="253">
        <v>241.90700000000001</v>
      </c>
      <c r="G126" s="253">
        <v>122.60899999999999</v>
      </c>
      <c r="H126" s="253">
        <v>62.642000000000003</v>
      </c>
      <c r="I126" s="253">
        <v>6.0093983699999995</v>
      </c>
      <c r="J126" s="253">
        <v>20.039000000000001</v>
      </c>
      <c r="K126" s="253">
        <v>2510.6680000000001</v>
      </c>
      <c r="L126" s="253">
        <v>11.305</v>
      </c>
      <c r="M126" s="253">
        <v>2521.973</v>
      </c>
      <c r="N126" s="253">
        <v>810.93299999999999</v>
      </c>
      <c r="O126" s="253">
        <v>3331.45</v>
      </c>
      <c r="P126" s="253">
        <v>889.98900000000003</v>
      </c>
      <c r="Q126" s="253">
        <v>0</v>
      </c>
      <c r="R126" s="253">
        <v>2442.8449999999998</v>
      </c>
      <c r="S126" s="254">
        <v>2146.491</v>
      </c>
    </row>
    <row r="127" spans="1:20">
      <c r="B127" s="257" t="s">
        <v>136</v>
      </c>
      <c r="C127" s="253">
        <v>1578.33</v>
      </c>
      <c r="D127" s="253">
        <v>489.358</v>
      </c>
      <c r="E127" s="253">
        <v>436.89</v>
      </c>
      <c r="F127" s="253">
        <v>246.70599999999999</v>
      </c>
      <c r="G127" s="253">
        <v>120.29900000000001</v>
      </c>
      <c r="H127" s="253">
        <v>62.673999999999999</v>
      </c>
      <c r="I127" s="253">
        <v>6.2604296999999995</v>
      </c>
      <c r="J127" s="253">
        <v>-8.1910000000000007</v>
      </c>
      <c r="K127" s="253">
        <v>2496.3870000000002</v>
      </c>
      <c r="L127" s="253">
        <v>-5.5250000000000004</v>
      </c>
      <c r="M127" s="253">
        <v>2490.8620000000001</v>
      </c>
      <c r="N127" s="253">
        <v>826.00699999999995</v>
      </c>
      <c r="O127" s="253">
        <v>3318.7489999999998</v>
      </c>
      <c r="P127" s="253">
        <v>853.47299999999996</v>
      </c>
      <c r="Q127" s="253">
        <v>0</v>
      </c>
      <c r="R127" s="253">
        <v>2464.0279999999998</v>
      </c>
      <c r="S127" s="254">
        <v>2170.002</v>
      </c>
    </row>
    <row r="128" spans="1:20">
      <c r="B128" s="257" t="s">
        <v>137</v>
      </c>
      <c r="C128" s="253">
        <v>1332.0450000000001</v>
      </c>
      <c r="D128" s="253">
        <v>460.74</v>
      </c>
      <c r="E128" s="253">
        <v>396.154</v>
      </c>
      <c r="F128" s="253">
        <v>215.26400000000001</v>
      </c>
      <c r="G128" s="253">
        <v>101.923</v>
      </c>
      <c r="H128" s="253">
        <v>72.965000000000003</v>
      </c>
      <c r="I128" s="253">
        <v>5.1988648150000003</v>
      </c>
      <c r="J128" s="253">
        <v>8.41</v>
      </c>
      <c r="K128" s="253">
        <v>2197.3490000000002</v>
      </c>
      <c r="L128" s="253">
        <v>10.593999999999999</v>
      </c>
      <c r="M128" s="253">
        <v>2207.9430000000002</v>
      </c>
      <c r="N128" s="253">
        <v>709.09900000000005</v>
      </c>
      <c r="O128" s="253">
        <v>2913.3760000000002</v>
      </c>
      <c r="P128" s="253">
        <v>731.73500000000001</v>
      </c>
      <c r="Q128" s="253">
        <v>0</v>
      </c>
      <c r="R128" s="253">
        <v>2179.1660000000002</v>
      </c>
      <c r="S128" s="254">
        <v>1928.105</v>
      </c>
    </row>
    <row r="129" spans="2:19">
      <c r="B129" s="257" t="s">
        <v>138</v>
      </c>
      <c r="C129" s="253">
        <v>1537.509</v>
      </c>
      <c r="D129" s="253">
        <v>533.75099999999998</v>
      </c>
      <c r="E129" s="253">
        <v>438.66800000000001</v>
      </c>
      <c r="F129" s="253">
        <v>231.066</v>
      </c>
      <c r="G129" s="253">
        <v>121.241</v>
      </c>
      <c r="H129" s="253">
        <v>79.591999999999999</v>
      </c>
      <c r="I129" s="253">
        <v>6.7357015799999997</v>
      </c>
      <c r="J129" s="253">
        <v>6.6420000000000003</v>
      </c>
      <c r="K129" s="253">
        <v>2516.5700000000002</v>
      </c>
      <c r="L129" s="253">
        <v>9.7850000000000001</v>
      </c>
      <c r="M129" s="253">
        <v>2526.355</v>
      </c>
      <c r="N129" s="253">
        <v>766.22699999999998</v>
      </c>
      <c r="O129" s="253">
        <v>3302.9110000000001</v>
      </c>
      <c r="P129" s="253">
        <v>824.52099999999996</v>
      </c>
      <c r="Q129" s="253">
        <v>0</v>
      </c>
      <c r="R129" s="253">
        <v>2474.5529999999999</v>
      </c>
      <c r="S129" s="254">
        <v>2189.5300000000002</v>
      </c>
    </row>
    <row r="130" spans="2:19">
      <c r="B130" s="257" t="s">
        <v>139</v>
      </c>
      <c r="C130" s="253">
        <v>1599.86</v>
      </c>
      <c r="D130" s="253">
        <v>522.51800000000003</v>
      </c>
      <c r="E130" s="253">
        <v>452.863</v>
      </c>
      <c r="F130" s="253">
        <v>243.05699999999999</v>
      </c>
      <c r="G130" s="253">
        <v>125.542</v>
      </c>
      <c r="H130" s="253">
        <v>77.343999999999994</v>
      </c>
      <c r="I130" s="253">
        <v>6.7051154399999993</v>
      </c>
      <c r="J130" s="253">
        <v>-32.332000000000001</v>
      </c>
      <c r="K130" s="253">
        <v>2542.9090000000001</v>
      </c>
      <c r="L130" s="253">
        <v>12.74</v>
      </c>
      <c r="M130" s="253">
        <v>2555.6489999999999</v>
      </c>
      <c r="N130" s="253">
        <v>864.20899999999995</v>
      </c>
      <c r="O130" s="253">
        <v>3413.9520000000002</v>
      </c>
      <c r="P130" s="253">
        <v>881.72799999999995</v>
      </c>
      <c r="Q130" s="253">
        <v>0.109</v>
      </c>
      <c r="R130" s="253">
        <v>2532.0859999999998</v>
      </c>
      <c r="S130" s="254">
        <v>2234.6840000000002</v>
      </c>
    </row>
    <row r="131" spans="2:19">
      <c r="B131" s="257" t="s">
        <v>140</v>
      </c>
      <c r="C131" s="253">
        <v>1600.2260000000001</v>
      </c>
      <c r="D131" s="253">
        <v>535.86099999999999</v>
      </c>
      <c r="E131" s="253">
        <v>451.41500000000002</v>
      </c>
      <c r="F131" s="253">
        <v>250.06700000000001</v>
      </c>
      <c r="G131" s="253">
        <v>117.048</v>
      </c>
      <c r="H131" s="253">
        <v>76.978999999999999</v>
      </c>
      <c r="I131" s="253">
        <v>6.515935859999999</v>
      </c>
      <c r="J131" s="253">
        <v>-12.2</v>
      </c>
      <c r="K131" s="253">
        <v>2575.3020000000001</v>
      </c>
      <c r="L131" s="253">
        <v>-8.1349999999999998</v>
      </c>
      <c r="M131" s="253">
        <v>2567.1669999999999</v>
      </c>
      <c r="N131" s="253">
        <v>818.03899999999999</v>
      </c>
      <c r="O131" s="253">
        <v>3385.2060000000001</v>
      </c>
      <c r="P131" s="253">
        <v>847.28599999999994</v>
      </c>
      <c r="Q131" s="253">
        <v>1.0920000000000001</v>
      </c>
      <c r="R131" s="253">
        <v>2539.0120000000002</v>
      </c>
      <c r="S131" s="254">
        <v>2244.7260000000001</v>
      </c>
    </row>
    <row r="132" spans="2:19">
      <c r="B132" s="257" t="s">
        <v>141</v>
      </c>
      <c r="C132" s="253">
        <v>1614.2231099999999</v>
      </c>
      <c r="D132" s="253">
        <v>547.21758</v>
      </c>
      <c r="E132" s="253">
        <v>458.8168749880852</v>
      </c>
      <c r="F132" s="253">
        <v>252.59328909999999</v>
      </c>
      <c r="G132" s="253">
        <v>116.87742929620249</v>
      </c>
      <c r="H132" s="253">
        <v>82.185727700000001</v>
      </c>
      <c r="I132" s="253">
        <v>6.5079548737914035</v>
      </c>
      <c r="J132" s="253">
        <v>7.3164999999999996</v>
      </c>
      <c r="K132" s="253">
        <v>2627.574064988085</v>
      </c>
      <c r="L132" s="253">
        <v>11.12557792</v>
      </c>
      <c r="M132" s="253">
        <v>2638.699642908085</v>
      </c>
      <c r="N132" s="253">
        <v>797.1422989974518</v>
      </c>
      <c r="O132" s="253">
        <v>3435.841942</v>
      </c>
      <c r="P132" s="253">
        <v>872.99682456583901</v>
      </c>
      <c r="Q132" s="253">
        <v>1.58</v>
      </c>
      <c r="R132" s="253">
        <v>2564.4251173430121</v>
      </c>
      <c r="S132" s="254">
        <v>2269.6124390000004</v>
      </c>
    </row>
    <row r="133" spans="2:19">
      <c r="B133" s="257" t="s">
        <v>142</v>
      </c>
      <c r="C133" s="253">
        <v>1636.8772450000001</v>
      </c>
      <c r="D133" s="253">
        <v>565.50416099999995</v>
      </c>
      <c r="E133" s="253">
        <v>459.62124986001595</v>
      </c>
      <c r="F133" s="253">
        <v>252.73623710000004</v>
      </c>
      <c r="G133" s="253">
        <v>115.89017227080051</v>
      </c>
      <c r="H133" s="253">
        <v>84.596376300000003</v>
      </c>
      <c r="I133" s="253">
        <v>6.3984642651478172</v>
      </c>
      <c r="J133" s="253">
        <v>-6.694</v>
      </c>
      <c r="K133" s="253">
        <v>2655.3086558600162</v>
      </c>
      <c r="L133" s="253">
        <v>1.8888324937000003</v>
      </c>
      <c r="M133" s="253">
        <v>2657.1974883537164</v>
      </c>
      <c r="N133" s="253">
        <v>806.57082930550428</v>
      </c>
      <c r="O133" s="253">
        <v>3463.7683170000005</v>
      </c>
      <c r="P133" s="253">
        <v>869.58773971573294</v>
      </c>
      <c r="Q133" s="253">
        <v>1.58</v>
      </c>
      <c r="R133" s="253">
        <v>2595.7605779414512</v>
      </c>
      <c r="S133" s="254">
        <v>2299.4557170000003</v>
      </c>
    </row>
    <row r="134" spans="2:19">
      <c r="B134" s="257" t="s">
        <v>143</v>
      </c>
      <c r="C134" s="253">
        <v>1661.832283</v>
      </c>
      <c r="D134" s="253">
        <v>571.92212699999993</v>
      </c>
      <c r="E134" s="253">
        <v>473.08211233734067</v>
      </c>
      <c r="F134" s="253">
        <v>257.45372020000002</v>
      </c>
      <c r="G134" s="253">
        <v>122.31839808836027</v>
      </c>
      <c r="H134" s="253">
        <v>86.553032799999983</v>
      </c>
      <c r="I134" s="253">
        <v>6.7569613139511091</v>
      </c>
      <c r="J134" s="253">
        <v>-6.694</v>
      </c>
      <c r="K134" s="253">
        <v>2700.1425223373408</v>
      </c>
      <c r="L134" s="253">
        <v>5.9670400499999996</v>
      </c>
      <c r="M134" s="253">
        <v>2706.1095623873407</v>
      </c>
      <c r="N134" s="253">
        <v>814.49207326434225</v>
      </c>
      <c r="O134" s="253">
        <v>3520.6016350000004</v>
      </c>
      <c r="P134" s="253">
        <v>877.08863383874507</v>
      </c>
      <c r="Q134" s="253">
        <v>1.58</v>
      </c>
      <c r="R134" s="253">
        <v>2645.0930018166518</v>
      </c>
      <c r="S134" s="254">
        <v>2345.8422529999998</v>
      </c>
    </row>
    <row r="135" spans="2:19">
      <c r="B135" s="257" t="s">
        <v>144</v>
      </c>
      <c r="C135" s="253">
        <v>1686.702368</v>
      </c>
      <c r="D135" s="253">
        <v>581.1703050000001</v>
      </c>
      <c r="E135" s="253">
        <v>490.9385830984408</v>
      </c>
      <c r="F135" s="253">
        <v>261.52579210000005</v>
      </c>
      <c r="G135" s="253">
        <v>133.71238398989638</v>
      </c>
      <c r="H135" s="253">
        <v>88.28632060000001</v>
      </c>
      <c r="I135" s="253">
        <v>7.4140864920652279</v>
      </c>
      <c r="J135" s="253">
        <v>-6.694</v>
      </c>
      <c r="K135" s="253">
        <v>2752.117256098441</v>
      </c>
      <c r="L135" s="253">
        <v>4.6306631899999999</v>
      </c>
      <c r="M135" s="253">
        <v>2756.7479192884412</v>
      </c>
      <c r="N135" s="253">
        <v>818.90064441399056</v>
      </c>
      <c r="O135" s="253">
        <v>3575.6485630000002</v>
      </c>
      <c r="P135" s="253">
        <v>885.92608856158915</v>
      </c>
      <c r="Q135" s="253">
        <v>1.58</v>
      </c>
      <c r="R135" s="253">
        <v>2691.3024751507196</v>
      </c>
      <c r="S135" s="254">
        <v>2389.65371</v>
      </c>
    </row>
    <row r="136" spans="2:19">
      <c r="B136" s="257" t="s">
        <v>145</v>
      </c>
      <c r="C136" s="253">
        <v>1714.3239110000002</v>
      </c>
      <c r="D136" s="253">
        <v>590.86922100000004</v>
      </c>
      <c r="E136" s="253">
        <v>504.91451650954536</v>
      </c>
      <c r="F136" s="253">
        <v>265.53402270000004</v>
      </c>
      <c r="G136" s="253">
        <v>144.20133100895822</v>
      </c>
      <c r="H136" s="253">
        <v>87.155033899999992</v>
      </c>
      <c r="I136" s="253">
        <v>8.0241289716405095</v>
      </c>
      <c r="J136" s="253">
        <v>-6.694</v>
      </c>
      <c r="K136" s="253">
        <v>2803.4136485095455</v>
      </c>
      <c r="L136" s="253">
        <v>4.9320939800000003</v>
      </c>
      <c r="M136" s="253">
        <v>2808.3457424895455</v>
      </c>
      <c r="N136" s="253">
        <v>823.67118990068957</v>
      </c>
      <c r="O136" s="253">
        <v>3632.016932</v>
      </c>
      <c r="P136" s="253">
        <v>895.51533430471272</v>
      </c>
      <c r="Q136" s="253">
        <v>1.58</v>
      </c>
      <c r="R136" s="253">
        <v>2738.0815980983421</v>
      </c>
      <c r="S136" s="254">
        <v>2433.7463290000001</v>
      </c>
    </row>
    <row r="137" spans="2:19" ht="15.75" thickBot="1">
      <c r="B137" s="264" t="s">
        <v>146</v>
      </c>
      <c r="C137" s="253">
        <v>1745.845681</v>
      </c>
      <c r="D137" s="253">
        <v>600.46021699999994</v>
      </c>
      <c r="E137" s="253">
        <v>512.64111334157542</v>
      </c>
      <c r="F137" s="253">
        <v>269.81986739999996</v>
      </c>
      <c r="G137" s="253">
        <v>148.36925846476083</v>
      </c>
      <c r="H137" s="253">
        <v>86.197748199999992</v>
      </c>
      <c r="I137" s="253">
        <v>8.2542391790487297</v>
      </c>
      <c r="J137" s="253">
        <v>-6.694</v>
      </c>
      <c r="K137" s="253">
        <v>2852.2530113415755</v>
      </c>
      <c r="L137" s="253">
        <v>6.2492863100000005</v>
      </c>
      <c r="M137" s="253">
        <v>2858.5022976515752</v>
      </c>
      <c r="N137" s="253">
        <v>830.93497427301827</v>
      </c>
      <c r="O137" s="253">
        <v>3689.4372719999997</v>
      </c>
      <c r="P137" s="253">
        <v>903.28197400613817</v>
      </c>
      <c r="Q137" s="253">
        <v>1.58</v>
      </c>
      <c r="R137" s="253">
        <v>2787.7352979207471</v>
      </c>
      <c r="S137" s="254">
        <v>2480.2080219999998</v>
      </c>
    </row>
    <row r="138" spans="2:19">
      <c r="B138" s="265" t="s">
        <v>731</v>
      </c>
      <c r="C138" s="266"/>
      <c r="D138" s="266"/>
      <c r="E138" s="266"/>
      <c r="F138" s="266"/>
      <c r="G138" s="266"/>
      <c r="H138" s="266"/>
      <c r="I138" s="266"/>
      <c r="J138" s="266"/>
      <c r="K138" s="266"/>
      <c r="L138" s="266"/>
      <c r="M138" s="266"/>
      <c r="N138" s="266"/>
      <c r="O138" s="266"/>
      <c r="P138" s="266"/>
      <c r="Q138" s="266"/>
      <c r="R138" s="266"/>
      <c r="S138" s="267"/>
    </row>
    <row r="139" spans="2:19">
      <c r="B139" s="268" t="s">
        <v>732</v>
      </c>
      <c r="C139" s="269"/>
      <c r="D139" s="269"/>
      <c r="E139" s="269"/>
      <c r="F139" s="269"/>
      <c r="G139" s="269"/>
      <c r="H139" s="269"/>
      <c r="I139" s="269"/>
      <c r="J139" s="269"/>
      <c r="K139" s="269"/>
      <c r="L139" s="269"/>
      <c r="M139" s="269"/>
      <c r="N139" s="269"/>
      <c r="O139" s="269"/>
      <c r="P139" s="269"/>
      <c r="Q139" s="269"/>
      <c r="R139" s="269"/>
      <c r="S139" s="270"/>
    </row>
    <row r="140" spans="2:19">
      <c r="B140" s="268" t="s">
        <v>733</v>
      </c>
      <c r="C140" s="269"/>
      <c r="D140" s="269"/>
      <c r="E140" s="269"/>
      <c r="F140" s="269"/>
      <c r="G140" s="269"/>
      <c r="H140" s="269"/>
      <c r="I140" s="269"/>
      <c r="J140" s="269"/>
      <c r="K140" s="269"/>
      <c r="L140" s="269"/>
      <c r="M140" s="269"/>
      <c r="N140" s="269"/>
      <c r="O140" s="269"/>
      <c r="P140" s="269"/>
      <c r="Q140" s="269"/>
      <c r="R140" s="269"/>
      <c r="S140" s="270"/>
    </row>
    <row r="141" spans="2:19">
      <c r="B141" s="271" t="s">
        <v>734</v>
      </c>
      <c r="C141" s="272"/>
      <c r="D141" s="272"/>
      <c r="E141" s="272"/>
      <c r="F141" s="272"/>
      <c r="G141" s="272"/>
      <c r="H141" s="272"/>
      <c r="I141" s="272"/>
      <c r="J141" s="272"/>
      <c r="K141" s="272"/>
      <c r="L141" s="272"/>
      <c r="M141" s="272"/>
      <c r="N141" s="272"/>
      <c r="O141" s="272"/>
      <c r="P141" s="272"/>
      <c r="Q141" s="272"/>
      <c r="R141" s="272"/>
      <c r="S141" s="273"/>
    </row>
    <row r="142" spans="2:19">
      <c r="B142" s="271" t="s">
        <v>735</v>
      </c>
      <c r="C142" s="272"/>
      <c r="D142" s="272"/>
      <c r="E142" s="272"/>
      <c r="F142" s="272"/>
      <c r="G142" s="272"/>
      <c r="H142" s="272"/>
      <c r="I142" s="272"/>
      <c r="J142" s="272"/>
      <c r="K142" s="272"/>
      <c r="L142" s="272"/>
      <c r="M142" s="272"/>
      <c r="N142" s="272"/>
      <c r="O142" s="272"/>
      <c r="P142" s="272"/>
      <c r="Q142" s="272"/>
      <c r="R142" s="272"/>
      <c r="S142" s="273"/>
    </row>
    <row r="143" spans="2:19">
      <c r="B143" s="271" t="s">
        <v>736</v>
      </c>
      <c r="C143" s="272"/>
      <c r="D143" s="272"/>
      <c r="E143" s="272"/>
      <c r="F143" s="272"/>
      <c r="G143" s="272"/>
      <c r="H143" s="272"/>
      <c r="I143" s="272"/>
      <c r="J143" s="272"/>
      <c r="K143" s="272"/>
      <c r="L143" s="272"/>
      <c r="M143" s="272"/>
      <c r="N143" s="272"/>
      <c r="O143" s="272"/>
      <c r="P143" s="272"/>
      <c r="Q143" s="272"/>
      <c r="R143" s="272"/>
      <c r="S143" s="273"/>
    </row>
    <row r="144" spans="2:19">
      <c r="B144" s="271" t="s">
        <v>737</v>
      </c>
      <c r="C144" s="272"/>
      <c r="D144" s="272"/>
      <c r="E144" s="272"/>
      <c r="F144" s="272"/>
      <c r="G144" s="272"/>
      <c r="H144" s="272"/>
      <c r="I144" s="272"/>
      <c r="J144" s="272"/>
      <c r="K144" s="272"/>
      <c r="L144" s="272"/>
      <c r="M144" s="272"/>
      <c r="N144" s="272"/>
      <c r="O144" s="272"/>
      <c r="P144" s="272"/>
      <c r="Q144" s="272"/>
      <c r="R144" s="272"/>
      <c r="S144" s="273"/>
    </row>
    <row r="145" spans="2:19">
      <c r="B145" s="271" t="s">
        <v>738</v>
      </c>
      <c r="C145" s="272"/>
      <c r="D145" s="272"/>
      <c r="E145" s="272"/>
      <c r="F145" s="272"/>
      <c r="G145" s="272"/>
      <c r="H145" s="272"/>
      <c r="I145" s="272"/>
      <c r="J145" s="272"/>
      <c r="K145" s="272"/>
      <c r="L145" s="272"/>
      <c r="M145" s="272"/>
      <c r="N145" s="272"/>
      <c r="O145" s="272"/>
      <c r="P145" s="272"/>
      <c r="Q145" s="272"/>
      <c r="R145" s="272"/>
      <c r="S145" s="273"/>
    </row>
    <row r="146" spans="2:19">
      <c r="B146" s="271" t="s">
        <v>739</v>
      </c>
      <c r="C146" s="272"/>
      <c r="D146" s="272"/>
      <c r="E146" s="272"/>
      <c r="F146" s="272"/>
      <c r="G146" s="272"/>
      <c r="H146" s="272"/>
      <c r="I146" s="272"/>
      <c r="J146" s="272"/>
      <c r="K146" s="272"/>
      <c r="L146" s="272"/>
      <c r="M146" s="272"/>
      <c r="N146" s="272"/>
      <c r="O146" s="272"/>
      <c r="P146" s="272"/>
      <c r="Q146" s="272"/>
      <c r="R146" s="272"/>
      <c r="S146" s="273"/>
    </row>
    <row r="147" spans="2:19">
      <c r="B147" s="268" t="s">
        <v>740</v>
      </c>
      <c r="C147" s="269"/>
      <c r="D147" s="269"/>
      <c r="E147" s="269"/>
      <c r="F147" s="269"/>
      <c r="G147" s="269"/>
      <c r="H147" s="269"/>
      <c r="I147" s="269"/>
      <c r="J147" s="269"/>
      <c r="K147" s="269"/>
      <c r="L147" s="269"/>
      <c r="M147" s="269"/>
      <c r="N147" s="269"/>
      <c r="O147" s="269"/>
      <c r="P147" s="269"/>
      <c r="Q147" s="269"/>
      <c r="R147" s="269"/>
      <c r="S147" s="270"/>
    </row>
    <row r="148" spans="2:19">
      <c r="B148" s="271" t="s">
        <v>741</v>
      </c>
      <c r="C148" s="272"/>
      <c r="D148" s="272"/>
      <c r="E148" s="272"/>
      <c r="F148" s="272"/>
      <c r="G148" s="272"/>
      <c r="H148" s="272"/>
      <c r="I148" s="272"/>
      <c r="J148" s="272"/>
      <c r="K148" s="272"/>
      <c r="L148" s="272"/>
      <c r="M148" s="272"/>
      <c r="N148" s="272"/>
      <c r="O148" s="272"/>
      <c r="P148" s="272"/>
      <c r="Q148" s="272"/>
      <c r="R148" s="272"/>
      <c r="S148" s="273"/>
    </row>
    <row r="149" spans="2:19">
      <c r="B149" s="271" t="s">
        <v>742</v>
      </c>
      <c r="C149" s="272"/>
      <c r="D149" s="272"/>
      <c r="E149" s="272"/>
      <c r="F149" s="272"/>
      <c r="G149" s="272"/>
      <c r="H149" s="272"/>
      <c r="I149" s="272"/>
      <c r="J149" s="272"/>
      <c r="K149" s="272"/>
      <c r="L149" s="272"/>
      <c r="M149" s="272"/>
      <c r="N149" s="272"/>
      <c r="O149" s="272"/>
      <c r="P149" s="272"/>
      <c r="Q149" s="272"/>
      <c r="R149" s="272"/>
      <c r="S149" s="273"/>
    </row>
    <row r="150" spans="2:19">
      <c r="B150" s="271" t="s">
        <v>743</v>
      </c>
      <c r="C150" s="272"/>
      <c r="D150" s="272"/>
      <c r="E150" s="272"/>
      <c r="F150" s="272"/>
      <c r="G150" s="272"/>
      <c r="H150" s="272"/>
      <c r="I150" s="272"/>
      <c r="J150" s="272"/>
      <c r="K150" s="272"/>
      <c r="L150" s="272"/>
      <c r="M150" s="272"/>
      <c r="N150" s="272"/>
      <c r="O150" s="272"/>
      <c r="P150" s="272"/>
      <c r="Q150" s="272"/>
      <c r="R150" s="272"/>
      <c r="S150" s="273"/>
    </row>
    <row r="151" spans="2:19">
      <c r="B151" s="271" t="s">
        <v>744</v>
      </c>
      <c r="C151" s="272"/>
      <c r="D151" s="272"/>
      <c r="E151" s="272"/>
      <c r="F151" s="272"/>
      <c r="G151" s="272"/>
      <c r="H151" s="272"/>
      <c r="I151" s="272"/>
      <c r="J151" s="272"/>
      <c r="K151" s="272"/>
      <c r="L151" s="272"/>
      <c r="M151" s="272"/>
      <c r="N151" s="272"/>
      <c r="O151" s="272"/>
      <c r="P151" s="272"/>
      <c r="Q151" s="272"/>
      <c r="R151" s="272"/>
      <c r="S151" s="273"/>
    </row>
    <row r="152" spans="2:19">
      <c r="B152" s="271" t="s">
        <v>745</v>
      </c>
      <c r="C152" s="272"/>
      <c r="D152" s="272"/>
      <c r="E152" s="272"/>
      <c r="F152" s="272"/>
      <c r="G152" s="272"/>
      <c r="H152" s="272"/>
      <c r="I152" s="272"/>
      <c r="J152" s="272"/>
      <c r="K152" s="272"/>
      <c r="L152" s="272"/>
      <c r="M152" s="272"/>
      <c r="N152" s="272"/>
      <c r="O152" s="272"/>
      <c r="P152" s="272"/>
      <c r="Q152" s="272"/>
      <c r="R152" s="272"/>
      <c r="S152" s="273"/>
    </row>
    <row r="153" spans="2:19">
      <c r="B153" s="271" t="s">
        <v>746</v>
      </c>
      <c r="C153" s="272"/>
      <c r="D153" s="272"/>
      <c r="E153" s="272"/>
      <c r="F153" s="272"/>
      <c r="G153" s="272"/>
      <c r="H153" s="272"/>
      <c r="I153" s="272"/>
      <c r="J153" s="272"/>
      <c r="K153" s="272"/>
      <c r="L153" s="272"/>
      <c r="M153" s="272"/>
      <c r="N153" s="272"/>
      <c r="O153" s="272"/>
      <c r="P153" s="272"/>
      <c r="Q153" s="272"/>
      <c r="R153" s="272"/>
      <c r="S153" s="273"/>
    </row>
    <row r="154" spans="2:19" ht="15.75" thickBot="1">
      <c r="B154" s="274" t="s">
        <v>747</v>
      </c>
      <c r="C154" s="275"/>
      <c r="D154" s="275"/>
      <c r="E154" s="275"/>
      <c r="F154" s="275"/>
      <c r="G154" s="275"/>
      <c r="H154" s="275"/>
      <c r="I154" s="275"/>
      <c r="J154" s="275"/>
      <c r="K154" s="275"/>
      <c r="L154" s="275"/>
      <c r="M154" s="275"/>
      <c r="N154" s="275"/>
      <c r="O154" s="275"/>
      <c r="P154" s="275"/>
      <c r="Q154" s="275"/>
      <c r="R154" s="275"/>
      <c r="S154" s="276"/>
    </row>
    <row r="155" spans="2:19">
      <c r="B155" s="277"/>
      <c r="C155" s="278"/>
      <c r="D155" s="278"/>
      <c r="E155" s="278"/>
      <c r="F155" s="278"/>
      <c r="G155" s="278"/>
      <c r="H155" s="278"/>
      <c r="I155" s="278"/>
      <c r="J155" s="278"/>
      <c r="K155" s="278"/>
      <c r="L155" s="278"/>
      <c r="M155" s="278"/>
      <c r="N155" s="278"/>
      <c r="O155" s="278"/>
      <c r="P155" s="278"/>
      <c r="Q155" s="278"/>
      <c r="R155" s="278"/>
      <c r="S155" s="278"/>
    </row>
    <row r="156" spans="2:19">
      <c r="B156" s="277"/>
      <c r="C156" s="278"/>
      <c r="D156" s="278"/>
      <c r="E156" s="278"/>
      <c r="F156" s="278"/>
      <c r="G156" s="278"/>
      <c r="H156" s="278"/>
      <c r="I156" s="278"/>
      <c r="J156" s="278"/>
      <c r="K156" s="278"/>
      <c r="L156" s="278"/>
      <c r="M156" s="278"/>
      <c r="N156" s="278"/>
      <c r="O156" s="278"/>
      <c r="P156" s="278"/>
      <c r="Q156" s="278"/>
      <c r="R156" s="278"/>
      <c r="S156" s="278"/>
    </row>
    <row r="157" spans="2:19">
      <c r="B157" s="277"/>
      <c r="C157" s="278"/>
      <c r="D157" s="278"/>
      <c r="E157" s="278"/>
      <c r="F157" s="278"/>
      <c r="G157" s="278"/>
      <c r="H157" s="278"/>
      <c r="I157" s="278"/>
      <c r="J157" s="278"/>
      <c r="K157" s="278"/>
      <c r="L157" s="278"/>
      <c r="M157" s="278"/>
      <c r="N157" s="278"/>
      <c r="O157" s="278"/>
      <c r="P157" s="278"/>
      <c r="Q157" s="278"/>
      <c r="R157" s="278"/>
      <c r="S157" s="278"/>
    </row>
    <row r="158" spans="2:19">
      <c r="B158" s="277"/>
      <c r="C158" s="278"/>
      <c r="D158" s="278"/>
      <c r="E158" s="278"/>
      <c r="F158" s="278"/>
      <c r="G158" s="278"/>
      <c r="H158" s="278"/>
      <c r="I158" s="278"/>
      <c r="J158" s="278"/>
      <c r="K158" s="278"/>
      <c r="L158" s="278"/>
      <c r="M158" s="278"/>
      <c r="N158" s="278"/>
      <c r="O158" s="278"/>
      <c r="P158" s="278"/>
      <c r="Q158" s="278"/>
      <c r="R158" s="278"/>
      <c r="S158" s="278"/>
    </row>
    <row r="159" spans="2:19">
      <c r="B159" s="277"/>
      <c r="C159" s="278"/>
      <c r="D159" s="278"/>
      <c r="E159" s="278"/>
      <c r="F159" s="278"/>
      <c r="G159" s="278"/>
      <c r="H159" s="278"/>
      <c r="I159" s="278"/>
      <c r="J159" s="278"/>
      <c r="K159" s="278"/>
      <c r="L159" s="278"/>
      <c r="M159" s="278"/>
      <c r="N159" s="278"/>
      <c r="O159" s="278"/>
      <c r="P159" s="278"/>
      <c r="Q159" s="278"/>
      <c r="R159" s="278"/>
      <c r="S159" s="278"/>
    </row>
    <row r="160" spans="2:19">
      <c r="B160" s="277"/>
      <c r="C160" s="278"/>
      <c r="D160" s="278"/>
      <c r="E160" s="278"/>
      <c r="F160" s="278"/>
      <c r="G160" s="278"/>
      <c r="H160" s="278"/>
      <c r="I160" s="278"/>
      <c r="J160" s="278"/>
      <c r="K160" s="278"/>
      <c r="L160" s="278"/>
      <c r="M160" s="278"/>
      <c r="N160" s="278"/>
      <c r="O160" s="278"/>
      <c r="P160" s="278"/>
      <c r="Q160" s="278"/>
      <c r="R160" s="278"/>
      <c r="S160" s="278"/>
    </row>
    <row r="161" spans="3:19">
      <c r="C161" s="278"/>
      <c r="D161" s="278"/>
      <c r="E161" s="278"/>
      <c r="F161" s="278"/>
      <c r="G161" s="278"/>
      <c r="H161" s="278"/>
      <c r="I161" s="278"/>
      <c r="J161" s="278"/>
      <c r="K161" s="278"/>
      <c r="L161" s="278"/>
      <c r="M161" s="278"/>
      <c r="N161" s="278"/>
      <c r="O161" s="278"/>
      <c r="P161" s="278"/>
      <c r="Q161" s="278"/>
      <c r="R161" s="278"/>
      <c r="S161" s="278"/>
    </row>
    <row r="162" spans="3:19">
      <c r="C162" s="278"/>
      <c r="D162" s="278"/>
      <c r="E162" s="278"/>
      <c r="F162" s="278"/>
      <c r="G162" s="278"/>
      <c r="H162" s="278"/>
      <c r="I162" s="278"/>
      <c r="J162" s="278"/>
      <c r="K162" s="278"/>
      <c r="L162" s="278"/>
      <c r="M162" s="278"/>
      <c r="N162" s="278"/>
      <c r="O162" s="278"/>
      <c r="P162" s="278"/>
      <c r="Q162" s="278"/>
      <c r="R162" s="278"/>
      <c r="S162" s="278"/>
    </row>
    <row r="163" spans="3:19">
      <c r="C163" s="278"/>
      <c r="D163" s="278"/>
      <c r="E163" s="278"/>
      <c r="F163" s="278"/>
      <c r="G163" s="278"/>
      <c r="H163" s="278"/>
      <c r="I163" s="278"/>
      <c r="J163" s="278"/>
      <c r="K163" s="278"/>
      <c r="L163" s="278"/>
      <c r="M163" s="278"/>
      <c r="N163" s="278"/>
      <c r="O163" s="278"/>
      <c r="P163" s="278"/>
      <c r="Q163" s="278"/>
      <c r="R163" s="278"/>
      <c r="S163" s="278"/>
    </row>
    <row r="164" spans="3:19">
      <c r="C164" s="278"/>
      <c r="D164" s="278"/>
      <c r="E164" s="278"/>
      <c r="F164" s="278"/>
      <c r="G164" s="278"/>
      <c r="H164" s="278"/>
      <c r="I164" s="278"/>
      <c r="J164" s="278"/>
      <c r="K164" s="278"/>
      <c r="L164" s="278"/>
      <c r="M164" s="278"/>
      <c r="N164" s="278"/>
      <c r="O164" s="278"/>
      <c r="P164" s="278"/>
      <c r="Q164" s="278"/>
      <c r="R164" s="278"/>
      <c r="S164" s="278"/>
    </row>
    <row r="165" spans="3:19">
      <c r="C165" s="278"/>
      <c r="D165" s="278"/>
      <c r="E165" s="278"/>
      <c r="F165" s="278"/>
      <c r="G165" s="278"/>
      <c r="H165" s="278"/>
      <c r="I165" s="278"/>
      <c r="J165" s="278"/>
      <c r="K165" s="278"/>
      <c r="L165" s="278"/>
      <c r="M165" s="278"/>
      <c r="N165" s="278"/>
      <c r="O165" s="278"/>
      <c r="P165" s="278"/>
      <c r="Q165" s="278"/>
      <c r="R165" s="278"/>
      <c r="S165" s="278"/>
    </row>
    <row r="166" spans="3:19">
      <c r="C166" s="278"/>
      <c r="D166" s="278"/>
      <c r="E166" s="278"/>
      <c r="F166" s="278"/>
      <c r="G166" s="278"/>
      <c r="H166" s="278"/>
      <c r="I166" s="278"/>
      <c r="J166" s="278"/>
      <c r="K166" s="278"/>
      <c r="L166" s="278"/>
      <c r="M166" s="278"/>
      <c r="N166" s="278"/>
      <c r="O166" s="278"/>
      <c r="P166" s="278"/>
      <c r="Q166" s="278"/>
      <c r="R166" s="278"/>
      <c r="S166" s="278"/>
    </row>
    <row r="167" spans="3:19">
      <c r="C167" s="278"/>
      <c r="D167" s="278"/>
      <c r="E167" s="278"/>
      <c r="F167" s="278"/>
      <c r="G167" s="278"/>
      <c r="H167" s="278"/>
      <c r="I167" s="278"/>
      <c r="J167" s="278"/>
      <c r="K167" s="278"/>
      <c r="L167" s="278"/>
      <c r="M167" s="278"/>
      <c r="N167" s="278"/>
      <c r="O167" s="278"/>
      <c r="P167" s="278"/>
      <c r="Q167" s="278"/>
      <c r="R167" s="278"/>
      <c r="S167" s="278"/>
    </row>
  </sheetData>
  <mergeCells count="19">
    <mergeCell ref="B2:S2"/>
    <mergeCell ref="C3:C4"/>
    <mergeCell ref="D3:D4"/>
    <mergeCell ref="J3:J4"/>
    <mergeCell ref="K3:K4"/>
    <mergeCell ref="L3:L4"/>
    <mergeCell ref="M3:M4"/>
    <mergeCell ref="N3:N4"/>
    <mergeCell ref="O3:O4"/>
    <mergeCell ref="P3:P4"/>
    <mergeCell ref="Q3:Q4"/>
    <mergeCell ref="R3:R4"/>
    <mergeCell ref="S3:S4"/>
    <mergeCell ref="I3:I4"/>
    <mergeCell ref="A50:A54"/>
    <mergeCell ref="E3:E4"/>
    <mergeCell ref="F3:F4"/>
    <mergeCell ref="G3:G4"/>
    <mergeCell ref="H3:H4"/>
  </mergeCells>
  <hyperlinks>
    <hyperlink ref="A1" location="Contents!A1" display="Back to contents" xr:uid="{2EE9D39F-BE9D-412F-9DB7-5FAAEC6A94E5}"/>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8A11-2EC1-4AEE-BFCC-39B261FBB70C}">
  <dimension ref="A1:V173"/>
  <sheetViews>
    <sheetView zoomScaleNormal="100" zoomScaleSheetLayoutView="85" workbookViewId="0">
      <pane xSplit="2" ySplit="4" topLeftCell="C92" activePane="bottomRight" state="frozen"/>
      <selection pane="topRight" activeCell="C1" sqref="C1"/>
      <selection pane="bottomLeft" activeCell="A5" sqref="A5"/>
      <selection pane="bottomRight" activeCell="J18" sqref="J18"/>
    </sheetView>
  </sheetViews>
  <sheetFormatPr defaultColWidth="10" defaultRowHeight="15"/>
  <cols>
    <col min="1" max="1" width="8.42578125" style="242" customWidth="1"/>
    <col min="2" max="2" width="10.5703125" style="242" customWidth="1"/>
    <col min="3" max="4" width="12.5703125" style="242" bestFit="1" customWidth="1"/>
    <col min="5" max="6" width="11.140625" style="242" customWidth="1"/>
    <col min="7" max="7" width="10.5703125" style="242" customWidth="1"/>
    <col min="8" max="8" width="11.7109375" style="242" customWidth="1"/>
    <col min="9" max="9" width="10.5703125" style="242" customWidth="1"/>
    <col min="10" max="10" width="14.5703125" style="242" bestFit="1" customWidth="1"/>
    <col min="11" max="11" width="10.5703125" style="242" customWidth="1"/>
    <col min="12" max="12" width="11.7109375" style="242" customWidth="1"/>
    <col min="13" max="14" width="10.5703125" style="242" customWidth="1"/>
    <col min="15" max="15" width="11.42578125" style="242" bestFit="1" customWidth="1"/>
    <col min="16" max="16" width="10.5703125" style="242" customWidth="1"/>
    <col min="17" max="17" width="11.7109375" style="242" bestFit="1" customWidth="1"/>
    <col min="18" max="19" width="10.5703125" style="242" customWidth="1"/>
    <col min="20" max="20" width="10" style="242"/>
    <col min="21" max="22" width="10.5703125" style="242" bestFit="1" customWidth="1"/>
    <col min="23" max="16384" width="10" style="242"/>
  </cols>
  <sheetData>
    <row r="1" spans="1:22" ht="33.75" customHeight="1" thickBot="1">
      <c r="A1" s="239" t="s">
        <v>621</v>
      </c>
      <c r="B1" s="240"/>
      <c r="C1" s="240"/>
      <c r="D1" s="240"/>
      <c r="E1" s="240"/>
      <c r="F1" s="240"/>
      <c r="G1" s="240"/>
      <c r="H1" s="240"/>
      <c r="I1" s="240"/>
      <c r="J1" s="240"/>
      <c r="K1" s="240"/>
      <c r="L1" s="240"/>
      <c r="M1" s="240"/>
      <c r="N1" s="240"/>
      <c r="O1" s="240"/>
      <c r="P1" s="240"/>
      <c r="Q1" s="240"/>
      <c r="R1" s="240"/>
      <c r="S1" s="241"/>
    </row>
    <row r="2" spans="1:22" s="244" customFormat="1" ht="19.5" customHeight="1" thickBot="1">
      <c r="A2" s="243"/>
      <c r="B2" s="497" t="s">
        <v>622</v>
      </c>
      <c r="C2" s="498"/>
      <c r="D2" s="498"/>
      <c r="E2" s="498"/>
      <c r="F2" s="498"/>
      <c r="G2" s="498"/>
      <c r="H2" s="498"/>
      <c r="I2" s="498"/>
      <c r="J2" s="498"/>
      <c r="K2" s="498"/>
      <c r="L2" s="498"/>
      <c r="M2" s="498"/>
      <c r="N2" s="498"/>
      <c r="O2" s="498"/>
      <c r="P2" s="498"/>
      <c r="Q2" s="498"/>
      <c r="R2" s="498"/>
      <c r="S2" s="499"/>
    </row>
    <row r="3" spans="1:22" s="249" customFormat="1" ht="38.25" customHeight="1">
      <c r="A3" s="245"/>
      <c r="B3" s="246" t="s">
        <v>623</v>
      </c>
      <c r="C3" s="503" t="s">
        <v>624</v>
      </c>
      <c r="D3" s="503" t="s">
        <v>625</v>
      </c>
      <c r="E3" s="247" t="s">
        <v>626</v>
      </c>
      <c r="F3" s="248"/>
      <c r="G3" s="248"/>
      <c r="H3" s="248"/>
      <c r="I3" s="248"/>
      <c r="J3" s="503" t="s">
        <v>627</v>
      </c>
      <c r="K3" s="503" t="s">
        <v>628</v>
      </c>
      <c r="L3" s="503" t="s">
        <v>629</v>
      </c>
      <c r="M3" s="503" t="s">
        <v>630</v>
      </c>
      <c r="N3" s="503" t="s">
        <v>631</v>
      </c>
      <c r="O3" s="503" t="s">
        <v>632</v>
      </c>
      <c r="P3" s="502" t="s">
        <v>633</v>
      </c>
      <c r="Q3" s="502" t="s">
        <v>634</v>
      </c>
      <c r="R3" s="502" t="s">
        <v>635</v>
      </c>
      <c r="S3" s="495" t="s">
        <v>636</v>
      </c>
    </row>
    <row r="4" spans="1:22" s="249" customFormat="1" ht="30.75" customHeight="1">
      <c r="A4" s="245"/>
      <c r="B4" s="246"/>
      <c r="C4" s="503"/>
      <c r="D4" s="503"/>
      <c r="E4" s="250" t="s">
        <v>637</v>
      </c>
      <c r="F4" s="250" t="s">
        <v>638</v>
      </c>
      <c r="G4" s="250" t="s">
        <v>639</v>
      </c>
      <c r="H4" s="250" t="s">
        <v>640</v>
      </c>
      <c r="I4" s="250" t="s">
        <v>641</v>
      </c>
      <c r="J4" s="503"/>
      <c r="K4" s="503"/>
      <c r="L4" s="503"/>
      <c r="M4" s="503"/>
      <c r="N4" s="503"/>
      <c r="O4" s="503"/>
      <c r="P4" s="502"/>
      <c r="Q4" s="502"/>
      <c r="R4" s="502"/>
      <c r="S4" s="496"/>
    </row>
    <row r="5" spans="1:22" ht="15.75" customHeight="1">
      <c r="A5" s="251"/>
      <c r="B5" s="252" t="s">
        <v>642</v>
      </c>
      <c r="C5" s="253">
        <v>366.79500000000002</v>
      </c>
      <c r="D5" s="253">
        <v>115.99299999999999</v>
      </c>
      <c r="E5" s="253">
        <v>101.666</v>
      </c>
      <c r="F5" s="253">
        <v>52.098999999999997</v>
      </c>
      <c r="G5" s="253">
        <v>31.882999999999999</v>
      </c>
      <c r="H5" s="253">
        <v>16.774999999999999</v>
      </c>
      <c r="I5" s="253">
        <v>1.784</v>
      </c>
      <c r="J5" s="253">
        <v>0.505</v>
      </c>
      <c r="K5" s="253">
        <v>584.95899999999995</v>
      </c>
      <c r="L5" s="253">
        <v>-4.6719999999999997</v>
      </c>
      <c r="M5" s="253">
        <v>580.28700000000003</v>
      </c>
      <c r="N5" s="253">
        <v>168.251</v>
      </c>
      <c r="O5" s="253">
        <v>756.22500000000002</v>
      </c>
      <c r="P5" s="253">
        <v>169.18600000000001</v>
      </c>
      <c r="Q5" s="253">
        <v>0</v>
      </c>
      <c r="R5" s="253">
        <v>586.69000000000005</v>
      </c>
      <c r="S5" s="254">
        <v>513.25099999999998</v>
      </c>
      <c r="T5" s="255"/>
      <c r="U5" s="256"/>
      <c r="V5" s="256"/>
    </row>
    <row r="6" spans="1:22">
      <c r="A6" s="251"/>
      <c r="B6" s="252" t="s">
        <v>643</v>
      </c>
      <c r="C6" s="253">
        <v>362.06400000000002</v>
      </c>
      <c r="D6" s="253">
        <v>115.307</v>
      </c>
      <c r="E6" s="253">
        <v>103.27200000000001</v>
      </c>
      <c r="F6" s="253">
        <v>57.107999999999997</v>
      </c>
      <c r="G6" s="253">
        <v>30.068999999999999</v>
      </c>
      <c r="H6" s="253">
        <v>15.255000000000001</v>
      </c>
      <c r="I6" s="253">
        <v>1.6600000000000001</v>
      </c>
      <c r="J6" s="253">
        <v>-0.216</v>
      </c>
      <c r="K6" s="253">
        <v>580.42700000000002</v>
      </c>
      <c r="L6" s="253">
        <v>-0.28100000000000003</v>
      </c>
      <c r="M6" s="253">
        <v>580.14599999999996</v>
      </c>
      <c r="N6" s="253">
        <v>168.428</v>
      </c>
      <c r="O6" s="253">
        <v>752.59900000000005</v>
      </c>
      <c r="P6" s="253">
        <v>168.738</v>
      </c>
      <c r="Q6" s="253">
        <v>0</v>
      </c>
      <c r="R6" s="253">
        <v>583.54100000000005</v>
      </c>
      <c r="S6" s="254">
        <v>511.33100000000002</v>
      </c>
      <c r="U6" s="256"/>
      <c r="V6" s="256"/>
    </row>
    <row r="7" spans="1:22">
      <c r="A7" s="251"/>
      <c r="B7" s="252" t="s">
        <v>644</v>
      </c>
      <c r="C7" s="253">
        <v>356.56700000000001</v>
      </c>
      <c r="D7" s="253">
        <v>117.36199999999999</v>
      </c>
      <c r="E7" s="253">
        <v>98.197999999999993</v>
      </c>
      <c r="F7" s="253">
        <v>54.942</v>
      </c>
      <c r="G7" s="253">
        <v>24.559000000000001</v>
      </c>
      <c r="H7" s="253">
        <v>15.861000000000001</v>
      </c>
      <c r="I7" s="253">
        <v>3.4189999999999996</v>
      </c>
      <c r="J7" s="253">
        <v>-1.304</v>
      </c>
      <c r="K7" s="253">
        <v>570.82299999999998</v>
      </c>
      <c r="L7" s="253">
        <v>-0.85799999999999998</v>
      </c>
      <c r="M7" s="253">
        <v>569.96500000000003</v>
      </c>
      <c r="N7" s="253">
        <v>169.10599999999999</v>
      </c>
      <c r="O7" s="253">
        <v>738.86800000000005</v>
      </c>
      <c r="P7" s="253">
        <v>164.57300000000001</v>
      </c>
      <c r="Q7" s="253">
        <v>0</v>
      </c>
      <c r="R7" s="253">
        <v>573.96100000000001</v>
      </c>
      <c r="S7" s="254">
        <v>503.22399999999999</v>
      </c>
      <c r="U7" s="256"/>
      <c r="V7" s="256"/>
    </row>
    <row r="8" spans="1:22">
      <c r="A8" s="251"/>
      <c r="B8" s="252" t="s">
        <v>645</v>
      </c>
      <c r="C8" s="253">
        <v>347.875</v>
      </c>
      <c r="D8" s="253">
        <v>118.565</v>
      </c>
      <c r="E8" s="253">
        <v>96.036000000000001</v>
      </c>
      <c r="F8" s="253">
        <v>52.433999999999997</v>
      </c>
      <c r="G8" s="253">
        <v>23.384</v>
      </c>
      <c r="H8" s="253">
        <v>17.411000000000001</v>
      </c>
      <c r="I8" s="253">
        <v>3.3290000000000002</v>
      </c>
      <c r="J8" s="253">
        <v>0.24099999999999999</v>
      </c>
      <c r="K8" s="253">
        <v>562.71699999999998</v>
      </c>
      <c r="L8" s="253">
        <v>-2.7679999999999998</v>
      </c>
      <c r="M8" s="253">
        <v>559.94899999999996</v>
      </c>
      <c r="N8" s="253">
        <v>161.06899999999999</v>
      </c>
      <c r="O8" s="253">
        <v>717.79300000000001</v>
      </c>
      <c r="P8" s="253">
        <v>155.48500000000001</v>
      </c>
      <c r="Q8" s="253">
        <v>0</v>
      </c>
      <c r="R8" s="253">
        <v>561.81600000000003</v>
      </c>
      <c r="S8" s="254">
        <v>492.72699999999998</v>
      </c>
      <c r="U8" s="256"/>
      <c r="V8" s="256"/>
    </row>
    <row r="9" spans="1:22">
      <c r="A9" s="251"/>
      <c r="B9" s="252" t="s">
        <v>646</v>
      </c>
      <c r="C9" s="253">
        <v>346.435</v>
      </c>
      <c r="D9" s="253">
        <v>117.85899999999999</v>
      </c>
      <c r="E9" s="253">
        <v>90.795000000000002</v>
      </c>
      <c r="F9" s="253">
        <v>48.456000000000003</v>
      </c>
      <c r="G9" s="253">
        <v>21.957999999999998</v>
      </c>
      <c r="H9" s="253">
        <v>17.521000000000001</v>
      </c>
      <c r="I9" s="253">
        <v>3.2850000000000001</v>
      </c>
      <c r="J9" s="253">
        <v>1.4019999999999999</v>
      </c>
      <c r="K9" s="253">
        <v>556.49099999999999</v>
      </c>
      <c r="L9" s="253">
        <v>-7.6040000000000001</v>
      </c>
      <c r="M9" s="253">
        <v>548.88699999999994</v>
      </c>
      <c r="N9" s="253">
        <v>152.66900000000001</v>
      </c>
      <c r="O9" s="253">
        <v>700.23400000000004</v>
      </c>
      <c r="P9" s="253">
        <v>149.46600000000001</v>
      </c>
      <c r="Q9" s="253">
        <v>0</v>
      </c>
      <c r="R9" s="253">
        <v>550.45100000000002</v>
      </c>
      <c r="S9" s="254">
        <v>483.02300000000002</v>
      </c>
      <c r="U9" s="256"/>
      <c r="V9" s="256"/>
    </row>
    <row r="10" spans="1:22" ht="15.75">
      <c r="A10" s="241"/>
      <c r="B10" s="252" t="s">
        <v>647</v>
      </c>
      <c r="C10" s="253">
        <v>345.97199999999998</v>
      </c>
      <c r="D10" s="253">
        <v>117.61</v>
      </c>
      <c r="E10" s="253">
        <v>87.418000000000006</v>
      </c>
      <c r="F10" s="253">
        <v>46.750999999999998</v>
      </c>
      <c r="G10" s="253">
        <v>21.178000000000001</v>
      </c>
      <c r="H10" s="253">
        <v>16.507000000000001</v>
      </c>
      <c r="I10" s="253">
        <v>3.2560000000000002</v>
      </c>
      <c r="J10" s="253">
        <v>0.53300000000000003</v>
      </c>
      <c r="K10" s="253">
        <v>551.53300000000002</v>
      </c>
      <c r="L10" s="253">
        <v>-7.7519999999999998</v>
      </c>
      <c r="M10" s="253">
        <v>543.78099999999995</v>
      </c>
      <c r="N10" s="253">
        <v>151.80500000000001</v>
      </c>
      <c r="O10" s="253">
        <v>698.82600000000002</v>
      </c>
      <c r="P10" s="253">
        <v>149.70599999999999</v>
      </c>
      <c r="Q10" s="253">
        <v>0</v>
      </c>
      <c r="R10" s="253">
        <v>548.85900000000004</v>
      </c>
      <c r="S10" s="254">
        <v>480.94200000000001</v>
      </c>
      <c r="U10" s="256"/>
      <c r="V10" s="256"/>
    </row>
    <row r="11" spans="1:22" ht="15.75">
      <c r="A11" s="241"/>
      <c r="B11" s="252" t="s">
        <v>648</v>
      </c>
      <c r="C11" s="253">
        <v>347.113</v>
      </c>
      <c r="D11" s="253">
        <v>118.717</v>
      </c>
      <c r="E11" s="253">
        <v>87.975999999999999</v>
      </c>
      <c r="F11" s="253">
        <v>45.581000000000003</v>
      </c>
      <c r="G11" s="253">
        <v>21.321000000000002</v>
      </c>
      <c r="H11" s="253">
        <v>18.129000000000001</v>
      </c>
      <c r="I11" s="253">
        <v>3.2889999999999997</v>
      </c>
      <c r="J11" s="253">
        <v>0.77300000000000002</v>
      </c>
      <c r="K11" s="253">
        <v>554.57899999999995</v>
      </c>
      <c r="L11" s="253">
        <v>-8.5299999999999994</v>
      </c>
      <c r="M11" s="253">
        <v>546.04899999999998</v>
      </c>
      <c r="N11" s="253">
        <v>151.59700000000001</v>
      </c>
      <c r="O11" s="253">
        <v>703.47</v>
      </c>
      <c r="P11" s="253">
        <v>153.65100000000001</v>
      </c>
      <c r="Q11" s="253">
        <v>0</v>
      </c>
      <c r="R11" s="253">
        <v>549.54</v>
      </c>
      <c r="S11" s="254">
        <v>482.029</v>
      </c>
      <c r="U11" s="256"/>
      <c r="V11" s="256"/>
    </row>
    <row r="12" spans="1:22" ht="15.75">
      <c r="A12" s="241"/>
      <c r="B12" s="252" t="s">
        <v>649</v>
      </c>
      <c r="C12" s="253">
        <v>349.90899999999999</v>
      </c>
      <c r="D12" s="253">
        <v>119.548</v>
      </c>
      <c r="E12" s="253">
        <v>86.66</v>
      </c>
      <c r="F12" s="253">
        <v>45.414000000000001</v>
      </c>
      <c r="G12" s="253">
        <v>20.128</v>
      </c>
      <c r="H12" s="253">
        <v>17.923999999999999</v>
      </c>
      <c r="I12" s="253">
        <v>3.3780000000000001</v>
      </c>
      <c r="J12" s="253">
        <v>-0.32200000000000001</v>
      </c>
      <c r="K12" s="253">
        <v>555.79499999999996</v>
      </c>
      <c r="L12" s="253">
        <v>-5.1210000000000004</v>
      </c>
      <c r="M12" s="253">
        <v>550.67399999999998</v>
      </c>
      <c r="N12" s="253">
        <v>157.88200000000001</v>
      </c>
      <c r="O12" s="253">
        <v>709.15599999999995</v>
      </c>
      <c r="P12" s="253">
        <v>157.47200000000001</v>
      </c>
      <c r="Q12" s="253">
        <v>0</v>
      </c>
      <c r="R12" s="253">
        <v>551.37199999999996</v>
      </c>
      <c r="S12" s="254">
        <v>484.18</v>
      </c>
      <c r="U12" s="256"/>
      <c r="V12" s="256"/>
    </row>
    <row r="13" spans="1:22" ht="18.75" customHeight="1">
      <c r="A13" s="241"/>
      <c r="B13" s="252" t="s">
        <v>650</v>
      </c>
      <c r="C13" s="253">
        <v>349.45</v>
      </c>
      <c r="D13" s="253">
        <v>117.946</v>
      </c>
      <c r="E13" s="253">
        <v>90.007000000000005</v>
      </c>
      <c r="F13" s="253">
        <v>47.158999999999999</v>
      </c>
      <c r="G13" s="253">
        <v>20.934999999999999</v>
      </c>
      <c r="H13" s="253">
        <v>18.677</v>
      </c>
      <c r="I13" s="253">
        <v>3.4220000000000002</v>
      </c>
      <c r="J13" s="253">
        <v>-0.48</v>
      </c>
      <c r="K13" s="253">
        <v>556.923</v>
      </c>
      <c r="L13" s="253">
        <v>-2.4060000000000001</v>
      </c>
      <c r="M13" s="253">
        <v>554.51700000000005</v>
      </c>
      <c r="N13" s="253">
        <v>157.93799999999999</v>
      </c>
      <c r="O13" s="253">
        <v>715.447</v>
      </c>
      <c r="P13" s="253">
        <v>159.13499999999999</v>
      </c>
      <c r="Q13" s="253">
        <v>0</v>
      </c>
      <c r="R13" s="253">
        <v>556.00199999999995</v>
      </c>
      <c r="S13" s="254">
        <v>488.69900000000001</v>
      </c>
      <c r="U13" s="256"/>
      <c r="V13" s="256"/>
    </row>
    <row r="14" spans="1:22" ht="15.75">
      <c r="A14" s="241"/>
      <c r="B14" s="252" t="s">
        <v>651</v>
      </c>
      <c r="C14" s="253">
        <v>358.96800000000002</v>
      </c>
      <c r="D14" s="253">
        <v>118.254</v>
      </c>
      <c r="E14" s="253">
        <v>87.938000000000002</v>
      </c>
      <c r="F14" s="253">
        <v>46.055</v>
      </c>
      <c r="G14" s="253">
        <v>21.504999999999999</v>
      </c>
      <c r="H14" s="253">
        <v>17.329000000000001</v>
      </c>
      <c r="I14" s="253">
        <v>3.4</v>
      </c>
      <c r="J14" s="253">
        <v>-0.745</v>
      </c>
      <c r="K14" s="253">
        <v>564.41499999999996</v>
      </c>
      <c r="L14" s="253">
        <v>-1.1279999999999999</v>
      </c>
      <c r="M14" s="253">
        <v>563.28700000000003</v>
      </c>
      <c r="N14" s="253">
        <v>162.47300000000001</v>
      </c>
      <c r="O14" s="253">
        <v>726.66899999999998</v>
      </c>
      <c r="P14" s="253">
        <v>163.97800000000001</v>
      </c>
      <c r="Q14" s="253">
        <v>0</v>
      </c>
      <c r="R14" s="253">
        <v>562.35299999999995</v>
      </c>
      <c r="S14" s="254">
        <v>494.93599999999998</v>
      </c>
      <c r="U14" s="256"/>
      <c r="V14" s="256"/>
    </row>
    <row r="15" spans="1:22" ht="15.75">
      <c r="A15" s="241"/>
      <c r="B15" s="252" t="s">
        <v>652</v>
      </c>
      <c r="C15" s="253">
        <v>359.80099999999999</v>
      </c>
      <c r="D15" s="253">
        <v>118.60899999999999</v>
      </c>
      <c r="E15" s="253">
        <v>90.700999999999993</v>
      </c>
      <c r="F15" s="253">
        <v>47.527000000000001</v>
      </c>
      <c r="G15" s="253">
        <v>22.204000000000001</v>
      </c>
      <c r="H15" s="253">
        <v>17.948</v>
      </c>
      <c r="I15" s="253">
        <v>3.383</v>
      </c>
      <c r="J15" s="253">
        <v>0.34599999999999997</v>
      </c>
      <c r="K15" s="253">
        <v>569.45699999999999</v>
      </c>
      <c r="L15" s="253">
        <v>-0.98899999999999999</v>
      </c>
      <c r="M15" s="253">
        <v>568.46799999999996</v>
      </c>
      <c r="N15" s="253">
        <v>164.197</v>
      </c>
      <c r="O15" s="253">
        <v>735.14200000000005</v>
      </c>
      <c r="P15" s="253">
        <v>169.102</v>
      </c>
      <c r="Q15" s="253">
        <v>0</v>
      </c>
      <c r="R15" s="253">
        <v>565.65899999999999</v>
      </c>
      <c r="S15" s="254">
        <v>498.16699999999997</v>
      </c>
      <c r="U15" s="256"/>
      <c r="V15" s="256"/>
    </row>
    <row r="16" spans="1:22" ht="15.75">
      <c r="A16" s="241"/>
      <c r="B16" s="252" t="s">
        <v>653</v>
      </c>
      <c r="C16" s="253">
        <v>358.90499999999997</v>
      </c>
      <c r="D16" s="253">
        <v>118.81699999999999</v>
      </c>
      <c r="E16" s="253">
        <v>92.57</v>
      </c>
      <c r="F16" s="253">
        <v>50.337000000000003</v>
      </c>
      <c r="G16" s="253">
        <v>21.611999999999998</v>
      </c>
      <c r="H16" s="253">
        <v>17.521999999999998</v>
      </c>
      <c r="I16" s="253">
        <v>3.262</v>
      </c>
      <c r="J16" s="253">
        <v>0.36399999999999999</v>
      </c>
      <c r="K16" s="253">
        <v>570.65599999999995</v>
      </c>
      <c r="L16" s="253">
        <v>-2.5019999999999998</v>
      </c>
      <c r="M16" s="253">
        <v>568.154</v>
      </c>
      <c r="N16" s="253">
        <v>167.102</v>
      </c>
      <c r="O16" s="253">
        <v>737.22799999999995</v>
      </c>
      <c r="P16" s="253">
        <v>170.87100000000001</v>
      </c>
      <c r="Q16" s="253">
        <v>0</v>
      </c>
      <c r="R16" s="253">
        <v>565.94500000000005</v>
      </c>
      <c r="S16" s="254">
        <v>498.90600000000001</v>
      </c>
      <c r="U16" s="256"/>
      <c r="V16" s="256"/>
    </row>
    <row r="17" spans="1:22" ht="18.75" customHeight="1">
      <c r="A17" s="241"/>
      <c r="B17" s="252" t="s">
        <v>654</v>
      </c>
      <c r="C17" s="253">
        <v>355.24099999999999</v>
      </c>
      <c r="D17" s="253">
        <v>119.224</v>
      </c>
      <c r="E17" s="253">
        <v>89.358000000000004</v>
      </c>
      <c r="F17" s="253">
        <v>47.06</v>
      </c>
      <c r="G17" s="253">
        <v>20.977</v>
      </c>
      <c r="H17" s="253">
        <v>18.451000000000001</v>
      </c>
      <c r="I17" s="253">
        <v>3.161</v>
      </c>
      <c r="J17" s="253">
        <v>-2.778</v>
      </c>
      <c r="K17" s="253">
        <v>561.04499999999996</v>
      </c>
      <c r="L17" s="253">
        <v>-6.7000000000000004E-2</v>
      </c>
      <c r="M17" s="253">
        <v>560.97799999999995</v>
      </c>
      <c r="N17" s="253">
        <v>175.38800000000001</v>
      </c>
      <c r="O17" s="253">
        <v>734.62400000000002</v>
      </c>
      <c r="P17" s="253">
        <v>167.39500000000001</v>
      </c>
      <c r="Q17" s="253">
        <v>0</v>
      </c>
      <c r="R17" s="253">
        <v>566.87300000000005</v>
      </c>
      <c r="S17" s="254">
        <v>500.07799999999997</v>
      </c>
      <c r="U17" s="256"/>
      <c r="V17" s="256"/>
    </row>
    <row r="18" spans="1:22" ht="15.75">
      <c r="A18" s="241"/>
      <c r="B18" s="252" t="s">
        <v>655</v>
      </c>
      <c r="C18" s="253">
        <v>353.87200000000001</v>
      </c>
      <c r="D18" s="253">
        <v>117.52200000000001</v>
      </c>
      <c r="E18" s="253">
        <v>88.766999999999996</v>
      </c>
      <c r="F18" s="253">
        <v>49.334000000000003</v>
      </c>
      <c r="G18" s="253">
        <v>20.431999999999999</v>
      </c>
      <c r="H18" s="253">
        <v>15.951000000000001</v>
      </c>
      <c r="I18" s="253">
        <v>3.173</v>
      </c>
      <c r="J18" s="253">
        <v>0.45300000000000001</v>
      </c>
      <c r="K18" s="253">
        <v>560.61400000000003</v>
      </c>
      <c r="L18" s="253">
        <v>5.0049999999999999</v>
      </c>
      <c r="M18" s="253">
        <v>565.61900000000003</v>
      </c>
      <c r="N18" s="253">
        <v>171.89099999999999</v>
      </c>
      <c r="O18" s="253">
        <v>738.77200000000005</v>
      </c>
      <c r="P18" s="253">
        <v>171.70500000000001</v>
      </c>
      <c r="Q18" s="253">
        <v>0</v>
      </c>
      <c r="R18" s="253">
        <v>566.601</v>
      </c>
      <c r="S18" s="254">
        <v>500.834</v>
      </c>
      <c r="U18" s="256"/>
      <c r="V18" s="256"/>
    </row>
    <row r="19" spans="1:22" ht="15.75">
      <c r="A19" s="241"/>
      <c r="B19" s="252" t="s">
        <v>656</v>
      </c>
      <c r="C19" s="253">
        <v>354.428</v>
      </c>
      <c r="D19" s="253">
        <v>117.292</v>
      </c>
      <c r="E19" s="253">
        <v>90.686999999999998</v>
      </c>
      <c r="F19" s="253">
        <v>50.838999999999999</v>
      </c>
      <c r="G19" s="253">
        <v>20.677</v>
      </c>
      <c r="H19" s="253">
        <v>16.181999999999999</v>
      </c>
      <c r="I19" s="253">
        <v>3.016</v>
      </c>
      <c r="J19" s="253">
        <v>1.5469999999999999</v>
      </c>
      <c r="K19" s="253">
        <v>563.95399999999995</v>
      </c>
      <c r="L19" s="253">
        <v>0.67200000000000004</v>
      </c>
      <c r="M19" s="253">
        <v>564.62599999999998</v>
      </c>
      <c r="N19" s="253">
        <v>173.28299999999999</v>
      </c>
      <c r="O19" s="253">
        <v>738.61300000000006</v>
      </c>
      <c r="P19" s="253">
        <v>170.584</v>
      </c>
      <c r="Q19" s="253">
        <v>0</v>
      </c>
      <c r="R19" s="253">
        <v>567.58600000000001</v>
      </c>
      <c r="S19" s="254">
        <v>502.815</v>
      </c>
      <c r="U19" s="256"/>
      <c r="V19" s="256"/>
    </row>
    <row r="20" spans="1:22" ht="15.75">
      <c r="A20" s="241"/>
      <c r="B20" s="252" t="s">
        <v>657</v>
      </c>
      <c r="C20" s="253">
        <v>354.64600000000002</v>
      </c>
      <c r="D20" s="253">
        <v>118.072</v>
      </c>
      <c r="E20" s="253">
        <v>91.790999999999997</v>
      </c>
      <c r="F20" s="253">
        <v>52.186</v>
      </c>
      <c r="G20" s="253">
        <v>20.643999999999998</v>
      </c>
      <c r="H20" s="253">
        <v>15.922000000000001</v>
      </c>
      <c r="I20" s="253">
        <v>2.9510000000000001</v>
      </c>
      <c r="J20" s="253">
        <v>3.0000000000000001E-3</v>
      </c>
      <c r="K20" s="253">
        <v>564.51199999999994</v>
      </c>
      <c r="L20" s="253">
        <v>-5.18</v>
      </c>
      <c r="M20" s="253">
        <v>559.33199999999999</v>
      </c>
      <c r="N20" s="253">
        <v>175.42699999999999</v>
      </c>
      <c r="O20" s="253">
        <v>740.1</v>
      </c>
      <c r="P20" s="253">
        <v>171.578</v>
      </c>
      <c r="Q20" s="253">
        <v>0</v>
      </c>
      <c r="R20" s="253">
        <v>568.05600000000004</v>
      </c>
      <c r="S20" s="254">
        <v>503.93900000000002</v>
      </c>
      <c r="U20" s="256"/>
      <c r="V20" s="256"/>
    </row>
    <row r="21" spans="1:22" ht="18.75" customHeight="1">
      <c r="A21" s="241"/>
      <c r="B21" s="252" t="s">
        <v>658</v>
      </c>
      <c r="C21" s="253">
        <v>354.91800000000001</v>
      </c>
      <c r="D21" s="253">
        <v>121.47199999999999</v>
      </c>
      <c r="E21" s="253">
        <v>93.206999999999994</v>
      </c>
      <c r="F21" s="253">
        <v>53.781999999999996</v>
      </c>
      <c r="G21" s="253">
        <v>19.823</v>
      </c>
      <c r="H21" s="253">
        <v>16.542000000000002</v>
      </c>
      <c r="I21" s="253">
        <v>2.8370000000000002</v>
      </c>
      <c r="J21" s="253">
        <v>-2.133</v>
      </c>
      <c r="K21" s="253">
        <v>567.46400000000006</v>
      </c>
      <c r="L21" s="253">
        <v>-5.5350000000000001</v>
      </c>
      <c r="M21" s="253">
        <v>561.92899999999997</v>
      </c>
      <c r="N21" s="253">
        <v>181.04900000000001</v>
      </c>
      <c r="O21" s="253">
        <v>747.40899999999999</v>
      </c>
      <c r="P21" s="253">
        <v>173.5</v>
      </c>
      <c r="Q21" s="253">
        <v>0</v>
      </c>
      <c r="R21" s="253">
        <v>573.41600000000005</v>
      </c>
      <c r="S21" s="254">
        <v>509.20600000000002</v>
      </c>
      <c r="U21" s="256"/>
      <c r="V21" s="256"/>
    </row>
    <row r="22" spans="1:22" ht="15.75">
      <c r="A22" s="241"/>
      <c r="B22" s="252" t="s">
        <v>659</v>
      </c>
      <c r="C22" s="253">
        <v>358.709</v>
      </c>
      <c r="D22" s="253">
        <v>118.038</v>
      </c>
      <c r="E22" s="253">
        <v>90.462000000000003</v>
      </c>
      <c r="F22" s="253">
        <v>51.078000000000003</v>
      </c>
      <c r="G22" s="253">
        <v>20.273</v>
      </c>
      <c r="H22" s="253">
        <v>16.224</v>
      </c>
      <c r="I22" s="253">
        <v>2.8679999999999999</v>
      </c>
      <c r="J22" s="253">
        <v>0.67200000000000004</v>
      </c>
      <c r="K22" s="253">
        <v>567.88099999999997</v>
      </c>
      <c r="L22" s="253">
        <v>8.0760000000000005</v>
      </c>
      <c r="M22" s="253">
        <v>575.95699999999999</v>
      </c>
      <c r="N22" s="253">
        <v>171.42500000000001</v>
      </c>
      <c r="O22" s="253">
        <v>750.10599999999999</v>
      </c>
      <c r="P22" s="253">
        <v>176.34200000000001</v>
      </c>
      <c r="Q22" s="253">
        <v>0</v>
      </c>
      <c r="R22" s="253">
        <v>573.11199999999997</v>
      </c>
      <c r="S22" s="254">
        <v>509.37799999999999</v>
      </c>
      <c r="U22" s="256"/>
      <c r="V22" s="256"/>
    </row>
    <row r="23" spans="1:22" ht="15.75">
      <c r="A23" s="241"/>
      <c r="B23" s="252" t="s">
        <v>660</v>
      </c>
      <c r="C23" s="253">
        <v>363.76600000000002</v>
      </c>
      <c r="D23" s="253">
        <v>119.084</v>
      </c>
      <c r="E23" s="253">
        <v>89.953999999999994</v>
      </c>
      <c r="F23" s="253">
        <v>51.746000000000002</v>
      </c>
      <c r="G23" s="253">
        <v>20.917000000000002</v>
      </c>
      <c r="H23" s="253">
        <v>14.404999999999999</v>
      </c>
      <c r="I23" s="253">
        <v>2.8089999999999997</v>
      </c>
      <c r="J23" s="253">
        <v>6.6000000000000003E-2</v>
      </c>
      <c r="K23" s="253">
        <v>572.87</v>
      </c>
      <c r="L23" s="253">
        <v>8.1579999999999995</v>
      </c>
      <c r="M23" s="253">
        <v>581.02800000000002</v>
      </c>
      <c r="N23" s="253">
        <v>176.16</v>
      </c>
      <c r="O23" s="253">
        <v>754.67100000000005</v>
      </c>
      <c r="P23" s="253">
        <v>175.108</v>
      </c>
      <c r="Q23" s="253">
        <v>0</v>
      </c>
      <c r="R23" s="253">
        <v>579.05100000000004</v>
      </c>
      <c r="S23" s="254">
        <v>515.08399999999995</v>
      </c>
      <c r="U23" s="256"/>
      <c r="V23" s="256"/>
    </row>
    <row r="24" spans="1:22" ht="15.75">
      <c r="A24" s="241"/>
      <c r="B24" s="252" t="s">
        <v>661</v>
      </c>
      <c r="C24" s="253">
        <v>368.77499999999998</v>
      </c>
      <c r="D24" s="253">
        <v>120.42700000000001</v>
      </c>
      <c r="E24" s="253">
        <v>94.36</v>
      </c>
      <c r="F24" s="253">
        <v>55.124000000000002</v>
      </c>
      <c r="G24" s="253">
        <v>21.463999999999999</v>
      </c>
      <c r="H24" s="253">
        <v>14.757999999999999</v>
      </c>
      <c r="I24" s="253">
        <v>2.782</v>
      </c>
      <c r="J24" s="253">
        <v>-0.214</v>
      </c>
      <c r="K24" s="253">
        <v>583.34799999999996</v>
      </c>
      <c r="L24" s="253">
        <v>-6.1539999999999999</v>
      </c>
      <c r="M24" s="253">
        <v>577.19399999999996</v>
      </c>
      <c r="N24" s="253">
        <v>171.077</v>
      </c>
      <c r="O24" s="253">
        <v>750.27300000000002</v>
      </c>
      <c r="P24" s="253">
        <v>171.69900000000001</v>
      </c>
      <c r="Q24" s="253">
        <v>0</v>
      </c>
      <c r="R24" s="253">
        <v>578.21500000000003</v>
      </c>
      <c r="S24" s="254">
        <v>515.40599999999995</v>
      </c>
      <c r="U24" s="256"/>
      <c r="V24" s="256"/>
    </row>
    <row r="25" spans="1:22" ht="18.75" customHeight="1">
      <c r="A25" s="241"/>
      <c r="B25" s="252" t="s">
        <v>662</v>
      </c>
      <c r="C25" s="253">
        <v>365.63</v>
      </c>
      <c r="D25" s="253">
        <v>118.91500000000001</v>
      </c>
      <c r="E25" s="253">
        <v>92.805999999999997</v>
      </c>
      <c r="F25" s="253">
        <v>53.731999999999999</v>
      </c>
      <c r="G25" s="253">
        <v>21.513000000000002</v>
      </c>
      <c r="H25" s="253">
        <v>14.61</v>
      </c>
      <c r="I25" s="253">
        <v>2.7889999999999997</v>
      </c>
      <c r="J25" s="253">
        <v>0.754</v>
      </c>
      <c r="K25" s="253">
        <v>578.10500000000002</v>
      </c>
      <c r="L25" s="253">
        <v>-0.73599999999999999</v>
      </c>
      <c r="M25" s="253">
        <v>577.36900000000003</v>
      </c>
      <c r="N25" s="253">
        <v>175.68</v>
      </c>
      <c r="O25" s="253">
        <v>753.62400000000002</v>
      </c>
      <c r="P25" s="253">
        <v>173.45</v>
      </c>
      <c r="Q25" s="253">
        <v>0</v>
      </c>
      <c r="R25" s="253">
        <v>579.74900000000002</v>
      </c>
      <c r="S25" s="254">
        <v>516.59400000000005</v>
      </c>
      <c r="U25" s="256"/>
      <c r="V25" s="256"/>
    </row>
    <row r="26" spans="1:22" ht="15.75">
      <c r="A26" s="241"/>
      <c r="B26" s="252" t="s">
        <v>663</v>
      </c>
      <c r="C26" s="253">
        <v>368.09699999999998</v>
      </c>
      <c r="D26" s="253">
        <v>119.339</v>
      </c>
      <c r="E26" s="253">
        <v>95.37</v>
      </c>
      <c r="F26" s="253">
        <v>54.767000000000003</v>
      </c>
      <c r="G26" s="253">
        <v>23.611000000000001</v>
      </c>
      <c r="H26" s="253">
        <v>14.163</v>
      </c>
      <c r="I26" s="253">
        <v>2.6669999999999998</v>
      </c>
      <c r="J26" s="253">
        <v>3.6190000000000002</v>
      </c>
      <c r="K26" s="253">
        <v>586.42499999999995</v>
      </c>
      <c r="L26" s="253">
        <v>1.4670000000000001</v>
      </c>
      <c r="M26" s="253">
        <v>587.89200000000005</v>
      </c>
      <c r="N26" s="253">
        <v>176.643</v>
      </c>
      <c r="O26" s="253">
        <v>765.91300000000001</v>
      </c>
      <c r="P26" s="253">
        <v>181.63900000000001</v>
      </c>
      <c r="Q26" s="253">
        <v>0</v>
      </c>
      <c r="R26" s="253">
        <v>583.60500000000002</v>
      </c>
      <c r="S26" s="254">
        <v>520.29600000000005</v>
      </c>
      <c r="U26" s="256"/>
      <c r="V26" s="256"/>
    </row>
    <row r="27" spans="1:22" ht="15.75">
      <c r="A27" s="241"/>
      <c r="B27" s="252" t="s">
        <v>664</v>
      </c>
      <c r="C27" s="253">
        <v>371.89699999999999</v>
      </c>
      <c r="D27" s="253">
        <v>119.283</v>
      </c>
      <c r="E27" s="253">
        <v>97.805999999999997</v>
      </c>
      <c r="F27" s="253">
        <v>56.747</v>
      </c>
      <c r="G27" s="253">
        <v>23.763000000000002</v>
      </c>
      <c r="H27" s="253">
        <v>14.430999999999999</v>
      </c>
      <c r="I27" s="253">
        <v>2.6560000000000001</v>
      </c>
      <c r="J27" s="253">
        <v>-1.784</v>
      </c>
      <c r="K27" s="253">
        <v>587.202</v>
      </c>
      <c r="L27" s="253">
        <v>-0.83599999999999997</v>
      </c>
      <c r="M27" s="253">
        <v>586.36599999999999</v>
      </c>
      <c r="N27" s="253">
        <v>177.535</v>
      </c>
      <c r="O27" s="253">
        <v>768.87199999999996</v>
      </c>
      <c r="P27" s="253">
        <v>180.19800000000001</v>
      </c>
      <c r="Q27" s="253">
        <v>0</v>
      </c>
      <c r="R27" s="253">
        <v>588.07600000000002</v>
      </c>
      <c r="S27" s="254">
        <v>523.66499999999996</v>
      </c>
      <c r="U27" s="256"/>
      <c r="V27" s="256"/>
    </row>
    <row r="28" spans="1:22" ht="15.75">
      <c r="A28" s="241"/>
      <c r="B28" s="252" t="s">
        <v>665</v>
      </c>
      <c r="C28" s="253">
        <v>372.37</v>
      </c>
      <c r="D28" s="253">
        <v>121.652</v>
      </c>
      <c r="E28" s="253">
        <v>97.433000000000007</v>
      </c>
      <c r="F28" s="253">
        <v>56.008000000000003</v>
      </c>
      <c r="G28" s="253">
        <v>23.472000000000001</v>
      </c>
      <c r="H28" s="253">
        <v>15.090999999999999</v>
      </c>
      <c r="I28" s="253">
        <v>2.665</v>
      </c>
      <c r="J28" s="253">
        <v>3.988</v>
      </c>
      <c r="K28" s="253">
        <v>595.44299999999998</v>
      </c>
      <c r="L28" s="253">
        <v>0.753</v>
      </c>
      <c r="M28" s="253">
        <v>596.19600000000003</v>
      </c>
      <c r="N28" s="253">
        <v>172.84200000000001</v>
      </c>
      <c r="O28" s="253">
        <v>776.14400000000001</v>
      </c>
      <c r="P28" s="253">
        <v>183.50899999999999</v>
      </c>
      <c r="Q28" s="253">
        <v>0</v>
      </c>
      <c r="R28" s="253">
        <v>591.95399999999995</v>
      </c>
      <c r="S28" s="254">
        <v>527.22699999999998</v>
      </c>
      <c r="U28" s="256"/>
      <c r="V28" s="256"/>
    </row>
    <row r="29" spans="1:22" ht="18.75" customHeight="1">
      <c r="A29" s="241"/>
      <c r="B29" s="252" t="s">
        <v>666</v>
      </c>
      <c r="C29" s="253">
        <v>373.60500000000002</v>
      </c>
      <c r="D29" s="253">
        <v>122.173</v>
      </c>
      <c r="E29" s="253">
        <v>100.986</v>
      </c>
      <c r="F29" s="253">
        <v>56.780999999999999</v>
      </c>
      <c r="G29" s="253">
        <v>24.241</v>
      </c>
      <c r="H29" s="253">
        <v>17.024000000000001</v>
      </c>
      <c r="I29" s="253">
        <v>2.7989999999999999</v>
      </c>
      <c r="J29" s="253">
        <v>1.0249999999999999</v>
      </c>
      <c r="K29" s="253">
        <v>597.78899999999999</v>
      </c>
      <c r="L29" s="253">
        <v>9.2999999999999999E-2</v>
      </c>
      <c r="M29" s="253">
        <v>597.88199999999995</v>
      </c>
      <c r="N29" s="253">
        <v>175.84399999999999</v>
      </c>
      <c r="O29" s="253">
        <v>780.40300000000002</v>
      </c>
      <c r="P29" s="253">
        <v>183.053</v>
      </c>
      <c r="Q29" s="253">
        <v>0</v>
      </c>
      <c r="R29" s="253">
        <v>596.69600000000003</v>
      </c>
      <c r="S29" s="254">
        <v>531.596</v>
      </c>
      <c r="U29" s="256"/>
      <c r="V29" s="256"/>
    </row>
    <row r="30" spans="1:22" ht="15.75">
      <c r="A30" s="241"/>
      <c r="B30" s="252" t="s">
        <v>667</v>
      </c>
      <c r="C30" s="253">
        <v>376.57</v>
      </c>
      <c r="D30" s="253">
        <v>122.833</v>
      </c>
      <c r="E30" s="253">
        <v>101.232</v>
      </c>
      <c r="F30" s="253">
        <v>58.52</v>
      </c>
      <c r="G30" s="253">
        <v>23.782</v>
      </c>
      <c r="H30" s="253">
        <v>15.597</v>
      </c>
      <c r="I30" s="253">
        <v>3.1479999999999997</v>
      </c>
      <c r="J30" s="253">
        <v>-3.3839999999999999</v>
      </c>
      <c r="K30" s="253">
        <v>597.25099999999998</v>
      </c>
      <c r="L30" s="253">
        <v>6.2930000000000001</v>
      </c>
      <c r="M30" s="253">
        <v>603.54399999999998</v>
      </c>
      <c r="N30" s="253">
        <v>176.75299999999999</v>
      </c>
      <c r="O30" s="253">
        <v>786.32899999999995</v>
      </c>
      <c r="P30" s="253">
        <v>183.399</v>
      </c>
      <c r="Q30" s="253">
        <v>0</v>
      </c>
      <c r="R30" s="253">
        <v>602.30999999999995</v>
      </c>
      <c r="S30" s="254">
        <v>536.95299999999997</v>
      </c>
      <c r="U30" s="256"/>
      <c r="V30" s="256"/>
    </row>
    <row r="31" spans="1:22" ht="15.75">
      <c r="A31" s="241"/>
      <c r="B31" s="252" t="s">
        <v>668</v>
      </c>
      <c r="C31" s="253">
        <v>383.05900000000003</v>
      </c>
      <c r="D31" s="253">
        <v>122.88</v>
      </c>
      <c r="E31" s="253">
        <v>103.142</v>
      </c>
      <c r="F31" s="253">
        <v>59.207999999999998</v>
      </c>
      <c r="G31" s="253">
        <v>24.478999999999999</v>
      </c>
      <c r="H31" s="253">
        <v>15.999000000000001</v>
      </c>
      <c r="I31" s="253">
        <v>3.2890000000000001</v>
      </c>
      <c r="J31" s="253">
        <v>1.413</v>
      </c>
      <c r="K31" s="253">
        <v>610.49400000000003</v>
      </c>
      <c r="L31" s="253">
        <v>6.5640000000000001</v>
      </c>
      <c r="M31" s="253">
        <v>617.05799999999999</v>
      </c>
      <c r="N31" s="253">
        <v>178.05099999999999</v>
      </c>
      <c r="O31" s="253">
        <v>796.19200000000001</v>
      </c>
      <c r="P31" s="253">
        <v>188.31700000000001</v>
      </c>
      <c r="Q31" s="253">
        <v>0</v>
      </c>
      <c r="R31" s="253">
        <v>607.21299999999997</v>
      </c>
      <c r="S31" s="254">
        <v>542.09900000000005</v>
      </c>
      <c r="U31" s="256"/>
      <c r="V31" s="256"/>
    </row>
    <row r="32" spans="1:22" ht="15.75">
      <c r="A32" s="241"/>
      <c r="B32" s="252" t="s">
        <v>669</v>
      </c>
      <c r="C32" s="253">
        <v>385.67899999999997</v>
      </c>
      <c r="D32" s="253">
        <v>122.44799999999999</v>
      </c>
      <c r="E32" s="253">
        <v>106.14700000000001</v>
      </c>
      <c r="F32" s="253">
        <v>61.216999999999999</v>
      </c>
      <c r="G32" s="253">
        <v>24.617999999999999</v>
      </c>
      <c r="H32" s="253">
        <v>16.809999999999999</v>
      </c>
      <c r="I32" s="253">
        <v>3.3319999999999999</v>
      </c>
      <c r="J32" s="253">
        <v>5.8890000000000002</v>
      </c>
      <c r="K32" s="253">
        <v>620.16300000000001</v>
      </c>
      <c r="L32" s="253">
        <v>7.9749999999999996</v>
      </c>
      <c r="M32" s="253">
        <v>628.13800000000003</v>
      </c>
      <c r="N32" s="253">
        <v>181.536</v>
      </c>
      <c r="O32" s="253">
        <v>812.46299999999997</v>
      </c>
      <c r="P32" s="253">
        <v>200.43600000000001</v>
      </c>
      <c r="Q32" s="253">
        <v>0</v>
      </c>
      <c r="R32" s="253">
        <v>611.22</v>
      </c>
      <c r="S32" s="254">
        <v>545.18299999999999</v>
      </c>
      <c r="U32" s="256"/>
      <c r="V32" s="256"/>
    </row>
    <row r="33" spans="1:22" ht="18.75" customHeight="1">
      <c r="A33" s="241"/>
      <c r="B33" s="252" t="s">
        <v>670</v>
      </c>
      <c r="C33" s="253">
        <v>387.50900000000001</v>
      </c>
      <c r="D33" s="253">
        <v>122.358</v>
      </c>
      <c r="E33" s="253">
        <v>110.01600000000001</v>
      </c>
      <c r="F33" s="253">
        <v>64.003</v>
      </c>
      <c r="G33" s="253">
        <v>24.847000000000001</v>
      </c>
      <c r="H33" s="253">
        <v>17.617000000000001</v>
      </c>
      <c r="I33" s="253">
        <v>3.3210000000000002</v>
      </c>
      <c r="J33" s="253">
        <v>2.4670000000000001</v>
      </c>
      <c r="K33" s="253">
        <v>622.35</v>
      </c>
      <c r="L33" s="253">
        <v>5.1130000000000004</v>
      </c>
      <c r="M33" s="253">
        <v>627.46299999999997</v>
      </c>
      <c r="N33" s="253">
        <v>181.24199999999999</v>
      </c>
      <c r="O33" s="253">
        <v>812.75400000000002</v>
      </c>
      <c r="P33" s="253">
        <v>199.03200000000001</v>
      </c>
      <c r="Q33" s="253">
        <v>0</v>
      </c>
      <c r="R33" s="253">
        <v>613.07600000000002</v>
      </c>
      <c r="S33" s="254">
        <v>546.16</v>
      </c>
      <c r="U33" s="256"/>
      <c r="V33" s="256"/>
    </row>
    <row r="34" spans="1:22" ht="15.75">
      <c r="A34" s="241"/>
      <c r="B34" s="252" t="s">
        <v>671</v>
      </c>
      <c r="C34" s="253">
        <v>389.34</v>
      </c>
      <c r="D34" s="253">
        <v>123.90600000000001</v>
      </c>
      <c r="E34" s="253">
        <v>109.592</v>
      </c>
      <c r="F34" s="253">
        <v>63.366</v>
      </c>
      <c r="G34" s="253">
        <v>26.16</v>
      </c>
      <c r="H34" s="253">
        <v>17.074999999999999</v>
      </c>
      <c r="I34" s="253">
        <v>2.806</v>
      </c>
      <c r="J34" s="253">
        <v>-3.7999999999999999E-2</v>
      </c>
      <c r="K34" s="253">
        <v>622.79999999999995</v>
      </c>
      <c r="L34" s="253">
        <v>-5.258</v>
      </c>
      <c r="M34" s="253">
        <v>617.54200000000003</v>
      </c>
      <c r="N34" s="253">
        <v>186.95099999999999</v>
      </c>
      <c r="O34" s="253">
        <v>812.43700000000001</v>
      </c>
      <c r="P34" s="253">
        <v>195.93199999999999</v>
      </c>
      <c r="Q34" s="253">
        <v>0</v>
      </c>
      <c r="R34" s="253">
        <v>615.875</v>
      </c>
      <c r="S34" s="254">
        <v>547.61900000000003</v>
      </c>
      <c r="U34" s="256"/>
      <c r="V34" s="256"/>
    </row>
    <row r="35" spans="1:22" ht="15.75">
      <c r="A35" s="241"/>
      <c r="B35" s="252" t="s">
        <v>672</v>
      </c>
      <c r="C35" s="253">
        <v>394.08300000000003</v>
      </c>
      <c r="D35" s="253">
        <v>124.669</v>
      </c>
      <c r="E35" s="253">
        <v>108.107</v>
      </c>
      <c r="F35" s="253">
        <v>62.704000000000001</v>
      </c>
      <c r="G35" s="253">
        <v>26.231000000000002</v>
      </c>
      <c r="H35" s="253">
        <v>15.968999999999999</v>
      </c>
      <c r="I35" s="253">
        <v>3.0060000000000002</v>
      </c>
      <c r="J35" s="253">
        <v>9.9000000000000005E-2</v>
      </c>
      <c r="K35" s="253">
        <v>626.95799999999997</v>
      </c>
      <c r="L35" s="253">
        <v>-4.6559999999999997</v>
      </c>
      <c r="M35" s="253">
        <v>622.30200000000002</v>
      </c>
      <c r="N35" s="253">
        <v>182.489</v>
      </c>
      <c r="O35" s="253">
        <v>813.59500000000003</v>
      </c>
      <c r="P35" s="253">
        <v>194.71199999999999</v>
      </c>
      <c r="Q35" s="253">
        <v>0</v>
      </c>
      <c r="R35" s="253">
        <v>618.26300000000003</v>
      </c>
      <c r="S35" s="254">
        <v>549.27499999999998</v>
      </c>
      <c r="U35" s="256"/>
      <c r="V35" s="256"/>
    </row>
    <row r="36" spans="1:22" ht="15.75">
      <c r="A36" s="241"/>
      <c r="B36" s="252" t="s">
        <v>673</v>
      </c>
      <c r="C36" s="253">
        <v>393.00900000000001</v>
      </c>
      <c r="D36" s="253">
        <v>124.256</v>
      </c>
      <c r="E36" s="253">
        <v>111.664</v>
      </c>
      <c r="F36" s="253">
        <v>66.349999999999994</v>
      </c>
      <c r="G36" s="253">
        <v>26.27</v>
      </c>
      <c r="H36" s="253">
        <v>15.867000000000001</v>
      </c>
      <c r="I36" s="253">
        <v>2.9140000000000001</v>
      </c>
      <c r="J36" s="253">
        <v>-3.359</v>
      </c>
      <c r="K36" s="253">
        <v>625.57000000000005</v>
      </c>
      <c r="L36" s="253">
        <v>13.74</v>
      </c>
      <c r="M36" s="253">
        <v>639.30999999999995</v>
      </c>
      <c r="N36" s="253">
        <v>187.52</v>
      </c>
      <c r="O36" s="253">
        <v>825.17399999999998</v>
      </c>
      <c r="P36" s="253">
        <v>202.774</v>
      </c>
      <c r="Q36" s="253">
        <v>0</v>
      </c>
      <c r="R36" s="253">
        <v>621.96799999999996</v>
      </c>
      <c r="S36" s="254">
        <v>552.01700000000005</v>
      </c>
      <c r="U36" s="256"/>
      <c r="V36" s="256"/>
    </row>
    <row r="37" spans="1:22" ht="18.75" customHeight="1">
      <c r="A37" s="241"/>
      <c r="B37" s="252" t="s">
        <v>674</v>
      </c>
      <c r="C37" s="253">
        <v>400.67</v>
      </c>
      <c r="D37" s="253">
        <v>124.72199999999999</v>
      </c>
      <c r="E37" s="253">
        <v>113.398</v>
      </c>
      <c r="F37" s="253">
        <v>69.138999999999996</v>
      </c>
      <c r="G37" s="253">
        <v>26.756</v>
      </c>
      <c r="H37" s="253">
        <v>14.242000000000001</v>
      </c>
      <c r="I37" s="253">
        <v>2.9980000000000002</v>
      </c>
      <c r="J37" s="253">
        <v>0.42399999999999999</v>
      </c>
      <c r="K37" s="253">
        <v>639.21400000000006</v>
      </c>
      <c r="L37" s="253">
        <v>-5.6710000000000003</v>
      </c>
      <c r="M37" s="253">
        <v>633.54300000000001</v>
      </c>
      <c r="N37" s="253">
        <v>188.17099999999999</v>
      </c>
      <c r="O37" s="253">
        <v>829.29100000000005</v>
      </c>
      <c r="P37" s="253">
        <v>203.798</v>
      </c>
      <c r="Q37" s="253">
        <v>0</v>
      </c>
      <c r="R37" s="253">
        <v>625.09900000000005</v>
      </c>
      <c r="S37" s="254">
        <v>555.31899999999996</v>
      </c>
      <c r="U37" s="256"/>
      <c r="V37" s="256"/>
    </row>
    <row r="38" spans="1:22" ht="15.75">
      <c r="A38" s="241"/>
      <c r="B38" s="252" t="s">
        <v>675</v>
      </c>
      <c r="C38" s="253">
        <v>404.238</v>
      </c>
      <c r="D38" s="253">
        <v>124.943</v>
      </c>
      <c r="E38" s="253">
        <v>115.41</v>
      </c>
      <c r="F38" s="253">
        <v>68.302000000000007</v>
      </c>
      <c r="G38" s="253">
        <v>27.238</v>
      </c>
      <c r="H38" s="253">
        <v>16.494</v>
      </c>
      <c r="I38" s="253">
        <v>3.0989999999999998</v>
      </c>
      <c r="J38" s="253">
        <v>-1.2529999999999999</v>
      </c>
      <c r="K38" s="253">
        <v>643.33799999999997</v>
      </c>
      <c r="L38" s="253">
        <v>-4.3150000000000004</v>
      </c>
      <c r="M38" s="253">
        <v>639.02300000000002</v>
      </c>
      <c r="N38" s="253">
        <v>193.916</v>
      </c>
      <c r="O38" s="253">
        <v>835.46400000000006</v>
      </c>
      <c r="P38" s="253">
        <v>205.39400000000001</v>
      </c>
      <c r="Q38" s="253">
        <v>0</v>
      </c>
      <c r="R38" s="253">
        <v>629.697</v>
      </c>
      <c r="S38" s="254">
        <v>559.86900000000003</v>
      </c>
      <c r="U38" s="256"/>
      <c r="V38" s="256"/>
    </row>
    <row r="39" spans="1:22" ht="15.75">
      <c r="A39" s="241"/>
      <c r="B39" s="252" t="s">
        <v>676</v>
      </c>
      <c r="C39" s="253">
        <v>407.166</v>
      </c>
      <c r="D39" s="253">
        <v>125.086</v>
      </c>
      <c r="E39" s="253">
        <v>119.949</v>
      </c>
      <c r="F39" s="253">
        <v>70.981999999999999</v>
      </c>
      <c r="G39" s="253">
        <v>28.231999999999999</v>
      </c>
      <c r="H39" s="253">
        <v>17.408000000000001</v>
      </c>
      <c r="I39" s="253">
        <v>3.0369999999999999</v>
      </c>
      <c r="J39" s="253">
        <v>2.9609999999999999</v>
      </c>
      <c r="K39" s="253">
        <v>655.16200000000003</v>
      </c>
      <c r="L39" s="253">
        <v>-2.044</v>
      </c>
      <c r="M39" s="253">
        <v>653.11800000000005</v>
      </c>
      <c r="N39" s="253">
        <v>188.489</v>
      </c>
      <c r="O39" s="253">
        <v>844.80799999999999</v>
      </c>
      <c r="P39" s="253">
        <v>212.37899999999999</v>
      </c>
      <c r="Q39" s="253">
        <v>0</v>
      </c>
      <c r="R39" s="253">
        <v>632.47699999999998</v>
      </c>
      <c r="S39" s="254">
        <v>562.49400000000003</v>
      </c>
      <c r="U39" s="256"/>
      <c r="V39" s="256"/>
    </row>
    <row r="40" spans="1:22" ht="15.75">
      <c r="A40" s="241"/>
      <c r="B40" s="252" t="s">
        <v>677</v>
      </c>
      <c r="C40" s="253">
        <v>407.69299999999998</v>
      </c>
      <c r="D40" s="253">
        <v>124.773</v>
      </c>
      <c r="E40" s="253">
        <v>117.58799999999999</v>
      </c>
      <c r="F40" s="253">
        <v>67.816000000000003</v>
      </c>
      <c r="G40" s="253">
        <v>29.606000000000002</v>
      </c>
      <c r="H40" s="253">
        <v>16.867999999999999</v>
      </c>
      <c r="I40" s="253">
        <v>3.0840000000000001</v>
      </c>
      <c r="J40" s="253">
        <v>-2.544</v>
      </c>
      <c r="K40" s="253">
        <v>647.51</v>
      </c>
      <c r="L40" s="253">
        <v>-3.7770000000000001</v>
      </c>
      <c r="M40" s="253">
        <v>643.73299999999995</v>
      </c>
      <c r="N40" s="253">
        <v>195.304</v>
      </c>
      <c r="O40" s="253">
        <v>843.21299999999997</v>
      </c>
      <c r="P40" s="253">
        <v>206.386</v>
      </c>
      <c r="Q40" s="253">
        <v>0</v>
      </c>
      <c r="R40" s="253">
        <v>636.39200000000005</v>
      </c>
      <c r="S40" s="254">
        <v>566.63300000000004</v>
      </c>
      <c r="U40" s="256"/>
      <c r="V40" s="256"/>
    </row>
    <row r="41" spans="1:22" ht="18.75" customHeight="1">
      <c r="A41" s="241"/>
      <c r="B41" s="252" t="s">
        <v>678</v>
      </c>
      <c r="C41" s="253">
        <v>411.10199999999998</v>
      </c>
      <c r="D41" s="253">
        <v>125.247</v>
      </c>
      <c r="E41" s="253">
        <v>118.379</v>
      </c>
      <c r="F41" s="253">
        <v>69.403999999999996</v>
      </c>
      <c r="G41" s="253">
        <v>29.876999999999999</v>
      </c>
      <c r="H41" s="253">
        <v>15.811999999999999</v>
      </c>
      <c r="I41" s="253">
        <v>3.0949999999999998</v>
      </c>
      <c r="J41" s="253">
        <v>-0.96099999999999997</v>
      </c>
      <c r="K41" s="253">
        <v>653.76700000000005</v>
      </c>
      <c r="L41" s="253">
        <v>-2.2200000000000002</v>
      </c>
      <c r="M41" s="253">
        <v>651.54700000000003</v>
      </c>
      <c r="N41" s="253">
        <v>198.858</v>
      </c>
      <c r="O41" s="253">
        <v>851.63499999999999</v>
      </c>
      <c r="P41" s="253">
        <v>208.767</v>
      </c>
      <c r="Q41" s="253">
        <v>0</v>
      </c>
      <c r="R41" s="253">
        <v>642.46299999999997</v>
      </c>
      <c r="S41" s="254">
        <v>572.29</v>
      </c>
      <c r="U41" s="256"/>
      <c r="V41" s="256"/>
    </row>
    <row r="42" spans="1:22" ht="15.75">
      <c r="A42" s="241"/>
      <c r="B42" s="252" t="s">
        <v>679</v>
      </c>
      <c r="C42" s="253">
        <v>411.39499999999998</v>
      </c>
      <c r="D42" s="253">
        <v>126.105</v>
      </c>
      <c r="E42" s="253">
        <v>120.66500000000001</v>
      </c>
      <c r="F42" s="253">
        <v>68.843000000000004</v>
      </c>
      <c r="G42" s="253">
        <v>29.565999999999999</v>
      </c>
      <c r="H42" s="253">
        <v>18.884</v>
      </c>
      <c r="I42" s="253">
        <v>3.2670000000000003</v>
      </c>
      <c r="J42" s="253">
        <v>-0.20699999999999999</v>
      </c>
      <c r="K42" s="253">
        <v>657.95799999999997</v>
      </c>
      <c r="L42" s="253">
        <v>2.641</v>
      </c>
      <c r="M42" s="253">
        <v>660.59900000000005</v>
      </c>
      <c r="N42" s="253">
        <v>203.03899999999999</v>
      </c>
      <c r="O42" s="253">
        <v>863.40899999999999</v>
      </c>
      <c r="P42" s="253">
        <v>215.28399999999999</v>
      </c>
      <c r="Q42" s="253">
        <v>0</v>
      </c>
      <c r="R42" s="253">
        <v>647.94399999999996</v>
      </c>
      <c r="S42" s="254">
        <v>577.30999999999995</v>
      </c>
      <c r="U42" s="256"/>
      <c r="V42" s="256"/>
    </row>
    <row r="43" spans="1:22" ht="15.75">
      <c r="A43" s="241"/>
      <c r="B43" s="252" t="s">
        <v>680</v>
      </c>
      <c r="C43" s="253">
        <v>414.17099999999999</v>
      </c>
      <c r="D43" s="253">
        <v>126.51</v>
      </c>
      <c r="E43" s="253">
        <v>121.482</v>
      </c>
      <c r="F43" s="253">
        <v>69.659000000000006</v>
      </c>
      <c r="G43" s="253">
        <v>30.405999999999999</v>
      </c>
      <c r="H43" s="253">
        <v>18.067</v>
      </c>
      <c r="I43" s="253">
        <v>3.2290000000000001</v>
      </c>
      <c r="J43" s="253">
        <v>-0.19500000000000001</v>
      </c>
      <c r="K43" s="253">
        <v>661.96799999999996</v>
      </c>
      <c r="L43" s="253">
        <v>-0.88800000000000001</v>
      </c>
      <c r="M43" s="253">
        <v>661.08</v>
      </c>
      <c r="N43" s="253">
        <v>208.846</v>
      </c>
      <c r="O43" s="253">
        <v>869.03700000000003</v>
      </c>
      <c r="P43" s="253">
        <v>216.52699999999999</v>
      </c>
      <c r="Q43" s="253">
        <v>0</v>
      </c>
      <c r="R43" s="253">
        <v>652.32899999999995</v>
      </c>
      <c r="S43" s="254">
        <v>581.00199999999995</v>
      </c>
      <c r="U43" s="256"/>
      <c r="V43" s="256"/>
    </row>
    <row r="44" spans="1:22" ht="15.75">
      <c r="A44" s="241"/>
      <c r="B44" s="252" t="s">
        <v>681</v>
      </c>
      <c r="C44" s="253">
        <v>416.60199999999998</v>
      </c>
      <c r="D44" s="253">
        <v>126.73399999999999</v>
      </c>
      <c r="E44" s="253">
        <v>123.83499999999999</v>
      </c>
      <c r="F44" s="253">
        <v>70.956000000000003</v>
      </c>
      <c r="G44" s="253">
        <v>31.971</v>
      </c>
      <c r="H44" s="253">
        <v>18.312000000000001</v>
      </c>
      <c r="I44" s="253">
        <v>2.4969999999999999</v>
      </c>
      <c r="J44" s="253">
        <v>0.59699999999999998</v>
      </c>
      <c r="K44" s="253">
        <v>667.76800000000003</v>
      </c>
      <c r="L44" s="253">
        <v>-5.7619999999999996</v>
      </c>
      <c r="M44" s="253">
        <v>662.00599999999997</v>
      </c>
      <c r="N44" s="253">
        <v>204.429</v>
      </c>
      <c r="O44" s="253">
        <v>870.35900000000004</v>
      </c>
      <c r="P44" s="253">
        <v>212.727</v>
      </c>
      <c r="Q44" s="253">
        <v>0</v>
      </c>
      <c r="R44" s="253">
        <v>657.22500000000002</v>
      </c>
      <c r="S44" s="254">
        <v>584.99400000000003</v>
      </c>
      <c r="U44" s="256"/>
      <c r="V44" s="256"/>
    </row>
    <row r="45" spans="1:22" ht="18.75" customHeight="1">
      <c r="A45" s="241"/>
      <c r="B45" s="252" t="s">
        <v>682</v>
      </c>
      <c r="C45" s="253">
        <v>419.30500000000001</v>
      </c>
      <c r="D45" s="253">
        <v>126.485</v>
      </c>
      <c r="E45" s="253">
        <v>122.84099999999999</v>
      </c>
      <c r="F45" s="253">
        <v>71.087999999999994</v>
      </c>
      <c r="G45" s="253">
        <v>31.911000000000001</v>
      </c>
      <c r="H45" s="253">
        <v>18.074000000000002</v>
      </c>
      <c r="I45" s="253">
        <v>1.6740000000000002</v>
      </c>
      <c r="J45" s="253">
        <v>6.7000000000000004E-2</v>
      </c>
      <c r="K45" s="253">
        <v>668.69799999999998</v>
      </c>
      <c r="L45" s="253">
        <v>-2.734</v>
      </c>
      <c r="M45" s="253">
        <v>665.96400000000006</v>
      </c>
      <c r="N45" s="253">
        <v>209.35400000000001</v>
      </c>
      <c r="O45" s="253">
        <v>873.72500000000002</v>
      </c>
      <c r="P45" s="253">
        <v>215.666</v>
      </c>
      <c r="Q45" s="253">
        <v>0</v>
      </c>
      <c r="R45" s="253">
        <v>657.74099999999999</v>
      </c>
      <c r="S45" s="254">
        <v>585.05100000000004</v>
      </c>
      <c r="U45" s="256"/>
      <c r="V45" s="256"/>
    </row>
    <row r="46" spans="1:22" ht="15.75">
      <c r="A46" s="241"/>
      <c r="B46" s="252" t="s">
        <v>683</v>
      </c>
      <c r="C46" s="253">
        <v>418.37400000000002</v>
      </c>
      <c r="D46" s="253">
        <v>126.524</v>
      </c>
      <c r="E46" s="253">
        <v>120.52</v>
      </c>
      <c r="F46" s="253">
        <v>69.103999999999999</v>
      </c>
      <c r="G46" s="253">
        <v>32.933</v>
      </c>
      <c r="H46" s="253">
        <v>16.800999999999998</v>
      </c>
      <c r="I46" s="253">
        <v>1.603</v>
      </c>
      <c r="J46" s="253">
        <v>0.8</v>
      </c>
      <c r="K46" s="253">
        <v>666.21799999999996</v>
      </c>
      <c r="L46" s="253">
        <v>2.21</v>
      </c>
      <c r="M46" s="253">
        <v>668.428</v>
      </c>
      <c r="N46" s="253">
        <v>212.80099999999999</v>
      </c>
      <c r="O46" s="253">
        <v>878.92899999999997</v>
      </c>
      <c r="P46" s="253">
        <v>219.506</v>
      </c>
      <c r="Q46" s="253">
        <v>0</v>
      </c>
      <c r="R46" s="253">
        <v>659.17200000000003</v>
      </c>
      <c r="S46" s="254">
        <v>586.26</v>
      </c>
      <c r="U46" s="256"/>
      <c r="V46" s="256"/>
    </row>
    <row r="47" spans="1:22" ht="15.75">
      <c r="A47" s="241"/>
      <c r="B47" s="252" t="s">
        <v>684</v>
      </c>
      <c r="C47" s="253">
        <v>422.34300000000002</v>
      </c>
      <c r="D47" s="253">
        <v>126.66800000000001</v>
      </c>
      <c r="E47" s="253">
        <v>119.714</v>
      </c>
      <c r="F47" s="253">
        <v>67.423000000000002</v>
      </c>
      <c r="G47" s="253">
        <v>32.661000000000001</v>
      </c>
      <c r="H47" s="253">
        <v>17.992999999999999</v>
      </c>
      <c r="I47" s="253">
        <v>1.5840000000000001</v>
      </c>
      <c r="J47" s="253">
        <v>0.96699999999999997</v>
      </c>
      <c r="K47" s="253">
        <v>669.69200000000001</v>
      </c>
      <c r="L47" s="253">
        <v>-3.3159999999999998</v>
      </c>
      <c r="M47" s="253">
        <v>666.37599999999998</v>
      </c>
      <c r="N47" s="253">
        <v>213.49199999999999</v>
      </c>
      <c r="O47" s="253">
        <v>881.21299999999997</v>
      </c>
      <c r="P47" s="253">
        <v>219.69900000000001</v>
      </c>
      <c r="Q47" s="253">
        <v>0</v>
      </c>
      <c r="R47" s="253">
        <v>661.26199999999994</v>
      </c>
      <c r="S47" s="254">
        <v>588.32399999999996</v>
      </c>
      <c r="U47" s="256"/>
      <c r="V47" s="256"/>
    </row>
    <row r="48" spans="1:22" ht="15.75">
      <c r="A48" s="241"/>
      <c r="B48" s="252" t="s">
        <v>685</v>
      </c>
      <c r="C48" s="253">
        <v>427.392</v>
      </c>
      <c r="D48" s="253">
        <v>128.16399999999999</v>
      </c>
      <c r="E48" s="253">
        <v>120.288</v>
      </c>
      <c r="F48" s="253">
        <v>68.572999999999993</v>
      </c>
      <c r="G48" s="253">
        <v>32.530999999999999</v>
      </c>
      <c r="H48" s="253">
        <v>17.673999999999999</v>
      </c>
      <c r="I48" s="253">
        <v>1.4730000000000001</v>
      </c>
      <c r="J48" s="253">
        <v>-0.13500000000000001</v>
      </c>
      <c r="K48" s="253">
        <v>675.70899999999995</v>
      </c>
      <c r="L48" s="253">
        <v>2.34</v>
      </c>
      <c r="M48" s="253">
        <v>678.04899999999998</v>
      </c>
      <c r="N48" s="253">
        <v>210.76300000000001</v>
      </c>
      <c r="O48" s="253">
        <v>889.82799999999997</v>
      </c>
      <c r="P48" s="253">
        <v>227.553</v>
      </c>
      <c r="Q48" s="253">
        <v>0</v>
      </c>
      <c r="R48" s="253">
        <v>662.12</v>
      </c>
      <c r="S48" s="254">
        <v>589.04999999999995</v>
      </c>
      <c r="U48" s="256"/>
      <c r="V48" s="256"/>
    </row>
    <row r="49" spans="1:22" ht="18.75" customHeight="1">
      <c r="A49" s="241"/>
      <c r="B49" s="252" t="s">
        <v>686</v>
      </c>
      <c r="C49" s="253">
        <v>426.72300000000001</v>
      </c>
      <c r="D49" s="253">
        <v>128.83799999999999</v>
      </c>
      <c r="E49" s="253">
        <v>124.425</v>
      </c>
      <c r="F49" s="253">
        <v>69.828999999999994</v>
      </c>
      <c r="G49" s="253">
        <v>33.948</v>
      </c>
      <c r="H49" s="253">
        <v>19.067</v>
      </c>
      <c r="I49" s="253">
        <v>1.5091512</v>
      </c>
      <c r="J49" s="253">
        <v>12.236000000000001</v>
      </c>
      <c r="K49" s="253">
        <v>692.22199999999998</v>
      </c>
      <c r="L49" s="253">
        <v>8.7710000000000008</v>
      </c>
      <c r="M49" s="253">
        <v>700.99300000000005</v>
      </c>
      <c r="N49" s="253">
        <v>210.90199999999999</v>
      </c>
      <c r="O49" s="253">
        <v>911.44299999999998</v>
      </c>
      <c r="P49" s="253">
        <v>245.96</v>
      </c>
      <c r="Q49" s="253">
        <v>0</v>
      </c>
      <c r="R49" s="253">
        <v>665.45600000000002</v>
      </c>
      <c r="S49" s="254">
        <v>592.20500000000004</v>
      </c>
      <c r="U49" s="256"/>
      <c r="V49" s="256"/>
    </row>
    <row r="50" spans="1:22" ht="15.75" customHeight="1">
      <c r="A50" s="494"/>
      <c r="B50" s="252" t="s">
        <v>687</v>
      </c>
      <c r="C50" s="253">
        <v>427.27800000000002</v>
      </c>
      <c r="D50" s="253">
        <v>131.38900000000001</v>
      </c>
      <c r="E50" s="253">
        <v>123.35299999999999</v>
      </c>
      <c r="F50" s="253">
        <v>70.786000000000001</v>
      </c>
      <c r="G50" s="253">
        <v>33.185000000000002</v>
      </c>
      <c r="H50" s="253">
        <v>17.837</v>
      </c>
      <c r="I50" s="253">
        <v>1.5087819199999999</v>
      </c>
      <c r="J50" s="253">
        <v>1.94</v>
      </c>
      <c r="K50" s="253">
        <v>683.96</v>
      </c>
      <c r="L50" s="253">
        <v>-3.9460000000000002</v>
      </c>
      <c r="M50" s="253">
        <v>680.01400000000001</v>
      </c>
      <c r="N50" s="253">
        <v>206.05799999999999</v>
      </c>
      <c r="O50" s="253">
        <v>888.58600000000001</v>
      </c>
      <c r="P50" s="253">
        <v>221.48400000000001</v>
      </c>
      <c r="Q50" s="253">
        <v>0</v>
      </c>
      <c r="R50" s="253">
        <v>666.875</v>
      </c>
      <c r="S50" s="254">
        <v>593.67600000000004</v>
      </c>
      <c r="U50" s="256"/>
      <c r="V50" s="256"/>
    </row>
    <row r="51" spans="1:22">
      <c r="A51" s="494"/>
      <c r="B51" s="252" t="s">
        <v>688</v>
      </c>
      <c r="C51" s="253">
        <v>426.82400000000001</v>
      </c>
      <c r="D51" s="253">
        <v>130.54300000000001</v>
      </c>
      <c r="E51" s="253">
        <v>123.425</v>
      </c>
      <c r="F51" s="253">
        <v>70.141000000000005</v>
      </c>
      <c r="G51" s="253">
        <v>33.618000000000002</v>
      </c>
      <c r="H51" s="253">
        <v>18.073</v>
      </c>
      <c r="I51" s="253">
        <v>1.5299890600000001</v>
      </c>
      <c r="J51" s="253">
        <v>1.3069999999999999</v>
      </c>
      <c r="K51" s="253">
        <v>682.09900000000005</v>
      </c>
      <c r="L51" s="253">
        <v>-2.827</v>
      </c>
      <c r="M51" s="253">
        <v>679.27200000000005</v>
      </c>
      <c r="N51" s="253">
        <v>217.624</v>
      </c>
      <c r="O51" s="253">
        <v>895.30100000000004</v>
      </c>
      <c r="P51" s="253">
        <v>224.511</v>
      </c>
      <c r="Q51" s="253">
        <v>0</v>
      </c>
      <c r="R51" s="253">
        <v>670.54700000000003</v>
      </c>
      <c r="S51" s="254">
        <v>597.67899999999997</v>
      </c>
      <c r="U51" s="256"/>
      <c r="V51" s="256"/>
    </row>
    <row r="52" spans="1:22">
      <c r="A52" s="494"/>
      <c r="B52" s="252" t="s">
        <v>689</v>
      </c>
      <c r="C52" s="253">
        <v>425.67099999999999</v>
      </c>
      <c r="D52" s="253">
        <v>132.024</v>
      </c>
      <c r="E52" s="253">
        <v>121.024</v>
      </c>
      <c r="F52" s="253">
        <v>69.468000000000004</v>
      </c>
      <c r="G52" s="253">
        <v>31.945</v>
      </c>
      <c r="H52" s="253">
        <v>17.913</v>
      </c>
      <c r="I52" s="253">
        <v>1.5333086</v>
      </c>
      <c r="J52" s="253">
        <v>-14.047000000000001</v>
      </c>
      <c r="K52" s="253">
        <v>664.67200000000003</v>
      </c>
      <c r="L52" s="253">
        <v>-3.0179999999999998</v>
      </c>
      <c r="M52" s="253">
        <v>661.654</v>
      </c>
      <c r="N52" s="253">
        <v>227.93700000000001</v>
      </c>
      <c r="O52" s="253">
        <v>888.62</v>
      </c>
      <c r="P52" s="253">
        <v>217.67</v>
      </c>
      <c r="Q52" s="253">
        <v>0</v>
      </c>
      <c r="R52" s="253">
        <v>670.58699999999999</v>
      </c>
      <c r="S52" s="254">
        <v>597.58799999999997</v>
      </c>
      <c r="U52" s="256"/>
      <c r="V52" s="256"/>
    </row>
    <row r="53" spans="1:22">
      <c r="A53" s="494"/>
      <c r="B53" s="257" t="s">
        <v>690</v>
      </c>
      <c r="C53" s="253">
        <v>413.62900000000002</v>
      </c>
      <c r="D53" s="253">
        <v>129.38</v>
      </c>
      <c r="E53" s="253">
        <v>117.131</v>
      </c>
      <c r="F53" s="253">
        <v>68.456999999999994</v>
      </c>
      <c r="G53" s="253">
        <v>30.288</v>
      </c>
      <c r="H53" s="253">
        <v>16.893000000000001</v>
      </c>
      <c r="I53" s="253">
        <v>1.4929476299999997</v>
      </c>
      <c r="J53" s="253">
        <v>0.68899999999999995</v>
      </c>
      <c r="K53" s="253">
        <v>660.82899999999995</v>
      </c>
      <c r="L53" s="253">
        <v>-3.3490000000000002</v>
      </c>
      <c r="M53" s="253">
        <v>657.48</v>
      </c>
      <c r="N53" s="253">
        <v>207.13300000000001</v>
      </c>
      <c r="O53" s="253">
        <v>864.01499999999999</v>
      </c>
      <c r="P53" s="253">
        <v>211.334</v>
      </c>
      <c r="Q53" s="253">
        <v>0</v>
      </c>
      <c r="R53" s="253">
        <v>652.17999999999995</v>
      </c>
      <c r="S53" s="254">
        <v>582.84699999999998</v>
      </c>
      <c r="U53" s="256"/>
      <c r="V53" s="256"/>
    </row>
    <row r="54" spans="1:22">
      <c r="A54" s="494"/>
      <c r="B54" s="257" t="s">
        <v>691</v>
      </c>
      <c r="C54" s="253">
        <v>317.61900000000003</v>
      </c>
      <c r="D54" s="253">
        <v>106.179</v>
      </c>
      <c r="E54" s="253">
        <v>96.087999999999994</v>
      </c>
      <c r="F54" s="253">
        <v>55.284999999999997</v>
      </c>
      <c r="G54" s="253">
        <v>19.573</v>
      </c>
      <c r="H54" s="253">
        <v>19.722000000000001</v>
      </c>
      <c r="I54" s="253">
        <v>0.95199365199999997</v>
      </c>
      <c r="J54" s="253">
        <v>-9.6159999999999997</v>
      </c>
      <c r="K54" s="253">
        <v>510.27</v>
      </c>
      <c r="L54" s="253">
        <v>-7.0960000000000001</v>
      </c>
      <c r="M54" s="253">
        <v>503.17399999999998</v>
      </c>
      <c r="N54" s="253">
        <v>179.22200000000001</v>
      </c>
      <c r="O54" s="253">
        <v>681.86</v>
      </c>
      <c r="P54" s="253">
        <v>158.911</v>
      </c>
      <c r="Q54" s="253">
        <v>0</v>
      </c>
      <c r="R54" s="253">
        <v>522.35599999999999</v>
      </c>
      <c r="S54" s="254">
        <v>465.887</v>
      </c>
      <c r="U54" s="256"/>
      <c r="V54" s="256"/>
    </row>
    <row r="55" spans="1:22" ht="15.75">
      <c r="A55" s="258"/>
      <c r="B55" s="257" t="s">
        <v>692</v>
      </c>
      <c r="C55" s="253">
        <v>380.49099999999999</v>
      </c>
      <c r="D55" s="253">
        <v>125.054</v>
      </c>
      <c r="E55" s="253">
        <v>111.82599999999999</v>
      </c>
      <c r="F55" s="253">
        <v>63.375</v>
      </c>
      <c r="G55" s="253">
        <v>27.640999999999998</v>
      </c>
      <c r="H55" s="253">
        <v>19.585000000000001</v>
      </c>
      <c r="I55" s="253">
        <v>1.39330715</v>
      </c>
      <c r="J55" s="253">
        <v>1.2529999999999999</v>
      </c>
      <c r="K55" s="253">
        <v>618.62400000000002</v>
      </c>
      <c r="L55" s="253">
        <v>-0.33300000000000002</v>
      </c>
      <c r="M55" s="253">
        <v>618.29100000000005</v>
      </c>
      <c r="N55" s="253">
        <v>181.13200000000001</v>
      </c>
      <c r="O55" s="253">
        <v>798.51800000000003</v>
      </c>
      <c r="P55" s="253">
        <v>186.911</v>
      </c>
      <c r="Q55" s="253">
        <v>0</v>
      </c>
      <c r="R55" s="253">
        <v>610.97199999999998</v>
      </c>
      <c r="S55" s="254">
        <v>546.89499999999998</v>
      </c>
      <c r="U55" s="256"/>
      <c r="V55" s="256"/>
    </row>
    <row r="56" spans="1:22" ht="15.75">
      <c r="A56" s="258"/>
      <c r="B56" s="257" t="s">
        <v>693</v>
      </c>
      <c r="C56" s="253">
        <v>374.56099999999998</v>
      </c>
      <c r="D56" s="253">
        <v>131.06399999999999</v>
      </c>
      <c r="E56" s="253">
        <v>118.476</v>
      </c>
      <c r="F56" s="253">
        <v>67.292000000000002</v>
      </c>
      <c r="G56" s="253">
        <v>29.84</v>
      </c>
      <c r="H56" s="253">
        <v>19.952999999999999</v>
      </c>
      <c r="I56" s="253">
        <v>1.4688224000000001</v>
      </c>
      <c r="J56" s="253">
        <v>8.3059999999999992</v>
      </c>
      <c r="K56" s="253">
        <v>632.40700000000004</v>
      </c>
      <c r="L56" s="253">
        <v>9.0079999999999991</v>
      </c>
      <c r="M56" s="253">
        <v>641.41499999999996</v>
      </c>
      <c r="N56" s="253">
        <v>191.40199999999999</v>
      </c>
      <c r="O56" s="253">
        <v>833.673</v>
      </c>
      <c r="P56" s="253">
        <v>214.35599999999999</v>
      </c>
      <c r="Q56" s="253">
        <v>0</v>
      </c>
      <c r="R56" s="253">
        <v>619.33000000000004</v>
      </c>
      <c r="S56" s="254">
        <v>555.60599999999999</v>
      </c>
      <c r="U56" s="256"/>
      <c r="V56" s="256"/>
    </row>
    <row r="57" spans="1:22" ht="15.75">
      <c r="A57" s="258"/>
      <c r="B57" s="257" t="s">
        <v>694</v>
      </c>
      <c r="C57" s="253">
        <v>360.88</v>
      </c>
      <c r="D57" s="253">
        <v>130.685</v>
      </c>
      <c r="E57" s="253">
        <v>115.504</v>
      </c>
      <c r="F57" s="253">
        <v>65.102999999999994</v>
      </c>
      <c r="G57" s="253">
        <v>30.26</v>
      </c>
      <c r="H57" s="253">
        <v>18.745999999999999</v>
      </c>
      <c r="I57" s="253">
        <v>1.4956635900000002</v>
      </c>
      <c r="J57" s="253">
        <v>9.0370000000000008</v>
      </c>
      <c r="K57" s="253">
        <v>616.10599999999999</v>
      </c>
      <c r="L57" s="253">
        <v>5.8739999999999997</v>
      </c>
      <c r="M57" s="253">
        <v>621.98</v>
      </c>
      <c r="N57" s="253">
        <v>186.358</v>
      </c>
      <c r="O57" s="253">
        <v>810.85500000000002</v>
      </c>
      <c r="P57" s="253">
        <v>197.637</v>
      </c>
      <c r="Q57" s="253">
        <v>0</v>
      </c>
      <c r="R57" s="253">
        <v>612.66499999999996</v>
      </c>
      <c r="S57" s="254">
        <v>549.87400000000002</v>
      </c>
      <c r="U57" s="256"/>
      <c r="V57" s="256"/>
    </row>
    <row r="58" spans="1:22" ht="15.75">
      <c r="A58" s="241"/>
      <c r="B58" s="257" t="s">
        <v>695</v>
      </c>
      <c r="C58" s="253">
        <v>402.64699999999999</v>
      </c>
      <c r="D58" s="253">
        <v>142.42400000000001</v>
      </c>
      <c r="E58" s="253">
        <v>121.41800000000001</v>
      </c>
      <c r="F58" s="253">
        <v>67.597999999999999</v>
      </c>
      <c r="G58" s="253">
        <v>31.495999999999999</v>
      </c>
      <c r="H58" s="253">
        <v>20.690999999999999</v>
      </c>
      <c r="I58" s="253">
        <v>1.6866360299999998</v>
      </c>
      <c r="J58" s="253">
        <v>-0.753</v>
      </c>
      <c r="K58" s="253">
        <v>665.73599999999999</v>
      </c>
      <c r="L58" s="253">
        <v>-9.1690000000000005</v>
      </c>
      <c r="M58" s="253">
        <v>656.56700000000001</v>
      </c>
      <c r="N58" s="253">
        <v>197.60300000000001</v>
      </c>
      <c r="O58" s="253">
        <v>854.19899999999996</v>
      </c>
      <c r="P58" s="253">
        <v>197.40899999999999</v>
      </c>
      <c r="Q58" s="253">
        <v>0</v>
      </c>
      <c r="R58" s="253">
        <v>655.44299999999998</v>
      </c>
      <c r="S58" s="254">
        <v>589.00099999999998</v>
      </c>
      <c r="U58" s="256"/>
      <c r="V58" s="256"/>
    </row>
    <row r="59" spans="1:22" ht="15.75">
      <c r="A59" s="241"/>
      <c r="B59" s="257" t="s">
        <v>696</v>
      </c>
      <c r="C59" s="253">
        <v>414.82499999999999</v>
      </c>
      <c r="D59" s="253">
        <v>140.75700000000001</v>
      </c>
      <c r="E59" s="253">
        <v>122.22</v>
      </c>
      <c r="F59" s="253">
        <v>67.168999999999997</v>
      </c>
      <c r="G59" s="253">
        <v>31.962</v>
      </c>
      <c r="H59" s="253">
        <v>21.460999999999999</v>
      </c>
      <c r="I59" s="253">
        <v>1.7142627100000001</v>
      </c>
      <c r="J59" s="253">
        <v>3.9489999999999998</v>
      </c>
      <c r="K59" s="253">
        <v>681.75099999999998</v>
      </c>
      <c r="L59" s="253">
        <v>0.622</v>
      </c>
      <c r="M59" s="253">
        <v>682.37300000000005</v>
      </c>
      <c r="N59" s="253">
        <v>189.03</v>
      </c>
      <c r="O59" s="253">
        <v>874.10900000000004</v>
      </c>
      <c r="P59" s="253">
        <v>206.73699999999999</v>
      </c>
      <c r="Q59" s="253">
        <v>0</v>
      </c>
      <c r="R59" s="253">
        <v>666.49800000000005</v>
      </c>
      <c r="S59" s="254">
        <v>597.56200000000001</v>
      </c>
      <c r="U59" s="256"/>
      <c r="V59" s="256"/>
    </row>
    <row r="60" spans="1:22" ht="15.75">
      <c r="A60" s="241"/>
      <c r="B60" s="257" t="s">
        <v>697</v>
      </c>
      <c r="C60" s="253">
        <v>415.77199999999999</v>
      </c>
      <c r="D60" s="253">
        <v>141.708</v>
      </c>
      <c r="E60" s="253">
        <v>125.434</v>
      </c>
      <c r="F60" s="253">
        <v>69.682000000000002</v>
      </c>
      <c r="G60" s="253">
        <v>33.252000000000002</v>
      </c>
      <c r="H60" s="253">
        <v>20.74</v>
      </c>
      <c r="I60" s="253">
        <v>1.7793591499999999</v>
      </c>
      <c r="J60" s="253">
        <v>-2.98</v>
      </c>
      <c r="K60" s="253">
        <v>679.93399999999997</v>
      </c>
      <c r="L60" s="253">
        <v>1.1379999999999999</v>
      </c>
      <c r="M60" s="253">
        <v>681.072</v>
      </c>
      <c r="N60" s="253">
        <v>207.625</v>
      </c>
      <c r="O60" s="253">
        <v>886.94899999999996</v>
      </c>
      <c r="P60" s="253">
        <v>210.44900000000001</v>
      </c>
      <c r="Q60" s="253">
        <v>0</v>
      </c>
      <c r="R60" s="253">
        <v>675.68</v>
      </c>
      <c r="S60" s="254">
        <v>604.61800000000005</v>
      </c>
      <c r="U60" s="256"/>
      <c r="V60" s="256"/>
    </row>
    <row r="61" spans="1:22" ht="15.75">
      <c r="A61" s="241"/>
      <c r="B61" s="257" t="s">
        <v>698</v>
      </c>
      <c r="C61" s="253">
        <v>421.67</v>
      </c>
      <c r="D61" s="253">
        <v>141.435</v>
      </c>
      <c r="E61" s="253">
        <v>129.86500000000001</v>
      </c>
      <c r="F61" s="253">
        <v>71.183000000000007</v>
      </c>
      <c r="G61" s="253">
        <v>35.451000000000001</v>
      </c>
      <c r="H61" s="253">
        <v>21.385999999999999</v>
      </c>
      <c r="I61" s="253">
        <v>1.89407204</v>
      </c>
      <c r="J61" s="253">
        <v>9.0039999999999996</v>
      </c>
      <c r="K61" s="253">
        <v>701.97400000000005</v>
      </c>
      <c r="L61" s="253">
        <v>6.6189999999999998</v>
      </c>
      <c r="M61" s="253">
        <v>708.59299999999996</v>
      </c>
      <c r="N61" s="253">
        <v>199.93299999999999</v>
      </c>
      <c r="O61" s="253">
        <v>914.88400000000001</v>
      </c>
      <c r="P61" s="253">
        <v>232.34899999999999</v>
      </c>
      <c r="Q61" s="253">
        <v>0</v>
      </c>
      <c r="R61" s="253">
        <v>682.52700000000004</v>
      </c>
      <c r="S61" s="254">
        <v>610.06399999999996</v>
      </c>
      <c r="U61" s="256"/>
      <c r="V61" s="256"/>
    </row>
    <row r="62" spans="1:22" ht="15.75">
      <c r="A62" s="241"/>
      <c r="B62" s="257" t="s">
        <v>699</v>
      </c>
      <c r="C62" s="253">
        <v>430.65800000000002</v>
      </c>
      <c r="D62" s="253">
        <v>137.60499999999999</v>
      </c>
      <c r="E62" s="253">
        <v>129.435</v>
      </c>
      <c r="F62" s="253">
        <v>72.087000000000003</v>
      </c>
      <c r="G62" s="253">
        <v>35.402999999999999</v>
      </c>
      <c r="H62" s="253">
        <v>19.998999999999999</v>
      </c>
      <c r="I62" s="253">
        <v>1.81799789</v>
      </c>
      <c r="J62" s="253">
        <v>2.3170000000000002</v>
      </c>
      <c r="K62" s="253">
        <v>700.01499999999999</v>
      </c>
      <c r="L62" s="253">
        <v>5.9240000000000004</v>
      </c>
      <c r="M62" s="253">
        <v>705.93899999999996</v>
      </c>
      <c r="N62" s="253">
        <v>219.13</v>
      </c>
      <c r="O62" s="253">
        <v>921.88199999999995</v>
      </c>
      <c r="P62" s="253">
        <v>235.596</v>
      </c>
      <c r="Q62" s="253">
        <v>0</v>
      </c>
      <c r="R62" s="253">
        <v>686.33500000000004</v>
      </c>
      <c r="S62" s="254">
        <v>612.82799999999997</v>
      </c>
      <c r="U62" s="256"/>
      <c r="V62" s="256"/>
    </row>
    <row r="63" spans="1:22" ht="15.75">
      <c r="A63" s="241"/>
      <c r="B63" s="257" t="s">
        <v>700</v>
      </c>
      <c r="C63" s="253">
        <v>430.78300000000002</v>
      </c>
      <c r="D63" s="253">
        <v>138.73500000000001</v>
      </c>
      <c r="E63" s="253">
        <v>129.81700000000001</v>
      </c>
      <c r="F63" s="253">
        <v>70.894000000000005</v>
      </c>
      <c r="G63" s="253">
        <v>35.927</v>
      </c>
      <c r="H63" s="253">
        <v>21.111000000000001</v>
      </c>
      <c r="I63" s="253">
        <v>1.8438862300000001</v>
      </c>
      <c r="J63" s="253">
        <v>-12.920999999999999</v>
      </c>
      <c r="K63" s="253">
        <v>686.41399999999999</v>
      </c>
      <c r="L63" s="253">
        <v>-6.9370000000000003</v>
      </c>
      <c r="M63" s="253">
        <v>679.47699999999998</v>
      </c>
      <c r="N63" s="253">
        <v>236.99</v>
      </c>
      <c r="O63" s="253">
        <v>913.42100000000005</v>
      </c>
      <c r="P63" s="253">
        <v>225.98599999999999</v>
      </c>
      <c r="Q63" s="253">
        <v>0</v>
      </c>
      <c r="R63" s="253">
        <v>687.029</v>
      </c>
      <c r="S63" s="254">
        <v>613.14099999999996</v>
      </c>
      <c r="U63" s="256"/>
      <c r="V63" s="256"/>
    </row>
    <row r="64" spans="1:22" ht="15.75">
      <c r="A64" s="241"/>
      <c r="B64" s="257" t="s">
        <v>701</v>
      </c>
      <c r="C64" s="253">
        <v>432.54599999999999</v>
      </c>
      <c r="D64" s="253">
        <v>138.17400000000001</v>
      </c>
      <c r="E64" s="253">
        <v>128.38800000000001</v>
      </c>
      <c r="F64" s="253">
        <v>70.06</v>
      </c>
      <c r="G64" s="253">
        <v>34.744999999999997</v>
      </c>
      <c r="H64" s="253">
        <v>21.725999999999999</v>
      </c>
      <c r="I64" s="253">
        <v>1.7768955100000001</v>
      </c>
      <c r="J64" s="253">
        <v>-18.206</v>
      </c>
      <c r="K64" s="253">
        <v>680.90200000000004</v>
      </c>
      <c r="L64" s="253">
        <v>-2.2930000000000001</v>
      </c>
      <c r="M64" s="253">
        <v>678.60900000000004</v>
      </c>
      <c r="N64" s="253">
        <v>243.32400000000001</v>
      </c>
      <c r="O64" s="253">
        <v>920.31299999999999</v>
      </c>
      <c r="P64" s="253">
        <v>231.31700000000001</v>
      </c>
      <c r="Q64" s="253">
        <v>0</v>
      </c>
      <c r="R64" s="253">
        <v>688.81700000000001</v>
      </c>
      <c r="S64" s="254">
        <v>615.87800000000004</v>
      </c>
      <c r="U64" s="256"/>
      <c r="V64" s="256"/>
    </row>
    <row r="65" spans="1:22" ht="15.75">
      <c r="A65" s="241"/>
      <c r="B65" s="259" t="s">
        <v>702</v>
      </c>
      <c r="C65" s="253">
        <v>429.89800000000002</v>
      </c>
      <c r="D65" s="253">
        <v>138.34299999999999</v>
      </c>
      <c r="E65" s="253">
        <v>132.21299999999999</v>
      </c>
      <c r="F65" s="253">
        <v>72.989999999999995</v>
      </c>
      <c r="G65" s="253">
        <v>34.646999999999998</v>
      </c>
      <c r="H65" s="253">
        <v>22.727</v>
      </c>
      <c r="I65" s="253">
        <v>1.74253002</v>
      </c>
      <c r="J65" s="253">
        <v>-6.0679999999999996</v>
      </c>
      <c r="K65" s="253">
        <v>694.38599999999997</v>
      </c>
      <c r="L65" s="253">
        <v>-3.2989999999999999</v>
      </c>
      <c r="M65" s="253">
        <v>691.08699999999999</v>
      </c>
      <c r="N65" s="253">
        <v>225.83</v>
      </c>
      <c r="O65" s="253">
        <v>916.38800000000003</v>
      </c>
      <c r="P65" s="253">
        <v>227.18199999999999</v>
      </c>
      <c r="Q65" s="253">
        <v>0</v>
      </c>
      <c r="R65" s="253">
        <v>689.20600000000002</v>
      </c>
      <c r="S65" s="254">
        <v>617.94399999999996</v>
      </c>
      <c r="U65" s="256"/>
      <c r="V65" s="256"/>
    </row>
    <row r="66" spans="1:22" ht="15.75">
      <c r="A66" s="241"/>
      <c r="B66" s="259" t="s">
        <v>703</v>
      </c>
      <c r="C66" s="253">
        <v>430.20499999999998</v>
      </c>
      <c r="D66" s="253">
        <v>141.82300000000001</v>
      </c>
      <c r="E66" s="253">
        <v>129.892</v>
      </c>
      <c r="F66" s="253">
        <v>73.231999999999999</v>
      </c>
      <c r="G66" s="253">
        <v>33.768000000000001</v>
      </c>
      <c r="H66" s="253">
        <v>20.928999999999998</v>
      </c>
      <c r="I66" s="253">
        <v>1.78791743</v>
      </c>
      <c r="J66" s="253">
        <v>-3.8279999999999998</v>
      </c>
      <c r="K66" s="253">
        <v>698.09199999999998</v>
      </c>
      <c r="L66" s="253">
        <v>0.78100000000000003</v>
      </c>
      <c r="M66" s="253">
        <v>698.87300000000005</v>
      </c>
      <c r="N66" s="253">
        <v>221.72499999999999</v>
      </c>
      <c r="O66" s="253">
        <v>919.72299999999996</v>
      </c>
      <c r="P66" s="253">
        <v>230.16499999999999</v>
      </c>
      <c r="Q66" s="253">
        <v>0</v>
      </c>
      <c r="R66" s="253">
        <v>689.49099999999999</v>
      </c>
      <c r="S66" s="254">
        <v>618.53599999999994</v>
      </c>
      <c r="U66" s="256"/>
      <c r="V66" s="256"/>
    </row>
    <row r="67" spans="1:22" ht="15.6" customHeight="1">
      <c r="A67" s="241"/>
      <c r="B67" s="259" t="s">
        <v>704</v>
      </c>
      <c r="C67" s="253">
        <v>424.90300000000002</v>
      </c>
      <c r="D67" s="253">
        <v>143.46299999999999</v>
      </c>
      <c r="E67" s="253">
        <v>128.215</v>
      </c>
      <c r="F67" s="253">
        <v>71.430000000000007</v>
      </c>
      <c r="G67" s="253">
        <v>32.755000000000003</v>
      </c>
      <c r="H67" s="253">
        <v>22</v>
      </c>
      <c r="I67" s="253">
        <v>1.7525078900000002</v>
      </c>
      <c r="J67" s="253">
        <v>-1.369</v>
      </c>
      <c r="K67" s="253">
        <v>695.21199999999999</v>
      </c>
      <c r="L67" s="253">
        <v>-0.18</v>
      </c>
      <c r="M67" s="253">
        <v>695.03200000000004</v>
      </c>
      <c r="N67" s="253">
        <v>217.821</v>
      </c>
      <c r="O67" s="253">
        <v>913.03499999999997</v>
      </c>
      <c r="P67" s="253">
        <v>225.27699999999999</v>
      </c>
      <c r="Q67" s="253">
        <v>0</v>
      </c>
      <c r="R67" s="253">
        <v>687.83900000000006</v>
      </c>
      <c r="S67" s="254">
        <v>617.94899999999996</v>
      </c>
      <c r="U67" s="256"/>
      <c r="V67" s="256"/>
    </row>
    <row r="68" spans="1:22" ht="15.6" customHeight="1">
      <c r="A68" s="241"/>
      <c r="B68" s="259" t="s">
        <v>705</v>
      </c>
      <c r="C68" s="253">
        <v>423.89699999999999</v>
      </c>
      <c r="D68" s="253">
        <v>143.74</v>
      </c>
      <c r="E68" s="253">
        <v>129.77099999999999</v>
      </c>
      <c r="F68" s="253">
        <v>72.935000000000002</v>
      </c>
      <c r="G68" s="253">
        <v>32.234000000000002</v>
      </c>
      <c r="H68" s="253">
        <v>22.577000000000002</v>
      </c>
      <c r="I68" s="253">
        <v>1.7299305099999998</v>
      </c>
      <c r="J68" s="253">
        <v>-2.077</v>
      </c>
      <c r="K68" s="253">
        <v>695.33100000000002</v>
      </c>
      <c r="L68" s="253">
        <v>3.9820000000000002</v>
      </c>
      <c r="M68" s="253">
        <v>699.31299999999999</v>
      </c>
      <c r="N68" s="253">
        <v>212.90199999999999</v>
      </c>
      <c r="O68" s="253">
        <v>913.43700000000001</v>
      </c>
      <c r="P68" s="253">
        <v>227.79499999999999</v>
      </c>
      <c r="Q68" s="253">
        <v>0</v>
      </c>
      <c r="R68" s="253">
        <v>685.62800000000004</v>
      </c>
      <c r="S68" s="254">
        <v>616.28499999999997</v>
      </c>
      <c r="U68" s="256"/>
      <c r="V68" s="256"/>
    </row>
    <row r="69" spans="1:22" ht="15.6" customHeight="1">
      <c r="A69" s="241"/>
      <c r="B69" s="259" t="s">
        <v>706</v>
      </c>
      <c r="C69" s="253">
        <v>425.35700000000003</v>
      </c>
      <c r="D69" s="253">
        <v>144.572</v>
      </c>
      <c r="E69" s="253">
        <v>131.393</v>
      </c>
      <c r="F69" s="253">
        <v>72.998000000000005</v>
      </c>
      <c r="G69" s="253">
        <v>32.716999999999999</v>
      </c>
      <c r="H69" s="253">
        <v>23.437999999999999</v>
      </c>
      <c r="I69" s="253">
        <v>1.7672393300000002</v>
      </c>
      <c r="J69" s="253">
        <v>-2.2109999999999999</v>
      </c>
      <c r="K69" s="253">
        <v>699.11099999999999</v>
      </c>
      <c r="L69" s="253">
        <v>-0.67500000000000004</v>
      </c>
      <c r="M69" s="253">
        <v>698.43600000000004</v>
      </c>
      <c r="N69" s="253">
        <v>218.17099999999999</v>
      </c>
      <c r="O69" s="253">
        <v>916.60699999999997</v>
      </c>
      <c r="P69" s="253">
        <v>225.82499999999999</v>
      </c>
      <c r="Q69" s="253">
        <v>0.60499999999999998</v>
      </c>
      <c r="R69" s="253">
        <v>691.38699999999994</v>
      </c>
      <c r="S69" s="254">
        <v>621.76599999999996</v>
      </c>
      <c r="U69" s="256"/>
      <c r="V69" s="256"/>
    </row>
    <row r="70" spans="1:22" ht="15.6" customHeight="1">
      <c r="A70" s="241"/>
      <c r="B70" s="259" t="s">
        <v>707</v>
      </c>
      <c r="C70" s="253">
        <v>424.601</v>
      </c>
      <c r="D70" s="253">
        <v>146.47499999999999</v>
      </c>
      <c r="E70" s="253">
        <v>132.035</v>
      </c>
      <c r="F70" s="253">
        <v>74.236000000000004</v>
      </c>
      <c r="G70" s="253">
        <v>33.756</v>
      </c>
      <c r="H70" s="253">
        <v>22.062999999999999</v>
      </c>
      <c r="I70" s="253">
        <v>1.7632428900000001</v>
      </c>
      <c r="J70" s="253">
        <v>6.2469999999999999</v>
      </c>
      <c r="K70" s="253">
        <v>709.35799999999995</v>
      </c>
      <c r="L70" s="253">
        <v>3.2450000000000001</v>
      </c>
      <c r="M70" s="253">
        <v>712.60299999999995</v>
      </c>
      <c r="N70" s="253">
        <v>219.81</v>
      </c>
      <c r="O70" s="253">
        <v>932.41300000000001</v>
      </c>
      <c r="P70" s="253">
        <v>237.29900000000001</v>
      </c>
      <c r="Q70" s="253">
        <v>0.67900000000000005</v>
      </c>
      <c r="R70" s="253">
        <v>695.79300000000001</v>
      </c>
      <c r="S70" s="254">
        <v>625.84</v>
      </c>
      <c r="U70" s="256"/>
      <c r="V70" s="256"/>
    </row>
    <row r="71" spans="1:22" ht="15.6" customHeight="1">
      <c r="A71" s="241"/>
      <c r="B71" s="259" t="s">
        <v>708</v>
      </c>
      <c r="C71" s="253">
        <v>427.31900000000002</v>
      </c>
      <c r="D71" s="253">
        <v>147.31299999999999</v>
      </c>
      <c r="E71" s="253">
        <v>133.16</v>
      </c>
      <c r="F71" s="253">
        <v>75.688000000000002</v>
      </c>
      <c r="G71" s="253">
        <v>32.21</v>
      </c>
      <c r="H71" s="253">
        <v>23.111000000000001</v>
      </c>
      <c r="I71" s="253">
        <v>1.74030241</v>
      </c>
      <c r="J71" s="253">
        <v>-0.8</v>
      </c>
      <c r="K71" s="253">
        <v>706.99199999999996</v>
      </c>
      <c r="L71" s="253">
        <v>-0.57899999999999996</v>
      </c>
      <c r="M71" s="253">
        <v>706.41300000000001</v>
      </c>
      <c r="N71" s="253">
        <v>221.60400000000001</v>
      </c>
      <c r="O71" s="253">
        <v>928.01700000000005</v>
      </c>
      <c r="P71" s="253">
        <v>231.251</v>
      </c>
      <c r="Q71" s="253">
        <v>0.38700000000000001</v>
      </c>
      <c r="R71" s="253">
        <v>697.15300000000002</v>
      </c>
      <c r="S71" s="254">
        <v>627.23800000000006</v>
      </c>
      <c r="U71" s="256"/>
      <c r="V71" s="256"/>
    </row>
    <row r="72" spans="1:22" ht="15.6" customHeight="1">
      <c r="A72" s="241"/>
      <c r="B72" s="259" t="s">
        <v>709</v>
      </c>
      <c r="C72" s="253">
        <v>428.08499999999998</v>
      </c>
      <c r="D72" s="253">
        <v>148.041</v>
      </c>
      <c r="E72" s="253">
        <v>132.62899999999999</v>
      </c>
      <c r="F72" s="253">
        <v>74.212000000000003</v>
      </c>
      <c r="G72" s="253">
        <v>32.914999999999999</v>
      </c>
      <c r="H72" s="253">
        <v>23.277000000000001</v>
      </c>
      <c r="I72" s="253">
        <v>1.7597221700000001</v>
      </c>
      <c r="J72" s="253">
        <v>2.669</v>
      </c>
      <c r="K72" s="253">
        <v>711.42399999999998</v>
      </c>
      <c r="L72" s="253">
        <v>2.2200000000000002</v>
      </c>
      <c r="M72" s="253">
        <v>713.64400000000001</v>
      </c>
      <c r="N72" s="253">
        <v>224.44499999999999</v>
      </c>
      <c r="O72" s="253">
        <v>938.08900000000006</v>
      </c>
      <c r="P72" s="253">
        <v>239.64500000000001</v>
      </c>
      <c r="Q72" s="253">
        <v>0.38800000000000001</v>
      </c>
      <c r="R72" s="253">
        <v>698.83199999999999</v>
      </c>
      <c r="S72" s="254">
        <v>628.91899999999998</v>
      </c>
      <c r="U72" s="256"/>
      <c r="V72" s="256"/>
    </row>
    <row r="73" spans="1:22" ht="15.6" customHeight="1">
      <c r="A73" s="241"/>
      <c r="B73" s="259" t="s">
        <v>710</v>
      </c>
      <c r="C73" s="253">
        <v>429.22399999999999</v>
      </c>
      <c r="D73" s="253">
        <v>147.67699999999999</v>
      </c>
      <c r="E73" s="253">
        <v>135.21100000000001</v>
      </c>
      <c r="F73" s="253">
        <v>77.262</v>
      </c>
      <c r="G73" s="253">
        <v>33.216000000000001</v>
      </c>
      <c r="H73" s="253">
        <v>22.623999999999999</v>
      </c>
      <c r="I73" s="253">
        <v>1.7619843100000001</v>
      </c>
      <c r="J73" s="253">
        <v>4.4189999999999996</v>
      </c>
      <c r="K73" s="253">
        <v>716.53099999999995</v>
      </c>
      <c r="L73" s="253">
        <v>0.82699999999999996</v>
      </c>
      <c r="M73" s="253">
        <v>717.35799999999995</v>
      </c>
      <c r="N73" s="253">
        <v>228.31</v>
      </c>
      <c r="O73" s="253">
        <v>945.66800000000001</v>
      </c>
      <c r="P73" s="253">
        <v>242.6</v>
      </c>
      <c r="Q73" s="253">
        <v>0.39</v>
      </c>
      <c r="R73" s="253">
        <v>703.45799999999997</v>
      </c>
      <c r="S73" s="254">
        <v>633.09799999999996</v>
      </c>
      <c r="U73" s="256"/>
      <c r="V73" s="256"/>
    </row>
    <row r="74" spans="1:22" ht="15.6" customHeight="1">
      <c r="A74" s="241"/>
      <c r="B74" s="259" t="s">
        <v>711</v>
      </c>
      <c r="C74" s="253">
        <v>429.75099999999998</v>
      </c>
      <c r="D74" s="253">
        <v>149.602</v>
      </c>
      <c r="E74" s="253">
        <v>135.852</v>
      </c>
      <c r="F74" s="253">
        <v>76.426000000000002</v>
      </c>
      <c r="G74" s="253">
        <v>33.393000000000001</v>
      </c>
      <c r="H74" s="253">
        <v>23.545999999999999</v>
      </c>
      <c r="I74" s="253">
        <v>1.7963469399999998</v>
      </c>
      <c r="J74" s="253">
        <v>3.996</v>
      </c>
      <c r="K74" s="253">
        <v>719.20100000000002</v>
      </c>
      <c r="L74" s="253">
        <v>0.47599999999999998</v>
      </c>
      <c r="M74" s="253">
        <v>719.67700000000002</v>
      </c>
      <c r="N74" s="253">
        <v>227.88399999999999</v>
      </c>
      <c r="O74" s="253">
        <v>947.56100000000004</v>
      </c>
      <c r="P74" s="253">
        <v>242.54900000000001</v>
      </c>
      <c r="Q74" s="253">
        <v>0.39100000000000001</v>
      </c>
      <c r="R74" s="253">
        <v>705.40300000000002</v>
      </c>
      <c r="S74" s="254">
        <v>634.88199999999995</v>
      </c>
      <c r="U74" s="256"/>
      <c r="V74" s="256"/>
    </row>
    <row r="75" spans="1:22" ht="15.6" customHeight="1">
      <c r="A75" s="241"/>
      <c r="B75" s="259" t="s">
        <v>712</v>
      </c>
      <c r="C75" s="253">
        <v>430.39562599999999</v>
      </c>
      <c r="D75" s="253">
        <v>150.19293599999997</v>
      </c>
      <c r="E75" s="253">
        <v>134.6043385708613</v>
      </c>
      <c r="F75" s="253">
        <v>75.8910178</v>
      </c>
      <c r="G75" s="253">
        <v>33.162224602558148</v>
      </c>
      <c r="H75" s="253">
        <v>23.7767251</v>
      </c>
      <c r="I75" s="253">
        <v>1.7743710863628577</v>
      </c>
      <c r="J75" s="253">
        <v>2.5710000000000002</v>
      </c>
      <c r="K75" s="253">
        <v>717.76390057086121</v>
      </c>
      <c r="L75" s="253">
        <v>1.9809855500000002</v>
      </c>
      <c r="M75" s="253">
        <v>719.74488612086111</v>
      </c>
      <c r="N75" s="253">
        <v>228.45932630355711</v>
      </c>
      <c r="O75" s="253">
        <v>948.2042120000001</v>
      </c>
      <c r="P75" s="253">
        <v>241.75550717993988</v>
      </c>
      <c r="Q75" s="253">
        <v>0.39100000000000001</v>
      </c>
      <c r="R75" s="253">
        <v>706.83970524361416</v>
      </c>
      <c r="S75" s="254">
        <v>636.29396799999995</v>
      </c>
      <c r="U75" s="256"/>
      <c r="V75" s="256"/>
    </row>
    <row r="76" spans="1:22" ht="15.6" customHeight="1">
      <c r="A76" s="241"/>
      <c r="B76" s="259" t="s">
        <v>713</v>
      </c>
      <c r="C76" s="253">
        <v>431.07995599999998</v>
      </c>
      <c r="D76" s="253">
        <v>150.87692100000001</v>
      </c>
      <c r="E76" s="253">
        <v>135.05517395487061</v>
      </c>
      <c r="F76" s="253">
        <v>75.891018200000005</v>
      </c>
      <c r="G76" s="253">
        <v>33.196082604876786</v>
      </c>
      <c r="H76" s="253">
        <v>24.196777300000001</v>
      </c>
      <c r="I76" s="253">
        <v>1.7712958603230229</v>
      </c>
      <c r="J76" s="253">
        <v>2.5710000000000002</v>
      </c>
      <c r="K76" s="253">
        <v>719.5830509548706</v>
      </c>
      <c r="L76" s="253">
        <v>2.0970306999999999</v>
      </c>
      <c r="M76" s="253">
        <v>721.68008165487061</v>
      </c>
      <c r="N76" s="253">
        <v>228.31927969977181</v>
      </c>
      <c r="O76" s="253">
        <v>949.99936100000002</v>
      </c>
      <c r="P76" s="253">
        <v>241.64218890613697</v>
      </c>
      <c r="Q76" s="253">
        <v>0.39100000000000001</v>
      </c>
      <c r="R76" s="253">
        <v>708.74817244777194</v>
      </c>
      <c r="S76" s="254">
        <v>638.12671699999999</v>
      </c>
      <c r="U76" s="256"/>
      <c r="V76" s="256"/>
    </row>
    <row r="77" spans="1:22" ht="15.6" customHeight="1">
      <c r="A77" s="241"/>
      <c r="B77" s="259" t="s">
        <v>714</v>
      </c>
      <c r="C77" s="253">
        <v>432.69801000000001</v>
      </c>
      <c r="D77" s="253">
        <v>151.71978700000003</v>
      </c>
      <c r="E77" s="253">
        <v>135.61578579538562</v>
      </c>
      <c r="F77" s="253">
        <v>75.913865200000004</v>
      </c>
      <c r="G77" s="253">
        <v>33.22683516729213</v>
      </c>
      <c r="H77" s="253">
        <v>24.705799900000006</v>
      </c>
      <c r="I77" s="253">
        <v>1.7692856147175935</v>
      </c>
      <c r="J77" s="253">
        <v>2.5710000000000002</v>
      </c>
      <c r="K77" s="253">
        <v>722.60458279538557</v>
      </c>
      <c r="L77" s="253">
        <v>1.7721440500000001</v>
      </c>
      <c r="M77" s="253">
        <v>724.37672684538563</v>
      </c>
      <c r="N77" s="253">
        <v>228.63186487129005</v>
      </c>
      <c r="O77" s="253">
        <v>953.00859199999991</v>
      </c>
      <c r="P77" s="253">
        <v>241.8698077742535</v>
      </c>
      <c r="Q77" s="253">
        <v>0.39100000000000001</v>
      </c>
      <c r="R77" s="253">
        <v>711.5297839435807</v>
      </c>
      <c r="S77" s="254">
        <v>640.74430599999994</v>
      </c>
      <c r="U77" s="256"/>
      <c r="V77" s="256"/>
    </row>
    <row r="78" spans="1:22" ht="15.6" customHeight="1">
      <c r="A78" s="241"/>
      <c r="B78" s="259" t="s">
        <v>715</v>
      </c>
      <c r="C78" s="253">
        <v>434.32171600000004</v>
      </c>
      <c r="D78" s="253">
        <v>152.47373899999999</v>
      </c>
      <c r="E78" s="253">
        <v>136.48906353790682</v>
      </c>
      <c r="F78" s="253">
        <v>76.063772400000005</v>
      </c>
      <c r="G78" s="253">
        <v>33.478354595986794</v>
      </c>
      <c r="H78" s="253">
        <v>25.167222800000001</v>
      </c>
      <c r="I78" s="253">
        <v>1.7797136766442594</v>
      </c>
      <c r="J78" s="253">
        <v>2.5710000000000002</v>
      </c>
      <c r="K78" s="253">
        <v>725.85551853790696</v>
      </c>
      <c r="L78" s="253">
        <v>1.4266616599999999</v>
      </c>
      <c r="M78" s="253">
        <v>727.28218019790688</v>
      </c>
      <c r="N78" s="253">
        <v>228.93435517239763</v>
      </c>
      <c r="O78" s="253">
        <v>956.21653500000002</v>
      </c>
      <c r="P78" s="253">
        <v>242.25281953577843</v>
      </c>
      <c r="Q78" s="253">
        <v>0.39100000000000001</v>
      </c>
      <c r="R78" s="253">
        <v>714.35471583010667</v>
      </c>
      <c r="S78" s="254">
        <v>643.40905899999996</v>
      </c>
      <c r="U78" s="256"/>
      <c r="V78" s="256"/>
    </row>
    <row r="79" spans="1:22" ht="15.6" customHeight="1">
      <c r="A79" s="241"/>
      <c r="B79" s="259" t="s">
        <v>716</v>
      </c>
      <c r="C79" s="253">
        <v>435.97483699999998</v>
      </c>
      <c r="D79" s="253">
        <v>153.30417600000001</v>
      </c>
      <c r="E79" s="253">
        <v>137.34117357569193</v>
      </c>
      <c r="F79" s="253">
        <v>76.145627399999995</v>
      </c>
      <c r="G79" s="253">
        <v>33.80505287036808</v>
      </c>
      <c r="H79" s="253">
        <v>25.593459900000006</v>
      </c>
      <c r="I79" s="253">
        <v>1.7970334106739552</v>
      </c>
      <c r="J79" s="253">
        <v>2.5710000000000002</v>
      </c>
      <c r="K79" s="253">
        <v>729.19118657569186</v>
      </c>
      <c r="L79" s="253">
        <v>1.19109413</v>
      </c>
      <c r="M79" s="253">
        <v>730.38228070569187</v>
      </c>
      <c r="N79" s="253">
        <v>229.21753976651217</v>
      </c>
      <c r="O79" s="253">
        <v>959.59981999999991</v>
      </c>
      <c r="P79" s="253">
        <v>242.76057778377262</v>
      </c>
      <c r="Q79" s="253">
        <v>0.39100000000000001</v>
      </c>
      <c r="R79" s="253">
        <v>717.23024268906909</v>
      </c>
      <c r="S79" s="254">
        <v>646.14995099999999</v>
      </c>
      <c r="U79" s="256"/>
      <c r="V79" s="256"/>
    </row>
    <row r="80" spans="1:22" ht="15.6" customHeight="1">
      <c r="A80" s="241"/>
      <c r="B80" s="259" t="s">
        <v>717</v>
      </c>
      <c r="C80" s="253">
        <v>437.61711500000001</v>
      </c>
      <c r="D80" s="253">
        <v>154.01263399999999</v>
      </c>
      <c r="E80" s="253">
        <v>138.34142708716732</v>
      </c>
      <c r="F80" s="253">
        <v>76.227653500000002</v>
      </c>
      <c r="G80" s="253">
        <v>34.305459899446149</v>
      </c>
      <c r="H80" s="253">
        <v>25.981485799999998</v>
      </c>
      <c r="I80" s="253">
        <v>1.8268278929861239</v>
      </c>
      <c r="J80" s="253">
        <v>2.5710000000000002</v>
      </c>
      <c r="K80" s="253">
        <v>732.54217608716726</v>
      </c>
      <c r="L80" s="253">
        <v>0.99341234699999992</v>
      </c>
      <c r="M80" s="253">
        <v>733.53558843416715</v>
      </c>
      <c r="N80" s="253">
        <v>229.50623371765502</v>
      </c>
      <c r="O80" s="253">
        <v>963.04182200000002</v>
      </c>
      <c r="P80" s="253">
        <v>243.36231606383978</v>
      </c>
      <c r="Q80" s="253">
        <v>0.39100000000000001</v>
      </c>
      <c r="R80" s="253">
        <v>720.07050608834231</v>
      </c>
      <c r="S80" s="254">
        <v>648.855593</v>
      </c>
      <c r="U80" s="256"/>
      <c r="V80" s="256"/>
    </row>
    <row r="81" spans="1:22" ht="15.75">
      <c r="A81" s="241"/>
      <c r="B81" s="259" t="s">
        <v>718</v>
      </c>
      <c r="C81" s="253">
        <v>439.270286</v>
      </c>
      <c r="D81" s="253">
        <v>154.61147</v>
      </c>
      <c r="E81" s="253">
        <v>139.44640649358161</v>
      </c>
      <c r="F81" s="253">
        <v>76.3174834</v>
      </c>
      <c r="G81" s="253">
        <v>34.928082785532162</v>
      </c>
      <c r="H81" s="253">
        <v>26.335891400000001</v>
      </c>
      <c r="I81" s="253">
        <v>1.8649488981981865</v>
      </c>
      <c r="J81" s="253">
        <v>2.5710000000000002</v>
      </c>
      <c r="K81" s="253">
        <v>735.89916249358168</v>
      </c>
      <c r="L81" s="253">
        <v>1.3026005299999999</v>
      </c>
      <c r="M81" s="253">
        <v>737.20176302358175</v>
      </c>
      <c r="N81" s="253">
        <v>229.6000389720943</v>
      </c>
      <c r="O81" s="253">
        <v>966.80180200000007</v>
      </c>
      <c r="P81" s="253">
        <v>244.37677631665912</v>
      </c>
      <c r="Q81" s="253">
        <v>0.39100000000000001</v>
      </c>
      <c r="R81" s="253">
        <v>722.81602568021913</v>
      </c>
      <c r="S81" s="254">
        <v>651.47205599999995</v>
      </c>
      <c r="U81" s="256"/>
      <c r="V81" s="256"/>
    </row>
    <row r="82" spans="1:22" ht="15.75">
      <c r="A82" s="241"/>
      <c r="B82" s="259" t="s">
        <v>719</v>
      </c>
      <c r="C82" s="253">
        <v>440.94719600000002</v>
      </c>
      <c r="D82" s="253">
        <v>155.26128500000002</v>
      </c>
      <c r="E82" s="253">
        <v>140.63456519402203</v>
      </c>
      <c r="F82" s="253">
        <v>76.441922900000009</v>
      </c>
      <c r="G82" s="253">
        <v>35.617795466227157</v>
      </c>
      <c r="H82" s="253">
        <v>26.667765899999999</v>
      </c>
      <c r="I82" s="253">
        <v>1.9070808700850641</v>
      </c>
      <c r="J82" s="253">
        <v>2.5710000000000002</v>
      </c>
      <c r="K82" s="253">
        <v>739.41404619402203</v>
      </c>
      <c r="L82" s="253">
        <v>1.27895296</v>
      </c>
      <c r="M82" s="253">
        <v>740.69299915402212</v>
      </c>
      <c r="N82" s="253">
        <v>229.74303579685923</v>
      </c>
      <c r="O82" s="253">
        <v>970.43603500000006</v>
      </c>
      <c r="P82" s="253">
        <v>245.30721343392719</v>
      </c>
      <c r="Q82" s="253">
        <v>0.39100000000000001</v>
      </c>
      <c r="R82" s="253">
        <v>725.51982151904394</v>
      </c>
      <c r="S82" s="254">
        <v>654.04756099999997</v>
      </c>
      <c r="U82" s="256"/>
      <c r="V82" s="256"/>
    </row>
    <row r="83" spans="1:22" ht="15.75">
      <c r="A83" s="241"/>
      <c r="B83" s="259" t="s">
        <v>720</v>
      </c>
      <c r="C83" s="253">
        <v>442.64376600000003</v>
      </c>
      <c r="D83" s="253">
        <v>155.90832999999998</v>
      </c>
      <c r="E83" s="253">
        <v>141.8375701368513</v>
      </c>
      <c r="F83" s="253">
        <v>76.579746900000004</v>
      </c>
      <c r="G83" s="253">
        <v>36.361984780151396</v>
      </c>
      <c r="H83" s="253">
        <v>26.942961200000003</v>
      </c>
      <c r="I83" s="253">
        <v>1.9528773373032891</v>
      </c>
      <c r="J83" s="253">
        <v>2.5710000000000002</v>
      </c>
      <c r="K83" s="253">
        <v>742.96066613685127</v>
      </c>
      <c r="L83" s="253">
        <v>1.1397643</v>
      </c>
      <c r="M83" s="253">
        <v>744.1004304368513</v>
      </c>
      <c r="N83" s="253">
        <v>229.91298357800946</v>
      </c>
      <c r="O83" s="253">
        <v>974.01341400000001</v>
      </c>
      <c r="P83" s="253">
        <v>246.1981836935704</v>
      </c>
      <c r="Q83" s="253">
        <v>0.39100000000000001</v>
      </c>
      <c r="R83" s="253">
        <v>728.20623032195556</v>
      </c>
      <c r="S83" s="254">
        <v>656.60428300000001</v>
      </c>
      <c r="U83" s="256"/>
      <c r="V83" s="256"/>
    </row>
    <row r="84" spans="1:22" ht="15.75">
      <c r="A84" s="241"/>
      <c r="B84" s="259" t="s">
        <v>721</v>
      </c>
      <c r="C84" s="253">
        <v>444.36015700000002</v>
      </c>
      <c r="D84" s="253">
        <v>156.468447</v>
      </c>
      <c r="E84" s="253">
        <v>142.8574436557675</v>
      </c>
      <c r="F84" s="253">
        <v>76.736970799999995</v>
      </c>
      <c r="G84" s="253">
        <v>37.110258699570494</v>
      </c>
      <c r="H84" s="253">
        <v>27.011012599999994</v>
      </c>
      <c r="I84" s="253">
        <v>1.9992015604057241</v>
      </c>
      <c r="J84" s="253">
        <v>2.5710000000000002</v>
      </c>
      <c r="K84" s="253">
        <v>746.25704765576756</v>
      </c>
      <c r="L84" s="253">
        <v>1.0358601799999998</v>
      </c>
      <c r="M84" s="253">
        <v>747.29290783576744</v>
      </c>
      <c r="N84" s="253">
        <v>230.17691312811559</v>
      </c>
      <c r="O84" s="253">
        <v>977.46982100000002</v>
      </c>
      <c r="P84" s="253">
        <v>247.04906306540627</v>
      </c>
      <c r="Q84" s="253">
        <v>0.39100000000000001</v>
      </c>
      <c r="R84" s="253">
        <v>730.81175789683368</v>
      </c>
      <c r="S84" s="254">
        <v>659.08464200000003</v>
      </c>
      <c r="U84" s="256"/>
      <c r="V84" s="256"/>
    </row>
    <row r="85" spans="1:22" ht="15.75">
      <c r="A85" s="241"/>
      <c r="B85" s="259" t="s">
        <v>722</v>
      </c>
      <c r="C85" s="253">
        <v>446.10545100000002</v>
      </c>
      <c r="D85" s="253">
        <v>156.98375700000003</v>
      </c>
      <c r="E85" s="253">
        <v>143.68286693510046</v>
      </c>
      <c r="F85" s="253">
        <v>76.91371980000001</v>
      </c>
      <c r="G85" s="253">
        <v>37.80621178329087</v>
      </c>
      <c r="H85" s="253">
        <v>26.9206997</v>
      </c>
      <c r="I85" s="253">
        <v>2.0422356437945659</v>
      </c>
      <c r="J85" s="253">
        <v>2.5710000000000002</v>
      </c>
      <c r="K85" s="253">
        <v>749.3430749351005</v>
      </c>
      <c r="L85" s="253">
        <v>1.09631101</v>
      </c>
      <c r="M85" s="253">
        <v>750.43938594510041</v>
      </c>
      <c r="N85" s="253">
        <v>230.49042104654609</v>
      </c>
      <c r="O85" s="253">
        <v>980.92980699999998</v>
      </c>
      <c r="P85" s="253">
        <v>247.85925052147556</v>
      </c>
      <c r="Q85" s="253">
        <v>0.39100000000000001</v>
      </c>
      <c r="R85" s="253">
        <v>733.46155646585794</v>
      </c>
      <c r="S85" s="254">
        <v>661.60235</v>
      </c>
      <c r="U85" s="256"/>
      <c r="V85" s="256"/>
    </row>
    <row r="86" spans="1:22" ht="15.75">
      <c r="A86" s="241"/>
      <c r="B86" s="259" t="s">
        <v>723</v>
      </c>
      <c r="C86" s="253">
        <v>447.90587199999999</v>
      </c>
      <c r="D86" s="253">
        <v>157.442407</v>
      </c>
      <c r="E86" s="253">
        <v>144.52652412023451</v>
      </c>
      <c r="F86" s="253">
        <v>77.098048299999988</v>
      </c>
      <c r="G86" s="253">
        <v>38.583323238123853</v>
      </c>
      <c r="H86" s="253">
        <v>26.7569017</v>
      </c>
      <c r="I86" s="253">
        <v>2.0882508621001885</v>
      </c>
      <c r="J86" s="253">
        <v>2.5710000000000002</v>
      </c>
      <c r="K86" s="253">
        <v>752.44580312023447</v>
      </c>
      <c r="L86" s="253">
        <v>1.0951586899999999</v>
      </c>
      <c r="M86" s="253">
        <v>753.54096181023442</v>
      </c>
      <c r="N86" s="253">
        <v>230.83124761656907</v>
      </c>
      <c r="O86" s="253">
        <v>984.372209</v>
      </c>
      <c r="P86" s="253">
        <v>248.65138708717396</v>
      </c>
      <c r="Q86" s="253">
        <v>0.39100000000000001</v>
      </c>
      <c r="R86" s="253">
        <v>736.11182234017986</v>
      </c>
      <c r="S86" s="254">
        <v>664.117704</v>
      </c>
      <c r="U86" s="256"/>
      <c r="V86" s="256"/>
    </row>
    <row r="87" spans="1:22" ht="15.75">
      <c r="A87" s="241"/>
      <c r="B87" s="259" t="s">
        <v>724</v>
      </c>
      <c r="C87" s="253">
        <v>449.77786300000002</v>
      </c>
      <c r="D87" s="253">
        <v>157.86819800000001</v>
      </c>
      <c r="E87" s="253">
        <v>145.15152672902749</v>
      </c>
      <c r="F87" s="253">
        <v>77.292250700000011</v>
      </c>
      <c r="G87" s="253">
        <v>39.117767061512538</v>
      </c>
      <c r="H87" s="253">
        <v>26.621415899999999</v>
      </c>
      <c r="I87" s="253">
        <v>2.1200930599819268</v>
      </c>
      <c r="J87" s="253">
        <v>2.5710000000000002</v>
      </c>
      <c r="K87" s="253">
        <v>755.36858772902747</v>
      </c>
      <c r="L87" s="253">
        <v>1.32118577</v>
      </c>
      <c r="M87" s="253">
        <v>756.68977349902752</v>
      </c>
      <c r="N87" s="253">
        <v>231.22192816564421</v>
      </c>
      <c r="O87" s="253">
        <v>987.9117020000001</v>
      </c>
      <c r="P87" s="253">
        <v>249.44849309307247</v>
      </c>
      <c r="Q87" s="253">
        <v>0.39100000000000001</v>
      </c>
      <c r="R87" s="253">
        <v>738.85420856782139</v>
      </c>
      <c r="S87" s="254">
        <v>666.71399300000007</v>
      </c>
      <c r="U87" s="256"/>
      <c r="V87" s="256"/>
    </row>
    <row r="88" spans="1:22" ht="15.75">
      <c r="A88" s="241"/>
      <c r="B88" s="259" t="s">
        <v>725</v>
      </c>
      <c r="C88" s="253">
        <v>451.77477099999999</v>
      </c>
      <c r="D88" s="253">
        <v>158.28492699999998</v>
      </c>
      <c r="E88" s="253">
        <v>145.68383433751242</v>
      </c>
      <c r="F88" s="253">
        <v>77.494671700000012</v>
      </c>
      <c r="G88" s="253">
        <v>39.562319134093521</v>
      </c>
      <c r="H88" s="253">
        <v>26.481001199999998</v>
      </c>
      <c r="I88" s="253">
        <v>2.1458422978361931</v>
      </c>
      <c r="J88" s="253">
        <v>2.5710000000000002</v>
      </c>
      <c r="K88" s="253">
        <v>758.31453233751233</v>
      </c>
      <c r="L88" s="253">
        <v>1.49382167</v>
      </c>
      <c r="M88" s="253">
        <v>759.80835400751232</v>
      </c>
      <c r="N88" s="253">
        <v>231.61760873516656</v>
      </c>
      <c r="O88" s="253">
        <v>991.42596300000002</v>
      </c>
      <c r="P88" s="253">
        <v>250.22715348846137</v>
      </c>
      <c r="Q88" s="253">
        <v>0.39100000000000001</v>
      </c>
      <c r="R88" s="253">
        <v>741.58980925052026</v>
      </c>
      <c r="S88" s="254">
        <v>669.30147999999997</v>
      </c>
      <c r="U88" s="256"/>
      <c r="V88" s="256"/>
    </row>
    <row r="89" spans="1:22" ht="15.75">
      <c r="A89" s="241"/>
      <c r="B89" s="259" t="s">
        <v>726</v>
      </c>
      <c r="C89" s="253">
        <v>453.812073</v>
      </c>
      <c r="D89" s="253">
        <v>158.727462</v>
      </c>
      <c r="E89" s="253">
        <v>146.19875205883085</v>
      </c>
      <c r="F89" s="253">
        <v>77.734816899999998</v>
      </c>
      <c r="G89" s="253">
        <v>39.90023951134846</v>
      </c>
      <c r="H89" s="253">
        <v>26.3975814</v>
      </c>
      <c r="I89" s="253">
        <v>2.1661142138279099</v>
      </c>
      <c r="J89" s="253">
        <v>2.5710000000000002</v>
      </c>
      <c r="K89" s="253">
        <v>761.30928705883071</v>
      </c>
      <c r="L89" s="253">
        <v>1.52584513</v>
      </c>
      <c r="M89" s="253">
        <v>762.83513218883081</v>
      </c>
      <c r="N89" s="253">
        <v>232.06338507754566</v>
      </c>
      <c r="O89" s="253">
        <v>994.89851699999997</v>
      </c>
      <c r="P89" s="253">
        <v>250.89312927359592</v>
      </c>
      <c r="Q89" s="253">
        <v>0.39100000000000001</v>
      </c>
      <c r="R89" s="253">
        <v>744.39638799073884</v>
      </c>
      <c r="S89" s="254">
        <v>671.95083799999998</v>
      </c>
      <c r="U89" s="256"/>
      <c r="V89" s="256"/>
    </row>
    <row r="90" spans="1:22" ht="15.75">
      <c r="A90" s="241"/>
      <c r="B90" s="259" t="s">
        <v>727</v>
      </c>
      <c r="C90" s="253">
        <v>455.81276100000002</v>
      </c>
      <c r="D90" s="253">
        <v>159.20860000000002</v>
      </c>
      <c r="E90" s="253">
        <v>146.78417870015107</v>
      </c>
      <c r="F90" s="253">
        <v>77.992688299999998</v>
      </c>
      <c r="G90" s="253">
        <v>40.271869114967224</v>
      </c>
      <c r="H90" s="253">
        <v>26.330851800000001</v>
      </c>
      <c r="I90" s="253">
        <v>2.1887695061040753</v>
      </c>
      <c r="J90" s="253">
        <v>2.5710000000000002</v>
      </c>
      <c r="K90" s="253">
        <v>764.37653970015106</v>
      </c>
      <c r="L90" s="253">
        <v>1.5263890100000002</v>
      </c>
      <c r="M90" s="253">
        <v>765.90292871015106</v>
      </c>
      <c r="N90" s="253">
        <v>232.60481613004998</v>
      </c>
      <c r="O90" s="253">
        <v>998.507745</v>
      </c>
      <c r="P90" s="253">
        <v>251.56301637175935</v>
      </c>
      <c r="Q90" s="253">
        <v>0.39100000000000001</v>
      </c>
      <c r="R90" s="253">
        <v>747.33572846415188</v>
      </c>
      <c r="S90" s="254">
        <v>674.71823100000006</v>
      </c>
      <c r="U90" s="256"/>
      <c r="V90" s="256"/>
    </row>
    <row r="91" spans="1:22" ht="15.75">
      <c r="A91" s="241"/>
      <c r="B91" s="259" t="s">
        <v>728</v>
      </c>
      <c r="C91" s="253">
        <v>457.80717200000004</v>
      </c>
      <c r="D91" s="253">
        <v>159.74126899999999</v>
      </c>
      <c r="E91" s="253">
        <v>147.26323388923566</v>
      </c>
      <c r="F91" s="253">
        <v>78.249665100000001</v>
      </c>
      <c r="G91" s="253">
        <v>40.494156673974082</v>
      </c>
      <c r="H91" s="253">
        <v>26.316047900000001</v>
      </c>
      <c r="I91" s="253">
        <v>2.2033641803514454</v>
      </c>
      <c r="J91" s="253">
        <v>2.5710000000000002</v>
      </c>
      <c r="K91" s="253">
        <v>767.38267488923566</v>
      </c>
      <c r="L91" s="253">
        <v>1.4606744699999998</v>
      </c>
      <c r="M91" s="253">
        <v>768.84334935923562</v>
      </c>
      <c r="N91" s="253">
        <v>233.17444014687055</v>
      </c>
      <c r="O91" s="253">
        <v>1002.01779</v>
      </c>
      <c r="P91" s="253">
        <v>252.21315219763429</v>
      </c>
      <c r="Q91" s="253">
        <v>0.39100000000000001</v>
      </c>
      <c r="R91" s="253">
        <v>750.19563731162179</v>
      </c>
      <c r="S91" s="254">
        <v>677.41105000000005</v>
      </c>
      <c r="U91" s="256"/>
      <c r="V91" s="256"/>
    </row>
    <row r="92" spans="1:22" ht="15.75">
      <c r="A92" s="241"/>
      <c r="B92" s="259" t="s">
        <v>729</v>
      </c>
      <c r="C92" s="253">
        <v>459.79650099999998</v>
      </c>
      <c r="D92" s="253">
        <v>160.34739000000002</v>
      </c>
      <c r="E92" s="253">
        <v>147.72937526253739</v>
      </c>
      <c r="F92" s="253">
        <v>78.515243700000028</v>
      </c>
      <c r="G92" s="253">
        <v>40.693176554354444</v>
      </c>
      <c r="H92" s="253">
        <v>26.304931400000001</v>
      </c>
      <c r="I92" s="253">
        <v>2.2160236760699932</v>
      </c>
      <c r="J92" s="253">
        <v>2.5710000000000002</v>
      </c>
      <c r="K92" s="253">
        <v>770.44426626253744</v>
      </c>
      <c r="L92" s="253">
        <v>1.32585771</v>
      </c>
      <c r="M92" s="253">
        <v>771.77012397253748</v>
      </c>
      <c r="N92" s="253">
        <v>233.72680776000917</v>
      </c>
      <c r="O92" s="253">
        <v>1005.49693</v>
      </c>
      <c r="P92" s="253">
        <v>252.86700948314314</v>
      </c>
      <c r="Q92" s="253">
        <v>0.39100000000000001</v>
      </c>
      <c r="R92" s="253">
        <v>753.02092224653006</v>
      </c>
      <c r="S92" s="254">
        <v>680.07004299999994</v>
      </c>
      <c r="U92" s="256"/>
      <c r="V92" s="256"/>
    </row>
    <row r="93" spans="1:22" ht="15.75">
      <c r="A93" s="241"/>
      <c r="B93" s="259" t="s">
        <v>730</v>
      </c>
      <c r="C93" s="253">
        <v>461.76681199999996</v>
      </c>
      <c r="D93" s="253">
        <v>161.01410099999998</v>
      </c>
      <c r="E93" s="253">
        <v>148.1679455127715</v>
      </c>
      <c r="F93" s="253">
        <v>78.797399300000009</v>
      </c>
      <c r="G93" s="253">
        <v>40.869297533288339</v>
      </c>
      <c r="H93" s="253">
        <v>26.274156399999999</v>
      </c>
      <c r="I93" s="253">
        <v>2.227092221469789</v>
      </c>
      <c r="J93" s="253">
        <v>2.5710000000000002</v>
      </c>
      <c r="K93" s="253">
        <v>773.51985851277141</v>
      </c>
      <c r="L93" s="253">
        <v>1.4012374500000002</v>
      </c>
      <c r="M93" s="253">
        <v>774.92109596277146</v>
      </c>
      <c r="N93" s="253">
        <v>234.21591924197696</v>
      </c>
      <c r="O93" s="253">
        <v>1009.13702</v>
      </c>
      <c r="P93" s="253">
        <v>253.59595758132073</v>
      </c>
      <c r="Q93" s="253">
        <v>0.39100000000000001</v>
      </c>
      <c r="R93" s="253">
        <v>755.93205762754724</v>
      </c>
      <c r="S93" s="254">
        <v>682.80465800000002</v>
      </c>
      <c r="U93" s="256"/>
      <c r="V93" s="256"/>
    </row>
    <row r="94" spans="1:22" ht="15.75">
      <c r="A94" s="241"/>
      <c r="B94" s="259" t="s">
        <v>748</v>
      </c>
      <c r="C94" s="253">
        <v>463.72549699999996</v>
      </c>
      <c r="D94" s="253">
        <v>161.74862100000001</v>
      </c>
      <c r="E94" s="253">
        <v>148.74539902920662</v>
      </c>
      <c r="F94" s="253">
        <v>79.06071279999999</v>
      </c>
      <c r="G94" s="253">
        <v>41.092676502994046</v>
      </c>
      <c r="H94" s="253">
        <v>26.351373200000005</v>
      </c>
      <c r="I94" s="253">
        <v>2.2406365810251216</v>
      </c>
      <c r="J94" s="253">
        <v>2.5710000000000002</v>
      </c>
      <c r="K94" s="253">
        <v>776.79051702920663</v>
      </c>
      <c r="L94" s="253">
        <v>1.3461865099999999</v>
      </c>
      <c r="M94" s="253">
        <v>778.13670353920668</v>
      </c>
      <c r="N94" s="253">
        <v>234.7098823016722</v>
      </c>
      <c r="O94" s="253">
        <v>1012.84659</v>
      </c>
      <c r="P94" s="253">
        <v>254.37682839328932</v>
      </c>
      <c r="Q94" s="253">
        <v>0.39100000000000001</v>
      </c>
      <c r="R94" s="253">
        <v>758.86075744489574</v>
      </c>
      <c r="S94" s="254">
        <v>685.55295100000001</v>
      </c>
      <c r="U94" s="256"/>
      <c r="V94" s="256"/>
    </row>
    <row r="95" spans="1:22" ht="15.75">
      <c r="A95" s="241"/>
      <c r="B95" s="259" t="s">
        <v>749</v>
      </c>
      <c r="C95" s="253">
        <v>465.68083799999999</v>
      </c>
      <c r="D95" s="253">
        <v>162.51307299999999</v>
      </c>
      <c r="E95" s="253">
        <v>149.27153338903787</v>
      </c>
      <c r="F95" s="253">
        <v>79.358778300000012</v>
      </c>
      <c r="G95" s="253">
        <v>41.236961123458748</v>
      </c>
      <c r="H95" s="253">
        <v>26.425967700000001</v>
      </c>
      <c r="I95" s="253">
        <v>2.249826327918758</v>
      </c>
      <c r="J95" s="253">
        <v>2.5710000000000002</v>
      </c>
      <c r="K95" s="253">
        <v>780.0364443890378</v>
      </c>
      <c r="L95" s="253">
        <v>1.3411076900000001</v>
      </c>
      <c r="M95" s="253">
        <v>781.37755207903774</v>
      </c>
      <c r="N95" s="253">
        <v>235.18564071453036</v>
      </c>
      <c r="O95" s="253">
        <v>1016.56319</v>
      </c>
      <c r="P95" s="253">
        <v>255.16219352562649</v>
      </c>
      <c r="Q95" s="253">
        <v>0.39100000000000001</v>
      </c>
      <c r="R95" s="253">
        <v>761.79199926960951</v>
      </c>
      <c r="S95" s="254">
        <v>688.30133599999999</v>
      </c>
      <c r="U95" s="256"/>
      <c r="V95" s="256"/>
    </row>
    <row r="96" spans="1:22" ht="15.75">
      <c r="A96" s="241"/>
      <c r="B96" s="259" t="s">
        <v>750</v>
      </c>
      <c r="C96" s="253">
        <v>467.64437800000002</v>
      </c>
      <c r="D96" s="253">
        <v>163.28750200000002</v>
      </c>
      <c r="E96" s="253">
        <v>149.81327683942123</v>
      </c>
      <c r="F96" s="253">
        <v>79.663531300000002</v>
      </c>
      <c r="G96" s="253">
        <v>41.385808971300762</v>
      </c>
      <c r="H96" s="253">
        <v>26.504913200000001</v>
      </c>
      <c r="I96" s="253">
        <v>2.2590233913201607</v>
      </c>
      <c r="J96" s="253">
        <v>2.5710000000000002</v>
      </c>
      <c r="K96" s="253">
        <v>783.3161568394213</v>
      </c>
      <c r="L96" s="253">
        <v>1.3454135200000001</v>
      </c>
      <c r="M96" s="253">
        <v>784.66157035942115</v>
      </c>
      <c r="N96" s="253">
        <v>235.66598142122191</v>
      </c>
      <c r="O96" s="253">
        <v>1020.3275500000001</v>
      </c>
      <c r="P96" s="253">
        <v>255.95204123618535</v>
      </c>
      <c r="Q96" s="253">
        <v>0.39100000000000001</v>
      </c>
      <c r="R96" s="253">
        <v>764.76651054751278</v>
      </c>
      <c r="S96" s="254">
        <v>691.08685100000002</v>
      </c>
      <c r="U96" s="256"/>
      <c r="V96" s="256"/>
    </row>
    <row r="97" spans="1:22" ht="15.75">
      <c r="A97" s="241"/>
      <c r="B97" s="260" t="s">
        <v>751</v>
      </c>
      <c r="C97" s="279">
        <v>469.62082699999996</v>
      </c>
      <c r="D97" s="279">
        <v>164.058818</v>
      </c>
      <c r="E97" s="279">
        <v>150.32552029184401</v>
      </c>
      <c r="F97" s="279">
        <v>79.969457699999992</v>
      </c>
      <c r="G97" s="279">
        <v>41.526983656312701</v>
      </c>
      <c r="H97" s="279">
        <v>26.561055400000001</v>
      </c>
      <c r="I97" s="279">
        <v>2.2680234760767521</v>
      </c>
      <c r="J97" s="279">
        <v>2.5710000000000002</v>
      </c>
      <c r="K97" s="279">
        <v>786.57616529184406</v>
      </c>
      <c r="L97" s="279">
        <v>1.33105739</v>
      </c>
      <c r="M97" s="279">
        <v>787.90722268184402</v>
      </c>
      <c r="N97" s="279">
        <v>236.19703542441465</v>
      </c>
      <c r="O97" s="279">
        <v>1024.1042600000001</v>
      </c>
      <c r="P97" s="279">
        <v>256.74636038731927</v>
      </c>
      <c r="Q97" s="279">
        <v>0.39100000000000001</v>
      </c>
      <c r="R97" s="279">
        <v>767.74889772139591</v>
      </c>
      <c r="S97" s="280">
        <v>693.87741099999994</v>
      </c>
      <c r="U97" s="256"/>
      <c r="V97" s="256"/>
    </row>
    <row r="98" spans="1:22" ht="15.75">
      <c r="A98" s="241"/>
      <c r="B98" s="259">
        <v>2008</v>
      </c>
      <c r="C98" s="253">
        <v>1433.3009999999999</v>
      </c>
      <c r="D98" s="253">
        <v>467.22699999999998</v>
      </c>
      <c r="E98" s="253">
        <v>399.17200000000003</v>
      </c>
      <c r="F98" s="253">
        <v>216.583</v>
      </c>
      <c r="G98" s="253">
        <v>109.895</v>
      </c>
      <c r="H98" s="253">
        <v>65.302000000000007</v>
      </c>
      <c r="I98" s="253">
        <v>10.192</v>
      </c>
      <c r="J98" s="253">
        <v>-0.77400000000000002</v>
      </c>
      <c r="K98" s="253">
        <v>2298.9259999999999</v>
      </c>
      <c r="L98" s="253">
        <v>-8.5790000000000006</v>
      </c>
      <c r="M98" s="253">
        <v>2290.3470000000002</v>
      </c>
      <c r="N98" s="253">
        <v>666.85400000000004</v>
      </c>
      <c r="O98" s="253">
        <v>2965.4850000000001</v>
      </c>
      <c r="P98" s="253">
        <v>657.98199999999997</v>
      </c>
      <c r="Q98" s="253">
        <v>0</v>
      </c>
      <c r="R98" s="253">
        <v>2306.0079999999998</v>
      </c>
      <c r="S98" s="254">
        <v>2020.5329999999999</v>
      </c>
      <c r="U98" s="256"/>
      <c r="V98" s="256"/>
    </row>
    <row r="99" spans="1:22" ht="15.75">
      <c r="A99" s="241"/>
      <c r="B99" s="259">
        <v>2009</v>
      </c>
      <c r="C99" s="253">
        <v>1389.4290000000001</v>
      </c>
      <c r="D99" s="253">
        <v>473.73399999999998</v>
      </c>
      <c r="E99" s="253">
        <v>352.84899999999999</v>
      </c>
      <c r="F99" s="253">
        <v>186.202</v>
      </c>
      <c r="G99" s="253">
        <v>84.584999999999994</v>
      </c>
      <c r="H99" s="253">
        <v>70.081000000000003</v>
      </c>
      <c r="I99" s="253">
        <v>13.208</v>
      </c>
      <c r="J99" s="253">
        <v>2.3860000000000001</v>
      </c>
      <c r="K99" s="253">
        <v>2218.3980000000001</v>
      </c>
      <c r="L99" s="253">
        <v>-29.007000000000001</v>
      </c>
      <c r="M99" s="253">
        <v>2189.3910000000001</v>
      </c>
      <c r="N99" s="253">
        <v>613.95299999999997</v>
      </c>
      <c r="O99" s="253">
        <v>2811.6860000000001</v>
      </c>
      <c r="P99" s="253">
        <v>610.29499999999996</v>
      </c>
      <c r="Q99" s="253">
        <v>0</v>
      </c>
      <c r="R99" s="253">
        <v>2200.2220000000002</v>
      </c>
      <c r="S99" s="254">
        <v>1930.174</v>
      </c>
    </row>
    <row r="100" spans="1:22" ht="15.75">
      <c r="A100" s="241"/>
      <c r="B100" s="259">
        <v>2010</v>
      </c>
      <c r="C100" s="253">
        <v>1427.124</v>
      </c>
      <c r="D100" s="253">
        <v>473.62599999999998</v>
      </c>
      <c r="E100" s="253">
        <v>361.21600000000001</v>
      </c>
      <c r="F100" s="253">
        <v>191.078</v>
      </c>
      <c r="G100" s="253">
        <v>86.256</v>
      </c>
      <c r="H100" s="253">
        <v>71.475999999999999</v>
      </c>
      <c r="I100" s="253">
        <v>13.466999999999999</v>
      </c>
      <c r="J100" s="253">
        <v>-0.51500000000000001</v>
      </c>
      <c r="K100" s="253">
        <v>2261.451</v>
      </c>
      <c r="L100" s="253">
        <v>-7.0250000000000004</v>
      </c>
      <c r="M100" s="253">
        <v>2254.4259999999999</v>
      </c>
      <c r="N100" s="253">
        <v>651.71</v>
      </c>
      <c r="O100" s="253">
        <v>2914.4859999999999</v>
      </c>
      <c r="P100" s="253">
        <v>663.08600000000001</v>
      </c>
      <c r="Q100" s="253">
        <v>0</v>
      </c>
      <c r="R100" s="253">
        <v>2249.9589999999998</v>
      </c>
      <c r="S100" s="254">
        <v>1980.7080000000001</v>
      </c>
    </row>
    <row r="101" spans="1:22" ht="15.75">
      <c r="A101" s="241"/>
      <c r="B101" s="259">
        <v>2011</v>
      </c>
      <c r="C101" s="253">
        <v>1418.1869999999999</v>
      </c>
      <c r="D101" s="253">
        <v>472.11</v>
      </c>
      <c r="E101" s="253">
        <v>360.60300000000001</v>
      </c>
      <c r="F101" s="253">
        <v>199.41900000000001</v>
      </c>
      <c r="G101" s="253">
        <v>82.73</v>
      </c>
      <c r="H101" s="253">
        <v>66.506</v>
      </c>
      <c r="I101" s="253">
        <v>12.301</v>
      </c>
      <c r="J101" s="253">
        <v>-0.77500000000000002</v>
      </c>
      <c r="K101" s="253">
        <v>2250.125</v>
      </c>
      <c r="L101" s="253">
        <v>0.43</v>
      </c>
      <c r="M101" s="253">
        <v>2250.5549999999998</v>
      </c>
      <c r="N101" s="253">
        <v>695.98900000000003</v>
      </c>
      <c r="O101" s="253">
        <v>2952.1089999999999</v>
      </c>
      <c r="P101" s="253">
        <v>681.26199999999994</v>
      </c>
      <c r="Q101" s="253">
        <v>0</v>
      </c>
      <c r="R101" s="253">
        <v>2269.116</v>
      </c>
      <c r="S101" s="254">
        <v>2007.6659999999999</v>
      </c>
    </row>
    <row r="102" spans="1:22" ht="15.75">
      <c r="A102" s="241"/>
      <c r="B102" s="259">
        <v>2012</v>
      </c>
      <c r="C102" s="253">
        <v>1446.1679999999999</v>
      </c>
      <c r="D102" s="253">
        <v>479.02100000000002</v>
      </c>
      <c r="E102" s="253">
        <v>367.983</v>
      </c>
      <c r="F102" s="253">
        <v>211.73</v>
      </c>
      <c r="G102" s="253">
        <v>82.477000000000004</v>
      </c>
      <c r="H102" s="253">
        <v>61.929000000000002</v>
      </c>
      <c r="I102" s="253">
        <v>11.295999999999999</v>
      </c>
      <c r="J102" s="253">
        <v>-1.609</v>
      </c>
      <c r="K102" s="253">
        <v>2291.5630000000001</v>
      </c>
      <c r="L102" s="253">
        <v>4.5449999999999999</v>
      </c>
      <c r="M102" s="253">
        <v>2296.1080000000002</v>
      </c>
      <c r="N102" s="253">
        <v>699.71100000000001</v>
      </c>
      <c r="O102" s="253">
        <v>3002.4589999999998</v>
      </c>
      <c r="P102" s="253">
        <v>696.649</v>
      </c>
      <c r="Q102" s="253">
        <v>0</v>
      </c>
      <c r="R102" s="253">
        <v>2303.7939999999999</v>
      </c>
      <c r="S102" s="254">
        <v>2049.0740000000001</v>
      </c>
    </row>
    <row r="103" spans="1:22" ht="15.75">
      <c r="A103" s="241"/>
      <c r="B103" s="259">
        <v>2013</v>
      </c>
      <c r="C103" s="253">
        <v>1477.9939999999999</v>
      </c>
      <c r="D103" s="253">
        <v>479.18900000000002</v>
      </c>
      <c r="E103" s="253">
        <v>383.41500000000002</v>
      </c>
      <c r="F103" s="253">
        <v>221.25399999999999</v>
      </c>
      <c r="G103" s="253">
        <v>92.358999999999995</v>
      </c>
      <c r="H103" s="253">
        <v>58.295000000000002</v>
      </c>
      <c r="I103" s="253">
        <v>10.777000000000001</v>
      </c>
      <c r="J103" s="253">
        <v>6.577</v>
      </c>
      <c r="K103" s="253">
        <v>2347.1750000000002</v>
      </c>
      <c r="L103" s="253">
        <v>0.64800000000000002</v>
      </c>
      <c r="M103" s="253">
        <v>2347.8229999999999</v>
      </c>
      <c r="N103" s="253">
        <v>702.7</v>
      </c>
      <c r="O103" s="253">
        <v>3064.5529999999999</v>
      </c>
      <c r="P103" s="253">
        <v>718.79600000000005</v>
      </c>
      <c r="Q103" s="253">
        <v>0</v>
      </c>
      <c r="R103" s="253">
        <v>2343.384</v>
      </c>
      <c r="S103" s="254">
        <v>2087.7820000000002</v>
      </c>
    </row>
    <row r="104" spans="1:22" ht="15.75">
      <c r="A104" s="241"/>
      <c r="B104" s="259">
        <v>2014</v>
      </c>
      <c r="C104" s="253">
        <v>1518.913</v>
      </c>
      <c r="D104" s="253">
        <v>490.334</v>
      </c>
      <c r="E104" s="253">
        <v>411.50700000000001</v>
      </c>
      <c r="F104" s="253">
        <v>235.726</v>
      </c>
      <c r="G104" s="253">
        <v>97.12</v>
      </c>
      <c r="H104" s="253">
        <v>65.430000000000007</v>
      </c>
      <c r="I104" s="253">
        <v>12.568</v>
      </c>
      <c r="J104" s="253">
        <v>4.9429999999999996</v>
      </c>
      <c r="K104" s="253">
        <v>2425.6970000000001</v>
      </c>
      <c r="L104" s="253">
        <v>20.925000000000001</v>
      </c>
      <c r="M104" s="253">
        <v>2446.6219999999998</v>
      </c>
      <c r="N104" s="253">
        <v>712.18399999999997</v>
      </c>
      <c r="O104" s="253">
        <v>3175.3870000000002</v>
      </c>
      <c r="P104" s="253">
        <v>755.20500000000004</v>
      </c>
      <c r="Q104" s="253">
        <v>0</v>
      </c>
      <c r="R104" s="253">
        <v>2417.4389999999999</v>
      </c>
      <c r="S104" s="254">
        <v>2155.8310000000001</v>
      </c>
    </row>
    <row r="105" spans="1:22" ht="15.75">
      <c r="A105" s="241"/>
      <c r="B105" s="259">
        <v>2015</v>
      </c>
      <c r="C105" s="253">
        <v>1563.941</v>
      </c>
      <c r="D105" s="253">
        <v>495.18900000000002</v>
      </c>
      <c r="E105" s="253">
        <v>439.37900000000002</v>
      </c>
      <c r="F105" s="253">
        <v>256.423</v>
      </c>
      <c r="G105" s="253">
        <v>103.508</v>
      </c>
      <c r="H105" s="253">
        <v>66.528000000000006</v>
      </c>
      <c r="I105" s="253">
        <v>12.047000000000001</v>
      </c>
      <c r="J105" s="253">
        <v>-0.83099999999999996</v>
      </c>
      <c r="K105" s="253">
        <v>2497.6779999999999</v>
      </c>
      <c r="L105" s="253">
        <v>8.9390000000000001</v>
      </c>
      <c r="M105" s="253">
        <v>2506.6170000000002</v>
      </c>
      <c r="N105" s="253">
        <v>738.202</v>
      </c>
      <c r="O105" s="253">
        <v>3263.96</v>
      </c>
      <c r="P105" s="253">
        <v>792.45</v>
      </c>
      <c r="Q105" s="253">
        <v>0</v>
      </c>
      <c r="R105" s="253">
        <v>2469.1819999999998</v>
      </c>
      <c r="S105" s="254">
        <v>2195.0709999999999</v>
      </c>
    </row>
    <row r="106" spans="1:22" ht="15.75">
      <c r="A106" s="241"/>
      <c r="B106" s="259">
        <v>2016</v>
      </c>
      <c r="C106" s="253">
        <v>1619.7670000000001</v>
      </c>
      <c r="D106" s="253">
        <v>499.524</v>
      </c>
      <c r="E106" s="253">
        <v>466.34500000000003</v>
      </c>
      <c r="F106" s="253">
        <v>276.23899999999998</v>
      </c>
      <c r="G106" s="253">
        <v>111.83199999999999</v>
      </c>
      <c r="H106" s="253">
        <v>65.012</v>
      </c>
      <c r="I106" s="253">
        <v>12.218</v>
      </c>
      <c r="J106" s="253">
        <v>-0.41199999999999998</v>
      </c>
      <c r="K106" s="253">
        <v>2585.2240000000002</v>
      </c>
      <c r="L106" s="253">
        <v>-15.807</v>
      </c>
      <c r="M106" s="253">
        <v>2569.4169999999999</v>
      </c>
      <c r="N106" s="253">
        <v>765.88</v>
      </c>
      <c r="O106" s="253">
        <v>3352.7759999999998</v>
      </c>
      <c r="P106" s="253">
        <v>827.95699999999999</v>
      </c>
      <c r="Q106" s="253">
        <v>0</v>
      </c>
      <c r="R106" s="253">
        <v>2523.665</v>
      </c>
      <c r="S106" s="254">
        <v>2244.3150000000001</v>
      </c>
    </row>
    <row r="107" spans="1:22" ht="15.75">
      <c r="A107" s="241"/>
      <c r="B107" s="259">
        <v>2017</v>
      </c>
      <c r="C107" s="253">
        <v>1653.27</v>
      </c>
      <c r="D107" s="253">
        <v>504.596</v>
      </c>
      <c r="E107" s="253">
        <v>484.36099999999999</v>
      </c>
      <c r="F107" s="253">
        <v>278.86200000000002</v>
      </c>
      <c r="G107" s="253">
        <v>121.82</v>
      </c>
      <c r="H107" s="253">
        <v>71.075000000000003</v>
      </c>
      <c r="I107" s="253">
        <v>12.088000000000001</v>
      </c>
      <c r="J107" s="253">
        <v>-0.76600000000000001</v>
      </c>
      <c r="K107" s="253">
        <v>2641.4609999999998</v>
      </c>
      <c r="L107" s="253">
        <v>-6.2290000000000001</v>
      </c>
      <c r="M107" s="253">
        <v>2635.232</v>
      </c>
      <c r="N107" s="253">
        <v>815.17200000000003</v>
      </c>
      <c r="O107" s="253">
        <v>3454.44</v>
      </c>
      <c r="P107" s="253">
        <v>853.30499999999995</v>
      </c>
      <c r="Q107" s="253">
        <v>0</v>
      </c>
      <c r="R107" s="253">
        <v>2599.9609999999998</v>
      </c>
      <c r="S107" s="254">
        <v>2315.596</v>
      </c>
    </row>
    <row r="108" spans="1:22" ht="15.75">
      <c r="A108" s="241"/>
      <c r="B108" s="259">
        <v>2018</v>
      </c>
      <c r="C108" s="253">
        <v>1687.414</v>
      </c>
      <c r="D108" s="253">
        <v>507.84100000000001</v>
      </c>
      <c r="E108" s="253">
        <v>483.363</v>
      </c>
      <c r="F108" s="253">
        <v>276.18799999999999</v>
      </c>
      <c r="G108" s="253">
        <v>130.036</v>
      </c>
      <c r="H108" s="253">
        <v>70.542000000000002</v>
      </c>
      <c r="I108" s="253">
        <v>6.3340000000000005</v>
      </c>
      <c r="J108" s="253">
        <v>1.6990000000000001</v>
      </c>
      <c r="K108" s="253">
        <v>2680.317</v>
      </c>
      <c r="L108" s="253">
        <v>-1.5</v>
      </c>
      <c r="M108" s="253">
        <v>2678.817</v>
      </c>
      <c r="N108" s="253">
        <v>846.41</v>
      </c>
      <c r="O108" s="253">
        <v>3523.6950000000002</v>
      </c>
      <c r="P108" s="253">
        <v>882.42399999999998</v>
      </c>
      <c r="Q108" s="253">
        <v>0</v>
      </c>
      <c r="R108" s="253">
        <v>2640.2950000000001</v>
      </c>
      <c r="S108" s="254">
        <v>2348.6849999999999</v>
      </c>
    </row>
    <row r="109" spans="1:22" ht="15.75">
      <c r="A109" s="241"/>
      <c r="B109" s="259">
        <v>2019</v>
      </c>
      <c r="C109" s="253">
        <v>1706.4960000000001</v>
      </c>
      <c r="D109" s="253">
        <v>522.79399999999998</v>
      </c>
      <c r="E109" s="253">
        <v>492.22699999999998</v>
      </c>
      <c r="F109" s="253">
        <v>280.22399999999999</v>
      </c>
      <c r="G109" s="253">
        <v>132.696</v>
      </c>
      <c r="H109" s="253">
        <v>72.89</v>
      </c>
      <c r="I109" s="253">
        <v>6.0812307799999994</v>
      </c>
      <c r="J109" s="253">
        <v>1.4359999999999999</v>
      </c>
      <c r="K109" s="253">
        <v>2722.953</v>
      </c>
      <c r="L109" s="253">
        <v>-1.02</v>
      </c>
      <c r="M109" s="253">
        <v>2721.933</v>
      </c>
      <c r="N109" s="253">
        <v>862.52099999999996</v>
      </c>
      <c r="O109" s="253">
        <v>3583.95</v>
      </c>
      <c r="P109" s="253">
        <v>909.625</v>
      </c>
      <c r="Q109" s="253">
        <v>0</v>
      </c>
      <c r="R109" s="253">
        <v>2673.4650000000001</v>
      </c>
      <c r="S109" s="254">
        <v>2381.1480000000001</v>
      </c>
    </row>
    <row r="110" spans="1:22" ht="15.75">
      <c r="A110" s="241"/>
      <c r="B110" s="259">
        <v>2020</v>
      </c>
      <c r="C110" s="253">
        <v>1486.3</v>
      </c>
      <c r="D110" s="253">
        <v>491.67700000000002</v>
      </c>
      <c r="E110" s="253">
        <v>443.52100000000002</v>
      </c>
      <c r="F110" s="253">
        <v>254.40899999999999</v>
      </c>
      <c r="G110" s="253">
        <v>107.342</v>
      </c>
      <c r="H110" s="253">
        <v>76.153000000000006</v>
      </c>
      <c r="I110" s="253">
        <v>5.3070708319999991</v>
      </c>
      <c r="J110" s="253">
        <v>0.63200000000000001</v>
      </c>
      <c r="K110" s="253">
        <v>2422.13</v>
      </c>
      <c r="L110" s="253">
        <v>-1.77</v>
      </c>
      <c r="M110" s="253">
        <v>2420.36</v>
      </c>
      <c r="N110" s="253">
        <v>758.88900000000001</v>
      </c>
      <c r="O110" s="253">
        <v>3178.0659999999998</v>
      </c>
      <c r="P110" s="253">
        <v>771.51199999999994</v>
      </c>
      <c r="Q110" s="253">
        <v>0</v>
      </c>
      <c r="R110" s="253">
        <v>2404.8380000000002</v>
      </c>
      <c r="S110" s="254">
        <v>2151.2350000000001</v>
      </c>
    </row>
    <row r="111" spans="1:22" ht="15.75">
      <c r="A111" s="241"/>
      <c r="B111" s="259">
        <v>2021</v>
      </c>
      <c r="C111" s="253">
        <v>1594.124</v>
      </c>
      <c r="D111" s="253">
        <v>555.57399999999996</v>
      </c>
      <c r="E111" s="253">
        <v>484.57600000000002</v>
      </c>
      <c r="F111" s="253">
        <v>269.55200000000002</v>
      </c>
      <c r="G111" s="253">
        <v>126.97</v>
      </c>
      <c r="H111" s="253">
        <v>81.638000000000005</v>
      </c>
      <c r="I111" s="253">
        <v>6.6759214799999995</v>
      </c>
      <c r="J111" s="253">
        <v>9.2530000000000001</v>
      </c>
      <c r="K111" s="253">
        <v>2643.527</v>
      </c>
      <c r="L111" s="253">
        <v>-1.5349999999999999</v>
      </c>
      <c r="M111" s="253">
        <v>2641.9920000000002</v>
      </c>
      <c r="N111" s="253">
        <v>780.61599999999999</v>
      </c>
      <c r="O111" s="253">
        <v>3426.1120000000001</v>
      </c>
      <c r="P111" s="253">
        <v>812.23199999999997</v>
      </c>
      <c r="Q111" s="253">
        <v>0</v>
      </c>
      <c r="R111" s="253">
        <v>2610.2860000000001</v>
      </c>
      <c r="S111" s="254">
        <v>2341.0549999999998</v>
      </c>
    </row>
    <row r="112" spans="1:22" ht="15.75">
      <c r="A112" s="241"/>
      <c r="B112" s="259">
        <v>2022</v>
      </c>
      <c r="C112" s="253">
        <v>1715.6569999999999</v>
      </c>
      <c r="D112" s="253">
        <v>555.94899999999996</v>
      </c>
      <c r="E112" s="253">
        <v>517.505</v>
      </c>
      <c r="F112" s="253">
        <v>284.22399999999999</v>
      </c>
      <c r="G112" s="253">
        <v>141.52600000000001</v>
      </c>
      <c r="H112" s="253">
        <v>84.221999999999994</v>
      </c>
      <c r="I112" s="253">
        <v>7.3328516699999993</v>
      </c>
      <c r="J112" s="253">
        <v>-19.806000000000001</v>
      </c>
      <c r="K112" s="253">
        <v>2769.3049999999998</v>
      </c>
      <c r="L112" s="253">
        <v>3.3130000000000002</v>
      </c>
      <c r="M112" s="253">
        <v>2772.6179999999999</v>
      </c>
      <c r="N112" s="253">
        <v>899.37699999999995</v>
      </c>
      <c r="O112" s="253">
        <v>3670.5</v>
      </c>
      <c r="P112" s="253">
        <v>925.24800000000005</v>
      </c>
      <c r="Q112" s="253">
        <v>0</v>
      </c>
      <c r="R112" s="253">
        <v>2744.7080000000001</v>
      </c>
      <c r="S112" s="254">
        <v>2451.9110000000001</v>
      </c>
    </row>
    <row r="113" spans="1:20" ht="15.75">
      <c r="A113" s="241"/>
      <c r="B113" s="259">
        <v>2023</v>
      </c>
      <c r="C113" s="253">
        <v>1708.903</v>
      </c>
      <c r="D113" s="253">
        <v>567.36900000000003</v>
      </c>
      <c r="E113" s="253">
        <v>520.09100000000001</v>
      </c>
      <c r="F113" s="253">
        <v>290.58699999999999</v>
      </c>
      <c r="G113" s="253">
        <v>133.404</v>
      </c>
      <c r="H113" s="253">
        <v>88.233000000000004</v>
      </c>
      <c r="I113" s="253">
        <v>7.01288585</v>
      </c>
      <c r="J113" s="253">
        <v>-13.342000000000001</v>
      </c>
      <c r="K113" s="253">
        <v>2783.0210000000002</v>
      </c>
      <c r="L113" s="253">
        <v>1.284</v>
      </c>
      <c r="M113" s="253">
        <v>2784.3049999999998</v>
      </c>
      <c r="N113" s="253">
        <v>878.27800000000002</v>
      </c>
      <c r="O113" s="253">
        <v>3662.5830000000001</v>
      </c>
      <c r="P113" s="253">
        <v>910.41899999999998</v>
      </c>
      <c r="Q113" s="253">
        <v>0</v>
      </c>
      <c r="R113" s="253">
        <v>2752.1640000000002</v>
      </c>
      <c r="S113" s="254">
        <v>2470.7139999999999</v>
      </c>
    </row>
    <row r="114" spans="1:20" ht="15.75">
      <c r="A114" s="241"/>
      <c r="B114" s="259">
        <v>2024</v>
      </c>
      <c r="C114" s="253">
        <v>1705.3620000000001</v>
      </c>
      <c r="D114" s="253">
        <v>586.40099999999995</v>
      </c>
      <c r="E114" s="253">
        <v>529.21699999999998</v>
      </c>
      <c r="F114" s="253">
        <v>297.13400000000001</v>
      </c>
      <c r="G114" s="253">
        <v>131.59800000000001</v>
      </c>
      <c r="H114" s="253">
        <v>91.888999999999996</v>
      </c>
      <c r="I114" s="253">
        <v>7.0305068000000004</v>
      </c>
      <c r="J114" s="253">
        <v>5.9050000000000002</v>
      </c>
      <c r="K114" s="253">
        <v>2826.8850000000002</v>
      </c>
      <c r="L114" s="253">
        <v>4.2110000000000003</v>
      </c>
      <c r="M114" s="253">
        <v>2831.096</v>
      </c>
      <c r="N114" s="253">
        <v>884.03</v>
      </c>
      <c r="O114" s="253">
        <v>3715.1260000000002</v>
      </c>
      <c r="P114" s="253">
        <v>934.02</v>
      </c>
      <c r="Q114" s="253">
        <v>2.0590000000000002</v>
      </c>
      <c r="R114" s="253">
        <v>2783.165</v>
      </c>
      <c r="S114" s="254">
        <v>2503.7629999999999</v>
      </c>
    </row>
    <row r="115" spans="1:20" ht="15.75">
      <c r="A115" s="241"/>
      <c r="B115" s="259">
        <v>2025</v>
      </c>
      <c r="C115" s="253">
        <v>1720.4505819999999</v>
      </c>
      <c r="D115" s="253">
        <v>598.34885699999995</v>
      </c>
      <c r="E115" s="253">
        <v>540.72251252573199</v>
      </c>
      <c r="F115" s="253">
        <v>305.47003600000005</v>
      </c>
      <c r="G115" s="253">
        <v>132.96730720743494</v>
      </c>
      <c r="H115" s="253">
        <v>94.143502400000003</v>
      </c>
      <c r="I115" s="253">
        <v>7.1039981966858807</v>
      </c>
      <c r="J115" s="253">
        <v>13.557</v>
      </c>
      <c r="K115" s="253">
        <v>2873.078951525732</v>
      </c>
      <c r="L115" s="253">
        <v>5.3810162500000009</v>
      </c>
      <c r="M115" s="253">
        <v>2878.4599677757319</v>
      </c>
      <c r="N115" s="253">
        <v>912.97260600332891</v>
      </c>
      <c r="O115" s="253">
        <v>3791.4325730000005</v>
      </c>
      <c r="P115" s="253">
        <v>968.54669608607674</v>
      </c>
      <c r="Q115" s="253">
        <v>1.5629999999999999</v>
      </c>
      <c r="R115" s="253">
        <v>2824.4488776913859</v>
      </c>
      <c r="S115" s="254">
        <v>2542.4006849999996</v>
      </c>
    </row>
    <row r="116" spans="1:20" ht="15.75">
      <c r="A116" s="241"/>
      <c r="B116" s="259">
        <v>2026</v>
      </c>
      <c r="C116" s="253">
        <v>1740.611678</v>
      </c>
      <c r="D116" s="253">
        <v>611.51033600000005</v>
      </c>
      <c r="E116" s="253">
        <v>547.78744999615174</v>
      </c>
      <c r="F116" s="253">
        <v>304.35091850000003</v>
      </c>
      <c r="G116" s="253">
        <v>134.81570253309314</v>
      </c>
      <c r="H116" s="253">
        <v>101.44796839999999</v>
      </c>
      <c r="I116" s="253">
        <v>7.1728605950219322</v>
      </c>
      <c r="J116" s="253">
        <v>10.284000000000001</v>
      </c>
      <c r="K116" s="253">
        <v>2910.1934639961514</v>
      </c>
      <c r="L116" s="253">
        <v>5.3833121869999996</v>
      </c>
      <c r="M116" s="253">
        <v>2915.5767761831517</v>
      </c>
      <c r="N116" s="253">
        <v>916.2899935278549</v>
      </c>
      <c r="O116" s="253">
        <v>3831.8667689999997</v>
      </c>
      <c r="P116" s="253">
        <v>970.24552115764436</v>
      </c>
      <c r="Q116" s="253">
        <v>1.5640000000000001</v>
      </c>
      <c r="R116" s="253">
        <v>2863.1852485510985</v>
      </c>
      <c r="S116" s="254">
        <v>2579.1589089999998</v>
      </c>
    </row>
    <row r="117" spans="1:20" ht="15.75">
      <c r="A117" s="241"/>
      <c r="B117" s="259">
        <v>2027</v>
      </c>
      <c r="C117" s="253">
        <v>1767.2214050000002</v>
      </c>
      <c r="D117" s="253">
        <v>622.24953199999993</v>
      </c>
      <c r="E117" s="253">
        <v>564.7759854802224</v>
      </c>
      <c r="F117" s="253">
        <v>306.07612399999999</v>
      </c>
      <c r="G117" s="253">
        <v>144.01812173148122</v>
      </c>
      <c r="H117" s="253">
        <v>106.9576311</v>
      </c>
      <c r="I117" s="253">
        <v>7.7241086659922633</v>
      </c>
      <c r="J117" s="253">
        <v>10.284000000000001</v>
      </c>
      <c r="K117" s="253">
        <v>2964.5309224802222</v>
      </c>
      <c r="L117" s="253">
        <v>4.7571779699999999</v>
      </c>
      <c r="M117" s="253">
        <v>2969.2881004502224</v>
      </c>
      <c r="N117" s="253">
        <v>919.4329714750786</v>
      </c>
      <c r="O117" s="253">
        <v>3888.7210720000003</v>
      </c>
      <c r="P117" s="253">
        <v>982.93123650956306</v>
      </c>
      <c r="Q117" s="253">
        <v>1.5640000000000001</v>
      </c>
      <c r="R117" s="253">
        <v>2907.3538354180519</v>
      </c>
      <c r="S117" s="254">
        <v>2621.2085420000003</v>
      </c>
    </row>
    <row r="118" spans="1:20" ht="15.75">
      <c r="A118" s="241"/>
      <c r="B118" s="259">
        <v>2028</v>
      </c>
      <c r="C118" s="253">
        <v>1795.5639569999998</v>
      </c>
      <c r="D118" s="253">
        <v>630.57928900000002</v>
      </c>
      <c r="E118" s="253">
        <v>579.04475212187481</v>
      </c>
      <c r="F118" s="253">
        <v>308.79869050000002</v>
      </c>
      <c r="G118" s="253">
        <v>155.0696212170208</v>
      </c>
      <c r="H118" s="253">
        <v>106.78001850000001</v>
      </c>
      <c r="I118" s="253">
        <v>8.3964218637128738</v>
      </c>
      <c r="J118" s="253">
        <v>10.284000000000001</v>
      </c>
      <c r="K118" s="253">
        <v>3015.4719981218745</v>
      </c>
      <c r="L118" s="253">
        <v>5.0064771400000003</v>
      </c>
      <c r="M118" s="253">
        <v>3020.4784752618743</v>
      </c>
      <c r="N118" s="253">
        <v>924.16120556392593</v>
      </c>
      <c r="O118" s="253">
        <v>3944.6396810000001</v>
      </c>
      <c r="P118" s="253">
        <v>996.18628419018341</v>
      </c>
      <c r="Q118" s="253">
        <v>1.5640000000000001</v>
      </c>
      <c r="R118" s="253">
        <v>2950.0173966243797</v>
      </c>
      <c r="S118" s="254">
        <v>2661.7355269999998</v>
      </c>
      <c r="T118" s="263"/>
    </row>
    <row r="119" spans="1:20" ht="15.75">
      <c r="A119" s="241"/>
      <c r="B119" s="259">
        <v>2029</v>
      </c>
      <c r="C119" s="253">
        <v>1827.228507</v>
      </c>
      <c r="D119" s="253">
        <v>638.024721</v>
      </c>
      <c r="E119" s="253">
        <v>587.97553991075506</v>
      </c>
      <c r="F119" s="253">
        <v>312.492414</v>
      </c>
      <c r="G119" s="253">
        <v>161.35944185464422</v>
      </c>
      <c r="H119" s="253">
        <v>105.3494125</v>
      </c>
      <c r="I119" s="253">
        <v>8.7742715763534243</v>
      </c>
      <c r="J119" s="253">
        <v>10.284000000000001</v>
      </c>
      <c r="K119" s="253">
        <v>3063.5127679107554</v>
      </c>
      <c r="L119" s="253">
        <v>5.8387663200000004</v>
      </c>
      <c r="M119" s="253">
        <v>3069.3515342307551</v>
      </c>
      <c r="N119" s="253">
        <v>931.56944911447545</v>
      </c>
      <c r="O119" s="253">
        <v>4000.9209820000001</v>
      </c>
      <c r="P119" s="253">
        <v>1007.5363073261327</v>
      </c>
      <c r="Q119" s="253">
        <v>1.5640000000000001</v>
      </c>
      <c r="R119" s="253">
        <v>2994.9486760130426</v>
      </c>
      <c r="S119" s="254">
        <v>2704.1501619999999</v>
      </c>
    </row>
    <row r="120" spans="1:20" ht="15.75">
      <c r="A120" s="241"/>
      <c r="B120" s="260">
        <v>2030</v>
      </c>
      <c r="C120" s="279">
        <v>1858.8175249999999</v>
      </c>
      <c r="D120" s="279">
        <v>648.56329700000003</v>
      </c>
      <c r="E120" s="279">
        <v>595.99815477043717</v>
      </c>
      <c r="F120" s="279">
        <v>316.8804217</v>
      </c>
      <c r="G120" s="279">
        <v>164.5847441310419</v>
      </c>
      <c r="H120" s="279">
        <v>105.55641050000001</v>
      </c>
      <c r="I120" s="279">
        <v>8.9765785217338294</v>
      </c>
      <c r="J120" s="279">
        <v>10.284000000000001</v>
      </c>
      <c r="K120" s="279">
        <v>3113.6629767704367</v>
      </c>
      <c r="L120" s="279">
        <v>5.4339451700000003</v>
      </c>
      <c r="M120" s="279">
        <v>3119.0969219404369</v>
      </c>
      <c r="N120" s="279">
        <v>939.77742367940141</v>
      </c>
      <c r="O120" s="279">
        <v>4058.8743499999996</v>
      </c>
      <c r="P120" s="279">
        <v>1019.0870207364218</v>
      </c>
      <c r="Q120" s="279">
        <v>1.5640000000000001</v>
      </c>
      <c r="R120" s="279">
        <v>3041.3513248895647</v>
      </c>
      <c r="S120" s="280">
        <v>2747.7457960000002</v>
      </c>
    </row>
    <row r="121" spans="1:20" ht="15.75">
      <c r="A121" s="241"/>
      <c r="B121" s="259" t="s">
        <v>125</v>
      </c>
      <c r="C121" s="253">
        <v>1412.941</v>
      </c>
      <c r="D121" s="253">
        <v>469.09300000000002</v>
      </c>
      <c r="E121" s="253">
        <v>388.30099999999999</v>
      </c>
      <c r="F121" s="253">
        <v>212.94</v>
      </c>
      <c r="G121" s="253">
        <v>99.97</v>
      </c>
      <c r="H121" s="253">
        <v>66.048000000000002</v>
      </c>
      <c r="I121" s="253">
        <v>11.693</v>
      </c>
      <c r="J121" s="253">
        <v>0.123</v>
      </c>
      <c r="K121" s="253">
        <v>2270.4580000000001</v>
      </c>
      <c r="L121" s="253">
        <v>-11.510999999999999</v>
      </c>
      <c r="M121" s="253">
        <v>2258.9470000000001</v>
      </c>
      <c r="N121" s="253">
        <v>651.27200000000005</v>
      </c>
      <c r="O121" s="253">
        <v>2909.4940000000001</v>
      </c>
      <c r="P121" s="253">
        <v>638.26199999999994</v>
      </c>
      <c r="Q121" s="253">
        <v>0</v>
      </c>
      <c r="R121" s="253">
        <v>2269.7689999999998</v>
      </c>
      <c r="S121" s="254">
        <v>1990.3050000000001</v>
      </c>
    </row>
    <row r="122" spans="1:20" ht="15.75">
      <c r="A122" s="241"/>
      <c r="B122" s="259" t="s">
        <v>126</v>
      </c>
      <c r="C122" s="253">
        <v>1392.444</v>
      </c>
      <c r="D122" s="253">
        <v>473.82100000000003</v>
      </c>
      <c r="E122" s="253">
        <v>352.06099999999998</v>
      </c>
      <c r="F122" s="253">
        <v>184.905</v>
      </c>
      <c r="G122" s="253">
        <v>83.561999999999998</v>
      </c>
      <c r="H122" s="253">
        <v>71.236999999999995</v>
      </c>
      <c r="I122" s="253">
        <v>13.344999999999999</v>
      </c>
      <c r="J122" s="253">
        <v>0.504</v>
      </c>
      <c r="K122" s="253">
        <v>2218.83</v>
      </c>
      <c r="L122" s="253">
        <v>-23.809000000000001</v>
      </c>
      <c r="M122" s="253">
        <v>2195.0210000000002</v>
      </c>
      <c r="N122" s="253">
        <v>619.22199999999998</v>
      </c>
      <c r="O122" s="253">
        <v>2826.8989999999999</v>
      </c>
      <c r="P122" s="253">
        <v>619.96400000000006</v>
      </c>
      <c r="Q122" s="253">
        <v>0</v>
      </c>
      <c r="R122" s="253">
        <v>2205.7730000000001</v>
      </c>
      <c r="S122" s="254">
        <v>1935.85</v>
      </c>
    </row>
    <row r="123" spans="1:20" ht="15.75">
      <c r="A123" s="241"/>
      <c r="B123" s="259" t="s">
        <v>127</v>
      </c>
      <c r="C123" s="253">
        <v>1432.915</v>
      </c>
      <c r="D123" s="253">
        <v>474.904</v>
      </c>
      <c r="E123" s="253">
        <v>360.56700000000001</v>
      </c>
      <c r="F123" s="253">
        <v>190.97900000000001</v>
      </c>
      <c r="G123" s="253">
        <v>86.298000000000002</v>
      </c>
      <c r="H123" s="253">
        <v>71.25</v>
      </c>
      <c r="I123" s="253">
        <v>13.206</v>
      </c>
      <c r="J123" s="253">
        <v>-2.8130000000000002</v>
      </c>
      <c r="K123" s="253">
        <v>2265.5729999999999</v>
      </c>
      <c r="L123" s="253">
        <v>-4.6859999999999999</v>
      </c>
      <c r="M123" s="253">
        <v>2260.8870000000002</v>
      </c>
      <c r="N123" s="253">
        <v>669.16</v>
      </c>
      <c r="O123" s="253">
        <v>2933.663</v>
      </c>
      <c r="P123" s="253">
        <v>671.346</v>
      </c>
      <c r="Q123" s="253">
        <v>0</v>
      </c>
      <c r="R123" s="253">
        <v>2260.83</v>
      </c>
      <c r="S123" s="254">
        <v>1992.087</v>
      </c>
    </row>
    <row r="124" spans="1:20">
      <c r="B124" s="259" t="s">
        <v>128</v>
      </c>
      <c r="C124" s="253">
        <v>1417.864</v>
      </c>
      <c r="D124" s="253">
        <v>474.358</v>
      </c>
      <c r="E124" s="253">
        <v>364.452</v>
      </c>
      <c r="F124" s="253">
        <v>206.14099999999999</v>
      </c>
      <c r="G124" s="253">
        <v>81.575999999999993</v>
      </c>
      <c r="H124" s="253">
        <v>64.596999999999994</v>
      </c>
      <c r="I124" s="253">
        <v>11.977</v>
      </c>
      <c r="J124" s="253">
        <v>-0.13</v>
      </c>
      <c r="K124" s="253">
        <v>2256.5439999999999</v>
      </c>
      <c r="L124" s="253">
        <v>-5.0380000000000003</v>
      </c>
      <c r="M124" s="253">
        <v>2251.5059999999999</v>
      </c>
      <c r="N124" s="253">
        <v>701.65</v>
      </c>
      <c r="O124" s="253">
        <v>2964.8939999999998</v>
      </c>
      <c r="P124" s="253">
        <v>687.36699999999996</v>
      </c>
      <c r="Q124" s="253">
        <v>0</v>
      </c>
      <c r="R124" s="253">
        <v>2275.6590000000001</v>
      </c>
      <c r="S124" s="254">
        <v>2016.7940000000001</v>
      </c>
    </row>
    <row r="125" spans="1:20">
      <c r="B125" s="257" t="s">
        <v>129</v>
      </c>
      <c r="C125" s="253">
        <v>1456.88</v>
      </c>
      <c r="D125" s="253">
        <v>476.464</v>
      </c>
      <c r="E125" s="253">
        <v>367.58199999999999</v>
      </c>
      <c r="F125" s="253">
        <v>211.68</v>
      </c>
      <c r="G125" s="253">
        <v>84.167000000000002</v>
      </c>
      <c r="H125" s="253">
        <v>59.997</v>
      </c>
      <c r="I125" s="253">
        <v>11.248000000000001</v>
      </c>
      <c r="J125" s="253">
        <v>1.278</v>
      </c>
      <c r="K125" s="253">
        <v>2302.2040000000002</v>
      </c>
      <c r="L125" s="253">
        <v>9.3439999999999994</v>
      </c>
      <c r="M125" s="253">
        <v>2311.5479999999998</v>
      </c>
      <c r="N125" s="253">
        <v>694.34199999999998</v>
      </c>
      <c r="O125" s="253">
        <v>3008.674</v>
      </c>
      <c r="P125" s="253">
        <v>696.59900000000005</v>
      </c>
      <c r="Q125" s="253">
        <v>0</v>
      </c>
      <c r="R125" s="253">
        <v>2310.127</v>
      </c>
      <c r="S125" s="254">
        <v>2056.462</v>
      </c>
    </row>
    <row r="126" spans="1:20">
      <c r="B126" s="257" t="s">
        <v>130</v>
      </c>
      <c r="C126" s="253">
        <v>1485.9690000000001</v>
      </c>
      <c r="D126" s="253">
        <v>482.447</v>
      </c>
      <c r="E126" s="253">
        <v>391.59500000000003</v>
      </c>
      <c r="F126" s="253">
        <v>224.303</v>
      </c>
      <c r="G126" s="253">
        <v>95.087000000000003</v>
      </c>
      <c r="H126" s="253">
        <v>60.709000000000003</v>
      </c>
      <c r="I126" s="253">
        <v>10.786999999999999</v>
      </c>
      <c r="J126" s="253">
        <v>6.8479999999999999</v>
      </c>
      <c r="K126" s="253">
        <v>2366.8589999999999</v>
      </c>
      <c r="L126" s="253">
        <v>1.4770000000000001</v>
      </c>
      <c r="M126" s="253">
        <v>2368.3359999999998</v>
      </c>
      <c r="N126" s="253">
        <v>702.86400000000003</v>
      </c>
      <c r="O126" s="253">
        <v>3091.3319999999999</v>
      </c>
      <c r="P126" s="253">
        <v>728.399</v>
      </c>
      <c r="Q126" s="253">
        <v>0</v>
      </c>
      <c r="R126" s="253">
        <v>2360.3310000000001</v>
      </c>
      <c r="S126" s="254">
        <v>2102.7840000000001</v>
      </c>
    </row>
    <row r="127" spans="1:20">
      <c r="B127" s="257" t="s">
        <v>131</v>
      </c>
      <c r="C127" s="253">
        <v>1532.817</v>
      </c>
      <c r="D127" s="253">
        <v>490.51900000000001</v>
      </c>
      <c r="E127" s="253">
        <v>420.53699999999998</v>
      </c>
      <c r="F127" s="253">
        <v>242.94800000000001</v>
      </c>
      <c r="G127" s="253">
        <v>97.725999999999999</v>
      </c>
      <c r="H127" s="253">
        <v>66.022999999999996</v>
      </c>
      <c r="I127" s="253">
        <v>13.09</v>
      </c>
      <c r="J127" s="253">
        <v>6.3849999999999998</v>
      </c>
      <c r="K127" s="253">
        <v>2450.2579999999998</v>
      </c>
      <c r="L127" s="253">
        <v>25.945</v>
      </c>
      <c r="M127" s="253">
        <v>2476.203</v>
      </c>
      <c r="N127" s="253">
        <v>717.58199999999999</v>
      </c>
      <c r="O127" s="253">
        <v>3207.7379999999998</v>
      </c>
      <c r="P127" s="253">
        <v>771.18399999999997</v>
      </c>
      <c r="Q127" s="253">
        <v>0</v>
      </c>
      <c r="R127" s="253">
        <v>2433.819</v>
      </c>
      <c r="S127" s="254">
        <v>2170.395</v>
      </c>
    </row>
    <row r="128" spans="1:20">
      <c r="B128" s="257" t="s">
        <v>132</v>
      </c>
      <c r="C128" s="253">
        <v>1577.1020000000001</v>
      </c>
      <c r="D128" s="253">
        <v>497.553</v>
      </c>
      <c r="E128" s="253">
        <v>442.76100000000002</v>
      </c>
      <c r="F128" s="253">
        <v>261.55900000000003</v>
      </c>
      <c r="G128" s="253">
        <v>105.417</v>
      </c>
      <c r="H128" s="253">
        <v>63.152999999999999</v>
      </c>
      <c r="I128" s="253">
        <v>11.724</v>
      </c>
      <c r="J128" s="253">
        <v>-2.8740000000000001</v>
      </c>
      <c r="K128" s="253">
        <v>2514.5419999999999</v>
      </c>
      <c r="L128" s="253">
        <v>-1.845</v>
      </c>
      <c r="M128" s="253">
        <v>2512.6970000000001</v>
      </c>
      <c r="N128" s="253">
        <v>745.13099999999997</v>
      </c>
      <c r="O128" s="253">
        <v>3280.4969999999998</v>
      </c>
      <c r="P128" s="253">
        <v>797.21600000000001</v>
      </c>
      <c r="Q128" s="253">
        <v>0</v>
      </c>
      <c r="R128" s="253">
        <v>2481.2049999999999</v>
      </c>
      <c r="S128" s="254">
        <v>2204.23</v>
      </c>
    </row>
    <row r="129" spans="2:19">
      <c r="B129" s="257" t="s">
        <v>133</v>
      </c>
      <c r="C129" s="253">
        <v>1630.1990000000001</v>
      </c>
      <c r="D129" s="253">
        <v>500.04899999999998</v>
      </c>
      <c r="E129" s="253">
        <v>471.32600000000002</v>
      </c>
      <c r="F129" s="253">
        <v>276.50400000000002</v>
      </c>
      <c r="G129" s="253">
        <v>114.953</v>
      </c>
      <c r="H129" s="253">
        <v>66.581999999999994</v>
      </c>
      <c r="I129" s="253">
        <v>12.315000000000001</v>
      </c>
      <c r="J129" s="253">
        <v>-1.7969999999999999</v>
      </c>
      <c r="K129" s="253">
        <v>2599.777</v>
      </c>
      <c r="L129" s="253">
        <v>-12.356</v>
      </c>
      <c r="M129" s="253">
        <v>2587.4209999999998</v>
      </c>
      <c r="N129" s="253">
        <v>776.56700000000001</v>
      </c>
      <c r="O129" s="253">
        <v>3375.12</v>
      </c>
      <c r="P129" s="253">
        <v>832.92600000000004</v>
      </c>
      <c r="Q129" s="253">
        <v>0</v>
      </c>
      <c r="R129" s="253">
        <v>2541.029</v>
      </c>
      <c r="S129" s="254">
        <v>2261.2860000000001</v>
      </c>
    </row>
    <row r="130" spans="2:19">
      <c r="B130" s="257" t="s">
        <v>134</v>
      </c>
      <c r="C130" s="253">
        <v>1661.473</v>
      </c>
      <c r="D130" s="253">
        <v>505.834</v>
      </c>
      <c r="E130" s="253">
        <v>488.82299999999998</v>
      </c>
      <c r="F130" s="253">
        <v>280.54599999999999</v>
      </c>
      <c r="G130" s="253">
        <v>123.854</v>
      </c>
      <c r="H130" s="253">
        <v>73.337000000000003</v>
      </c>
      <c r="I130" s="253">
        <v>10.667</v>
      </c>
      <c r="J130" s="253">
        <v>0.26200000000000001</v>
      </c>
      <c r="K130" s="253">
        <v>2656.3919999999998</v>
      </c>
      <c r="L130" s="253">
        <v>-6.7430000000000003</v>
      </c>
      <c r="M130" s="253">
        <v>2649.6489999999999</v>
      </c>
      <c r="N130" s="253">
        <v>825.66800000000001</v>
      </c>
      <c r="O130" s="253">
        <v>3476.53</v>
      </c>
      <c r="P130" s="253">
        <v>860.20399999999995</v>
      </c>
      <c r="Q130" s="253">
        <v>0</v>
      </c>
      <c r="R130" s="253">
        <v>2615.239</v>
      </c>
      <c r="S130" s="254">
        <v>2328.357</v>
      </c>
    </row>
    <row r="131" spans="2:19">
      <c r="B131" s="257" t="s">
        <v>135</v>
      </c>
      <c r="C131" s="253">
        <v>1694.8320000000001</v>
      </c>
      <c r="D131" s="253">
        <v>510.19400000000002</v>
      </c>
      <c r="E131" s="253">
        <v>484.947</v>
      </c>
      <c r="F131" s="253">
        <v>274.92899999999997</v>
      </c>
      <c r="G131" s="253">
        <v>132.07300000000001</v>
      </c>
      <c r="H131" s="253">
        <v>71.534999999999997</v>
      </c>
      <c r="I131" s="253">
        <v>6.1691511999999999</v>
      </c>
      <c r="J131" s="253">
        <v>13.868</v>
      </c>
      <c r="K131" s="253">
        <v>2703.8409999999999</v>
      </c>
      <c r="L131" s="253">
        <v>10.005000000000001</v>
      </c>
      <c r="M131" s="253">
        <v>2713.846</v>
      </c>
      <c r="N131" s="253">
        <v>847.95799999999997</v>
      </c>
      <c r="O131" s="253">
        <v>3561.413</v>
      </c>
      <c r="P131" s="253">
        <v>912.71799999999996</v>
      </c>
      <c r="Q131" s="253">
        <v>0</v>
      </c>
      <c r="R131" s="253">
        <v>2648.01</v>
      </c>
      <c r="S131" s="254">
        <v>2355.8389999999999</v>
      </c>
    </row>
    <row r="132" spans="2:19">
      <c r="B132" s="257" t="s">
        <v>136</v>
      </c>
      <c r="C132" s="253">
        <v>1693.402</v>
      </c>
      <c r="D132" s="253">
        <v>523.33600000000001</v>
      </c>
      <c r="E132" s="253">
        <v>484.93299999999999</v>
      </c>
      <c r="F132" s="253">
        <v>278.85199999999998</v>
      </c>
      <c r="G132" s="253">
        <v>129.036</v>
      </c>
      <c r="H132" s="253">
        <v>70.715999999999994</v>
      </c>
      <c r="I132" s="253">
        <v>6.0650272100000002</v>
      </c>
      <c r="J132" s="253">
        <v>-10.111000000000001</v>
      </c>
      <c r="K132" s="253">
        <v>2691.56</v>
      </c>
      <c r="L132" s="253">
        <v>-13.14</v>
      </c>
      <c r="M132" s="253">
        <v>2678.42</v>
      </c>
      <c r="N132" s="253">
        <v>858.75199999999995</v>
      </c>
      <c r="O132" s="253">
        <v>3536.5219999999999</v>
      </c>
      <c r="P132" s="253">
        <v>874.99900000000002</v>
      </c>
      <c r="Q132" s="253">
        <v>0</v>
      </c>
      <c r="R132" s="253">
        <v>2660.1889999999999</v>
      </c>
      <c r="S132" s="254">
        <v>2371.79</v>
      </c>
    </row>
    <row r="133" spans="2:19">
      <c r="B133" s="257" t="s">
        <v>137</v>
      </c>
      <c r="C133" s="253">
        <v>1433.5509999999999</v>
      </c>
      <c r="D133" s="253">
        <v>492.98200000000003</v>
      </c>
      <c r="E133" s="253">
        <v>441.89400000000001</v>
      </c>
      <c r="F133" s="253">
        <v>251.05500000000001</v>
      </c>
      <c r="G133" s="253">
        <v>107.31399999999999</v>
      </c>
      <c r="H133" s="253">
        <v>78.006</v>
      </c>
      <c r="I133" s="253">
        <v>5.3097867920000015</v>
      </c>
      <c r="J133" s="253">
        <v>8.98</v>
      </c>
      <c r="K133" s="253">
        <v>2377.4070000000002</v>
      </c>
      <c r="L133" s="253">
        <v>7.4530000000000003</v>
      </c>
      <c r="M133" s="253">
        <v>2384.86</v>
      </c>
      <c r="N133" s="253">
        <v>738.11400000000003</v>
      </c>
      <c r="O133" s="253">
        <v>3124.9059999999999</v>
      </c>
      <c r="P133" s="253">
        <v>757.81500000000005</v>
      </c>
      <c r="Q133" s="253">
        <v>0</v>
      </c>
      <c r="R133" s="253">
        <v>2365.3229999999999</v>
      </c>
      <c r="S133" s="254">
        <v>2118.2620000000002</v>
      </c>
    </row>
    <row r="134" spans="2:19">
      <c r="B134" s="257" t="s">
        <v>138</v>
      </c>
      <c r="C134" s="253">
        <v>1654.914</v>
      </c>
      <c r="D134" s="253">
        <v>566.32399999999996</v>
      </c>
      <c r="E134" s="253">
        <v>498.93700000000001</v>
      </c>
      <c r="F134" s="253">
        <v>275.63200000000001</v>
      </c>
      <c r="G134" s="253">
        <v>132.161</v>
      </c>
      <c r="H134" s="253">
        <v>84.278000000000006</v>
      </c>
      <c r="I134" s="253">
        <v>7.0743299300000002</v>
      </c>
      <c r="J134" s="253">
        <v>9.2200000000000006</v>
      </c>
      <c r="K134" s="253">
        <v>2729.395</v>
      </c>
      <c r="L134" s="253">
        <v>-0.79</v>
      </c>
      <c r="M134" s="253">
        <v>2728.605</v>
      </c>
      <c r="N134" s="253">
        <v>794.19100000000003</v>
      </c>
      <c r="O134" s="253">
        <v>3530.1410000000001</v>
      </c>
      <c r="P134" s="253">
        <v>846.94399999999996</v>
      </c>
      <c r="Q134" s="253">
        <v>0</v>
      </c>
      <c r="R134" s="253">
        <v>2680.1480000000001</v>
      </c>
      <c r="S134" s="254">
        <v>2401.2449999999999</v>
      </c>
    </row>
    <row r="135" spans="2:19">
      <c r="B135" s="257" t="s">
        <v>139</v>
      </c>
      <c r="C135" s="253">
        <v>1723.885</v>
      </c>
      <c r="D135" s="253">
        <v>552.85699999999997</v>
      </c>
      <c r="E135" s="253">
        <v>519.85299999999995</v>
      </c>
      <c r="F135" s="253">
        <v>286.03100000000001</v>
      </c>
      <c r="G135" s="253">
        <v>140.72200000000001</v>
      </c>
      <c r="H135" s="253">
        <v>85.563000000000002</v>
      </c>
      <c r="I135" s="253">
        <v>7.1813096500000002</v>
      </c>
      <c r="J135" s="253">
        <v>-34.878</v>
      </c>
      <c r="K135" s="253">
        <v>2761.7170000000001</v>
      </c>
      <c r="L135" s="253">
        <v>-6.6050000000000004</v>
      </c>
      <c r="M135" s="253">
        <v>2755.1120000000001</v>
      </c>
      <c r="N135" s="253">
        <v>925.274</v>
      </c>
      <c r="O135" s="253">
        <v>3672.0039999999999</v>
      </c>
      <c r="P135" s="253">
        <v>920.08100000000002</v>
      </c>
      <c r="Q135" s="253">
        <v>0</v>
      </c>
      <c r="R135" s="253">
        <v>2751.3870000000002</v>
      </c>
      <c r="S135" s="254">
        <v>2459.7910000000002</v>
      </c>
    </row>
    <row r="136" spans="2:19">
      <c r="B136" s="257" t="s">
        <v>140</v>
      </c>
      <c r="C136" s="253">
        <v>1704.3620000000001</v>
      </c>
      <c r="D136" s="253">
        <v>573.59799999999996</v>
      </c>
      <c r="E136" s="253">
        <v>519.27099999999996</v>
      </c>
      <c r="F136" s="253">
        <v>290.59500000000003</v>
      </c>
      <c r="G136" s="253">
        <v>131.47399999999999</v>
      </c>
      <c r="H136" s="253">
        <v>88.944000000000003</v>
      </c>
      <c r="I136" s="253">
        <v>7.0375951600000004</v>
      </c>
      <c r="J136" s="253">
        <v>-9.4849999999999994</v>
      </c>
      <c r="K136" s="253">
        <v>2787.7460000000001</v>
      </c>
      <c r="L136" s="253">
        <v>3.9079999999999999</v>
      </c>
      <c r="M136" s="253">
        <v>2791.654</v>
      </c>
      <c r="N136" s="253">
        <v>870.61900000000003</v>
      </c>
      <c r="O136" s="253">
        <v>3662.8020000000001</v>
      </c>
      <c r="P136" s="253">
        <v>909.06200000000001</v>
      </c>
      <c r="Q136" s="253">
        <v>0.60499999999999998</v>
      </c>
      <c r="R136" s="253">
        <v>2754.3449999999998</v>
      </c>
      <c r="S136" s="254">
        <v>2474.5360000000001</v>
      </c>
    </row>
    <row r="137" spans="2:19">
      <c r="B137" s="257" t="s">
        <v>141</v>
      </c>
      <c r="C137" s="253">
        <v>1709.229</v>
      </c>
      <c r="D137" s="253">
        <v>589.50599999999997</v>
      </c>
      <c r="E137" s="253">
        <v>533.03499999999997</v>
      </c>
      <c r="F137" s="253">
        <v>301.39800000000002</v>
      </c>
      <c r="G137" s="253">
        <v>132.09700000000001</v>
      </c>
      <c r="H137" s="253">
        <v>91.075000000000003</v>
      </c>
      <c r="I137" s="253">
        <v>7.0252517799999996</v>
      </c>
      <c r="J137" s="253">
        <v>12.535</v>
      </c>
      <c r="K137" s="253">
        <v>2844.3049999999998</v>
      </c>
      <c r="L137" s="253">
        <v>5.7130000000000001</v>
      </c>
      <c r="M137" s="253">
        <v>2850.018</v>
      </c>
      <c r="N137" s="253">
        <v>894.16899999999998</v>
      </c>
      <c r="O137" s="253">
        <v>3744.1869999999999</v>
      </c>
      <c r="P137" s="253">
        <v>950.79499999999996</v>
      </c>
      <c r="Q137" s="253">
        <v>1.8440000000000001</v>
      </c>
      <c r="R137" s="253">
        <v>2795.2359999999999</v>
      </c>
      <c r="S137" s="254">
        <v>2515.0949999999998</v>
      </c>
    </row>
    <row r="138" spans="2:19">
      <c r="B138" s="257" t="s">
        <v>142</v>
      </c>
      <c r="C138" s="253">
        <v>1723.9245919999998</v>
      </c>
      <c r="D138" s="253">
        <v>602.39164399999993</v>
      </c>
      <c r="E138" s="253">
        <v>541.12729832111756</v>
      </c>
      <c r="F138" s="253">
        <v>304.12190120000002</v>
      </c>
      <c r="G138" s="253">
        <v>132.97814237472707</v>
      </c>
      <c r="H138" s="253">
        <v>96.22530230000001</v>
      </c>
      <c r="I138" s="253">
        <v>7.1112995014034741</v>
      </c>
      <c r="J138" s="253">
        <v>11.709</v>
      </c>
      <c r="K138" s="253">
        <v>2879.1525343211179</v>
      </c>
      <c r="L138" s="253">
        <v>6.3261603000000006</v>
      </c>
      <c r="M138" s="253">
        <v>2885.4786946211179</v>
      </c>
      <c r="N138" s="253">
        <v>913.29447087461892</v>
      </c>
      <c r="O138" s="253">
        <v>3798.7731650000001</v>
      </c>
      <c r="P138" s="253">
        <v>967.81650386033027</v>
      </c>
      <c r="Q138" s="253">
        <v>1.5640000000000001</v>
      </c>
      <c r="R138" s="253">
        <v>2832.5206616349669</v>
      </c>
      <c r="S138" s="254">
        <v>2550.0469909999997</v>
      </c>
    </row>
    <row r="139" spans="2:19">
      <c r="B139" s="257" t="s">
        <v>143</v>
      </c>
      <c r="C139" s="253">
        <v>1747.1839540000001</v>
      </c>
      <c r="D139" s="253">
        <v>614.402019</v>
      </c>
      <c r="E139" s="253">
        <v>551.61807069434758</v>
      </c>
      <c r="F139" s="253">
        <v>304.75453670000007</v>
      </c>
      <c r="G139" s="253">
        <v>136.51695015133319</v>
      </c>
      <c r="H139" s="253">
        <v>103.0780599</v>
      </c>
      <c r="I139" s="253">
        <v>7.2685238785025259</v>
      </c>
      <c r="J139" s="253">
        <v>10.284000000000001</v>
      </c>
      <c r="K139" s="253">
        <v>2923.4880436943481</v>
      </c>
      <c r="L139" s="253">
        <v>4.9137686670000003</v>
      </c>
      <c r="M139" s="253">
        <v>2928.4018123613478</v>
      </c>
      <c r="N139" s="253">
        <v>917.25816762865918</v>
      </c>
      <c r="O139" s="253">
        <v>3845.6599790000005</v>
      </c>
      <c r="P139" s="253">
        <v>972.75248970004986</v>
      </c>
      <c r="Q139" s="253">
        <v>1.5640000000000001</v>
      </c>
      <c r="R139" s="253">
        <v>2874.4714902877377</v>
      </c>
      <c r="S139" s="254">
        <v>2589.8866589999998</v>
      </c>
    </row>
    <row r="140" spans="2:19">
      <c r="B140" s="257" t="s">
        <v>144</v>
      </c>
      <c r="C140" s="253">
        <v>1774.0565699999997</v>
      </c>
      <c r="D140" s="253">
        <v>624.62181900000007</v>
      </c>
      <c r="E140" s="253">
        <v>569.01244592174123</v>
      </c>
      <c r="F140" s="253">
        <v>306.6723604</v>
      </c>
      <c r="G140" s="253">
        <v>146.89625072923994</v>
      </c>
      <c r="H140" s="253">
        <v>107.54243940000001</v>
      </c>
      <c r="I140" s="253">
        <v>7.9013954115886431</v>
      </c>
      <c r="J140" s="253">
        <v>10.284000000000001</v>
      </c>
      <c r="K140" s="253">
        <v>2977.9748349217411</v>
      </c>
      <c r="L140" s="253">
        <v>4.5508884500000004</v>
      </c>
      <c r="M140" s="253">
        <v>2982.5257233717407</v>
      </c>
      <c r="N140" s="253">
        <v>920.32335354953034</v>
      </c>
      <c r="O140" s="253">
        <v>3902.8490769999999</v>
      </c>
      <c r="P140" s="253">
        <v>986.41371071437948</v>
      </c>
      <c r="Q140" s="253">
        <v>1.5640000000000001</v>
      </c>
      <c r="R140" s="253">
        <v>2917.9993662036909</v>
      </c>
      <c r="S140" s="254">
        <v>2631.3388359999999</v>
      </c>
    </row>
    <row r="141" spans="2:19">
      <c r="B141" s="257" t="s">
        <v>145</v>
      </c>
      <c r="C141" s="253">
        <v>1803.270579</v>
      </c>
      <c r="D141" s="253">
        <v>632.32299399999999</v>
      </c>
      <c r="E141" s="253">
        <v>581.56063724560522</v>
      </c>
      <c r="F141" s="253">
        <v>309.61978760000005</v>
      </c>
      <c r="G141" s="253">
        <v>157.16364894507836</v>
      </c>
      <c r="H141" s="253">
        <v>106.25690019999999</v>
      </c>
      <c r="I141" s="253">
        <v>8.5203004337462165</v>
      </c>
      <c r="J141" s="253">
        <v>10.284000000000001</v>
      </c>
      <c r="K141" s="253">
        <v>3027.4382102456052</v>
      </c>
      <c r="L141" s="253">
        <v>5.4360112599999999</v>
      </c>
      <c r="M141" s="253">
        <v>3032.874221505605</v>
      </c>
      <c r="N141" s="253">
        <v>925.73416959492545</v>
      </c>
      <c r="O141" s="253">
        <v>3958.6083909999998</v>
      </c>
      <c r="P141" s="253">
        <v>999.22016294230377</v>
      </c>
      <c r="Q141" s="253">
        <v>1.5640000000000001</v>
      </c>
      <c r="R141" s="253">
        <v>2960.95222814926</v>
      </c>
      <c r="S141" s="254">
        <v>2672.0840149999999</v>
      </c>
    </row>
    <row r="142" spans="2:19">
      <c r="B142" s="257" t="s">
        <v>146</v>
      </c>
      <c r="C142" s="253">
        <v>1835.1832459999998</v>
      </c>
      <c r="D142" s="253">
        <v>640.31136000000004</v>
      </c>
      <c r="E142" s="253">
        <v>589.94473336469571</v>
      </c>
      <c r="F142" s="253">
        <v>313.55499639999999</v>
      </c>
      <c r="G142" s="253">
        <v>162.32849987658409</v>
      </c>
      <c r="H142" s="253">
        <v>105.22598750000002</v>
      </c>
      <c r="I142" s="253">
        <v>8.8352495839953029</v>
      </c>
      <c r="J142" s="253">
        <v>10.284000000000001</v>
      </c>
      <c r="K142" s="253">
        <v>3075.7233393646952</v>
      </c>
      <c r="L142" s="253">
        <v>5.7141586400000008</v>
      </c>
      <c r="M142" s="253">
        <v>3081.4374980046955</v>
      </c>
      <c r="N142" s="253">
        <v>933.72198327890669</v>
      </c>
      <c r="O142" s="253">
        <v>4015.1594850000001</v>
      </c>
      <c r="P142" s="253">
        <v>1010.2391356338575</v>
      </c>
      <c r="Q142" s="253">
        <v>1.5640000000000001</v>
      </c>
      <c r="R142" s="253">
        <v>3006.4843456498511</v>
      </c>
      <c r="S142" s="254">
        <v>2715.0039819999997</v>
      </c>
    </row>
    <row r="143" spans="2:19" ht="15.75" thickBot="1">
      <c r="B143" s="264" t="s">
        <v>752</v>
      </c>
      <c r="C143" s="253">
        <v>1866.67154</v>
      </c>
      <c r="D143" s="253">
        <v>651.60801399999991</v>
      </c>
      <c r="E143" s="253">
        <v>598.15572954950983</v>
      </c>
      <c r="F143" s="253">
        <v>318.05248009999997</v>
      </c>
      <c r="G143" s="253">
        <v>165.24243025406625</v>
      </c>
      <c r="H143" s="253">
        <v>105.8433095</v>
      </c>
      <c r="I143" s="253">
        <v>9.0175097763407912</v>
      </c>
      <c r="J143" s="253">
        <v>10.284000000000001</v>
      </c>
      <c r="K143" s="253">
        <v>3126.7192835495098</v>
      </c>
      <c r="L143" s="253">
        <v>5.3637651100000001</v>
      </c>
      <c r="M143" s="253">
        <v>3132.08304865951</v>
      </c>
      <c r="N143" s="253">
        <v>941.75853986183915</v>
      </c>
      <c r="O143" s="253">
        <v>4073.84159</v>
      </c>
      <c r="P143" s="253">
        <v>1022.2374235424204</v>
      </c>
      <c r="Q143" s="253">
        <v>1.5640000000000001</v>
      </c>
      <c r="R143" s="253">
        <v>3053.1681649834136</v>
      </c>
      <c r="S143" s="254">
        <v>2758.8185490000001</v>
      </c>
    </row>
    <row r="144" spans="2:19">
      <c r="B144" s="265" t="s">
        <v>731</v>
      </c>
      <c r="C144" s="266"/>
      <c r="D144" s="266"/>
      <c r="E144" s="266"/>
      <c r="F144" s="266"/>
      <c r="G144" s="266"/>
      <c r="H144" s="266"/>
      <c r="I144" s="266"/>
      <c r="J144" s="266"/>
      <c r="K144" s="266"/>
      <c r="L144" s="266"/>
      <c r="M144" s="266"/>
      <c r="N144" s="266"/>
      <c r="O144" s="266"/>
      <c r="P144" s="266"/>
      <c r="Q144" s="266"/>
      <c r="R144" s="266"/>
      <c r="S144" s="267"/>
    </row>
    <row r="145" spans="2:19">
      <c r="B145" s="268" t="s">
        <v>732</v>
      </c>
      <c r="C145" s="269"/>
      <c r="D145" s="269"/>
      <c r="E145" s="269"/>
      <c r="F145" s="269"/>
      <c r="G145" s="269"/>
      <c r="H145" s="269"/>
      <c r="I145" s="269"/>
      <c r="J145" s="269"/>
      <c r="K145" s="269"/>
      <c r="L145" s="269"/>
      <c r="M145" s="269"/>
      <c r="N145" s="269"/>
      <c r="O145" s="269"/>
      <c r="P145" s="269"/>
      <c r="Q145" s="269"/>
      <c r="R145" s="269"/>
      <c r="S145" s="270"/>
    </row>
    <row r="146" spans="2:19">
      <c r="B146" s="268" t="s">
        <v>733</v>
      </c>
      <c r="C146" s="269"/>
      <c r="D146" s="269"/>
      <c r="E146" s="269"/>
      <c r="F146" s="269"/>
      <c r="G146" s="269"/>
      <c r="H146" s="269"/>
      <c r="I146" s="269"/>
      <c r="J146" s="269"/>
      <c r="K146" s="269"/>
      <c r="L146" s="269"/>
      <c r="M146" s="269"/>
      <c r="N146" s="269"/>
      <c r="O146" s="269"/>
      <c r="P146" s="269"/>
      <c r="Q146" s="269"/>
      <c r="R146" s="269"/>
      <c r="S146" s="270"/>
    </row>
    <row r="147" spans="2:19">
      <c r="B147" s="271" t="s">
        <v>734</v>
      </c>
      <c r="C147" s="272"/>
      <c r="D147" s="272"/>
      <c r="E147" s="272"/>
      <c r="F147" s="272"/>
      <c r="G147" s="272"/>
      <c r="H147" s="272"/>
      <c r="I147" s="272"/>
      <c r="J147" s="272"/>
      <c r="K147" s="272"/>
      <c r="L147" s="272"/>
      <c r="M147" s="272"/>
      <c r="N147" s="272"/>
      <c r="O147" s="272"/>
      <c r="P147" s="272"/>
      <c r="Q147" s="272"/>
      <c r="R147" s="272"/>
      <c r="S147" s="273"/>
    </row>
    <row r="148" spans="2:19">
      <c r="B148" s="271" t="s">
        <v>735</v>
      </c>
      <c r="C148" s="272"/>
      <c r="D148" s="272"/>
      <c r="E148" s="272"/>
      <c r="F148" s="272"/>
      <c r="G148" s="272"/>
      <c r="H148" s="272"/>
      <c r="I148" s="272"/>
      <c r="J148" s="272"/>
      <c r="K148" s="272"/>
      <c r="L148" s="272"/>
      <c r="M148" s="272"/>
      <c r="N148" s="272"/>
      <c r="O148" s="272"/>
      <c r="P148" s="272"/>
      <c r="Q148" s="272"/>
      <c r="R148" s="272"/>
      <c r="S148" s="273"/>
    </row>
    <row r="149" spans="2:19">
      <c r="B149" s="271" t="s">
        <v>736</v>
      </c>
      <c r="C149" s="272"/>
      <c r="D149" s="272"/>
      <c r="E149" s="272"/>
      <c r="F149" s="272"/>
      <c r="G149" s="272"/>
      <c r="H149" s="272"/>
      <c r="I149" s="272"/>
      <c r="J149" s="272"/>
      <c r="K149" s="272"/>
      <c r="L149" s="272"/>
      <c r="M149" s="272"/>
      <c r="N149" s="272"/>
      <c r="O149" s="272"/>
      <c r="P149" s="272"/>
      <c r="Q149" s="272"/>
      <c r="R149" s="272"/>
      <c r="S149" s="273"/>
    </row>
    <row r="150" spans="2:19">
      <c r="B150" s="271" t="s">
        <v>737</v>
      </c>
      <c r="C150" s="272"/>
      <c r="D150" s="272"/>
      <c r="E150" s="272"/>
      <c r="F150" s="272"/>
      <c r="G150" s="272"/>
      <c r="H150" s="272"/>
      <c r="I150" s="272"/>
      <c r="J150" s="272"/>
      <c r="K150" s="272"/>
      <c r="L150" s="272"/>
      <c r="M150" s="272"/>
      <c r="N150" s="272"/>
      <c r="O150" s="272"/>
      <c r="P150" s="272"/>
      <c r="Q150" s="272"/>
      <c r="R150" s="272"/>
      <c r="S150" s="273"/>
    </row>
    <row r="151" spans="2:19">
      <c r="B151" s="271" t="s">
        <v>738</v>
      </c>
      <c r="C151" s="272"/>
      <c r="D151" s="272"/>
      <c r="E151" s="272"/>
      <c r="F151" s="272"/>
      <c r="G151" s="272"/>
      <c r="H151" s="272"/>
      <c r="I151" s="272"/>
      <c r="J151" s="272"/>
      <c r="K151" s="272"/>
      <c r="L151" s="272"/>
      <c r="M151" s="272"/>
      <c r="N151" s="272"/>
      <c r="O151" s="272"/>
      <c r="P151" s="272"/>
      <c r="Q151" s="272"/>
      <c r="R151" s="272"/>
      <c r="S151" s="273"/>
    </row>
    <row r="152" spans="2:19">
      <c r="B152" s="271" t="s">
        <v>739</v>
      </c>
      <c r="C152" s="272"/>
      <c r="D152" s="272"/>
      <c r="E152" s="272"/>
      <c r="F152" s="272"/>
      <c r="G152" s="272"/>
      <c r="H152" s="272"/>
      <c r="I152" s="272"/>
      <c r="J152" s="272"/>
      <c r="K152" s="272"/>
      <c r="L152" s="272"/>
      <c r="M152" s="272"/>
      <c r="N152" s="272"/>
      <c r="O152" s="272"/>
      <c r="P152" s="272"/>
      <c r="Q152" s="272"/>
      <c r="R152" s="272"/>
      <c r="S152" s="273"/>
    </row>
    <row r="153" spans="2:19">
      <c r="B153" s="268" t="s">
        <v>740</v>
      </c>
      <c r="C153" s="269"/>
      <c r="D153" s="269"/>
      <c r="E153" s="269"/>
      <c r="F153" s="269"/>
      <c r="G153" s="269"/>
      <c r="H153" s="269"/>
      <c r="I153" s="269"/>
      <c r="J153" s="269"/>
      <c r="K153" s="269"/>
      <c r="L153" s="269"/>
      <c r="M153" s="269"/>
      <c r="N153" s="269"/>
      <c r="O153" s="269"/>
      <c r="P153" s="269"/>
      <c r="Q153" s="269"/>
      <c r="R153" s="269"/>
      <c r="S153" s="270"/>
    </row>
    <row r="154" spans="2:19">
      <c r="B154" s="271" t="s">
        <v>741</v>
      </c>
      <c r="C154" s="272"/>
      <c r="D154" s="272"/>
      <c r="E154" s="272"/>
      <c r="F154" s="272"/>
      <c r="G154" s="272"/>
      <c r="H154" s="272"/>
      <c r="I154" s="272"/>
      <c r="J154" s="272"/>
      <c r="K154" s="272"/>
      <c r="L154" s="272"/>
      <c r="M154" s="272"/>
      <c r="N154" s="272"/>
      <c r="O154" s="272"/>
      <c r="P154" s="272"/>
      <c r="Q154" s="272"/>
      <c r="R154" s="272"/>
      <c r="S154" s="273"/>
    </row>
    <row r="155" spans="2:19">
      <c r="B155" s="271" t="s">
        <v>742</v>
      </c>
      <c r="C155" s="272"/>
      <c r="D155" s="272"/>
      <c r="E155" s="272"/>
      <c r="F155" s="272"/>
      <c r="G155" s="272"/>
      <c r="H155" s="272"/>
      <c r="I155" s="272"/>
      <c r="J155" s="272"/>
      <c r="K155" s="272"/>
      <c r="L155" s="272"/>
      <c r="M155" s="272"/>
      <c r="N155" s="272"/>
      <c r="O155" s="272"/>
      <c r="P155" s="272"/>
      <c r="Q155" s="272"/>
      <c r="R155" s="272"/>
      <c r="S155" s="273"/>
    </row>
    <row r="156" spans="2:19">
      <c r="B156" s="271" t="s">
        <v>743</v>
      </c>
      <c r="C156" s="272"/>
      <c r="D156" s="272"/>
      <c r="E156" s="272"/>
      <c r="F156" s="272"/>
      <c r="G156" s="272"/>
      <c r="H156" s="272"/>
      <c r="I156" s="272"/>
      <c r="J156" s="272"/>
      <c r="K156" s="272"/>
      <c r="L156" s="272"/>
      <c r="M156" s="272"/>
      <c r="N156" s="272"/>
      <c r="O156" s="272"/>
      <c r="P156" s="272"/>
      <c r="Q156" s="272"/>
      <c r="R156" s="272"/>
      <c r="S156" s="273"/>
    </row>
    <row r="157" spans="2:19">
      <c r="B157" s="271" t="s">
        <v>744</v>
      </c>
      <c r="C157" s="272"/>
      <c r="D157" s="272"/>
      <c r="E157" s="272"/>
      <c r="F157" s="272"/>
      <c r="G157" s="272"/>
      <c r="H157" s="272"/>
      <c r="I157" s="272"/>
      <c r="J157" s="272"/>
      <c r="K157" s="272"/>
      <c r="L157" s="272"/>
      <c r="M157" s="272"/>
      <c r="N157" s="272"/>
      <c r="O157" s="272"/>
      <c r="P157" s="272"/>
      <c r="Q157" s="272"/>
      <c r="R157" s="272"/>
      <c r="S157" s="273"/>
    </row>
    <row r="158" spans="2:19">
      <c r="B158" s="271" t="s">
        <v>745</v>
      </c>
      <c r="C158" s="272"/>
      <c r="D158" s="272"/>
      <c r="E158" s="272"/>
      <c r="F158" s="272"/>
      <c r="G158" s="272"/>
      <c r="H158" s="272"/>
      <c r="I158" s="272"/>
      <c r="J158" s="272"/>
      <c r="K158" s="272"/>
      <c r="L158" s="272"/>
      <c r="M158" s="272"/>
      <c r="N158" s="272"/>
      <c r="O158" s="272"/>
      <c r="P158" s="272"/>
      <c r="Q158" s="272"/>
      <c r="R158" s="272"/>
      <c r="S158" s="273"/>
    </row>
    <row r="159" spans="2:19">
      <c r="B159" s="271" t="s">
        <v>746</v>
      </c>
      <c r="C159" s="272"/>
      <c r="D159" s="272"/>
      <c r="E159" s="272"/>
      <c r="F159" s="272"/>
      <c r="G159" s="272"/>
      <c r="H159" s="272"/>
      <c r="I159" s="272"/>
      <c r="J159" s="272"/>
      <c r="K159" s="272"/>
      <c r="L159" s="272"/>
      <c r="M159" s="272"/>
      <c r="N159" s="272"/>
      <c r="O159" s="272"/>
      <c r="P159" s="272"/>
      <c r="Q159" s="272"/>
      <c r="R159" s="272"/>
      <c r="S159" s="273"/>
    </row>
    <row r="160" spans="2:19" ht="15.75" thickBot="1">
      <c r="B160" s="274" t="s">
        <v>747</v>
      </c>
      <c r="C160" s="275"/>
      <c r="D160" s="275"/>
      <c r="E160" s="275"/>
      <c r="F160" s="275"/>
      <c r="G160" s="275"/>
      <c r="H160" s="275"/>
      <c r="I160" s="275"/>
      <c r="J160" s="275"/>
      <c r="K160" s="275"/>
      <c r="L160" s="275"/>
      <c r="M160" s="275"/>
      <c r="N160" s="275"/>
      <c r="O160" s="275"/>
      <c r="P160" s="275"/>
      <c r="Q160" s="275"/>
      <c r="R160" s="275"/>
      <c r="S160" s="276"/>
    </row>
    <row r="161" spans="2:19">
      <c r="B161" s="277"/>
      <c r="C161" s="278"/>
      <c r="D161" s="278"/>
      <c r="E161" s="278"/>
      <c r="F161" s="278"/>
      <c r="G161" s="278"/>
      <c r="H161" s="278"/>
      <c r="I161" s="278"/>
      <c r="J161" s="278"/>
      <c r="K161" s="278"/>
      <c r="L161" s="278"/>
      <c r="M161" s="278"/>
      <c r="N161" s="278"/>
      <c r="O161" s="278"/>
      <c r="P161" s="278"/>
      <c r="Q161" s="278"/>
      <c r="R161" s="278"/>
      <c r="S161" s="278"/>
    </row>
    <row r="162" spans="2:19">
      <c r="B162" s="277"/>
      <c r="C162" s="278"/>
      <c r="D162" s="278"/>
      <c r="E162" s="278"/>
      <c r="F162" s="278"/>
      <c r="G162" s="278"/>
      <c r="H162" s="278"/>
      <c r="I162" s="278"/>
      <c r="J162" s="278"/>
      <c r="K162" s="278"/>
      <c r="L162" s="278"/>
      <c r="M162" s="278"/>
      <c r="N162" s="278"/>
      <c r="O162" s="278"/>
      <c r="P162" s="278"/>
      <c r="Q162" s="278"/>
      <c r="R162" s="278"/>
      <c r="S162" s="278"/>
    </row>
    <row r="163" spans="2:19">
      <c r="B163" s="277"/>
      <c r="C163" s="278"/>
      <c r="D163" s="278"/>
      <c r="E163" s="278"/>
      <c r="F163" s="278"/>
      <c r="G163" s="278"/>
      <c r="H163" s="278"/>
      <c r="I163" s="278"/>
      <c r="J163" s="278"/>
      <c r="K163" s="278"/>
      <c r="L163" s="278"/>
      <c r="M163" s="278"/>
      <c r="N163" s="278"/>
      <c r="O163" s="278"/>
      <c r="P163" s="278"/>
      <c r="Q163" s="278"/>
      <c r="R163" s="278"/>
      <c r="S163" s="278"/>
    </row>
    <row r="164" spans="2:19">
      <c r="B164" s="277"/>
      <c r="C164" s="278"/>
      <c r="D164" s="278"/>
      <c r="E164" s="278"/>
      <c r="F164" s="278"/>
      <c r="G164" s="278"/>
      <c r="H164" s="278"/>
      <c r="I164" s="278"/>
      <c r="J164" s="278"/>
      <c r="K164" s="278"/>
      <c r="L164" s="278"/>
      <c r="M164" s="278"/>
      <c r="N164" s="278"/>
      <c r="O164" s="278"/>
      <c r="P164" s="278"/>
      <c r="Q164" s="278"/>
      <c r="R164" s="278"/>
      <c r="S164" s="278"/>
    </row>
    <row r="165" spans="2:19">
      <c r="B165" s="277"/>
      <c r="C165" s="278"/>
      <c r="D165" s="278"/>
      <c r="E165" s="278"/>
      <c r="F165" s="278"/>
      <c r="G165" s="278"/>
      <c r="H165" s="278"/>
      <c r="I165" s="278"/>
      <c r="J165" s="278"/>
      <c r="K165" s="278"/>
      <c r="L165" s="278"/>
      <c r="M165" s="278"/>
      <c r="N165" s="278"/>
      <c r="O165" s="278"/>
      <c r="P165" s="278"/>
      <c r="Q165" s="278"/>
      <c r="R165" s="278"/>
      <c r="S165" s="278"/>
    </row>
    <row r="166" spans="2:19">
      <c r="B166" s="277"/>
      <c r="C166" s="278"/>
      <c r="D166" s="278"/>
      <c r="E166" s="278"/>
      <c r="F166" s="278"/>
      <c r="G166" s="278"/>
      <c r="H166" s="278"/>
      <c r="I166" s="278"/>
      <c r="J166" s="278"/>
      <c r="K166" s="278"/>
      <c r="L166" s="278"/>
      <c r="M166" s="278"/>
      <c r="N166" s="278"/>
      <c r="O166" s="278"/>
      <c r="P166" s="278"/>
      <c r="Q166" s="278"/>
      <c r="R166" s="278"/>
      <c r="S166" s="278"/>
    </row>
    <row r="167" spans="2:19">
      <c r="C167" s="278"/>
      <c r="D167" s="278"/>
      <c r="E167" s="278"/>
      <c r="F167" s="278"/>
      <c r="G167" s="278"/>
      <c r="H167" s="278"/>
      <c r="I167" s="278"/>
      <c r="J167" s="278"/>
      <c r="K167" s="278"/>
      <c r="L167" s="278"/>
      <c r="M167" s="278"/>
      <c r="N167" s="278"/>
      <c r="O167" s="278"/>
      <c r="P167" s="278"/>
      <c r="Q167" s="278"/>
      <c r="R167" s="278"/>
      <c r="S167" s="278"/>
    </row>
    <row r="168" spans="2:19">
      <c r="C168" s="278"/>
      <c r="D168" s="278"/>
      <c r="E168" s="278"/>
      <c r="F168" s="278"/>
      <c r="G168" s="278"/>
      <c r="H168" s="278"/>
      <c r="I168" s="278"/>
      <c r="J168" s="278"/>
      <c r="K168" s="278"/>
      <c r="L168" s="278"/>
      <c r="M168" s="278"/>
      <c r="N168" s="278"/>
      <c r="O168" s="278"/>
      <c r="P168" s="278"/>
      <c r="Q168" s="278"/>
      <c r="R168" s="278"/>
      <c r="S168" s="278"/>
    </row>
    <row r="169" spans="2:19">
      <c r="C169" s="278"/>
      <c r="D169" s="278"/>
      <c r="E169" s="278"/>
      <c r="F169" s="278"/>
      <c r="G169" s="278"/>
      <c r="H169" s="278"/>
      <c r="I169" s="278"/>
      <c r="J169" s="278"/>
      <c r="K169" s="278"/>
      <c r="L169" s="278"/>
      <c r="M169" s="278"/>
      <c r="N169" s="278"/>
      <c r="O169" s="278"/>
      <c r="P169" s="278"/>
      <c r="Q169" s="278"/>
      <c r="R169" s="278"/>
      <c r="S169" s="278"/>
    </row>
    <row r="170" spans="2:19">
      <c r="C170" s="278"/>
      <c r="D170" s="278"/>
      <c r="E170" s="278"/>
      <c r="F170" s="278"/>
      <c r="G170" s="278"/>
      <c r="H170" s="278"/>
      <c r="I170" s="278"/>
      <c r="J170" s="278"/>
      <c r="K170" s="278"/>
      <c r="L170" s="278"/>
      <c r="M170" s="278"/>
      <c r="N170" s="278"/>
      <c r="O170" s="278"/>
      <c r="P170" s="278"/>
      <c r="Q170" s="278"/>
      <c r="R170" s="278"/>
      <c r="S170" s="278"/>
    </row>
    <row r="171" spans="2:19">
      <c r="C171" s="278"/>
      <c r="D171" s="278"/>
      <c r="E171" s="278"/>
      <c r="F171" s="278"/>
      <c r="G171" s="278"/>
      <c r="H171" s="278"/>
      <c r="I171" s="278"/>
      <c r="J171" s="278"/>
      <c r="K171" s="278"/>
      <c r="L171" s="278"/>
      <c r="M171" s="278"/>
      <c r="N171" s="278"/>
      <c r="O171" s="278"/>
      <c r="P171" s="278"/>
      <c r="Q171" s="278"/>
      <c r="R171" s="278"/>
      <c r="S171" s="278"/>
    </row>
    <row r="172" spans="2:19">
      <c r="C172" s="278"/>
      <c r="D172" s="278"/>
      <c r="E172" s="278"/>
      <c r="F172" s="278"/>
      <c r="G172" s="278"/>
      <c r="H172" s="278"/>
      <c r="I172" s="278"/>
      <c r="J172" s="278"/>
      <c r="K172" s="278"/>
      <c r="L172" s="278"/>
      <c r="M172" s="278"/>
      <c r="N172" s="278"/>
      <c r="O172" s="278"/>
      <c r="P172" s="278"/>
      <c r="Q172" s="278"/>
      <c r="R172" s="278"/>
      <c r="S172" s="278"/>
    </row>
    <row r="173" spans="2:19">
      <c r="C173" s="278"/>
      <c r="D173" s="278"/>
      <c r="E173" s="278"/>
      <c r="F173" s="278"/>
      <c r="G173" s="278"/>
      <c r="H173" s="278"/>
      <c r="I173" s="278"/>
      <c r="J173" s="278"/>
      <c r="K173" s="278"/>
      <c r="L173" s="278"/>
      <c r="M173" s="278"/>
      <c r="N173" s="278"/>
      <c r="O173" s="278"/>
      <c r="P173" s="278"/>
      <c r="Q173" s="278"/>
      <c r="R173" s="278"/>
      <c r="S173" s="278"/>
    </row>
  </sheetData>
  <mergeCells count="14">
    <mergeCell ref="Q3:Q4"/>
    <mergeCell ref="R3:R4"/>
    <mergeCell ref="S3:S4"/>
    <mergeCell ref="A50:A54"/>
    <mergeCell ref="B2:S2"/>
    <mergeCell ref="C3:C4"/>
    <mergeCell ref="D3:D4"/>
    <mergeCell ref="J3:J4"/>
    <mergeCell ref="K3:K4"/>
    <mergeCell ref="L3:L4"/>
    <mergeCell ref="M3:M4"/>
    <mergeCell ref="N3:N4"/>
    <mergeCell ref="O3:O4"/>
    <mergeCell ref="P3:P4"/>
  </mergeCells>
  <hyperlinks>
    <hyperlink ref="A1" location="Contents!A1" display="Back to contents" xr:uid="{6CB39965-ECC7-479D-9153-211890D38B48}"/>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F901-FFE0-4C0D-BB7E-339FBCB2E52F}">
  <dimension ref="A1:H171"/>
  <sheetViews>
    <sheetView showGridLines="0" workbookViewId="0">
      <selection activeCell="A5" sqref="A5"/>
    </sheetView>
  </sheetViews>
  <sheetFormatPr defaultColWidth="10.140625" defaultRowHeight="12.75"/>
  <cols>
    <col min="1" max="16384" width="10.140625" style="382"/>
  </cols>
  <sheetData>
    <row r="1" spans="1:2" s="370" customFormat="1" ht="39.950000000000003" customHeight="1">
      <c r="A1" s="369" t="s">
        <v>621</v>
      </c>
    </row>
    <row r="2" spans="1:2" s="370" customFormat="1" ht="17.25">
      <c r="B2" s="371" t="s">
        <v>899</v>
      </c>
    </row>
    <row r="3" spans="1:2" s="370" customFormat="1"/>
    <row r="4" spans="1:2" s="370" customFormat="1"/>
    <row r="5" spans="1:2" s="370" customFormat="1"/>
    <row r="6" spans="1:2" s="370" customFormat="1"/>
    <row r="7" spans="1:2" s="370" customFormat="1"/>
    <row r="8" spans="1:2" s="370" customFormat="1"/>
    <row r="9" spans="1:2" s="370" customFormat="1"/>
    <row r="10" spans="1:2" s="370" customFormat="1"/>
    <row r="11" spans="1:2" s="370" customFormat="1"/>
    <row r="12" spans="1:2" s="370" customFormat="1"/>
    <row r="13" spans="1:2" s="370" customFormat="1"/>
    <row r="14" spans="1:2" s="370" customFormat="1"/>
    <row r="15" spans="1:2" s="370" customFormat="1"/>
    <row r="16" spans="1:2" s="370" customFormat="1"/>
    <row r="17" spans="2:8" s="370" customFormat="1"/>
    <row r="18" spans="2:8" s="370" customFormat="1"/>
    <row r="19" spans="2:8" s="370" customFormat="1"/>
    <row r="20" spans="2:8" s="370" customFormat="1"/>
    <row r="21" spans="2:8" s="370" customFormat="1"/>
    <row r="24" spans="2:8" ht="13.5" thickBot="1"/>
    <row r="25" spans="2:8" ht="51.75" thickBot="1">
      <c r="B25" s="372" t="s">
        <v>900</v>
      </c>
      <c r="C25" s="373" t="s">
        <v>901</v>
      </c>
      <c r="D25" s="373" t="s">
        <v>902</v>
      </c>
      <c r="E25" s="373" t="s">
        <v>903</v>
      </c>
      <c r="F25" s="374" t="s">
        <v>904</v>
      </c>
      <c r="G25" s="383"/>
      <c r="H25" s="383"/>
    </row>
    <row r="26" spans="2:8">
      <c r="B26" s="375" t="s">
        <v>905</v>
      </c>
      <c r="C26" s="384"/>
      <c r="D26" s="384"/>
      <c r="E26" s="384"/>
      <c r="F26" s="385"/>
      <c r="G26" s="384"/>
      <c r="H26" s="384"/>
    </row>
    <row r="27" spans="2:8">
      <c r="B27" s="375" t="s">
        <v>62</v>
      </c>
      <c r="C27" s="384"/>
      <c r="D27" s="384"/>
      <c r="E27" s="384"/>
      <c r="F27" s="385"/>
      <c r="G27" s="384"/>
      <c r="H27" s="384"/>
    </row>
    <row r="28" spans="2:8">
      <c r="B28" s="375" t="s">
        <v>64</v>
      </c>
      <c r="C28" s="384"/>
      <c r="D28" s="384"/>
      <c r="E28" s="384"/>
      <c r="F28" s="385"/>
      <c r="G28" s="384"/>
      <c r="H28" s="384"/>
    </row>
    <row r="29" spans="2:8">
      <c r="B29" s="375" t="s">
        <v>65</v>
      </c>
      <c r="C29" s="384">
        <v>37.207877461706786</v>
      </c>
      <c r="D29" s="384"/>
      <c r="E29" s="384"/>
      <c r="F29" s="385"/>
      <c r="G29" s="384"/>
      <c r="H29" s="384"/>
    </row>
    <row r="30" spans="2:8">
      <c r="B30" s="375" t="s">
        <v>66</v>
      </c>
      <c r="C30" s="384">
        <v>36.929903854055382</v>
      </c>
      <c r="D30" s="384"/>
      <c r="E30" s="384"/>
      <c r="F30" s="385"/>
      <c r="G30" s="384"/>
      <c r="H30" s="384"/>
    </row>
    <row r="31" spans="2:8">
      <c r="B31" s="375" t="s">
        <v>67</v>
      </c>
      <c r="C31" s="384">
        <v>36.07535321821036</v>
      </c>
      <c r="D31" s="384"/>
      <c r="E31" s="384"/>
      <c r="F31" s="385"/>
      <c r="G31" s="384"/>
      <c r="H31" s="384"/>
    </row>
    <row r="32" spans="2:8">
      <c r="B32" s="375" t="s">
        <v>68</v>
      </c>
      <c r="C32" s="384">
        <v>34.782912675662445</v>
      </c>
      <c r="D32" s="384"/>
      <c r="E32" s="384"/>
      <c r="F32" s="385"/>
      <c r="G32" s="384"/>
      <c r="H32" s="384"/>
    </row>
    <row r="33" spans="2:8">
      <c r="B33" s="375" t="s">
        <v>69</v>
      </c>
      <c r="C33" s="384">
        <v>33.953398558187438</v>
      </c>
      <c r="D33" s="384"/>
      <c r="E33" s="384"/>
      <c r="F33" s="385"/>
      <c r="G33" s="384"/>
      <c r="H33" s="384"/>
    </row>
    <row r="34" spans="2:8">
      <c r="B34" s="375" t="s">
        <v>70</v>
      </c>
      <c r="C34" s="384">
        <v>31.705124363200483</v>
      </c>
      <c r="D34" s="384"/>
      <c r="E34" s="384"/>
      <c r="F34" s="385"/>
      <c r="G34" s="384"/>
      <c r="H34" s="384"/>
    </row>
    <row r="35" spans="2:8">
      <c r="B35" s="375" t="s">
        <v>71</v>
      </c>
      <c r="C35" s="384">
        <v>30.913016305891709</v>
      </c>
      <c r="D35" s="384"/>
      <c r="E35" s="384"/>
      <c r="F35" s="385"/>
      <c r="G35" s="384"/>
      <c r="H35" s="384"/>
    </row>
    <row r="36" spans="2:8">
      <c r="B36" s="375" t="s">
        <v>72</v>
      </c>
      <c r="C36" s="384">
        <v>29.644955300127712</v>
      </c>
      <c r="D36" s="384"/>
      <c r="E36" s="384"/>
      <c r="F36" s="385"/>
      <c r="G36" s="384"/>
      <c r="H36" s="384"/>
    </row>
    <row r="37" spans="2:8">
      <c r="B37" s="375" t="s">
        <v>73</v>
      </c>
      <c r="C37" s="384">
        <v>29.247779247779249</v>
      </c>
      <c r="D37" s="384"/>
      <c r="E37" s="384"/>
      <c r="F37" s="385"/>
      <c r="G37" s="384"/>
      <c r="H37" s="384"/>
    </row>
    <row r="38" spans="2:8">
      <c r="B38" s="375" t="s">
        <v>74</v>
      </c>
      <c r="C38" s="384">
        <v>28.913468372423594</v>
      </c>
      <c r="D38" s="384"/>
      <c r="E38" s="384"/>
      <c r="F38" s="385"/>
      <c r="G38" s="384"/>
      <c r="H38" s="384"/>
    </row>
    <row r="39" spans="2:8">
      <c r="B39" s="375" t="s">
        <v>75</v>
      </c>
      <c r="C39" s="384">
        <v>29.529971292686064</v>
      </c>
      <c r="D39" s="384"/>
      <c r="E39" s="384"/>
      <c r="F39" s="385"/>
      <c r="G39" s="384"/>
      <c r="H39" s="384"/>
    </row>
    <row r="40" spans="2:8">
      <c r="B40" s="375" t="s">
        <v>76</v>
      </c>
      <c r="C40" s="384">
        <v>28.426722405338051</v>
      </c>
      <c r="D40" s="384"/>
      <c r="E40" s="384"/>
      <c r="F40" s="385"/>
      <c r="G40" s="384"/>
      <c r="H40" s="384"/>
    </row>
    <row r="41" spans="2:8">
      <c r="B41" s="375" t="s">
        <v>77</v>
      </c>
      <c r="C41" s="384">
        <v>27.882450082570188</v>
      </c>
      <c r="D41" s="384"/>
      <c r="E41" s="384"/>
      <c r="F41" s="385"/>
      <c r="G41" s="384"/>
      <c r="H41" s="384"/>
    </row>
    <row r="42" spans="2:8">
      <c r="B42" s="375" t="s">
        <v>78</v>
      </c>
      <c r="C42" s="384">
        <v>29.843322556577967</v>
      </c>
      <c r="D42" s="384"/>
      <c r="E42" s="384"/>
      <c r="F42" s="385"/>
      <c r="G42" s="384"/>
      <c r="H42" s="384"/>
    </row>
    <row r="43" spans="2:8">
      <c r="B43" s="375" t="s">
        <v>79</v>
      </c>
      <c r="C43" s="384">
        <v>29.639813966120105</v>
      </c>
      <c r="D43" s="384"/>
      <c r="E43" s="384"/>
      <c r="F43" s="385"/>
      <c r="G43" s="384"/>
      <c r="H43" s="384"/>
    </row>
    <row r="44" spans="2:8">
      <c r="B44" s="375" t="s">
        <v>80</v>
      </c>
      <c r="C44" s="384">
        <v>28.688652948729999</v>
      </c>
      <c r="D44" s="384"/>
      <c r="E44" s="384"/>
      <c r="F44" s="385"/>
      <c r="G44" s="384"/>
      <c r="H44" s="384"/>
    </row>
    <row r="45" spans="2:8">
      <c r="B45" s="375" t="s">
        <v>81</v>
      </c>
      <c r="C45" s="384">
        <v>29.075837540156041</v>
      </c>
      <c r="D45" s="384"/>
      <c r="E45" s="384"/>
      <c r="F45" s="385"/>
      <c r="G45" s="384"/>
      <c r="H45" s="384"/>
    </row>
    <row r="46" spans="2:8">
      <c r="B46" s="375" t="s">
        <v>82</v>
      </c>
      <c r="C46" s="384">
        <v>30.683425399621061</v>
      </c>
      <c r="D46" s="384"/>
      <c r="E46" s="384"/>
      <c r="F46" s="385"/>
      <c r="G46" s="384"/>
      <c r="H46" s="384"/>
    </row>
    <row r="47" spans="2:8">
      <c r="B47" s="375" t="s">
        <v>83</v>
      </c>
      <c r="C47" s="384">
        <v>31.382313197537659</v>
      </c>
      <c r="D47" s="384"/>
      <c r="E47" s="384"/>
      <c r="F47" s="385"/>
      <c r="G47" s="384"/>
      <c r="H47" s="384"/>
    </row>
    <row r="48" spans="2:8">
      <c r="B48" s="375" t="s">
        <v>84</v>
      </c>
      <c r="C48" s="384">
        <v>32.598777046095954</v>
      </c>
      <c r="D48" s="384"/>
      <c r="E48" s="384"/>
      <c r="F48" s="385"/>
      <c r="G48" s="384"/>
      <c r="H48" s="384"/>
    </row>
    <row r="49" spans="2:8">
      <c r="B49" s="375" t="s">
        <v>85</v>
      </c>
      <c r="C49" s="384">
        <v>33.805767545266036</v>
      </c>
      <c r="D49" s="384"/>
      <c r="E49" s="384"/>
      <c r="F49" s="385"/>
      <c r="G49" s="384"/>
      <c r="H49" s="384"/>
    </row>
    <row r="50" spans="2:8">
      <c r="B50" s="375" t="s">
        <v>86</v>
      </c>
      <c r="C50" s="384">
        <v>35.124665722825235</v>
      </c>
      <c r="D50" s="384"/>
      <c r="E50" s="384"/>
      <c r="F50" s="385"/>
      <c r="G50" s="384"/>
      <c r="H50" s="384"/>
    </row>
    <row r="51" spans="2:8">
      <c r="B51" s="375" t="s">
        <v>87</v>
      </c>
      <c r="C51" s="384">
        <v>33.698193595316859</v>
      </c>
      <c r="D51" s="384"/>
      <c r="E51" s="384"/>
      <c r="F51" s="385"/>
      <c r="G51" s="384"/>
      <c r="H51" s="384"/>
    </row>
    <row r="52" spans="2:8">
      <c r="B52" s="375" t="s">
        <v>88</v>
      </c>
      <c r="C52" s="384">
        <v>32.060194144695082</v>
      </c>
      <c r="D52" s="384"/>
      <c r="E52" s="384"/>
      <c r="F52" s="385"/>
      <c r="G52" s="384"/>
      <c r="H52" s="384"/>
    </row>
    <row r="53" spans="2:8">
      <c r="B53" s="375" t="s">
        <v>89</v>
      </c>
      <c r="C53" s="384">
        <v>29.824727489113091</v>
      </c>
      <c r="D53" s="384"/>
      <c r="E53" s="384"/>
      <c r="F53" s="385"/>
      <c r="G53" s="384"/>
      <c r="H53" s="384"/>
    </row>
    <row r="54" spans="2:8">
      <c r="B54" s="375" t="s">
        <v>90</v>
      </c>
      <c r="C54" s="384">
        <v>29.790879801136704</v>
      </c>
      <c r="D54" s="384"/>
      <c r="E54" s="384"/>
      <c r="F54" s="385"/>
      <c r="G54" s="384"/>
      <c r="H54" s="384"/>
    </row>
    <row r="55" spans="2:8">
      <c r="B55" s="375" t="s">
        <v>91</v>
      </c>
      <c r="C55" s="384">
        <v>32.489408505784588</v>
      </c>
      <c r="D55" s="384"/>
      <c r="E55" s="384"/>
      <c r="F55" s="385"/>
      <c r="G55" s="384"/>
      <c r="H55" s="384"/>
    </row>
    <row r="56" spans="2:8">
      <c r="B56" s="375" t="s">
        <v>92</v>
      </c>
      <c r="C56" s="384">
        <v>33.353745324550658</v>
      </c>
      <c r="D56" s="384"/>
      <c r="E56" s="384"/>
      <c r="F56" s="385"/>
      <c r="G56" s="384"/>
      <c r="H56" s="384"/>
    </row>
    <row r="57" spans="2:8">
      <c r="B57" s="375" t="s">
        <v>93</v>
      </c>
      <c r="C57" s="384">
        <v>32.760149783208512</v>
      </c>
      <c r="D57" s="384"/>
      <c r="E57" s="384"/>
      <c r="F57" s="385"/>
      <c r="G57" s="384"/>
      <c r="H57" s="384"/>
    </row>
    <row r="58" spans="2:8">
      <c r="B58" s="375" t="s">
        <v>94</v>
      </c>
      <c r="C58" s="384">
        <v>31.619572874457365</v>
      </c>
      <c r="D58" s="384"/>
      <c r="E58" s="384"/>
      <c r="F58" s="385"/>
      <c r="G58" s="384"/>
      <c r="H58" s="384"/>
    </row>
    <row r="59" spans="2:8">
      <c r="B59" s="375" t="s">
        <v>95</v>
      </c>
      <c r="C59" s="384">
        <v>30.379378291679881</v>
      </c>
      <c r="D59" s="384"/>
      <c r="E59" s="384"/>
      <c r="F59" s="385"/>
      <c r="G59" s="384"/>
      <c r="H59" s="384"/>
    </row>
    <row r="60" spans="2:8">
      <c r="B60" s="375" t="s">
        <v>96</v>
      </c>
      <c r="C60" s="384">
        <v>31.193642848849962</v>
      </c>
      <c r="D60" s="384"/>
      <c r="E60" s="384"/>
      <c r="F60" s="385"/>
      <c r="G60" s="384"/>
      <c r="H60" s="384"/>
    </row>
    <row r="61" spans="2:8">
      <c r="B61" s="375" t="s">
        <v>97</v>
      </c>
      <c r="C61" s="384">
        <v>32.10937850404413</v>
      </c>
      <c r="D61" s="384"/>
      <c r="E61" s="384"/>
      <c r="F61" s="385"/>
      <c r="G61" s="384"/>
      <c r="H61" s="384"/>
    </row>
    <row r="62" spans="2:8">
      <c r="B62" s="375" t="s">
        <v>98</v>
      </c>
      <c r="C62" s="384">
        <v>33.969451594870442</v>
      </c>
      <c r="D62" s="384"/>
      <c r="E62" s="384"/>
      <c r="F62" s="385"/>
      <c r="G62" s="384"/>
      <c r="H62" s="384"/>
    </row>
    <row r="63" spans="2:8">
      <c r="B63" s="375" t="s">
        <v>99</v>
      </c>
      <c r="C63" s="384">
        <v>33.674178890549236</v>
      </c>
      <c r="D63" s="384"/>
      <c r="E63" s="384"/>
      <c r="F63" s="385"/>
      <c r="G63" s="384"/>
      <c r="H63" s="384"/>
    </row>
    <row r="64" spans="2:8">
      <c r="B64" s="375" t="s">
        <v>100</v>
      </c>
      <c r="C64" s="384">
        <v>32.988144232163371</v>
      </c>
      <c r="D64" s="384"/>
      <c r="E64" s="384"/>
      <c r="F64" s="385"/>
      <c r="G64" s="384"/>
      <c r="H64" s="384"/>
    </row>
    <row r="65" spans="2:8">
      <c r="B65" s="375" t="s">
        <v>101</v>
      </c>
      <c r="C65" s="384">
        <v>33.550804462166234</v>
      </c>
      <c r="D65" s="384"/>
      <c r="E65" s="384"/>
      <c r="F65" s="385"/>
      <c r="G65" s="384"/>
      <c r="H65" s="384"/>
    </row>
    <row r="66" spans="2:8">
      <c r="B66" s="375" t="s">
        <v>102</v>
      </c>
      <c r="C66" s="384">
        <v>32.640221971504545</v>
      </c>
      <c r="D66" s="384"/>
      <c r="E66" s="384"/>
      <c r="F66" s="385"/>
      <c r="G66" s="384"/>
      <c r="H66" s="384"/>
    </row>
    <row r="67" spans="2:8">
      <c r="B67" s="375" t="s">
        <v>103</v>
      </c>
      <c r="C67" s="384">
        <v>32.436952685744352</v>
      </c>
      <c r="D67" s="384"/>
      <c r="E67" s="384"/>
      <c r="F67" s="385"/>
      <c r="G67" s="384"/>
      <c r="H67" s="384"/>
    </row>
    <row r="68" spans="2:8">
      <c r="B68" s="375" t="s">
        <v>104</v>
      </c>
      <c r="C68" s="384">
        <v>31.588707412953955</v>
      </c>
      <c r="D68" s="384"/>
      <c r="E68" s="384"/>
      <c r="F68" s="385"/>
      <c r="G68" s="384"/>
      <c r="H68" s="384"/>
    </row>
    <row r="69" spans="2:8">
      <c r="B69" s="375" t="s">
        <v>105</v>
      </c>
      <c r="C69" s="384">
        <v>31.064924803026411</v>
      </c>
      <c r="D69" s="384"/>
      <c r="E69" s="384"/>
      <c r="F69" s="385"/>
      <c r="G69" s="384"/>
      <c r="H69" s="384"/>
    </row>
    <row r="70" spans="2:8">
      <c r="B70" s="375" t="s">
        <v>106</v>
      </c>
      <c r="C70" s="384">
        <v>30.595449385456462</v>
      </c>
      <c r="D70" s="384"/>
      <c r="E70" s="384"/>
      <c r="F70" s="385"/>
      <c r="G70" s="384"/>
      <c r="H70" s="384"/>
    </row>
    <row r="71" spans="2:8">
      <c r="B71" s="375" t="s">
        <v>107</v>
      </c>
      <c r="C71" s="384">
        <v>30.310918845309509</v>
      </c>
      <c r="D71" s="384"/>
      <c r="E71" s="384"/>
      <c r="F71" s="385"/>
      <c r="G71" s="384"/>
      <c r="H71" s="384"/>
    </row>
    <row r="72" spans="2:8">
      <c r="B72" s="375" t="s">
        <v>108</v>
      </c>
      <c r="C72" s="384">
        <v>30.247675080660468</v>
      </c>
      <c r="D72" s="384"/>
      <c r="E72" s="384"/>
      <c r="F72" s="385"/>
      <c r="G72" s="384"/>
      <c r="H72" s="384"/>
    </row>
    <row r="73" spans="2:8">
      <c r="B73" s="375" t="s">
        <v>109</v>
      </c>
      <c r="C73" s="384">
        <v>28.979258127969821</v>
      </c>
      <c r="D73" s="384"/>
      <c r="E73" s="384"/>
      <c r="F73" s="385"/>
      <c r="G73" s="384"/>
      <c r="H73" s="384"/>
    </row>
    <row r="74" spans="2:8">
      <c r="B74" s="375" t="s">
        <v>110</v>
      </c>
      <c r="C74" s="384">
        <v>28.317969408339927</v>
      </c>
      <c r="D74" s="384"/>
      <c r="E74" s="384"/>
      <c r="F74" s="385"/>
      <c r="G74" s="384"/>
      <c r="H74" s="384"/>
    </row>
    <row r="75" spans="2:8">
      <c r="B75" s="375" t="s">
        <v>111</v>
      </c>
      <c r="C75" s="384">
        <v>29.25686257845982</v>
      </c>
      <c r="D75" s="384"/>
      <c r="E75" s="384"/>
      <c r="F75" s="385"/>
      <c r="G75" s="384"/>
      <c r="H75" s="384"/>
    </row>
    <row r="76" spans="2:8">
      <c r="B76" s="375" t="s">
        <v>112</v>
      </c>
      <c r="C76" s="384">
        <v>30.077630341054039</v>
      </c>
      <c r="D76" s="384"/>
      <c r="E76" s="384"/>
      <c r="F76" s="385"/>
      <c r="G76" s="384"/>
      <c r="H76" s="384"/>
    </row>
    <row r="77" spans="2:8">
      <c r="B77" s="375" t="s">
        <v>113</v>
      </c>
      <c r="C77" s="384">
        <v>29.560392594495298</v>
      </c>
      <c r="D77" s="384"/>
      <c r="E77" s="384"/>
      <c r="F77" s="385"/>
      <c r="G77" s="384"/>
      <c r="H77" s="384"/>
    </row>
    <row r="78" spans="2:8">
      <c r="B78" s="375" t="s">
        <v>114</v>
      </c>
      <c r="C78" s="384">
        <v>31.022539437833114</v>
      </c>
      <c r="D78" s="384"/>
      <c r="E78" s="384"/>
      <c r="F78" s="385"/>
      <c r="G78" s="384"/>
      <c r="H78" s="384"/>
    </row>
    <row r="79" spans="2:8">
      <c r="B79" s="375" t="s">
        <v>115</v>
      </c>
      <c r="C79" s="384">
        <v>31.670114722640218</v>
      </c>
      <c r="D79" s="384"/>
      <c r="E79" s="384"/>
      <c r="F79" s="385"/>
      <c r="G79" s="384"/>
      <c r="H79" s="384"/>
    </row>
    <row r="80" spans="2:8">
      <c r="B80" s="375" t="s">
        <v>116</v>
      </c>
      <c r="C80" s="384">
        <v>32.453512012087018</v>
      </c>
      <c r="D80" s="384"/>
      <c r="E80" s="384"/>
      <c r="F80" s="385"/>
      <c r="G80" s="384"/>
      <c r="H80" s="384"/>
    </row>
    <row r="81" spans="2:8">
      <c r="B81" s="375" t="s">
        <v>117</v>
      </c>
      <c r="C81" s="384">
        <v>32.970035780976396</v>
      </c>
      <c r="D81" s="384"/>
      <c r="E81" s="384"/>
      <c r="F81" s="385"/>
      <c r="G81" s="384"/>
      <c r="H81" s="384"/>
    </row>
    <row r="82" spans="2:8">
      <c r="B82" s="375" t="s">
        <v>118</v>
      </c>
      <c r="C82" s="384">
        <v>32.298537838968251</v>
      </c>
      <c r="D82" s="384"/>
      <c r="E82" s="384"/>
      <c r="F82" s="385"/>
      <c r="G82" s="384"/>
      <c r="H82" s="384"/>
    </row>
    <row r="83" spans="2:8">
      <c r="B83" s="375" t="s">
        <v>119</v>
      </c>
      <c r="C83" s="384">
        <v>31.414721860006971</v>
      </c>
      <c r="D83" s="384"/>
      <c r="E83" s="384"/>
      <c r="F83" s="385"/>
      <c r="G83" s="384"/>
      <c r="H83" s="384"/>
    </row>
    <row r="84" spans="2:8">
      <c r="B84" s="375" t="s">
        <v>120</v>
      </c>
      <c r="C84" s="384">
        <v>32.22479128737298</v>
      </c>
      <c r="D84" s="384"/>
      <c r="E84" s="384"/>
      <c r="F84" s="385"/>
      <c r="G84" s="384"/>
      <c r="H84" s="384"/>
    </row>
    <row r="85" spans="2:8">
      <c r="B85" s="375" t="s">
        <v>121</v>
      </c>
      <c r="C85" s="384">
        <v>32.840123082224906</v>
      </c>
      <c r="D85" s="384"/>
      <c r="E85" s="384"/>
      <c r="F85" s="385"/>
      <c r="G85" s="384"/>
      <c r="H85" s="384"/>
    </row>
    <row r="86" spans="2:8">
      <c r="B86" s="375" t="s">
        <v>122</v>
      </c>
      <c r="C86" s="384">
        <v>33.238570707038775</v>
      </c>
      <c r="D86" s="384"/>
      <c r="E86" s="384"/>
      <c r="F86" s="385"/>
      <c r="G86" s="384"/>
      <c r="H86" s="384"/>
    </row>
    <row r="87" spans="2:8">
      <c r="B87" s="375" t="s">
        <v>123</v>
      </c>
      <c r="C87" s="384">
        <v>33.635452992002399</v>
      </c>
      <c r="D87" s="384"/>
      <c r="E87" s="384"/>
      <c r="F87" s="385"/>
      <c r="G87" s="384"/>
      <c r="H87" s="384"/>
    </row>
    <row r="88" spans="2:8">
      <c r="B88" s="375" t="s">
        <v>124</v>
      </c>
      <c r="C88" s="384">
        <v>33.642974514719832</v>
      </c>
      <c r="D88" s="384"/>
      <c r="E88" s="384"/>
      <c r="F88" s="385"/>
      <c r="G88" s="384"/>
      <c r="H88" s="384"/>
    </row>
    <row r="89" spans="2:8">
      <c r="B89" s="375" t="s">
        <v>125</v>
      </c>
      <c r="C89" s="384">
        <v>32.02206535376682</v>
      </c>
      <c r="D89" s="384"/>
      <c r="E89" s="384"/>
      <c r="F89" s="385"/>
      <c r="G89" s="384"/>
      <c r="H89" s="384"/>
    </row>
    <row r="90" spans="2:8">
      <c r="B90" s="375" t="s">
        <v>126</v>
      </c>
      <c r="C90" s="384">
        <v>32.152871282074194</v>
      </c>
      <c r="D90" s="384"/>
      <c r="E90" s="384"/>
      <c r="F90" s="385"/>
      <c r="G90" s="384"/>
      <c r="H90" s="384"/>
    </row>
    <row r="91" spans="2:8">
      <c r="B91" s="375" t="s">
        <v>127</v>
      </c>
      <c r="C91" s="384">
        <v>33.122505245185636</v>
      </c>
      <c r="D91" s="384"/>
      <c r="E91" s="384"/>
      <c r="F91" s="385"/>
      <c r="G91" s="384"/>
      <c r="H91" s="384"/>
    </row>
    <row r="92" spans="2:8">
      <c r="B92" s="386" t="s">
        <v>128</v>
      </c>
      <c r="C92" s="384">
        <v>33.3145739548835</v>
      </c>
      <c r="D92" s="384"/>
      <c r="E92" s="384"/>
      <c r="F92" s="385"/>
      <c r="G92" s="384"/>
      <c r="H92" s="384"/>
    </row>
    <row r="93" spans="2:8">
      <c r="B93" s="386" t="s">
        <v>129</v>
      </c>
      <c r="C93" s="384">
        <v>32.666344392193416</v>
      </c>
      <c r="D93" s="384"/>
      <c r="E93" s="384"/>
      <c r="F93" s="385"/>
      <c r="G93" s="384"/>
      <c r="H93" s="384"/>
    </row>
    <row r="94" spans="2:8">
      <c r="B94" s="386" t="s">
        <v>130</v>
      </c>
      <c r="C94" s="384">
        <v>32.552449751863101</v>
      </c>
      <c r="D94" s="384"/>
      <c r="E94" s="384"/>
      <c r="F94" s="385"/>
      <c r="G94" s="384"/>
      <c r="H94" s="384"/>
    </row>
    <row r="95" spans="2:8">
      <c r="B95" s="375" t="s">
        <v>131</v>
      </c>
      <c r="C95" s="384">
        <v>32.413667818786365</v>
      </c>
      <c r="D95" s="384"/>
      <c r="E95" s="384"/>
      <c r="F95" s="385"/>
      <c r="G95" s="384"/>
      <c r="H95" s="384"/>
    </row>
    <row r="96" spans="2:8">
      <c r="B96" s="386" t="s">
        <v>132</v>
      </c>
      <c r="C96" s="384">
        <v>32.619298840386307</v>
      </c>
      <c r="D96" s="384"/>
      <c r="E96" s="384"/>
      <c r="F96" s="385"/>
      <c r="G96" s="384"/>
      <c r="H96" s="384"/>
    </row>
    <row r="97" spans="2:8">
      <c r="B97" s="386" t="s">
        <v>133</v>
      </c>
      <c r="C97" s="384">
        <v>33.387153584547129</v>
      </c>
      <c r="D97" s="384"/>
      <c r="E97" s="384"/>
      <c r="F97" s="385"/>
      <c r="G97" s="384"/>
      <c r="H97" s="384"/>
    </row>
    <row r="98" spans="2:8">
      <c r="B98" s="386" t="s">
        <v>134</v>
      </c>
      <c r="C98" s="384">
        <v>33.141651656068213</v>
      </c>
      <c r="D98" s="384"/>
      <c r="E98" s="384"/>
      <c r="F98" s="385"/>
      <c r="G98" s="384"/>
      <c r="H98" s="384"/>
    </row>
    <row r="99" spans="2:8">
      <c r="B99" s="375" t="s">
        <v>135</v>
      </c>
      <c r="C99" s="384">
        <v>33.568723545429599</v>
      </c>
      <c r="D99" s="384"/>
      <c r="E99" s="384"/>
      <c r="F99" s="385"/>
      <c r="G99" s="384"/>
      <c r="H99" s="384"/>
    </row>
    <row r="100" spans="2:8">
      <c r="B100" s="386" t="s">
        <v>136</v>
      </c>
      <c r="C100" s="384">
        <v>32.851953978095374</v>
      </c>
      <c r="D100" s="384"/>
      <c r="E100" s="384"/>
      <c r="F100" s="385"/>
      <c r="G100" s="384"/>
      <c r="H100" s="384"/>
    </row>
    <row r="101" spans="2:8">
      <c r="B101" s="386" t="s">
        <v>137</v>
      </c>
      <c r="C101" s="384">
        <v>33.716841169367143</v>
      </c>
      <c r="D101" s="384"/>
      <c r="E101" s="384"/>
      <c r="F101" s="385"/>
      <c r="G101" s="384"/>
      <c r="H101" s="384"/>
    </row>
    <row r="102" spans="2:8">
      <c r="B102" s="386" t="s">
        <v>138</v>
      </c>
      <c r="C102" s="384">
        <v>34.668084209368608</v>
      </c>
      <c r="D102" s="384"/>
      <c r="E102" s="384"/>
      <c r="F102" s="385"/>
      <c r="G102" s="384"/>
      <c r="H102" s="384"/>
    </row>
    <row r="103" spans="2:8">
      <c r="B103" s="375" t="s">
        <v>139</v>
      </c>
      <c r="C103" s="384">
        <v>35.193080912989082</v>
      </c>
      <c r="D103" s="384"/>
      <c r="E103" s="384"/>
      <c r="F103" s="385"/>
      <c r="G103" s="384"/>
      <c r="H103" s="384"/>
    </row>
    <row r="104" spans="2:8">
      <c r="B104" s="386" t="s">
        <v>140</v>
      </c>
      <c r="C104" s="384">
        <v>34.938577969101999</v>
      </c>
      <c r="D104" s="384"/>
      <c r="E104" s="384"/>
      <c r="F104" s="385"/>
      <c r="G104" s="384"/>
      <c r="H104" s="384"/>
    </row>
    <row r="105" spans="2:8">
      <c r="B105" s="386" t="s">
        <v>141</v>
      </c>
      <c r="C105" s="384">
        <v>34.679402682366991</v>
      </c>
      <c r="D105" s="387">
        <v>34.908721933174824</v>
      </c>
      <c r="E105" s="384">
        <v>34.679402682366991</v>
      </c>
      <c r="F105" s="385">
        <v>34.679402682366991</v>
      </c>
      <c r="G105" s="384"/>
      <c r="H105" s="384"/>
    </row>
    <row r="106" spans="2:8">
      <c r="B106" s="386" t="s">
        <v>142</v>
      </c>
      <c r="C106" s="384"/>
      <c r="D106" s="387">
        <v>36.324617179734489</v>
      </c>
      <c r="E106" s="387">
        <v>36.22650057883336</v>
      </c>
      <c r="F106" s="388">
        <v>36.25941471703463</v>
      </c>
      <c r="G106" s="384"/>
      <c r="H106" s="384"/>
    </row>
    <row r="107" spans="2:8">
      <c r="B107" s="375" t="s">
        <v>143</v>
      </c>
      <c r="C107" s="384"/>
      <c r="D107" s="387">
        <v>36.960438482346142</v>
      </c>
      <c r="E107" s="387">
        <v>37.025141452277772</v>
      </c>
      <c r="F107" s="388">
        <v>37.02837670486285</v>
      </c>
      <c r="G107" s="384"/>
      <c r="H107" s="384"/>
    </row>
    <row r="108" spans="2:8">
      <c r="B108" s="386" t="s">
        <v>144</v>
      </c>
      <c r="C108" s="384"/>
      <c r="D108" s="387">
        <v>37.250776221765996</v>
      </c>
      <c r="E108" s="387">
        <v>37.468543923457567</v>
      </c>
      <c r="F108" s="388">
        <v>37.626717219198568</v>
      </c>
      <c r="G108" s="384"/>
      <c r="H108" s="384"/>
    </row>
    <row r="109" spans="2:8">
      <c r="B109" s="386" t="s">
        <v>145</v>
      </c>
      <c r="C109" s="384"/>
      <c r="D109" s="387">
        <v>37.068073979481561</v>
      </c>
      <c r="E109" s="387">
        <v>37.371203699302797</v>
      </c>
      <c r="F109" s="388">
        <v>37.759572632347009</v>
      </c>
      <c r="G109" s="384"/>
      <c r="H109" s="384"/>
    </row>
    <row r="110" spans="2:8">
      <c r="B110" s="386" t="s">
        <v>146</v>
      </c>
      <c r="C110" s="384"/>
      <c r="D110" s="387">
        <v>37.060318156126939</v>
      </c>
      <c r="E110" s="387">
        <v>37.467174671015364</v>
      </c>
      <c r="F110" s="388">
        <v>38.163528255440212</v>
      </c>
      <c r="G110" s="384"/>
      <c r="H110" s="384"/>
    </row>
    <row r="111" spans="2:8" ht="13.5" thickBot="1">
      <c r="B111" s="379" t="s">
        <v>752</v>
      </c>
      <c r="C111" s="389"/>
      <c r="D111" s="390"/>
      <c r="E111" s="390">
        <v>37.491966420587232</v>
      </c>
      <c r="F111" s="391">
        <v>38.269002493746925</v>
      </c>
      <c r="G111" s="384"/>
      <c r="H111" s="384"/>
    </row>
    <row r="112" spans="2:8">
      <c r="B112" s="384"/>
      <c r="C112" s="384"/>
      <c r="D112" s="384"/>
      <c r="E112" s="384"/>
      <c r="F112" s="384"/>
      <c r="G112" s="384"/>
      <c r="H112" s="384"/>
    </row>
    <row r="113" spans="2:8">
      <c r="B113" s="384"/>
      <c r="C113" s="384"/>
      <c r="D113" s="384"/>
      <c r="E113" s="384"/>
      <c r="F113" s="384"/>
      <c r="G113" s="384"/>
      <c r="H113" s="384"/>
    </row>
    <row r="114" spans="2:8">
      <c r="B114" s="384"/>
      <c r="C114" s="384"/>
      <c r="D114" s="384"/>
      <c r="E114" s="384"/>
      <c r="F114" s="384"/>
      <c r="G114" s="384"/>
      <c r="H114" s="384"/>
    </row>
    <row r="115" spans="2:8">
      <c r="B115" s="383"/>
      <c r="C115" s="384"/>
      <c r="D115" s="384"/>
      <c r="E115" s="384"/>
      <c r="F115" s="384"/>
      <c r="G115" s="384"/>
      <c r="H115" s="384"/>
    </row>
    <row r="116" spans="2:8">
      <c r="B116" s="384"/>
      <c r="C116" s="384"/>
      <c r="D116" s="384"/>
      <c r="E116" s="384"/>
      <c r="F116" s="384"/>
      <c r="G116" s="384"/>
      <c r="H116" s="384"/>
    </row>
    <row r="117" spans="2:8">
      <c r="B117" s="384"/>
      <c r="C117" s="384"/>
      <c r="D117" s="384"/>
      <c r="E117" s="384"/>
      <c r="F117" s="384"/>
      <c r="G117" s="384"/>
      <c r="H117" s="384"/>
    </row>
    <row r="118" spans="2:8">
      <c r="B118" s="384"/>
      <c r="C118" s="384"/>
      <c r="D118" s="384"/>
      <c r="E118" s="384"/>
      <c r="F118" s="384"/>
      <c r="G118" s="384"/>
      <c r="H118" s="384"/>
    </row>
    <row r="119" spans="2:8">
      <c r="B119" s="383"/>
      <c r="C119" s="384"/>
      <c r="D119" s="384"/>
      <c r="E119" s="384"/>
      <c r="F119" s="384"/>
      <c r="G119" s="384"/>
      <c r="H119" s="384"/>
    </row>
    <row r="120" spans="2:8">
      <c r="B120" s="384"/>
      <c r="C120" s="384"/>
      <c r="D120" s="384"/>
      <c r="E120" s="384"/>
      <c r="F120" s="384"/>
      <c r="G120" s="384"/>
      <c r="H120" s="384"/>
    </row>
    <row r="121" spans="2:8">
      <c r="B121" s="384"/>
      <c r="C121" s="384"/>
      <c r="D121" s="384"/>
      <c r="E121" s="384"/>
      <c r="F121" s="384"/>
      <c r="G121" s="384"/>
      <c r="H121" s="384"/>
    </row>
    <row r="122" spans="2:8">
      <c r="B122" s="384"/>
      <c r="C122" s="384"/>
      <c r="D122" s="384"/>
      <c r="E122" s="384"/>
      <c r="F122" s="384"/>
      <c r="G122" s="384"/>
      <c r="H122" s="384"/>
    </row>
    <row r="123" spans="2:8">
      <c r="B123" s="383"/>
      <c r="C123" s="384"/>
      <c r="D123" s="384"/>
      <c r="E123" s="384"/>
      <c r="F123" s="384"/>
      <c r="G123" s="384"/>
      <c r="H123" s="384"/>
    </row>
    <row r="124" spans="2:8">
      <c r="B124" s="384"/>
      <c r="C124" s="384"/>
      <c r="D124" s="384"/>
      <c r="E124" s="384"/>
      <c r="F124" s="384"/>
      <c r="G124" s="384"/>
      <c r="H124" s="384"/>
    </row>
    <row r="125" spans="2:8">
      <c r="B125" s="384"/>
      <c r="C125" s="384"/>
      <c r="D125" s="384"/>
      <c r="E125" s="384"/>
      <c r="F125" s="384"/>
      <c r="G125" s="384"/>
      <c r="H125" s="384"/>
    </row>
    <row r="126" spans="2:8">
      <c r="B126" s="384"/>
      <c r="C126" s="384"/>
      <c r="D126" s="384"/>
      <c r="E126" s="384"/>
      <c r="F126" s="384"/>
      <c r="G126" s="384"/>
      <c r="H126" s="384"/>
    </row>
    <row r="127" spans="2:8">
      <c r="B127" s="383"/>
      <c r="C127" s="384"/>
      <c r="D127" s="384"/>
      <c r="E127" s="384"/>
      <c r="F127" s="384"/>
      <c r="G127" s="384"/>
      <c r="H127" s="384"/>
    </row>
    <row r="128" spans="2:8">
      <c r="B128" s="384"/>
      <c r="C128" s="384"/>
      <c r="D128" s="384"/>
      <c r="E128" s="384"/>
      <c r="F128" s="384"/>
      <c r="G128" s="384"/>
      <c r="H128" s="384"/>
    </row>
    <row r="129" spans="2:8">
      <c r="B129" s="384"/>
      <c r="C129" s="384"/>
      <c r="D129" s="384"/>
      <c r="E129" s="384"/>
      <c r="F129" s="384"/>
      <c r="G129" s="384"/>
      <c r="H129" s="384"/>
    </row>
    <row r="130" spans="2:8">
      <c r="B130" s="384"/>
      <c r="C130" s="384"/>
      <c r="D130" s="384"/>
      <c r="E130" s="384"/>
      <c r="F130" s="384"/>
      <c r="G130" s="384"/>
      <c r="H130" s="384"/>
    </row>
    <row r="131" spans="2:8">
      <c r="B131" s="383"/>
      <c r="C131" s="383"/>
      <c r="D131" s="384"/>
      <c r="E131" s="384"/>
      <c r="F131" s="384"/>
      <c r="G131" s="384"/>
      <c r="H131" s="384"/>
    </row>
    <row r="132" spans="2:8">
      <c r="B132" s="384"/>
      <c r="C132" s="384"/>
      <c r="D132" s="384"/>
      <c r="E132" s="384"/>
      <c r="F132" s="384"/>
      <c r="G132" s="384"/>
      <c r="H132" s="384"/>
    </row>
    <row r="133" spans="2:8">
      <c r="B133" s="384"/>
      <c r="C133" s="384"/>
      <c r="D133" s="384"/>
      <c r="E133" s="384"/>
      <c r="F133" s="384"/>
      <c r="G133" s="384"/>
      <c r="H133" s="384"/>
    </row>
    <row r="134" spans="2:8">
      <c r="B134" s="384"/>
      <c r="C134" s="384"/>
      <c r="D134" s="384"/>
      <c r="E134" s="384"/>
      <c r="F134" s="384"/>
      <c r="G134" s="384"/>
      <c r="H134" s="384"/>
    </row>
    <row r="135" spans="2:8">
      <c r="B135" s="383"/>
      <c r="C135" s="384"/>
      <c r="D135" s="384"/>
      <c r="E135" s="384"/>
      <c r="F135" s="384"/>
      <c r="G135" s="384"/>
      <c r="H135" s="384"/>
    </row>
    <row r="136" spans="2:8">
      <c r="B136" s="384"/>
      <c r="C136" s="384"/>
      <c r="D136" s="384"/>
      <c r="E136" s="384"/>
      <c r="F136" s="384"/>
      <c r="G136" s="384"/>
      <c r="H136" s="384"/>
    </row>
    <row r="137" spans="2:8">
      <c r="B137" s="384"/>
      <c r="C137" s="384"/>
      <c r="D137" s="384"/>
      <c r="E137" s="384"/>
      <c r="F137" s="384"/>
      <c r="G137" s="384"/>
      <c r="H137" s="384"/>
    </row>
    <row r="138" spans="2:8">
      <c r="B138" s="384"/>
      <c r="C138" s="384"/>
      <c r="D138" s="384"/>
      <c r="E138" s="384"/>
      <c r="F138" s="384"/>
      <c r="G138" s="384"/>
      <c r="H138" s="384"/>
    </row>
    <row r="139" spans="2:8">
      <c r="B139" s="383"/>
      <c r="C139" s="384"/>
      <c r="D139" s="384"/>
      <c r="E139" s="384"/>
      <c r="F139" s="384"/>
      <c r="G139" s="384"/>
      <c r="H139" s="384"/>
    </row>
    <row r="140" spans="2:8">
      <c r="B140" s="384"/>
      <c r="C140" s="384"/>
      <c r="D140" s="384"/>
      <c r="E140" s="384"/>
      <c r="F140" s="384"/>
      <c r="G140" s="384"/>
      <c r="H140" s="384"/>
    </row>
    <row r="141" spans="2:8">
      <c r="B141" s="384"/>
      <c r="C141" s="384"/>
      <c r="D141" s="384"/>
      <c r="E141" s="384"/>
      <c r="F141" s="384"/>
      <c r="G141" s="384"/>
      <c r="H141" s="384"/>
    </row>
    <row r="142" spans="2:8">
      <c r="B142" s="384"/>
      <c r="C142" s="384"/>
      <c r="D142" s="384"/>
      <c r="E142" s="384"/>
      <c r="F142" s="384"/>
      <c r="G142" s="384"/>
      <c r="H142" s="384"/>
    </row>
    <row r="143" spans="2:8">
      <c r="B143" s="383"/>
      <c r="C143" s="384"/>
      <c r="D143" s="384"/>
      <c r="E143" s="384"/>
      <c r="F143" s="384"/>
      <c r="G143" s="384"/>
      <c r="H143" s="384"/>
    </row>
    <row r="144" spans="2:8">
      <c r="B144" s="384"/>
      <c r="C144" s="384"/>
      <c r="D144" s="384"/>
      <c r="E144" s="384"/>
      <c r="F144" s="384"/>
      <c r="G144" s="384"/>
      <c r="H144" s="384"/>
    </row>
    <row r="145" spans="2:8">
      <c r="B145" s="384"/>
      <c r="C145" s="384"/>
      <c r="D145" s="384"/>
      <c r="E145" s="384"/>
      <c r="F145" s="384"/>
      <c r="G145" s="384"/>
      <c r="H145" s="384"/>
    </row>
    <row r="146" spans="2:8">
      <c r="B146" s="384"/>
      <c r="C146" s="384"/>
      <c r="D146" s="384"/>
      <c r="E146" s="384"/>
      <c r="F146" s="384"/>
      <c r="G146" s="384"/>
      <c r="H146" s="384"/>
    </row>
    <row r="147" spans="2:8">
      <c r="B147" s="383"/>
      <c r="C147" s="384"/>
      <c r="D147" s="384"/>
      <c r="E147" s="384"/>
      <c r="F147" s="384"/>
      <c r="G147" s="384"/>
      <c r="H147" s="384"/>
    </row>
    <row r="148" spans="2:8">
      <c r="B148" s="384"/>
      <c r="C148" s="384"/>
      <c r="D148" s="384"/>
      <c r="E148" s="384"/>
      <c r="F148" s="384"/>
      <c r="G148" s="384"/>
      <c r="H148" s="384"/>
    </row>
    <row r="149" spans="2:8">
      <c r="B149" s="384"/>
      <c r="C149" s="384"/>
      <c r="D149" s="384"/>
      <c r="E149" s="384"/>
      <c r="F149" s="384"/>
      <c r="G149" s="384"/>
      <c r="H149" s="384"/>
    </row>
    <row r="150" spans="2:8">
      <c r="B150" s="384"/>
      <c r="C150" s="384"/>
      <c r="D150" s="384"/>
      <c r="E150" s="384"/>
      <c r="F150" s="384"/>
      <c r="G150" s="384"/>
      <c r="H150" s="384"/>
    </row>
    <row r="151" spans="2:8">
      <c r="B151" s="383"/>
      <c r="C151" s="383"/>
      <c r="D151" s="384"/>
      <c r="E151" s="384"/>
      <c r="F151" s="384"/>
      <c r="G151" s="384"/>
      <c r="H151" s="384"/>
    </row>
    <row r="152" spans="2:8">
      <c r="B152" s="384"/>
      <c r="C152" s="384"/>
      <c r="D152" s="384"/>
      <c r="E152" s="384"/>
      <c r="F152" s="384"/>
      <c r="G152" s="384"/>
      <c r="H152" s="384"/>
    </row>
    <row r="153" spans="2:8">
      <c r="B153" s="384"/>
      <c r="C153" s="384"/>
      <c r="D153" s="384"/>
      <c r="E153" s="384"/>
      <c r="F153" s="384"/>
      <c r="G153" s="384"/>
      <c r="H153" s="384"/>
    </row>
    <row r="154" spans="2:8">
      <c r="B154" s="384"/>
      <c r="C154" s="384"/>
      <c r="D154" s="384"/>
      <c r="E154" s="384"/>
      <c r="F154" s="384"/>
      <c r="G154" s="384"/>
      <c r="H154" s="384"/>
    </row>
    <row r="155" spans="2:8">
      <c r="B155" s="383"/>
      <c r="C155" s="384"/>
      <c r="D155" s="384"/>
      <c r="E155" s="384"/>
      <c r="F155" s="384"/>
      <c r="G155" s="384"/>
      <c r="H155" s="384"/>
    </row>
    <row r="156" spans="2:8">
      <c r="B156" s="384"/>
      <c r="C156" s="384"/>
      <c r="D156" s="384"/>
      <c r="E156" s="384"/>
      <c r="F156" s="384"/>
      <c r="G156" s="384"/>
      <c r="H156" s="384"/>
    </row>
    <row r="157" spans="2:8">
      <c r="B157" s="384"/>
      <c r="C157" s="384"/>
      <c r="D157" s="384"/>
      <c r="E157" s="384"/>
      <c r="F157" s="384"/>
      <c r="G157" s="384"/>
      <c r="H157" s="384"/>
    </row>
    <row r="158" spans="2:8">
      <c r="B158" s="384"/>
      <c r="C158" s="384"/>
      <c r="D158" s="384"/>
      <c r="E158" s="384"/>
      <c r="F158" s="384"/>
      <c r="G158" s="384"/>
      <c r="H158" s="384"/>
    </row>
    <row r="159" spans="2:8">
      <c r="B159" s="383"/>
      <c r="C159" s="384"/>
      <c r="D159" s="384"/>
      <c r="E159" s="384"/>
      <c r="F159" s="384"/>
      <c r="G159" s="384"/>
      <c r="H159" s="384"/>
    </row>
    <row r="160" spans="2:8">
      <c r="B160" s="384"/>
      <c r="C160" s="384"/>
      <c r="D160" s="384"/>
      <c r="E160" s="384"/>
      <c r="F160" s="384"/>
      <c r="G160" s="384"/>
      <c r="H160" s="384"/>
    </row>
    <row r="161" spans="2:8">
      <c r="B161" s="384"/>
      <c r="C161" s="384"/>
      <c r="D161" s="384"/>
      <c r="E161" s="384"/>
      <c r="F161" s="384"/>
      <c r="G161" s="384"/>
      <c r="H161" s="384"/>
    </row>
    <row r="162" spans="2:8">
      <c r="B162" s="384"/>
      <c r="C162" s="384"/>
      <c r="D162" s="384"/>
      <c r="E162" s="384"/>
      <c r="F162" s="384"/>
      <c r="G162" s="384"/>
      <c r="H162" s="384"/>
    </row>
    <row r="163" spans="2:8">
      <c r="B163" s="383"/>
      <c r="C163" s="384"/>
      <c r="D163" s="384"/>
      <c r="E163" s="384"/>
      <c r="F163" s="384"/>
      <c r="G163" s="384"/>
      <c r="H163" s="384"/>
    </row>
    <row r="164" spans="2:8">
      <c r="B164" s="384"/>
      <c r="C164" s="384"/>
      <c r="D164" s="384"/>
      <c r="E164" s="384"/>
      <c r="F164" s="384"/>
      <c r="G164" s="384"/>
      <c r="H164" s="384"/>
    </row>
    <row r="165" spans="2:8">
      <c r="B165" s="384"/>
      <c r="C165" s="384"/>
      <c r="D165" s="384"/>
      <c r="E165" s="384"/>
      <c r="F165" s="384"/>
      <c r="G165" s="384"/>
      <c r="H165" s="384"/>
    </row>
    <row r="166" spans="2:8">
      <c r="B166" s="384"/>
      <c r="C166" s="384"/>
      <c r="D166" s="384"/>
      <c r="E166" s="384"/>
      <c r="F166" s="384"/>
      <c r="G166" s="384"/>
      <c r="H166" s="384"/>
    </row>
    <row r="167" spans="2:8">
      <c r="B167" s="383"/>
      <c r="C167" s="384"/>
      <c r="D167" s="384"/>
      <c r="E167" s="384"/>
      <c r="F167" s="384"/>
      <c r="G167" s="384"/>
      <c r="H167" s="384"/>
    </row>
    <row r="168" spans="2:8">
      <c r="B168" s="384"/>
      <c r="C168" s="384"/>
      <c r="D168" s="384"/>
      <c r="E168" s="384"/>
      <c r="F168" s="384"/>
      <c r="G168" s="384"/>
      <c r="H168" s="384"/>
    </row>
    <row r="169" spans="2:8">
      <c r="B169" s="384"/>
      <c r="C169" s="384"/>
      <c r="D169" s="384"/>
      <c r="E169" s="384"/>
      <c r="F169" s="384"/>
      <c r="G169" s="384"/>
      <c r="H169" s="384"/>
    </row>
    <row r="170" spans="2:8">
      <c r="B170" s="384"/>
      <c r="C170" s="384"/>
      <c r="D170" s="384"/>
      <c r="E170" s="384"/>
      <c r="F170" s="384"/>
      <c r="G170" s="384"/>
      <c r="H170" s="384"/>
    </row>
    <row r="171" spans="2:8">
      <c r="B171" s="383"/>
      <c r="C171" s="383"/>
      <c r="D171" s="384"/>
      <c r="E171" s="384"/>
      <c r="F171" s="384"/>
      <c r="G171" s="384"/>
      <c r="H171" s="384"/>
    </row>
  </sheetData>
  <hyperlinks>
    <hyperlink ref="A1" location="Contents!A1" display="Contents!A1" xr:uid="{92B88580-35E8-433B-A1B1-DCDC4393CBDA}"/>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4179-8B09-4331-B73F-3EC783B19927}">
  <dimension ref="A1:F111"/>
  <sheetViews>
    <sheetView showGridLines="0" zoomScaleNormal="100" workbookViewId="0">
      <selection activeCell="M28" sqref="M28"/>
    </sheetView>
  </sheetViews>
  <sheetFormatPr defaultColWidth="10" defaultRowHeight="12.75"/>
  <cols>
    <col min="1" max="16384" width="10" style="370"/>
  </cols>
  <sheetData>
    <row r="1" spans="1:2" ht="40.15" customHeight="1">
      <c r="A1" s="369" t="s">
        <v>621</v>
      </c>
    </row>
    <row r="2" spans="1:2" ht="17.25">
      <c r="B2" s="371" t="s">
        <v>906</v>
      </c>
    </row>
    <row r="24" spans="2:6" ht="13.5" thickBot="1"/>
    <row r="25" spans="2:6" ht="51.75" thickBot="1">
      <c r="B25" s="372" t="s">
        <v>900</v>
      </c>
      <c r="C25" s="373" t="s">
        <v>901</v>
      </c>
      <c r="D25" s="373" t="s">
        <v>902</v>
      </c>
      <c r="E25" s="373" t="s">
        <v>907</v>
      </c>
      <c r="F25" s="374" t="s">
        <v>904</v>
      </c>
    </row>
    <row r="26" spans="2:6">
      <c r="B26" s="375" t="s">
        <v>905</v>
      </c>
      <c r="C26" s="392">
        <v>55.123752130985281</v>
      </c>
      <c r="D26" s="392"/>
      <c r="E26" s="392"/>
      <c r="F26" s="393"/>
    </row>
    <row r="27" spans="2:6">
      <c r="B27" s="375" t="s">
        <v>62</v>
      </c>
      <c r="C27" s="392">
        <v>43.473825623067192</v>
      </c>
      <c r="D27" s="392"/>
      <c r="E27" s="392"/>
      <c r="F27" s="393"/>
    </row>
    <row r="28" spans="2:6">
      <c r="B28" s="375" t="s">
        <v>64</v>
      </c>
      <c r="C28" s="392">
        <v>37.721182306906691</v>
      </c>
      <c r="D28" s="392"/>
      <c r="E28" s="392"/>
      <c r="F28" s="393"/>
    </row>
    <row r="29" spans="2:6">
      <c r="B29" s="375" t="s">
        <v>65</v>
      </c>
      <c r="C29" s="392">
        <v>38.599562363238512</v>
      </c>
      <c r="D29" s="392"/>
      <c r="E29" s="392"/>
      <c r="F29" s="393"/>
    </row>
    <row r="30" spans="2:6">
      <c r="B30" s="375" t="s">
        <v>66</v>
      </c>
      <c r="C30" s="392">
        <v>38.474813049552139</v>
      </c>
      <c r="D30" s="392"/>
      <c r="E30" s="392"/>
      <c r="F30" s="393"/>
    </row>
    <row r="31" spans="2:6">
      <c r="B31" s="375" t="s">
        <v>67</v>
      </c>
      <c r="C31" s="392">
        <v>39.183673469387756</v>
      </c>
      <c r="D31" s="392"/>
      <c r="E31" s="392"/>
      <c r="F31" s="393"/>
    </row>
    <row r="32" spans="2:6">
      <c r="B32" s="375" t="s">
        <v>68</v>
      </c>
      <c r="C32" s="392">
        <v>40.648814933929941</v>
      </c>
      <c r="D32" s="392"/>
      <c r="E32" s="392"/>
      <c r="F32" s="393"/>
    </row>
    <row r="33" spans="2:6">
      <c r="B33" s="375" t="s">
        <v>69</v>
      </c>
      <c r="C33" s="392">
        <v>41.271884654994849</v>
      </c>
      <c r="D33" s="392"/>
      <c r="E33" s="392"/>
      <c r="F33" s="393"/>
    </row>
    <row r="34" spans="2:6">
      <c r="B34" s="375" t="s">
        <v>70</v>
      </c>
      <c r="C34" s="392">
        <v>40.503446209169915</v>
      </c>
      <c r="D34" s="392"/>
      <c r="E34" s="392"/>
      <c r="F34" s="393"/>
    </row>
    <row r="35" spans="2:6">
      <c r="B35" s="375" t="s">
        <v>71</v>
      </c>
      <c r="C35" s="392">
        <v>38.923924777001304</v>
      </c>
      <c r="D35" s="392"/>
      <c r="E35" s="392"/>
      <c r="F35" s="393"/>
    </row>
    <row r="36" spans="2:6">
      <c r="B36" s="375" t="s">
        <v>72</v>
      </c>
      <c r="C36" s="392">
        <v>35.770114942528735</v>
      </c>
      <c r="D36" s="392"/>
      <c r="E36" s="392"/>
      <c r="F36" s="393"/>
    </row>
    <row r="37" spans="2:6">
      <c r="B37" s="375" t="s">
        <v>73</v>
      </c>
      <c r="C37" s="392">
        <v>35.957285957285954</v>
      </c>
      <c r="D37" s="392"/>
      <c r="E37" s="392"/>
      <c r="F37" s="393"/>
    </row>
    <row r="38" spans="2:6">
      <c r="B38" s="375" t="s">
        <v>74</v>
      </c>
      <c r="C38" s="392">
        <v>35.190120824449181</v>
      </c>
      <c r="D38" s="392"/>
      <c r="E38" s="392"/>
      <c r="F38" s="393"/>
    </row>
    <row r="39" spans="2:6">
      <c r="B39" s="375" t="s">
        <v>75</v>
      </c>
      <c r="C39" s="392">
        <v>35.948412528385973</v>
      </c>
      <c r="D39" s="392"/>
      <c r="E39" s="392"/>
      <c r="F39" s="393"/>
    </row>
    <row r="40" spans="2:6">
      <c r="B40" s="375" t="s">
        <v>76</v>
      </c>
      <c r="C40" s="392">
        <v>35.939384194870968</v>
      </c>
      <c r="D40" s="392"/>
      <c r="E40" s="392"/>
      <c r="F40" s="393"/>
    </row>
    <row r="41" spans="2:6">
      <c r="B41" s="375" t="s">
        <v>77</v>
      </c>
      <c r="C41" s="392">
        <v>35.93679627683531</v>
      </c>
      <c r="D41" s="392"/>
      <c r="E41" s="392"/>
      <c r="F41" s="393"/>
    </row>
    <row r="42" spans="2:6">
      <c r="B42" s="375" t="s">
        <v>78</v>
      </c>
      <c r="C42" s="392">
        <v>37.623903080257222</v>
      </c>
      <c r="D42" s="392"/>
      <c r="E42" s="392"/>
      <c r="F42" s="393"/>
    </row>
    <row r="43" spans="2:6">
      <c r="B43" s="375" t="s">
        <v>79</v>
      </c>
      <c r="C43" s="392">
        <v>37.298435006959295</v>
      </c>
      <c r="D43" s="392"/>
      <c r="E43" s="392"/>
      <c r="F43" s="393"/>
    </row>
    <row r="44" spans="2:6">
      <c r="B44" s="375" t="s">
        <v>80</v>
      </c>
      <c r="C44" s="392">
        <v>37.329700272479563</v>
      </c>
      <c r="D44" s="392"/>
      <c r="E44" s="392"/>
      <c r="F44" s="393"/>
    </row>
    <row r="45" spans="2:6">
      <c r="B45" s="375" t="s">
        <v>81</v>
      </c>
      <c r="C45" s="392">
        <v>37.023864157870584</v>
      </c>
      <c r="D45" s="392"/>
      <c r="E45" s="392"/>
      <c r="F45" s="393"/>
    </row>
    <row r="46" spans="2:6">
      <c r="B46" s="375" t="s">
        <v>82</v>
      </c>
      <c r="C46" s="392">
        <v>38.473033917754115</v>
      </c>
      <c r="D46" s="392"/>
      <c r="E46" s="392"/>
      <c r="F46" s="393"/>
    </row>
    <row r="47" spans="2:6">
      <c r="B47" s="375" t="s">
        <v>83</v>
      </c>
      <c r="C47" s="392">
        <v>40.023021870777235</v>
      </c>
      <c r="D47" s="392"/>
      <c r="E47" s="392"/>
      <c r="F47" s="393"/>
    </row>
    <row r="48" spans="2:6">
      <c r="B48" s="375" t="s">
        <v>84</v>
      </c>
      <c r="C48" s="392">
        <v>42.925682031984941</v>
      </c>
      <c r="D48" s="392"/>
      <c r="E48" s="392"/>
      <c r="F48" s="393"/>
    </row>
    <row r="49" spans="2:6">
      <c r="B49" s="375" t="s">
        <v>85</v>
      </c>
      <c r="C49" s="392">
        <v>41.371128070287952</v>
      </c>
      <c r="D49" s="392"/>
      <c r="E49" s="392"/>
      <c r="F49" s="393"/>
    </row>
    <row r="50" spans="2:6">
      <c r="B50" s="375" t="s">
        <v>86</v>
      </c>
      <c r="C50" s="392">
        <v>40.127025326411832</v>
      </c>
      <c r="D50" s="392"/>
      <c r="E50" s="392"/>
      <c r="F50" s="393"/>
    </row>
    <row r="51" spans="2:6">
      <c r="B51" s="375" t="s">
        <v>87</v>
      </c>
      <c r="C51" s="392">
        <v>39.477649422400809</v>
      </c>
      <c r="D51" s="392"/>
      <c r="E51" s="392"/>
      <c r="F51" s="393"/>
    </row>
    <row r="52" spans="2:6">
      <c r="B52" s="375" t="s">
        <v>88</v>
      </c>
      <c r="C52" s="392">
        <v>39.346038921831223</v>
      </c>
      <c r="D52" s="392"/>
      <c r="E52" s="392"/>
      <c r="F52" s="393"/>
    </row>
    <row r="53" spans="2:6">
      <c r="B53" s="375" t="s">
        <v>89</v>
      </c>
      <c r="C53" s="392">
        <v>38.458521543912802</v>
      </c>
      <c r="D53" s="392"/>
      <c r="E53" s="392"/>
      <c r="F53" s="393"/>
    </row>
    <row r="54" spans="2:6">
      <c r="B54" s="375" t="s">
        <v>90</v>
      </c>
      <c r="C54" s="392">
        <v>40.251716523271106</v>
      </c>
      <c r="D54" s="392"/>
      <c r="E54" s="392"/>
      <c r="F54" s="393"/>
    </row>
    <row r="55" spans="2:6">
      <c r="B55" s="375" t="s">
        <v>91</v>
      </c>
      <c r="C55" s="392">
        <v>44.703234479387326</v>
      </c>
      <c r="D55" s="392"/>
      <c r="E55" s="392"/>
      <c r="F55" s="393"/>
    </row>
    <row r="56" spans="2:6">
      <c r="B56" s="375" t="s">
        <v>92</v>
      </c>
      <c r="C56" s="392">
        <v>46.450796067657478</v>
      </c>
      <c r="D56" s="392"/>
      <c r="E56" s="392"/>
      <c r="F56" s="393"/>
    </row>
    <row r="57" spans="2:6">
      <c r="B57" s="375" t="s">
        <v>93</v>
      </c>
      <c r="C57" s="392">
        <v>45.140492144827974</v>
      </c>
      <c r="D57" s="392"/>
      <c r="E57" s="392"/>
      <c r="F57" s="393"/>
    </row>
    <row r="58" spans="2:6">
      <c r="B58" s="375" t="s">
        <v>94</v>
      </c>
      <c r="C58" s="392">
        <v>42.256769042730625</v>
      </c>
      <c r="D58" s="392"/>
      <c r="E58" s="392"/>
      <c r="F58" s="393"/>
    </row>
    <row r="59" spans="2:6">
      <c r="B59" s="375" t="s">
        <v>95</v>
      </c>
      <c r="C59" s="392">
        <v>41.420705933732279</v>
      </c>
      <c r="D59" s="392"/>
      <c r="E59" s="392"/>
      <c r="F59" s="393"/>
    </row>
    <row r="60" spans="2:6">
      <c r="B60" s="375" t="s">
        <v>96</v>
      </c>
      <c r="C60" s="392">
        <v>40.946090635844115</v>
      </c>
      <c r="D60" s="392"/>
      <c r="E60" s="392"/>
      <c r="F60" s="393"/>
    </row>
    <row r="61" spans="2:6">
      <c r="B61" s="375" t="s">
        <v>97</v>
      </c>
      <c r="C61" s="392">
        <v>42.803908083783099</v>
      </c>
      <c r="D61" s="392"/>
      <c r="E61" s="392"/>
      <c r="F61" s="393"/>
    </row>
    <row r="62" spans="2:6">
      <c r="B62" s="375" t="s">
        <v>98</v>
      </c>
      <c r="C62" s="392">
        <v>42.820321417692377</v>
      </c>
      <c r="D62" s="392"/>
      <c r="E62" s="392"/>
      <c r="F62" s="393"/>
    </row>
    <row r="63" spans="2:6">
      <c r="B63" s="375" t="s">
        <v>99</v>
      </c>
      <c r="C63" s="392">
        <v>43.127992436949157</v>
      </c>
      <c r="D63" s="392"/>
      <c r="E63" s="392"/>
      <c r="F63" s="393"/>
    </row>
    <row r="64" spans="2:6">
      <c r="B64" s="375" t="s">
        <v>100</v>
      </c>
      <c r="C64" s="392">
        <v>42.706137562596894</v>
      </c>
      <c r="D64" s="392"/>
      <c r="E64" s="392"/>
      <c r="F64" s="393"/>
    </row>
    <row r="65" spans="2:6">
      <c r="B65" s="375" t="s">
        <v>101</v>
      </c>
      <c r="C65" s="392">
        <v>42.382304418206544</v>
      </c>
      <c r="D65" s="392"/>
      <c r="E65" s="392"/>
      <c r="F65" s="393"/>
    </row>
    <row r="66" spans="2:6">
      <c r="B66" s="375" t="s">
        <v>102</v>
      </c>
      <c r="C66" s="392">
        <v>40.342802767106569</v>
      </c>
      <c r="D66" s="392"/>
      <c r="E66" s="392"/>
      <c r="F66" s="393"/>
    </row>
    <row r="67" spans="2:6">
      <c r="B67" s="375" t="s">
        <v>103</v>
      </c>
      <c r="C67" s="392">
        <v>39.228197849650932</v>
      </c>
      <c r="D67" s="392"/>
      <c r="E67" s="392"/>
      <c r="F67" s="393"/>
    </row>
    <row r="68" spans="2:6">
      <c r="B68" s="375" t="s">
        <v>104</v>
      </c>
      <c r="C68" s="392">
        <v>37.048195120429305</v>
      </c>
      <c r="D68" s="392"/>
      <c r="E68" s="392"/>
      <c r="F68" s="393"/>
    </row>
    <row r="69" spans="2:6">
      <c r="B69" s="375" t="s">
        <v>105</v>
      </c>
      <c r="C69" s="392">
        <v>34.437469297992592</v>
      </c>
      <c r="D69" s="392"/>
      <c r="E69" s="392"/>
      <c r="F69" s="393"/>
    </row>
    <row r="70" spans="2:6">
      <c r="B70" s="375" t="s">
        <v>106</v>
      </c>
      <c r="C70" s="392">
        <v>34.604429653249568</v>
      </c>
      <c r="D70" s="392"/>
      <c r="E70" s="392"/>
      <c r="F70" s="393"/>
    </row>
    <row r="71" spans="2:6">
      <c r="B71" s="375" t="s">
        <v>107</v>
      </c>
      <c r="C71" s="392">
        <v>34.848355892607678</v>
      </c>
      <c r="D71" s="392"/>
      <c r="E71" s="392"/>
      <c r="F71" s="393"/>
    </row>
    <row r="72" spans="2:6">
      <c r="B72" s="375" t="s">
        <v>108</v>
      </c>
      <c r="C72" s="392">
        <v>36.727864423431164</v>
      </c>
      <c r="D72" s="392"/>
      <c r="E72" s="392"/>
      <c r="F72" s="393"/>
    </row>
    <row r="73" spans="2:6">
      <c r="B73" s="375" t="s">
        <v>109</v>
      </c>
      <c r="C73" s="392">
        <v>38.18574053636911</v>
      </c>
      <c r="D73" s="392"/>
      <c r="E73" s="392"/>
      <c r="F73" s="393"/>
    </row>
    <row r="74" spans="2:6">
      <c r="B74" s="375" t="s">
        <v>110</v>
      </c>
      <c r="C74" s="392">
        <v>37.77086897678813</v>
      </c>
      <c r="D74" s="392"/>
      <c r="E74" s="392"/>
      <c r="F74" s="393"/>
    </row>
    <row r="75" spans="2:6">
      <c r="B75" s="375" t="s">
        <v>111</v>
      </c>
      <c r="C75" s="392">
        <v>37.424332560370047</v>
      </c>
      <c r="D75" s="392"/>
      <c r="E75" s="392"/>
      <c r="F75" s="393"/>
    </row>
    <row r="76" spans="2:6">
      <c r="B76" s="375" t="s">
        <v>112</v>
      </c>
      <c r="C76" s="392">
        <v>37.243632291913173</v>
      </c>
      <c r="D76" s="392"/>
      <c r="E76" s="392"/>
      <c r="F76" s="393"/>
    </row>
    <row r="77" spans="2:6">
      <c r="B77" s="375" t="s">
        <v>113</v>
      </c>
      <c r="C77" s="392">
        <v>35.426213690729305</v>
      </c>
      <c r="D77" s="392"/>
      <c r="E77" s="392"/>
      <c r="F77" s="393"/>
    </row>
    <row r="78" spans="2:6">
      <c r="B78" s="375" t="s">
        <v>114</v>
      </c>
      <c r="C78" s="392">
        <v>35.470966252674188</v>
      </c>
      <c r="D78" s="392"/>
      <c r="E78" s="392"/>
      <c r="F78" s="393"/>
    </row>
    <row r="79" spans="2:6">
      <c r="B79" s="375" t="s">
        <v>115</v>
      </c>
      <c r="C79" s="392">
        <v>34.988433070571091</v>
      </c>
      <c r="D79" s="392"/>
      <c r="E79" s="392"/>
      <c r="F79" s="393"/>
    </row>
    <row r="80" spans="2:6">
      <c r="B80" s="375" t="s">
        <v>116</v>
      </c>
      <c r="C80" s="392">
        <v>34.60135177803771</v>
      </c>
      <c r="D80" s="392"/>
      <c r="E80" s="392"/>
      <c r="F80" s="393"/>
    </row>
    <row r="81" spans="2:6">
      <c r="B81" s="375" t="s">
        <v>117</v>
      </c>
      <c r="C81" s="392">
        <v>34.905644339420903</v>
      </c>
      <c r="D81" s="392"/>
      <c r="E81" s="392"/>
      <c r="F81" s="393"/>
    </row>
    <row r="82" spans="2:6">
      <c r="B82" s="375" t="s">
        <v>118</v>
      </c>
      <c r="C82" s="392">
        <v>36.05134595566517</v>
      </c>
      <c r="D82" s="392"/>
      <c r="E82" s="392"/>
      <c r="F82" s="393"/>
    </row>
    <row r="83" spans="2:6">
      <c r="B83" s="375" t="s">
        <v>119</v>
      </c>
      <c r="C83" s="392">
        <v>37.416807558757377</v>
      </c>
      <c r="D83" s="392"/>
      <c r="E83" s="392"/>
      <c r="F83" s="393"/>
    </row>
    <row r="84" spans="2:6">
      <c r="B84" s="375" t="s">
        <v>120</v>
      </c>
      <c r="C84" s="392">
        <v>38.697504841131064</v>
      </c>
      <c r="D84" s="392"/>
      <c r="E84" s="392"/>
      <c r="F84" s="393"/>
    </row>
    <row r="85" spans="2:6">
      <c r="B85" s="375" t="s">
        <v>121</v>
      </c>
      <c r="C85" s="392">
        <v>39.725954143478582</v>
      </c>
      <c r="D85" s="392"/>
      <c r="E85" s="392"/>
      <c r="F85" s="393"/>
    </row>
    <row r="86" spans="2:6">
      <c r="B86" s="375" t="s">
        <v>122</v>
      </c>
      <c r="C86" s="392">
        <v>39.69633811642246</v>
      </c>
      <c r="D86" s="392"/>
      <c r="E86" s="392"/>
      <c r="F86" s="393"/>
    </row>
    <row r="87" spans="2:6">
      <c r="B87" s="375" t="s">
        <v>123</v>
      </c>
      <c r="C87" s="392">
        <v>39.669141476636611</v>
      </c>
      <c r="D87" s="392"/>
      <c r="E87" s="392"/>
      <c r="F87" s="393"/>
    </row>
    <row r="88" spans="2:6">
      <c r="B88" s="375" t="s">
        <v>124</v>
      </c>
      <c r="C88" s="392">
        <v>40.027240450733395</v>
      </c>
      <c r="D88" s="392"/>
      <c r="E88" s="392"/>
      <c r="F88" s="393"/>
    </row>
    <row r="89" spans="2:6">
      <c r="B89" s="375" t="s">
        <v>125</v>
      </c>
      <c r="C89" s="392">
        <v>43.041875592728651</v>
      </c>
      <c r="D89" s="392"/>
      <c r="E89" s="392"/>
      <c r="F89" s="393"/>
    </row>
    <row r="90" spans="2:6">
      <c r="B90" s="375" t="s">
        <v>126</v>
      </c>
      <c r="C90" s="392">
        <v>45.967506237755813</v>
      </c>
      <c r="D90" s="392"/>
      <c r="E90" s="392"/>
      <c r="F90" s="393"/>
    </row>
    <row r="91" spans="2:6">
      <c r="B91" s="375" t="s">
        <v>127</v>
      </c>
      <c r="C91" s="392">
        <v>45.502551860892659</v>
      </c>
      <c r="D91" s="392"/>
      <c r="E91" s="392"/>
      <c r="F91" s="393"/>
    </row>
    <row r="92" spans="2:6">
      <c r="B92" s="375" t="s">
        <v>128</v>
      </c>
      <c r="C92" s="392">
        <v>44.350799583803564</v>
      </c>
      <c r="D92" s="392"/>
      <c r="E92" s="392"/>
      <c r="F92" s="393"/>
    </row>
    <row r="93" spans="2:6">
      <c r="B93" s="375" t="s">
        <v>129</v>
      </c>
      <c r="C93" s="392">
        <v>43.791851455311523</v>
      </c>
      <c r="D93" s="392"/>
      <c r="E93" s="392"/>
      <c r="F93" s="393"/>
    </row>
    <row r="94" spans="2:6">
      <c r="B94" s="375" t="s">
        <v>130</v>
      </c>
      <c r="C94" s="392">
        <v>42.18989508394278</v>
      </c>
      <c r="D94" s="392"/>
      <c r="E94" s="392"/>
      <c r="F94" s="393"/>
    </row>
    <row r="95" spans="2:6">
      <c r="B95" s="375" t="s">
        <v>131</v>
      </c>
      <c r="C95" s="392">
        <v>41.636098244067888</v>
      </c>
      <c r="D95" s="392"/>
      <c r="E95" s="392"/>
      <c r="F95" s="393"/>
    </row>
    <row r="96" spans="2:6">
      <c r="B96" s="375" t="s">
        <v>132</v>
      </c>
      <c r="C96" s="392">
        <v>40.829452263744336</v>
      </c>
      <c r="D96" s="392"/>
      <c r="E96" s="392"/>
      <c r="F96" s="393"/>
    </row>
    <row r="97" spans="2:6">
      <c r="B97" s="375" t="s">
        <v>133</v>
      </c>
      <c r="C97" s="392">
        <v>40.027418236136228</v>
      </c>
      <c r="D97" s="392"/>
      <c r="E97" s="392"/>
      <c r="F97" s="393"/>
    </row>
    <row r="98" spans="2:6">
      <c r="B98" s="375" t="s">
        <v>134</v>
      </c>
      <c r="C98" s="392">
        <v>39.663352748984799</v>
      </c>
      <c r="D98" s="392"/>
      <c r="E98" s="392"/>
      <c r="F98" s="393"/>
    </row>
    <row r="99" spans="2:6">
      <c r="B99" s="375" t="s">
        <v>135</v>
      </c>
      <c r="C99" s="392">
        <v>39.090636343585075</v>
      </c>
      <c r="D99" s="392"/>
      <c r="E99" s="392"/>
      <c r="F99" s="393"/>
    </row>
    <row r="100" spans="2:6">
      <c r="B100" s="375" t="s">
        <v>136</v>
      </c>
      <c r="C100" s="392">
        <v>39.095600031280966</v>
      </c>
      <c r="D100" s="392"/>
      <c r="E100" s="392"/>
      <c r="F100" s="393"/>
    </row>
    <row r="101" spans="2:6">
      <c r="B101" s="375" t="s">
        <v>137</v>
      </c>
      <c r="C101" s="392">
        <v>52.268392925863374</v>
      </c>
      <c r="D101" s="392"/>
      <c r="E101" s="392"/>
      <c r="F101" s="393"/>
    </row>
    <row r="102" spans="2:6">
      <c r="B102" s="375" t="s">
        <v>138</v>
      </c>
      <c r="C102" s="392">
        <v>43.362517382534058</v>
      </c>
      <c r="D102" s="392"/>
      <c r="E102" s="392"/>
      <c r="F102" s="393"/>
    </row>
    <row r="103" spans="2:6">
      <c r="B103" s="375" t="s">
        <v>139</v>
      </c>
      <c r="C103" s="392">
        <v>44.0576676627431</v>
      </c>
      <c r="D103" s="392"/>
      <c r="E103" s="392"/>
      <c r="F103" s="393"/>
    </row>
    <row r="104" spans="2:6">
      <c r="B104" s="375" t="s">
        <v>140</v>
      </c>
      <c r="C104" s="392">
        <v>44.130674156135044</v>
      </c>
      <c r="D104" s="394">
        <v>44.099802687933192</v>
      </c>
      <c r="E104" s="392">
        <v>44.130674156135051</v>
      </c>
      <c r="F104" s="393">
        <v>44.130674156135051</v>
      </c>
    </row>
    <row r="105" spans="2:6">
      <c r="B105" s="375" t="s">
        <v>141</v>
      </c>
      <c r="C105" s="392">
        <v>44.008646933290699</v>
      </c>
      <c r="D105" s="394">
        <v>43.942651643654671</v>
      </c>
      <c r="E105" s="394">
        <v>44.008646933290684</v>
      </c>
      <c r="F105" s="395">
        <v>44.008646933290684</v>
      </c>
    </row>
    <row r="106" spans="2:6">
      <c r="B106" s="375" t="s">
        <v>142</v>
      </c>
      <c r="C106" s="392"/>
      <c r="D106" s="394">
        <v>44.424420314527723</v>
      </c>
      <c r="E106" s="394">
        <v>44.848605822447325</v>
      </c>
      <c r="F106" s="395">
        <v>45.01576379248592</v>
      </c>
    </row>
    <row r="107" spans="2:6">
      <c r="B107" s="375" t="s">
        <v>143</v>
      </c>
      <c r="C107" s="392"/>
      <c r="D107" s="394">
        <v>44.231294800310742</v>
      </c>
      <c r="E107" s="394">
        <v>44.602668004277724</v>
      </c>
      <c r="F107" s="395">
        <v>44.73542537292964</v>
      </c>
    </row>
    <row r="108" spans="2:6">
      <c r="B108" s="375" t="s">
        <v>144</v>
      </c>
      <c r="C108" s="392"/>
      <c r="D108" s="394">
        <v>43.872028655344536</v>
      </c>
      <c r="E108" s="394">
        <v>44.307118157593592</v>
      </c>
      <c r="F108" s="395">
        <v>44.813096082542323</v>
      </c>
    </row>
    <row r="109" spans="2:6">
      <c r="B109" s="375" t="s">
        <v>145</v>
      </c>
      <c r="C109" s="392"/>
      <c r="D109" s="394">
        <v>43.499849062481019</v>
      </c>
      <c r="E109" s="394">
        <v>44.067475407300122</v>
      </c>
      <c r="F109" s="395">
        <v>44.494141660839134</v>
      </c>
    </row>
    <row r="110" spans="2:6">
      <c r="B110" s="375" t="s">
        <v>146</v>
      </c>
      <c r="C110" s="392"/>
      <c r="D110" s="394">
        <v>43.292936195457735</v>
      </c>
      <c r="E110" s="394">
        <v>43.873982549282672</v>
      </c>
      <c r="F110" s="395">
        <v>44.268372436637733</v>
      </c>
    </row>
    <row r="111" spans="2:6" ht="13.5" thickBot="1">
      <c r="B111" s="379" t="s">
        <v>752</v>
      </c>
      <c r="C111" s="396"/>
      <c r="D111" s="396"/>
      <c r="E111" s="397">
        <v>43.846835589796363</v>
      </c>
      <c r="F111" s="398">
        <v>44.284247772244136</v>
      </c>
    </row>
  </sheetData>
  <hyperlinks>
    <hyperlink ref="A1" location="Contents!A1" display="Contents!A1" xr:uid="{5F5E061C-335E-4733-81B6-0FE7DAA49B9C}"/>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D1B19-9601-4F21-9E54-FDA897FB738A}">
  <dimension ref="A1:G56"/>
  <sheetViews>
    <sheetView showGridLines="0" zoomScaleNormal="100" workbookViewId="0">
      <selection activeCell="K23" sqref="K23"/>
    </sheetView>
  </sheetViews>
  <sheetFormatPr defaultColWidth="10.140625" defaultRowHeight="12.75"/>
  <cols>
    <col min="1" max="16384" width="10.140625" style="370"/>
  </cols>
  <sheetData>
    <row r="1" spans="1:2" ht="39.950000000000003" customHeight="1">
      <c r="A1" s="369" t="s">
        <v>621</v>
      </c>
    </row>
    <row r="2" spans="1:2" ht="17.25">
      <c r="B2" s="371" t="s">
        <v>861</v>
      </c>
    </row>
    <row r="25" spans="2:7" ht="13.5" thickBot="1"/>
    <row r="26" spans="2:7" ht="64.5" thickBot="1">
      <c r="B26" s="372" t="s">
        <v>862</v>
      </c>
      <c r="C26" s="373" t="s">
        <v>863</v>
      </c>
      <c r="D26" s="374" t="s">
        <v>864</v>
      </c>
    </row>
    <row r="27" spans="2:7">
      <c r="B27" s="375" t="s">
        <v>865</v>
      </c>
      <c r="C27" s="376">
        <v>32.650819434000006</v>
      </c>
      <c r="D27" s="377">
        <v>70</v>
      </c>
      <c r="F27" s="378"/>
      <c r="G27" s="378"/>
    </row>
    <row r="28" spans="2:7">
      <c r="B28" s="375" t="s">
        <v>866</v>
      </c>
      <c r="C28" s="376">
        <v>29.022950608000006</v>
      </c>
      <c r="D28" s="377">
        <v>70</v>
      </c>
      <c r="F28" s="378"/>
      <c r="G28" s="378"/>
    </row>
    <row r="29" spans="2:7">
      <c r="B29" s="375" t="s">
        <v>867</v>
      </c>
      <c r="C29" s="376">
        <v>18.139344130000001</v>
      </c>
      <c r="D29" s="377">
        <v>60</v>
      </c>
      <c r="F29" s="378"/>
      <c r="G29" s="378"/>
    </row>
    <row r="30" spans="2:7">
      <c r="B30" s="375" t="s">
        <v>868</v>
      </c>
      <c r="C30" s="376">
        <v>18.139344130000001</v>
      </c>
      <c r="D30" s="377">
        <v>60</v>
      </c>
      <c r="F30" s="378"/>
      <c r="G30" s="378"/>
    </row>
    <row r="31" spans="2:7">
      <c r="B31" s="375" t="s">
        <v>869</v>
      </c>
      <c r="C31" s="376">
        <v>32.650819434000006</v>
      </c>
      <c r="D31" s="377">
        <v>70</v>
      </c>
      <c r="F31" s="378"/>
      <c r="G31" s="378"/>
    </row>
    <row r="32" spans="2:7">
      <c r="B32" s="375" t="s">
        <v>870</v>
      </c>
      <c r="C32" s="376">
        <v>14.511475304000003</v>
      </c>
      <c r="D32" s="377">
        <v>70</v>
      </c>
      <c r="F32" s="378"/>
      <c r="G32" s="378"/>
    </row>
    <row r="33" spans="2:7">
      <c r="B33" s="375" t="s">
        <v>871</v>
      </c>
      <c r="C33" s="376">
        <v>58.045901216000011</v>
      </c>
      <c r="D33" s="377">
        <v>80</v>
      </c>
      <c r="F33" s="378"/>
      <c r="G33" s="378"/>
    </row>
    <row r="34" spans="2:7">
      <c r="B34" s="375" t="s">
        <v>872</v>
      </c>
      <c r="C34" s="376">
        <v>54.418032390000008</v>
      </c>
      <c r="D34" s="377">
        <v>75</v>
      </c>
      <c r="F34" s="378"/>
      <c r="G34" s="378"/>
    </row>
    <row r="35" spans="2:7">
      <c r="B35" s="375" t="s">
        <v>873</v>
      </c>
      <c r="C35" s="376">
        <v>83.440982997999996</v>
      </c>
      <c r="D35" s="377">
        <v>80</v>
      </c>
      <c r="F35" s="378"/>
      <c r="G35" s="378"/>
    </row>
    <row r="36" spans="2:7">
      <c r="B36" s="375" t="s">
        <v>874</v>
      </c>
      <c r="C36" s="376">
        <v>29.022950608000006</v>
      </c>
      <c r="D36" s="377">
        <v>65</v>
      </c>
      <c r="F36" s="378"/>
      <c r="G36" s="378"/>
    </row>
    <row r="37" spans="2:7">
      <c r="B37" s="375" t="s">
        <v>875</v>
      </c>
      <c r="C37" s="376">
        <v>39.906557086000007</v>
      </c>
      <c r="D37" s="377">
        <v>55</v>
      </c>
      <c r="F37" s="378"/>
      <c r="G37" s="378"/>
    </row>
    <row r="38" spans="2:7">
      <c r="B38" s="375" t="s">
        <v>876</v>
      </c>
      <c r="C38" s="376">
        <v>18.139344130000001</v>
      </c>
      <c r="D38" s="377">
        <v>55</v>
      </c>
      <c r="F38" s="378"/>
      <c r="G38" s="378"/>
    </row>
    <row r="39" spans="2:7">
      <c r="B39" s="375" t="s">
        <v>877</v>
      </c>
      <c r="C39" s="376">
        <v>17.307677695379507</v>
      </c>
      <c r="D39" s="377">
        <v>55</v>
      </c>
      <c r="F39" s="378"/>
      <c r="G39" s="378"/>
    </row>
    <row r="40" spans="2:7">
      <c r="B40" s="375" t="s">
        <v>878</v>
      </c>
      <c r="C40" s="376">
        <v>42.812373312042418</v>
      </c>
      <c r="D40" s="377">
        <v>65</v>
      </c>
      <c r="F40" s="378"/>
      <c r="G40" s="378"/>
    </row>
    <row r="41" spans="2:7">
      <c r="B41" s="375" t="s">
        <v>879</v>
      </c>
      <c r="C41" s="376">
        <v>41.525919426785428</v>
      </c>
      <c r="D41" s="377">
        <v>65</v>
      </c>
      <c r="F41" s="378"/>
      <c r="G41" s="378"/>
    </row>
    <row r="42" spans="2:7">
      <c r="B42" s="375" t="s">
        <v>880</v>
      </c>
      <c r="C42" s="376">
        <v>24.06620719723859</v>
      </c>
      <c r="D42" s="377">
        <v>65</v>
      </c>
      <c r="F42" s="378"/>
      <c r="G42" s="378"/>
    </row>
    <row r="43" spans="2:7">
      <c r="B43" s="375" t="s">
        <v>881</v>
      </c>
      <c r="C43" s="376">
        <v>24.851765157609684</v>
      </c>
      <c r="D43" s="377">
        <v>65</v>
      </c>
      <c r="F43" s="378"/>
      <c r="G43" s="378"/>
    </row>
    <row r="44" spans="2:7">
      <c r="B44" s="375" t="s">
        <v>882</v>
      </c>
      <c r="C44" s="376">
        <v>24.568697233721142</v>
      </c>
      <c r="D44" s="377">
        <v>65</v>
      </c>
      <c r="F44" s="378"/>
      <c r="G44" s="378"/>
    </row>
    <row r="45" spans="2:7">
      <c r="B45" s="375" t="s">
        <v>883</v>
      </c>
      <c r="C45" s="376">
        <v>42.486919850814523</v>
      </c>
      <c r="D45" s="377">
        <v>75</v>
      </c>
      <c r="F45" s="378"/>
      <c r="G45" s="378"/>
    </row>
    <row r="46" spans="2:7">
      <c r="B46" s="375" t="s">
        <v>884</v>
      </c>
      <c r="C46" s="376">
        <v>17.167014019689521</v>
      </c>
      <c r="D46" s="377">
        <v>55</v>
      </c>
      <c r="F46" s="378"/>
      <c r="G46" s="378"/>
    </row>
    <row r="47" spans="2:7">
      <c r="B47" s="375" t="s">
        <v>885</v>
      </c>
      <c r="C47" s="376">
        <v>23.856259822025763</v>
      </c>
      <c r="D47" s="377">
        <v>55</v>
      </c>
      <c r="F47" s="378"/>
      <c r="G47" s="378"/>
    </row>
    <row r="48" spans="2:7">
      <c r="B48" s="375" t="s">
        <v>886</v>
      </c>
      <c r="C48" s="376">
        <v>37.020372274895493</v>
      </c>
      <c r="D48" s="377">
        <v>58</v>
      </c>
      <c r="F48" s="378"/>
      <c r="G48" s="378"/>
    </row>
    <row r="49" spans="2:7">
      <c r="B49" s="375" t="s">
        <v>887</v>
      </c>
      <c r="C49" s="376">
        <v>11.366842827865902</v>
      </c>
      <c r="D49" s="377">
        <v>53</v>
      </c>
      <c r="F49" s="378"/>
      <c r="G49" s="378"/>
    </row>
    <row r="50" spans="2:7">
      <c r="B50" s="375" t="s">
        <v>888</v>
      </c>
      <c r="C50" s="376">
        <v>7.9859638809945643</v>
      </c>
      <c r="D50" s="377">
        <v>52</v>
      </c>
      <c r="F50" s="378"/>
      <c r="G50" s="378"/>
    </row>
    <row r="51" spans="2:7">
      <c r="B51" s="375" t="s">
        <v>889</v>
      </c>
      <c r="C51" s="376">
        <v>12.954418572801842</v>
      </c>
      <c r="D51" s="377">
        <v>56</v>
      </c>
      <c r="F51" s="378"/>
      <c r="G51" s="378"/>
    </row>
    <row r="52" spans="2:7">
      <c r="B52" s="375" t="s">
        <v>890</v>
      </c>
      <c r="C52" s="376">
        <v>8.9462348180741174</v>
      </c>
      <c r="D52" s="377">
        <v>54</v>
      </c>
      <c r="F52" s="378"/>
      <c r="G52" s="378"/>
    </row>
    <row r="53" spans="2:7">
      <c r="B53" s="375" t="s">
        <v>891</v>
      </c>
      <c r="C53" s="376">
        <v>9.9293594982254874</v>
      </c>
      <c r="D53" s="377">
        <v>54</v>
      </c>
      <c r="F53" s="378"/>
      <c r="G53" s="378"/>
    </row>
    <row r="54" spans="2:7">
      <c r="B54" s="375" t="s">
        <v>892</v>
      </c>
      <c r="C54" s="376">
        <v>9.9316225162350893</v>
      </c>
      <c r="D54" s="377">
        <v>53.949999999999996</v>
      </c>
      <c r="F54" s="378"/>
      <c r="G54" s="378"/>
    </row>
    <row r="55" spans="2:7">
      <c r="B55" s="375" t="s">
        <v>893</v>
      </c>
      <c r="C55" s="376">
        <v>21.699458764085982</v>
      </c>
      <c r="D55" s="377">
        <v>59</v>
      </c>
      <c r="F55" s="378"/>
      <c r="G55" s="378"/>
    </row>
    <row r="56" spans="2:7" ht="64.5" thickBot="1">
      <c r="B56" s="379" t="s">
        <v>894</v>
      </c>
      <c r="C56" s="380">
        <v>29.423276444536096</v>
      </c>
      <c r="D56" s="381"/>
      <c r="F56" s="378"/>
      <c r="G56" s="378"/>
    </row>
  </sheetData>
  <hyperlinks>
    <hyperlink ref="A1" location="Contents!A1" display="Contents!A1" xr:uid="{A376C4B9-CF62-4B55-BB1D-D2F57B238239}"/>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7B6F4-6BE5-4D3F-B573-C7AFD65E1B01}">
  <dimension ref="A1:J52"/>
  <sheetViews>
    <sheetView showGridLines="0" topLeftCell="A10" zoomScaleNormal="100" workbookViewId="0">
      <selection activeCell="E45" sqref="E45"/>
    </sheetView>
  </sheetViews>
  <sheetFormatPr defaultColWidth="10" defaultRowHeight="12.75"/>
  <cols>
    <col min="1" max="1" width="10" style="370"/>
    <col min="2" max="2" width="7" style="370" customWidth="1"/>
    <col min="3" max="3" width="17.7109375" style="370" customWidth="1"/>
    <col min="4" max="10" width="8.140625" style="370" customWidth="1"/>
    <col min="11" max="16384" width="10" style="370"/>
  </cols>
  <sheetData>
    <row r="1" spans="1:10" ht="40.15" customHeight="1">
      <c r="A1" s="369" t="s">
        <v>621</v>
      </c>
    </row>
    <row r="2" spans="1:10" ht="17.25" customHeight="1" thickBot="1">
      <c r="B2" s="371" t="s">
        <v>909</v>
      </c>
    </row>
    <row r="3" spans="1:10">
      <c r="B3" s="399"/>
      <c r="C3" s="400"/>
      <c r="D3" s="504" t="s">
        <v>0</v>
      </c>
      <c r="E3" s="504"/>
      <c r="F3" s="504"/>
      <c r="G3" s="504"/>
      <c r="H3" s="504"/>
      <c r="I3" s="504"/>
      <c r="J3" s="505"/>
    </row>
    <row r="4" spans="1:10">
      <c r="B4" s="401"/>
      <c r="C4" s="402"/>
      <c r="D4" s="403" t="s">
        <v>910</v>
      </c>
      <c r="E4" s="506" t="s">
        <v>155</v>
      </c>
      <c r="F4" s="506"/>
      <c r="G4" s="506"/>
      <c r="H4" s="506"/>
      <c r="I4" s="506"/>
      <c r="J4" s="507"/>
    </row>
    <row r="5" spans="1:10">
      <c r="B5" s="401"/>
      <c r="C5" s="402"/>
      <c r="D5" s="404" t="s">
        <v>141</v>
      </c>
      <c r="E5" s="404" t="s">
        <v>142</v>
      </c>
      <c r="F5" s="404" t="s">
        <v>143</v>
      </c>
      <c r="G5" s="404" t="s">
        <v>144</v>
      </c>
      <c r="H5" s="404" t="s">
        <v>145</v>
      </c>
      <c r="I5" s="404" t="s">
        <v>146</v>
      </c>
      <c r="J5" s="405" t="s">
        <v>752</v>
      </c>
    </row>
    <row r="6" spans="1:10" ht="15">
      <c r="B6" s="406" t="s">
        <v>911</v>
      </c>
      <c r="C6" s="407"/>
      <c r="D6" s="408">
        <v>305.90499999999997</v>
      </c>
      <c r="E6" s="408">
        <v>328.96120265559273</v>
      </c>
      <c r="F6" s="408">
        <v>358.91902849367284</v>
      </c>
      <c r="G6" s="408">
        <v>382.99334283988935</v>
      </c>
      <c r="H6" s="408">
        <v>393.35754566148239</v>
      </c>
      <c r="I6" s="408">
        <v>410.93250635935647</v>
      </c>
      <c r="J6" s="409">
        <v>426.94696882403179</v>
      </c>
    </row>
    <row r="7" spans="1:10">
      <c r="B7" s="410" t="s">
        <v>637</v>
      </c>
      <c r="C7" s="411" t="s">
        <v>912</v>
      </c>
      <c r="D7" s="408">
        <v>262.13099999999997</v>
      </c>
      <c r="E7" s="408">
        <v>281.42134069325397</v>
      </c>
      <c r="F7" s="408">
        <v>298.07125931448547</v>
      </c>
      <c r="G7" s="408">
        <v>311.4931394890944</v>
      </c>
      <c r="H7" s="408">
        <v>324.95985724558204</v>
      </c>
      <c r="I7" s="408">
        <v>343.96023936703335</v>
      </c>
      <c r="J7" s="409">
        <v>359.76233612061355</v>
      </c>
    </row>
    <row r="8" spans="1:10">
      <c r="B8" s="412"/>
      <c r="C8" s="413" t="s">
        <v>913</v>
      </c>
      <c r="D8" s="408">
        <v>48.164999999999999</v>
      </c>
      <c r="E8" s="408">
        <v>53.277192779983139</v>
      </c>
      <c r="F8" s="408">
        <v>62.488228050042125</v>
      </c>
      <c r="G8" s="408">
        <v>68.75529697099266</v>
      </c>
      <c r="H8" s="408">
        <v>72.43797008565042</v>
      </c>
      <c r="I8" s="408">
        <v>73.631220386840184</v>
      </c>
      <c r="J8" s="409">
        <v>74.071158691784262</v>
      </c>
    </row>
    <row r="9" spans="1:10">
      <c r="B9" s="412"/>
      <c r="C9" s="413" t="s">
        <v>914</v>
      </c>
      <c r="D9" s="408">
        <v>-4.391</v>
      </c>
      <c r="E9" s="408">
        <v>-5.7373308176443683</v>
      </c>
      <c r="F9" s="408">
        <v>-1.6404588708548109</v>
      </c>
      <c r="G9" s="408">
        <v>2.744906379802269</v>
      </c>
      <c r="H9" s="408">
        <v>-4.0402816697500565</v>
      </c>
      <c r="I9" s="408">
        <v>-6.6589533945171304</v>
      </c>
      <c r="J9" s="409">
        <v>-6.8865259883660475</v>
      </c>
    </row>
    <row r="10" spans="1:10">
      <c r="B10" s="406" t="s">
        <v>915</v>
      </c>
      <c r="C10" s="414"/>
      <c r="D10" s="408">
        <v>171.40199999999999</v>
      </c>
      <c r="E10" s="408">
        <v>205.36409234425267</v>
      </c>
      <c r="F10" s="408">
        <v>213.74560637030658</v>
      </c>
      <c r="G10" s="408">
        <v>220.73515906102679</v>
      </c>
      <c r="H10" s="408">
        <v>228.19271254462379</v>
      </c>
      <c r="I10" s="408">
        <v>239.19486598308069</v>
      </c>
      <c r="J10" s="409">
        <v>247.17346664677672</v>
      </c>
    </row>
    <row r="11" spans="1:10">
      <c r="B11" s="406" t="s">
        <v>916</v>
      </c>
      <c r="C11" s="407"/>
      <c r="D11" s="408">
        <v>173.29</v>
      </c>
      <c r="E11" s="408">
        <v>179.61063138962973</v>
      </c>
      <c r="F11" s="408">
        <v>188.85610178925626</v>
      </c>
      <c r="G11" s="408">
        <v>197.99578499263208</v>
      </c>
      <c r="H11" s="408">
        <v>205.72625275909789</v>
      </c>
      <c r="I11" s="408">
        <v>214.83089661308642</v>
      </c>
      <c r="J11" s="409">
        <v>223.96471150711673</v>
      </c>
    </row>
    <row r="12" spans="1:10" ht="15">
      <c r="B12" s="415" t="s">
        <v>917</v>
      </c>
      <c r="C12" s="407"/>
      <c r="D12" s="408">
        <v>94.920000000000016</v>
      </c>
      <c r="E12" s="408">
        <v>98.789260250246485</v>
      </c>
      <c r="F12" s="408">
        <v>104.19779736374923</v>
      </c>
      <c r="G12" s="408">
        <v>109.95268217791923</v>
      </c>
      <c r="H12" s="408">
        <v>114.12150806326414</v>
      </c>
      <c r="I12" s="408">
        <v>117.80689677430145</v>
      </c>
      <c r="J12" s="409">
        <v>122.82967964634717</v>
      </c>
    </row>
    <row r="13" spans="1:10">
      <c r="B13" s="410" t="s">
        <v>918</v>
      </c>
      <c r="C13" s="411" t="s">
        <v>919</v>
      </c>
      <c r="D13" s="408">
        <v>92.686999999999998</v>
      </c>
      <c r="E13" s="408">
        <v>98.027180868071184</v>
      </c>
      <c r="F13" s="408">
        <v>103.32507496544603</v>
      </c>
      <c r="G13" s="408">
        <v>109.42438298157225</v>
      </c>
      <c r="H13" s="408">
        <v>113.76839471930968</v>
      </c>
      <c r="I13" s="408">
        <v>117.6135988230472</v>
      </c>
      <c r="J13" s="409">
        <v>122.65242119256067</v>
      </c>
    </row>
    <row r="14" spans="1:10" ht="15.75">
      <c r="B14" s="416"/>
      <c r="C14" s="411" t="s">
        <v>920</v>
      </c>
      <c r="D14" s="408">
        <v>2.2330000000000001</v>
      </c>
      <c r="E14" s="408">
        <v>0.76207938217529414</v>
      </c>
      <c r="F14" s="408">
        <v>0.87272239830320153</v>
      </c>
      <c r="G14" s="408">
        <v>0.52829919634699107</v>
      </c>
      <c r="H14" s="408">
        <v>0.35311334395444982</v>
      </c>
      <c r="I14" s="408">
        <v>0.19329795125424931</v>
      </c>
      <c r="J14" s="409">
        <v>0.17725845378651242</v>
      </c>
    </row>
    <row r="15" spans="1:10">
      <c r="B15" s="406" t="s">
        <v>921</v>
      </c>
      <c r="C15" s="414"/>
      <c r="D15" s="408">
        <v>-0.35</v>
      </c>
      <c r="E15" s="408">
        <v>-0.47175453833333336</v>
      </c>
      <c r="F15" s="408">
        <v>-0.20269365414263127</v>
      </c>
      <c r="G15" s="408">
        <v>-0.1751969406485912</v>
      </c>
      <c r="H15" s="408">
        <v>-0.14137821973589548</v>
      </c>
      <c r="I15" s="408">
        <v>-7.8599422972255792E-2</v>
      </c>
      <c r="J15" s="409">
        <v>-9.4691999981146954E-2</v>
      </c>
    </row>
    <row r="16" spans="1:10">
      <c r="B16" s="406" t="s">
        <v>922</v>
      </c>
      <c r="C16" s="414"/>
      <c r="D16" s="408">
        <v>24.359000000000002</v>
      </c>
      <c r="E16" s="408">
        <v>23.979044595270111</v>
      </c>
      <c r="F16" s="408">
        <v>24.217584020595833</v>
      </c>
      <c r="G16" s="408">
        <v>26.17267395348199</v>
      </c>
      <c r="H16" s="408">
        <v>26.257946182573953</v>
      </c>
      <c r="I16" s="408">
        <v>25.996123847100243</v>
      </c>
      <c r="J16" s="409">
        <v>25.344493348698865</v>
      </c>
    </row>
    <row r="17" spans="2:10">
      <c r="B17" s="406" t="s">
        <v>923</v>
      </c>
      <c r="C17" s="407"/>
      <c r="D17" s="408">
        <v>32.054000000000002</v>
      </c>
      <c r="E17" s="408">
        <v>33.621416645438345</v>
      </c>
      <c r="F17" s="408">
        <v>37.062887933158265</v>
      </c>
      <c r="G17" s="408">
        <v>37.950205794342125</v>
      </c>
      <c r="H17" s="408">
        <v>38.838129152912046</v>
      </c>
      <c r="I17" s="408">
        <v>41.919146198443805</v>
      </c>
      <c r="J17" s="409">
        <v>41.989839045390973</v>
      </c>
    </row>
    <row r="18" spans="2:10" ht="15">
      <c r="B18" s="406" t="s">
        <v>924</v>
      </c>
      <c r="C18" s="407"/>
      <c r="D18" s="408">
        <v>47.417000000000002</v>
      </c>
      <c r="E18" s="408">
        <v>50.912470070988029</v>
      </c>
      <c r="F18" s="408">
        <v>53.554762623194677</v>
      </c>
      <c r="G18" s="408">
        <v>56.563564444996452</v>
      </c>
      <c r="H18" s="408">
        <v>60.129026095278142</v>
      </c>
      <c r="I18" s="408">
        <v>63.331611281961941</v>
      </c>
      <c r="J18" s="409">
        <v>66.679829894460781</v>
      </c>
    </row>
    <row r="19" spans="2:10">
      <c r="B19" s="406" t="s">
        <v>925</v>
      </c>
      <c r="C19" s="407"/>
      <c r="D19" s="408">
        <v>29.434999999999999</v>
      </c>
      <c r="E19" s="408">
        <v>30.495146997439694</v>
      </c>
      <c r="F19" s="408">
        <v>31.360923142431588</v>
      </c>
      <c r="G19" s="408">
        <v>32.688523215444292</v>
      </c>
      <c r="H19" s="408">
        <v>33.365728539891919</v>
      </c>
      <c r="I19" s="408">
        <v>34.371043108943965</v>
      </c>
      <c r="J19" s="409">
        <v>35.871074812122508</v>
      </c>
    </row>
    <row r="20" spans="2:10">
      <c r="B20" s="406" t="s">
        <v>926</v>
      </c>
      <c r="C20" s="407"/>
      <c r="D20" s="408">
        <v>13.686</v>
      </c>
      <c r="E20" s="408">
        <v>20.26567289413822</v>
      </c>
      <c r="F20" s="408">
        <v>19.787228725135527</v>
      </c>
      <c r="G20" s="408">
        <v>21.838454903937926</v>
      </c>
      <c r="H20" s="408">
        <v>24.770296415810535</v>
      </c>
      <c r="I20" s="408">
        <v>27.343345994572505</v>
      </c>
      <c r="J20" s="409">
        <v>29.774829629823792</v>
      </c>
    </row>
    <row r="21" spans="2:10">
      <c r="B21" s="406" t="s">
        <v>927</v>
      </c>
      <c r="C21" s="407"/>
      <c r="D21" s="408">
        <v>8.2859999999999996</v>
      </c>
      <c r="E21" s="408">
        <v>8.6589015400026668</v>
      </c>
      <c r="F21" s="408">
        <v>9.4696734360681738</v>
      </c>
      <c r="G21" s="408">
        <v>11.074676024043541</v>
      </c>
      <c r="H21" s="408">
        <v>12.596854095203238</v>
      </c>
      <c r="I21" s="408">
        <v>13.528384265675301</v>
      </c>
      <c r="J21" s="409">
        <v>14.456885115983789</v>
      </c>
    </row>
    <row r="22" spans="2:10" ht="15">
      <c r="B22" s="415" t="s">
        <v>928</v>
      </c>
      <c r="C22" s="407"/>
      <c r="D22" s="408">
        <v>15.227</v>
      </c>
      <c r="E22" s="408">
        <v>16.433769088609566</v>
      </c>
      <c r="F22" s="408">
        <v>19.23063855088003</v>
      </c>
      <c r="G22" s="408">
        <v>21.610851071390549</v>
      </c>
      <c r="H22" s="408">
        <v>24.104189686743169</v>
      </c>
      <c r="I22" s="408">
        <v>26.261360733754564</v>
      </c>
      <c r="J22" s="409">
        <v>27.970016371733866</v>
      </c>
    </row>
    <row r="23" spans="2:10">
      <c r="B23" s="406" t="s">
        <v>929</v>
      </c>
      <c r="C23" s="407"/>
      <c r="D23" s="408">
        <v>4.3220000000000001</v>
      </c>
      <c r="E23" s="408">
        <v>4.4338847961902905</v>
      </c>
      <c r="F23" s="408">
        <v>4.6436828199190661</v>
      </c>
      <c r="G23" s="408">
        <v>4.8030225339258443</v>
      </c>
      <c r="H23" s="408">
        <v>4.9540792738009083</v>
      </c>
      <c r="I23" s="408">
        <v>5.1164690987727299</v>
      </c>
      <c r="J23" s="409">
        <v>5.2758204153142154</v>
      </c>
    </row>
    <row r="24" spans="2:10">
      <c r="B24" s="406" t="s">
        <v>930</v>
      </c>
      <c r="C24" s="407"/>
      <c r="D24" s="408">
        <v>7.9089999999999998</v>
      </c>
      <c r="E24" s="408">
        <v>7.9689044089112722</v>
      </c>
      <c r="F24" s="408">
        <v>7.7982072749036977</v>
      </c>
      <c r="G24" s="408">
        <v>7.6504414127931577</v>
      </c>
      <c r="H24" s="408">
        <v>7.4577444860918014</v>
      </c>
      <c r="I24" s="408">
        <v>7.1739943128474124</v>
      </c>
      <c r="J24" s="409">
        <v>7.0382649431390325</v>
      </c>
    </row>
    <row r="25" spans="2:10">
      <c r="B25" s="406" t="s">
        <v>931</v>
      </c>
      <c r="C25" s="407"/>
      <c r="D25" s="408">
        <v>12.545</v>
      </c>
      <c r="E25" s="408">
        <v>11.90019866324867</v>
      </c>
      <c r="F25" s="408">
        <v>12.321964921553352</v>
      </c>
      <c r="G25" s="408">
        <v>12.752230428121182</v>
      </c>
      <c r="H25" s="408">
        <v>13.200005002987071</v>
      </c>
      <c r="I25" s="408">
        <v>13.661303042460087</v>
      </c>
      <c r="J25" s="409">
        <v>14.058343451270034</v>
      </c>
    </row>
    <row r="26" spans="2:10">
      <c r="B26" s="406" t="s">
        <v>932</v>
      </c>
      <c r="C26" s="407"/>
      <c r="D26" s="408">
        <v>4.1310000000000002</v>
      </c>
      <c r="E26" s="408">
        <v>4.5514406941009957</v>
      </c>
      <c r="F26" s="408">
        <v>5.219625605819691</v>
      </c>
      <c r="G26" s="408">
        <v>5.5594916557241296</v>
      </c>
      <c r="H26" s="408">
        <v>5.8543059639537027</v>
      </c>
      <c r="I26" s="408">
        <v>6.1738015495560905</v>
      </c>
      <c r="J26" s="409">
        <v>6.4801596359994429</v>
      </c>
    </row>
    <row r="27" spans="2:10">
      <c r="B27" s="406" t="s">
        <v>933</v>
      </c>
      <c r="C27" s="407"/>
      <c r="D27" s="408">
        <v>8.94</v>
      </c>
      <c r="E27" s="408">
        <v>8.9728505851781204</v>
      </c>
      <c r="F27" s="408">
        <v>9.1801578309077545</v>
      </c>
      <c r="G27" s="408">
        <v>9.4108130644823813</v>
      </c>
      <c r="H27" s="408">
        <v>9.6623949815519428</v>
      </c>
      <c r="I27" s="408">
        <v>9.9082992363984577</v>
      </c>
      <c r="J27" s="409">
        <v>10.12296106618685</v>
      </c>
    </row>
    <row r="28" spans="2:10">
      <c r="B28" s="406" t="s">
        <v>934</v>
      </c>
      <c r="C28" s="407"/>
      <c r="D28" s="408">
        <v>1.8420000000000001</v>
      </c>
      <c r="E28" s="408">
        <v>1.8208001561448486</v>
      </c>
      <c r="F28" s="408">
        <v>1.7961105966370086</v>
      </c>
      <c r="G28" s="408">
        <v>1.7370593693927492</v>
      </c>
      <c r="H28" s="408">
        <v>1.7100532899040957</v>
      </c>
      <c r="I28" s="408">
        <v>1.768514024326574</v>
      </c>
      <c r="J28" s="409">
        <v>1.8735298224184309</v>
      </c>
    </row>
    <row r="29" spans="2:10">
      <c r="B29" s="406" t="s">
        <v>935</v>
      </c>
      <c r="C29" s="407"/>
      <c r="D29" s="408">
        <v>1.329</v>
      </c>
      <c r="E29" s="408">
        <v>1.4150304209855629</v>
      </c>
      <c r="F29" s="408">
        <v>1.4062023989486518</v>
      </c>
      <c r="G29" s="408">
        <v>1.3973743769117395</v>
      </c>
      <c r="H29" s="408">
        <v>1.388546354874828</v>
      </c>
      <c r="I29" s="408">
        <v>1.3797183328379166</v>
      </c>
      <c r="J29" s="409">
        <v>1.3708903108010049</v>
      </c>
    </row>
    <row r="30" spans="2:10">
      <c r="B30" s="406" t="s">
        <v>936</v>
      </c>
      <c r="C30" s="407"/>
      <c r="D30" s="408">
        <v>0.97499999999999998</v>
      </c>
      <c r="E30" s="408">
        <v>1.0980678727548927</v>
      </c>
      <c r="F30" s="408">
        <v>1.2026096089071432</v>
      </c>
      <c r="G30" s="408">
        <v>1.2585031722572275</v>
      </c>
      <c r="H30" s="408">
        <v>1.3239904414850618</v>
      </c>
      <c r="I30" s="408">
        <v>1.3728346630128601</v>
      </c>
      <c r="J30" s="409">
        <v>1.4191128589614084</v>
      </c>
    </row>
    <row r="31" spans="2:10">
      <c r="B31" s="406" t="s">
        <v>937</v>
      </c>
      <c r="C31" s="407"/>
      <c r="D31" s="408">
        <v>4.1349999999999998</v>
      </c>
      <c r="E31" s="408">
        <v>4.4166200111143334</v>
      </c>
      <c r="F31" s="408">
        <v>4.5926644802290406</v>
      </c>
      <c r="G31" s="408">
        <v>4.7367750234160955</v>
      </c>
      <c r="H31" s="408">
        <v>4.8825037660062929</v>
      </c>
      <c r="I31" s="408">
        <v>5.0414405459633747</v>
      </c>
      <c r="J31" s="409">
        <v>5.2049596145662926</v>
      </c>
    </row>
    <row r="32" spans="2:10">
      <c r="B32" s="406" t="s">
        <v>938</v>
      </c>
      <c r="C32" s="407"/>
      <c r="D32" s="408">
        <v>0.81399999999999995</v>
      </c>
      <c r="E32" s="408">
        <v>1.0036232685965054</v>
      </c>
      <c r="F32" s="408">
        <v>1.0930667074745528</v>
      </c>
      <c r="G32" s="408">
        <v>1.1793678727149406</v>
      </c>
      <c r="H32" s="408">
        <v>1.2634777617282771</v>
      </c>
      <c r="I32" s="408">
        <v>1.3460119352220674</v>
      </c>
      <c r="J32" s="409">
        <v>1.429130026655657</v>
      </c>
    </row>
    <row r="33" spans="2:10" ht="15">
      <c r="B33" s="415" t="s">
        <v>939</v>
      </c>
      <c r="C33" s="407"/>
      <c r="D33" s="408">
        <v>10.168241000000002</v>
      </c>
      <c r="E33" s="408">
        <v>11.16489959541825</v>
      </c>
      <c r="F33" s="408">
        <v>11.583543206632717</v>
      </c>
      <c r="G33" s="408">
        <v>12.670932152216841</v>
      </c>
      <c r="H33" s="408">
        <v>13.387929786813093</v>
      </c>
      <c r="I33" s="408">
        <v>14.274754992019249</v>
      </c>
      <c r="J33" s="409">
        <v>14.661791132345932</v>
      </c>
    </row>
    <row r="34" spans="2:10">
      <c r="B34" s="406" t="s">
        <v>940</v>
      </c>
      <c r="C34" s="417"/>
      <c r="D34" s="408">
        <v>8.2050000000000001</v>
      </c>
      <c r="E34" s="408">
        <v>9.4317409198796565</v>
      </c>
      <c r="F34" s="408">
        <v>9.9621410344358949</v>
      </c>
      <c r="G34" s="408">
        <v>10.39468874403074</v>
      </c>
      <c r="H34" s="408">
        <v>11.891137166830653</v>
      </c>
      <c r="I34" s="408">
        <v>12.600499695650848</v>
      </c>
      <c r="J34" s="409">
        <v>13.381883532770928</v>
      </c>
    </row>
    <row r="35" spans="2:10">
      <c r="B35" s="406" t="s">
        <v>941</v>
      </c>
      <c r="C35" s="418"/>
      <c r="D35" s="408">
        <v>3.819</v>
      </c>
      <c r="E35" s="408">
        <v>3.8719999999999999</v>
      </c>
      <c r="F35" s="408">
        <v>3.9510000000000001</v>
      </c>
      <c r="G35" s="408">
        <v>3.9820000000000002</v>
      </c>
      <c r="H35" s="408">
        <v>3.9820000000000002</v>
      </c>
      <c r="I35" s="408">
        <v>3.9820000000000002</v>
      </c>
      <c r="J35" s="409">
        <v>4.0540323322398502</v>
      </c>
    </row>
    <row r="36" spans="2:10">
      <c r="B36" s="406" t="s">
        <v>942</v>
      </c>
      <c r="C36" s="407"/>
      <c r="D36" s="408">
        <v>10.518000000000001</v>
      </c>
      <c r="E36" s="408">
        <v>14.048987889195558</v>
      </c>
      <c r="F36" s="408">
        <v>15.918754703044929</v>
      </c>
      <c r="G36" s="408">
        <v>15.366099235670355</v>
      </c>
      <c r="H36" s="408">
        <v>16.029938529178452</v>
      </c>
      <c r="I36" s="408">
        <v>16.897385957432164</v>
      </c>
      <c r="J36" s="409">
        <v>18.555762360066598</v>
      </c>
    </row>
    <row r="37" spans="2:10">
      <c r="B37" s="406" t="s">
        <v>943</v>
      </c>
      <c r="C37" s="407"/>
      <c r="D37" s="408">
        <v>3.4060000000000001</v>
      </c>
      <c r="E37" s="408">
        <v>2.5789593709999998</v>
      </c>
      <c r="F37" s="408">
        <v>3.0191104499295047</v>
      </c>
      <c r="G37" s="408">
        <v>2.9522434854328745</v>
      </c>
      <c r="H37" s="408">
        <v>2.6143883144004785</v>
      </c>
      <c r="I37" s="408">
        <v>2.4535276598633646</v>
      </c>
      <c r="J37" s="409">
        <v>2.3302662795776907</v>
      </c>
    </row>
    <row r="38" spans="2:10">
      <c r="B38" s="406" t="s">
        <v>944</v>
      </c>
      <c r="C38" s="407"/>
      <c r="D38" s="408">
        <v>2.714</v>
      </c>
      <c r="E38" s="408">
        <v>2.4056220257890377</v>
      </c>
      <c r="F38" s="408">
        <v>1.7490879302279692</v>
      </c>
      <c r="G38" s="408">
        <v>1.6119829397389165</v>
      </c>
      <c r="H38" s="408">
        <v>1.4368595435728089</v>
      </c>
      <c r="I38" s="408">
        <v>1.0767860630466533</v>
      </c>
      <c r="J38" s="409">
        <v>0.21635584540862782</v>
      </c>
    </row>
    <row r="39" spans="2:10">
      <c r="B39" s="406" t="s">
        <v>945</v>
      </c>
      <c r="C39" s="407"/>
      <c r="D39" s="408">
        <v>0.749</v>
      </c>
      <c r="E39" s="408">
        <v>4.1684143035000003E-2</v>
      </c>
      <c r="F39" s="408">
        <v>0</v>
      </c>
      <c r="G39" s="408">
        <v>0</v>
      </c>
      <c r="H39" s="408">
        <v>0</v>
      </c>
      <c r="I39" s="408">
        <v>0</v>
      </c>
      <c r="J39" s="409">
        <v>0</v>
      </c>
    </row>
    <row r="40" spans="2:10">
      <c r="B40" s="406" t="s">
        <v>946</v>
      </c>
      <c r="C40" s="407"/>
      <c r="D40" s="408">
        <v>12.850759000000153</v>
      </c>
      <c r="E40" s="408">
        <v>15.595275687019694</v>
      </c>
      <c r="F40" s="408">
        <v>16.290316509127024</v>
      </c>
      <c r="G40" s="408">
        <v>16.347576761193068</v>
      </c>
      <c r="H40" s="408">
        <v>17.086452968901767</v>
      </c>
      <c r="I40" s="408">
        <v>17.584030630777988</v>
      </c>
      <c r="J40" s="409">
        <v>17.968845021579455</v>
      </c>
    </row>
    <row r="41" spans="2:10">
      <c r="B41" s="419" t="s">
        <v>947</v>
      </c>
      <c r="C41" s="420"/>
      <c r="D41" s="421">
        <v>1015.003</v>
      </c>
      <c r="E41" s="421">
        <v>1103.3404444418379</v>
      </c>
      <c r="F41" s="421">
        <v>1171.9277848730042</v>
      </c>
      <c r="G41" s="421">
        <v>1233.211323766478</v>
      </c>
      <c r="H41" s="421">
        <v>1279.4446186092268</v>
      </c>
      <c r="I41" s="421">
        <v>1337.2489534774927</v>
      </c>
      <c r="J41" s="422">
        <v>1388.3492114918074</v>
      </c>
    </row>
    <row r="42" spans="2:10">
      <c r="B42" s="406" t="s">
        <v>948</v>
      </c>
      <c r="C42" s="423"/>
      <c r="D42" s="424">
        <v>42.793999999999997</v>
      </c>
      <c r="E42" s="424">
        <v>42.469817812251677</v>
      </c>
      <c r="F42" s="424">
        <v>43.715849651673544</v>
      </c>
      <c r="G42" s="424">
        <v>45.601151927791378</v>
      </c>
      <c r="H42" s="424">
        <v>46.564534117128296</v>
      </c>
      <c r="I42" s="424">
        <v>48.612574311185647</v>
      </c>
      <c r="J42" s="425">
        <v>50.490587496749377</v>
      </c>
    </row>
    <row r="43" spans="2:10">
      <c r="B43" s="406" t="s">
        <v>949</v>
      </c>
      <c r="C43" s="423"/>
      <c r="D43" s="424">
        <v>78.322999999999993</v>
      </c>
      <c r="E43" s="424">
        <v>82.82357051438278</v>
      </c>
      <c r="F43" s="424">
        <v>85.259765989483128</v>
      </c>
      <c r="G43" s="424">
        <v>88.415474423049019</v>
      </c>
      <c r="H43" s="424">
        <v>91.46000481871981</v>
      </c>
      <c r="I43" s="424">
        <v>94.206711381985528</v>
      </c>
      <c r="J43" s="425">
        <v>97.174135118312606</v>
      </c>
    </row>
    <row r="44" spans="2:10">
      <c r="B44" s="406" t="s">
        <v>950</v>
      </c>
      <c r="C44" s="423"/>
      <c r="D44" s="424">
        <v>2.4769999999998618</v>
      </c>
      <c r="E44" s="424">
        <v>2.8841808623355973</v>
      </c>
      <c r="F44" s="424">
        <v>2.8526113632049146</v>
      </c>
      <c r="G44" s="424">
        <v>3.0482250937839126</v>
      </c>
      <c r="H44" s="424">
        <v>3.2303579726069529</v>
      </c>
      <c r="I44" s="424">
        <v>3.2266618188652956</v>
      </c>
      <c r="J44" s="425">
        <v>3.4055702452228616</v>
      </c>
    </row>
    <row r="45" spans="2:10">
      <c r="B45" s="419" t="s">
        <v>951</v>
      </c>
      <c r="C45" s="426"/>
      <c r="D45" s="427">
        <v>1138.597</v>
      </c>
      <c r="E45" s="427">
        <v>1231.5180136308079</v>
      </c>
      <c r="F45" s="427">
        <v>1303.7560118773658</v>
      </c>
      <c r="G45" s="427">
        <v>1370.2761752111023</v>
      </c>
      <c r="H45" s="427">
        <v>1420.6995155176819</v>
      </c>
      <c r="I45" s="427">
        <v>1483.2949009895292</v>
      </c>
      <c r="J45" s="428">
        <v>1539.4195043520922</v>
      </c>
    </row>
    <row r="46" spans="2:10">
      <c r="B46" s="429" t="s">
        <v>952</v>
      </c>
      <c r="C46" s="430"/>
      <c r="D46" s="431">
        <v>4.5969999999999995</v>
      </c>
      <c r="E46" s="431">
        <v>2.6959468696309985</v>
      </c>
      <c r="F46" s="431">
        <v>2.4191166743885395</v>
      </c>
      <c r="G46" s="431">
        <v>1.9650851954373163</v>
      </c>
      <c r="H46" s="431">
        <v>1.6485946677913632</v>
      </c>
      <c r="I46" s="431">
        <v>1.1914845913286467</v>
      </c>
      <c r="J46" s="432">
        <v>0.29892229921399327</v>
      </c>
    </row>
    <row r="47" spans="2:10">
      <c r="B47" s="433" t="s">
        <v>953</v>
      </c>
      <c r="C47" s="434"/>
      <c r="D47" s="434"/>
      <c r="E47" s="434"/>
      <c r="F47" s="434"/>
      <c r="G47" s="434"/>
      <c r="H47" s="434"/>
      <c r="I47" s="434"/>
      <c r="J47" s="435"/>
    </row>
    <row r="48" spans="2:10">
      <c r="B48" s="436" t="s">
        <v>954</v>
      </c>
      <c r="C48" s="437"/>
      <c r="D48" s="437"/>
      <c r="E48" s="437"/>
      <c r="F48" s="437"/>
      <c r="G48" s="437"/>
      <c r="H48" s="437"/>
      <c r="I48" s="437"/>
      <c r="J48" s="438"/>
    </row>
    <row r="49" spans="2:10">
      <c r="B49" s="436" t="s">
        <v>955</v>
      </c>
      <c r="C49" s="437"/>
      <c r="D49" s="437"/>
      <c r="E49" s="437"/>
      <c r="F49" s="437"/>
      <c r="G49" s="437"/>
      <c r="H49" s="437"/>
      <c r="I49" s="437"/>
      <c r="J49" s="438"/>
    </row>
    <row r="50" spans="2:10" ht="12.75" customHeight="1">
      <c r="B50" s="436" t="s">
        <v>956</v>
      </c>
      <c r="C50" s="437"/>
      <c r="D50" s="437"/>
      <c r="E50" s="437"/>
      <c r="F50" s="437"/>
      <c r="G50" s="437"/>
      <c r="H50" s="437"/>
      <c r="I50" s="437"/>
      <c r="J50" s="438"/>
    </row>
    <row r="51" spans="2:10" ht="26.25" customHeight="1">
      <c r="B51" s="508" t="s">
        <v>957</v>
      </c>
      <c r="C51" s="509"/>
      <c r="D51" s="509"/>
      <c r="E51" s="509"/>
      <c r="F51" s="509"/>
      <c r="G51" s="509"/>
      <c r="H51" s="509"/>
      <c r="I51" s="509"/>
      <c r="J51" s="510"/>
    </row>
    <row r="52" spans="2:10" ht="13.5" thickBot="1">
      <c r="B52" s="439" t="s">
        <v>958</v>
      </c>
      <c r="C52" s="440"/>
      <c r="D52" s="440"/>
      <c r="E52" s="440"/>
      <c r="F52" s="440"/>
      <c r="G52" s="440"/>
      <c r="H52" s="440"/>
      <c r="I52" s="440"/>
      <c r="J52" s="441"/>
    </row>
  </sheetData>
  <mergeCells count="3">
    <mergeCell ref="D3:J3"/>
    <mergeCell ref="E4:J4"/>
    <mergeCell ref="B51:J51"/>
  </mergeCells>
  <hyperlinks>
    <hyperlink ref="A1" location="Contents!A1" display="Contents!A1" xr:uid="{20E3B55A-92FF-4B06-AE54-1EFC283A969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DF42C-7F47-4915-85FF-ED5AEF304BE7}">
  <dimension ref="A1:I48"/>
  <sheetViews>
    <sheetView showGridLines="0" zoomScaleNormal="100" workbookViewId="0">
      <selection activeCell="K22" sqref="K22"/>
    </sheetView>
  </sheetViews>
  <sheetFormatPr defaultColWidth="10" defaultRowHeight="12.75"/>
  <cols>
    <col min="1" max="1" width="10" style="370"/>
    <col min="2" max="2" width="34.42578125" style="370" customWidth="1"/>
    <col min="3" max="9" width="6.5703125" style="370" customWidth="1"/>
    <col min="10" max="16384" width="10" style="370"/>
  </cols>
  <sheetData>
    <row r="1" spans="1:9" ht="40.15" customHeight="1">
      <c r="A1" s="369" t="s">
        <v>621</v>
      </c>
    </row>
    <row r="2" spans="1:9" ht="17.25" customHeight="1" thickBot="1">
      <c r="B2" s="371" t="s">
        <v>959</v>
      </c>
      <c r="I2" s="442"/>
    </row>
    <row r="3" spans="1:9">
      <c r="B3" s="399"/>
      <c r="C3" s="504" t="s">
        <v>960</v>
      </c>
      <c r="D3" s="504"/>
      <c r="E3" s="504"/>
      <c r="F3" s="504"/>
      <c r="G3" s="504"/>
      <c r="H3" s="504"/>
      <c r="I3" s="511"/>
    </row>
    <row r="4" spans="1:9">
      <c r="B4" s="401"/>
      <c r="C4" s="403" t="s">
        <v>901</v>
      </c>
      <c r="D4" s="506" t="s">
        <v>155</v>
      </c>
      <c r="E4" s="506"/>
      <c r="F4" s="506"/>
      <c r="G4" s="506"/>
      <c r="H4" s="506"/>
      <c r="I4" s="512"/>
    </row>
    <row r="5" spans="1:9">
      <c r="B5" s="401"/>
      <c r="C5" s="443" t="s">
        <v>141</v>
      </c>
      <c r="D5" s="444" t="s">
        <v>142</v>
      </c>
      <c r="E5" s="444" t="s">
        <v>143</v>
      </c>
      <c r="F5" s="444" t="s">
        <v>144</v>
      </c>
      <c r="G5" s="444" t="s">
        <v>145</v>
      </c>
      <c r="H5" s="444" t="s">
        <v>146</v>
      </c>
      <c r="I5" s="445" t="s">
        <v>752</v>
      </c>
    </row>
    <row r="6" spans="1:9">
      <c r="B6" s="446" t="s">
        <v>1</v>
      </c>
      <c r="C6" s="447"/>
      <c r="D6" s="447"/>
      <c r="E6" s="447"/>
      <c r="F6" s="447"/>
      <c r="G6" s="447"/>
      <c r="H6" s="447"/>
      <c r="I6" s="448"/>
    </row>
    <row r="7" spans="1:9">
      <c r="B7" s="407" t="s">
        <v>961</v>
      </c>
      <c r="C7" s="447">
        <v>38.902213940190336</v>
      </c>
      <c r="D7" s="447">
        <v>40.471753403663143</v>
      </c>
      <c r="E7" s="447">
        <v>41.193637835164196</v>
      </c>
      <c r="F7" s="447">
        <v>41.80872585519365</v>
      </c>
      <c r="G7" s="447">
        <v>41.928353728387982</v>
      </c>
      <c r="H7" s="447">
        <v>42.331509565108846</v>
      </c>
      <c r="I7" s="448">
        <v>42.433163330478479</v>
      </c>
    </row>
    <row r="8" spans="1:9">
      <c r="B8" s="411" t="s">
        <v>947</v>
      </c>
      <c r="C8" s="447">
        <v>34.679402682366991</v>
      </c>
      <c r="D8" s="447">
        <v>36.25941471703463</v>
      </c>
      <c r="E8" s="447">
        <v>37.02837670486285</v>
      </c>
      <c r="F8" s="447">
        <v>37.626717219198568</v>
      </c>
      <c r="G8" s="447">
        <v>37.759572632347009</v>
      </c>
      <c r="H8" s="447">
        <v>38.163528255440212</v>
      </c>
      <c r="I8" s="448">
        <v>38.269002493746925</v>
      </c>
    </row>
    <row r="9" spans="1:9">
      <c r="B9" s="407" t="s">
        <v>962</v>
      </c>
      <c r="C9" s="447">
        <v>44.008646933290684</v>
      </c>
      <c r="D9" s="447">
        <v>45.01576379248592</v>
      </c>
      <c r="E9" s="447">
        <v>44.73542537292964</v>
      </c>
      <c r="F9" s="447">
        <v>44.813096082542323</v>
      </c>
      <c r="G9" s="447">
        <v>44.494141660839134</v>
      </c>
      <c r="H9" s="447">
        <v>44.268372436637733</v>
      </c>
      <c r="I9" s="448">
        <v>44.284247772244136</v>
      </c>
    </row>
    <row r="10" spans="1:9">
      <c r="B10" s="411" t="s">
        <v>963</v>
      </c>
      <c r="C10" s="447">
        <v>39.13290816169642</v>
      </c>
      <c r="D10" s="447">
        <v>39.786591066068972</v>
      </c>
      <c r="E10" s="447">
        <v>39.686254995537816</v>
      </c>
      <c r="F10" s="447">
        <v>39.510777428617757</v>
      </c>
      <c r="G10" s="447">
        <v>39.35974614761534</v>
      </c>
      <c r="H10" s="447">
        <v>39.25691666892871</v>
      </c>
      <c r="I10" s="448">
        <v>39.297379136091656</v>
      </c>
    </row>
    <row r="11" spans="1:9">
      <c r="B11" s="411" t="s">
        <v>964</v>
      </c>
      <c r="C11" s="447">
        <v>2.5159746865025432</v>
      </c>
      <c r="D11" s="447">
        <v>2.8230484277339749</v>
      </c>
      <c r="E11" s="447">
        <v>2.6322266301511728</v>
      </c>
      <c r="F11" s="447">
        <v>2.8648856294876377</v>
      </c>
      <c r="G11" s="447">
        <v>2.6812157309467111</v>
      </c>
      <c r="H11" s="447">
        <v>2.5561401613090875</v>
      </c>
      <c r="I11" s="448">
        <v>2.5286679760250017</v>
      </c>
    </row>
    <row r="12" spans="1:9">
      <c r="B12" s="449" t="s">
        <v>965</v>
      </c>
      <c r="C12" s="450">
        <v>2.3597640850917276</v>
      </c>
      <c r="D12" s="450">
        <v>2.4061242986829803</v>
      </c>
      <c r="E12" s="450">
        <v>2.4169437472406456</v>
      </c>
      <c r="F12" s="450">
        <v>2.4374330244369249</v>
      </c>
      <c r="G12" s="450">
        <v>2.453179782277084</v>
      </c>
      <c r="H12" s="450">
        <v>2.4553156063999366</v>
      </c>
      <c r="I12" s="451">
        <v>2.4582006601274715</v>
      </c>
    </row>
    <row r="13" spans="1:9">
      <c r="B13" s="446" t="s">
        <v>966</v>
      </c>
      <c r="C13" s="447"/>
      <c r="D13" s="447"/>
      <c r="E13" s="447"/>
      <c r="F13" s="452"/>
      <c r="G13" s="452"/>
      <c r="H13" s="447"/>
      <c r="I13" s="448"/>
    </row>
    <row r="14" spans="1:9">
      <c r="B14" s="423" t="s">
        <v>967</v>
      </c>
      <c r="C14" s="447">
        <v>2.5904583065978057</v>
      </c>
      <c r="D14" s="447">
        <v>1.7209619610888054</v>
      </c>
      <c r="E14" s="447">
        <v>0.90956090761426978</v>
      </c>
      <c r="F14" s="447">
        <v>0.13948459786103248</v>
      </c>
      <c r="G14" s="447">
        <v>-0.11542779849555958</v>
      </c>
      <c r="H14" s="447">
        <v>-0.61927728978020347</v>
      </c>
      <c r="I14" s="448">
        <v>-0.67758353425934892</v>
      </c>
    </row>
    <row r="15" spans="1:9" ht="15">
      <c r="B15" s="453" t="s">
        <v>968</v>
      </c>
      <c r="C15" s="454">
        <v>81.253356823097306</v>
      </c>
      <c r="D15" s="454">
        <v>83.064694593155778</v>
      </c>
      <c r="E15" s="454">
        <v>83.283403124018193</v>
      </c>
      <c r="F15" s="454">
        <v>83.646350315456999</v>
      </c>
      <c r="G15" s="454">
        <v>83.678580448703471</v>
      </c>
      <c r="H15" s="454">
        <v>82.995441677321338</v>
      </c>
      <c r="I15" s="455">
        <v>82.179623620139196</v>
      </c>
    </row>
    <row r="16" spans="1:9">
      <c r="B16" s="446" t="s">
        <v>969</v>
      </c>
      <c r="C16" s="447"/>
      <c r="D16" s="447"/>
      <c r="E16" s="447"/>
      <c r="F16" s="447"/>
      <c r="G16" s="447"/>
      <c r="H16" s="447"/>
      <c r="I16" s="448"/>
    </row>
    <row r="17" spans="2:9">
      <c r="B17" s="456" t="s">
        <v>970</v>
      </c>
      <c r="C17" s="447">
        <v>5.1064329931003485</v>
      </c>
      <c r="D17" s="447">
        <v>4.5440103888227803</v>
      </c>
      <c r="E17" s="447">
        <v>3.5417875377654422</v>
      </c>
      <c r="F17" s="447">
        <v>3.0043702273486703</v>
      </c>
      <c r="G17" s="447">
        <v>2.5657879324511517</v>
      </c>
      <c r="H17" s="447">
        <v>1.936862871528884</v>
      </c>
      <c r="I17" s="448">
        <v>1.8510844417656529</v>
      </c>
    </row>
    <row r="18" spans="2:9">
      <c r="B18" s="407" t="s">
        <v>971</v>
      </c>
      <c r="C18" s="447">
        <v>4.9194524268228692</v>
      </c>
      <c r="D18" s="447">
        <v>4.1787900508652225</v>
      </c>
      <c r="E18" s="447">
        <v>3.228825637144261</v>
      </c>
      <c r="F18" s="447">
        <v>2.8416595686424446</v>
      </c>
      <c r="G18" s="447">
        <v>2.5005556056916296</v>
      </c>
      <c r="H18" s="447">
        <v>1.917928700622854</v>
      </c>
      <c r="I18" s="448">
        <v>1.8475965100324487</v>
      </c>
    </row>
    <row r="19" spans="2:9">
      <c r="B19" s="457" t="s">
        <v>972</v>
      </c>
      <c r="C19" s="447">
        <v>2.403477740320326</v>
      </c>
      <c r="D19" s="447">
        <v>1.3557416231312471</v>
      </c>
      <c r="E19" s="447">
        <v>0.59659900699308877</v>
      </c>
      <c r="F19" s="447">
        <v>-2.3226060845193353E-2</v>
      </c>
      <c r="G19" s="447">
        <v>-0.18066012525508171</v>
      </c>
      <c r="H19" s="447">
        <v>-0.63821146068623358</v>
      </c>
      <c r="I19" s="448">
        <v>-0.68107146599255308</v>
      </c>
    </row>
    <row r="20" spans="2:9">
      <c r="B20" s="407" t="s">
        <v>973</v>
      </c>
      <c r="C20" s="447">
        <v>2.2536420098550636</v>
      </c>
      <c r="D20" s="447">
        <v>1.5067549038268333</v>
      </c>
      <c r="E20" s="447">
        <v>0.64214155325333544</v>
      </c>
      <c r="F20" s="447">
        <v>6.6685203724855188E-2</v>
      </c>
      <c r="G20" s="447">
        <v>-0.54457203869520143</v>
      </c>
      <c r="H20" s="447">
        <v>-1.2976717418516175</v>
      </c>
      <c r="I20" s="448">
        <v>-1.3575958486649484</v>
      </c>
    </row>
    <row r="21" spans="2:9">
      <c r="B21" s="458" t="s">
        <v>974</v>
      </c>
      <c r="C21" s="450">
        <v>2.0666614435775839</v>
      </c>
      <c r="D21" s="450">
        <v>1.1415345658692753</v>
      </c>
      <c r="E21" s="450">
        <v>0.32917965263215437</v>
      </c>
      <c r="F21" s="450">
        <v>-9.6025454981370634E-2</v>
      </c>
      <c r="G21" s="450">
        <v>-0.60980436545472361</v>
      </c>
      <c r="H21" s="450">
        <v>-1.3166059127576477</v>
      </c>
      <c r="I21" s="451">
        <v>-1.3610837803981526</v>
      </c>
    </row>
    <row r="22" spans="2:9">
      <c r="B22" s="446" t="s">
        <v>4</v>
      </c>
      <c r="C22" s="447"/>
      <c r="D22" s="447"/>
      <c r="E22" s="447"/>
      <c r="F22" s="447"/>
      <c r="G22" s="447"/>
      <c r="H22" s="447"/>
      <c r="I22" s="448"/>
    </row>
    <row r="23" spans="2:9">
      <c r="B23" s="457" t="s">
        <v>21</v>
      </c>
      <c r="C23" s="447">
        <v>6.1578820411791924</v>
      </c>
      <c r="D23" s="447">
        <v>4.9212195942748895</v>
      </c>
      <c r="E23" s="447">
        <v>4.2459235505093975</v>
      </c>
      <c r="F23" s="447">
        <v>4.3197795912794419</v>
      </c>
      <c r="G23" s="447">
        <v>4.1379396489425524</v>
      </c>
      <c r="H23" s="447">
        <v>2.7559474083005711</v>
      </c>
      <c r="I23" s="448">
        <v>3.1261318227035608</v>
      </c>
    </row>
    <row r="24" spans="2:9">
      <c r="B24" s="458" t="s">
        <v>22</v>
      </c>
      <c r="C24" s="450">
        <v>2.4901445870566601</v>
      </c>
      <c r="D24" s="450">
        <v>3.7056753223845091</v>
      </c>
      <c r="E24" s="450">
        <v>3.524414416579035</v>
      </c>
      <c r="F24" s="450">
        <v>4.3862720741227248</v>
      </c>
      <c r="G24" s="450">
        <v>4.1773454138818176</v>
      </c>
      <c r="H24" s="450">
        <v>2.7478319703439746</v>
      </c>
      <c r="I24" s="451">
        <v>2.6752046117266266</v>
      </c>
    </row>
    <row r="25" spans="2:9">
      <c r="B25" s="446" t="s">
        <v>975</v>
      </c>
      <c r="C25" s="447"/>
      <c r="D25" s="447"/>
      <c r="E25" s="447"/>
      <c r="F25" s="452"/>
      <c r="G25" s="452"/>
      <c r="H25" s="447"/>
      <c r="I25" s="448"/>
    </row>
    <row r="26" spans="2:9" ht="15">
      <c r="B26" s="423" t="s">
        <v>976</v>
      </c>
      <c r="C26" s="447">
        <v>93.621758411797245</v>
      </c>
      <c r="D26" s="447">
        <v>95.026166271324868</v>
      </c>
      <c r="E26" s="447">
        <v>95.296184722131812</v>
      </c>
      <c r="F26" s="447">
        <v>96.346621988668247</v>
      </c>
      <c r="G26" s="447">
        <v>96.987820608587398</v>
      </c>
      <c r="H26" s="447">
        <v>96.835816522474232</v>
      </c>
      <c r="I26" s="448">
        <v>96.065479982917637</v>
      </c>
    </row>
    <row r="27" spans="2:9" ht="15">
      <c r="B27" s="423" t="s">
        <v>977</v>
      </c>
      <c r="C27" s="447">
        <v>88.106637610082544</v>
      </c>
      <c r="D27" s="447">
        <v>91.309569336909362</v>
      </c>
      <c r="E27" s="447">
        <v>92.763842526227293</v>
      </c>
      <c r="F27" s="447">
        <v>94.154286710084918</v>
      </c>
      <c r="G27" s="447">
        <v>95.186975578387944</v>
      </c>
      <c r="H27" s="447">
        <v>95.32084843360164</v>
      </c>
      <c r="I27" s="448">
        <v>95.322635592357955</v>
      </c>
    </row>
    <row r="28" spans="2:9" ht="15">
      <c r="B28" s="459" t="s">
        <v>978</v>
      </c>
      <c r="C28" s="454">
        <v>69.763691174533193</v>
      </c>
      <c r="D28" s="454">
        <v>70.425811374632914</v>
      </c>
      <c r="E28" s="454">
        <v>70.19667956913004</v>
      </c>
      <c r="F28" s="454">
        <v>70.257834299121839</v>
      </c>
      <c r="G28" s="454">
        <v>70.258853996461767</v>
      </c>
      <c r="H28" s="454">
        <v>69.51287509999969</v>
      </c>
      <c r="I28" s="455">
        <v>68.039089902850421</v>
      </c>
    </row>
    <row r="29" spans="2:9" ht="15">
      <c r="B29" s="446" t="s">
        <v>979</v>
      </c>
      <c r="C29" s="447"/>
      <c r="D29" s="447"/>
      <c r="E29" s="447"/>
      <c r="F29" s="447"/>
      <c r="G29" s="447"/>
      <c r="H29" s="447"/>
      <c r="I29" s="448"/>
    </row>
    <row r="30" spans="2:9">
      <c r="B30" s="407" t="s">
        <v>980</v>
      </c>
      <c r="C30" s="447">
        <v>5.7560126435243202</v>
      </c>
      <c r="D30" s="447">
        <v>5.0180923219385578</v>
      </c>
      <c r="E30" s="447">
        <v>4.1339897911551944</v>
      </c>
      <c r="F30" s="447">
        <v>3.6155247640781027</v>
      </c>
      <c r="G30" s="447">
        <v>3.242024534787519</v>
      </c>
      <c r="H30" s="447">
        <v>2.6126396797603637</v>
      </c>
      <c r="I30" s="448">
        <v>2.42478950419452</v>
      </c>
    </row>
    <row r="31" spans="2:9">
      <c r="B31" s="407" t="s">
        <v>981</v>
      </c>
      <c r="C31" s="447">
        <v>5.6788333326033023</v>
      </c>
      <c r="D31" s="447">
        <v>5.0207486368406711</v>
      </c>
      <c r="E31" s="447">
        <v>4.3480052557005502</v>
      </c>
      <c r="F31" s="447">
        <v>3.8214385043925945</v>
      </c>
      <c r="G31" s="447">
        <v>3.3606125112826826</v>
      </c>
      <c r="H31" s="447">
        <v>2.6491292657908758</v>
      </c>
      <c r="I31" s="448">
        <v>2.4382590494525078</v>
      </c>
    </row>
    <row r="32" spans="2:9">
      <c r="B32" s="407" t="s">
        <v>982</v>
      </c>
      <c r="C32" s="447">
        <v>99.794677958367629</v>
      </c>
      <c r="D32" s="447">
        <v>101.39146534210641</v>
      </c>
      <c r="E32" s="447">
        <v>103.11835106811908</v>
      </c>
      <c r="F32" s="447">
        <v>104.13101740898367</v>
      </c>
      <c r="G32" s="447">
        <v>104.88804437558915</v>
      </c>
      <c r="H32" s="447">
        <v>105.02208691809795</v>
      </c>
      <c r="I32" s="448">
        <v>104.80710580097967</v>
      </c>
    </row>
    <row r="33" spans="2:9">
      <c r="B33" s="460"/>
      <c r="C33" s="513" t="s">
        <v>0</v>
      </c>
      <c r="D33" s="513"/>
      <c r="E33" s="513"/>
      <c r="F33" s="513"/>
      <c r="G33" s="513"/>
      <c r="H33" s="513"/>
      <c r="I33" s="514"/>
    </row>
    <row r="34" spans="2:9">
      <c r="B34" s="407" t="s">
        <v>19</v>
      </c>
      <c r="C34" s="447">
        <v>75.81799999999977</v>
      </c>
      <c r="D34" s="447">
        <v>52.367280327974029</v>
      </c>
      <c r="E34" s="447">
        <v>28.787103149663132</v>
      </c>
      <c r="F34" s="447">
        <v>4.5715916318490493</v>
      </c>
      <c r="G34" s="447">
        <v>-3.9111532606844119</v>
      </c>
      <c r="H34" s="447">
        <v>-21.699458764085982</v>
      </c>
      <c r="I34" s="448">
        <v>-24.581841809503953</v>
      </c>
    </row>
    <row r="35" spans="2:9">
      <c r="B35" s="407" t="s">
        <v>10</v>
      </c>
      <c r="C35" s="447">
        <v>73.638000000000005</v>
      </c>
      <c r="D35" s="447">
        <v>85.902751912691926</v>
      </c>
      <c r="E35" s="447">
        <v>83.30852709380801</v>
      </c>
      <c r="F35" s="447">
        <v>93.896296586228232</v>
      </c>
      <c r="G35" s="447">
        <v>90.850261248757874</v>
      </c>
      <c r="H35" s="447">
        <v>89.567079143556469</v>
      </c>
      <c r="I35" s="448">
        <v>91.736757215256205</v>
      </c>
    </row>
    <row r="36" spans="2:9">
      <c r="B36" s="407" t="s">
        <v>18</v>
      </c>
      <c r="C36" s="447">
        <v>149.45599999999976</v>
      </c>
      <c r="D36" s="447">
        <v>138.27003224066596</v>
      </c>
      <c r="E36" s="447">
        <v>112.09563024347113</v>
      </c>
      <c r="F36" s="447">
        <v>98.467888218077277</v>
      </c>
      <c r="G36" s="447">
        <v>86.939107988073459</v>
      </c>
      <c r="H36" s="447">
        <v>67.867620379470495</v>
      </c>
      <c r="I36" s="448">
        <v>67.154915405752249</v>
      </c>
    </row>
    <row r="37" spans="2:9">
      <c r="B37" s="407" t="s">
        <v>971</v>
      </c>
      <c r="C37" s="447">
        <v>143.98341912968857</v>
      </c>
      <c r="D37" s="447">
        <v>127.15671524021312</v>
      </c>
      <c r="E37" s="447">
        <v>102.19055798313467</v>
      </c>
      <c r="F37" s="447">
        <v>93.135065116740179</v>
      </c>
      <c r="G37" s="447">
        <v>84.728777107359733</v>
      </c>
      <c r="H37" s="447">
        <v>67.204167565056167</v>
      </c>
      <c r="I37" s="448">
        <v>67.028377817731183</v>
      </c>
    </row>
    <row r="38" spans="2:9">
      <c r="B38" s="407" t="s">
        <v>972</v>
      </c>
      <c r="C38" s="447">
        <v>70.345419129688565</v>
      </c>
      <c r="D38" s="447">
        <v>41.253963327521205</v>
      </c>
      <c r="E38" s="447">
        <v>18.882030889326668</v>
      </c>
      <c r="F38" s="447">
        <v>-0.7612314694880451</v>
      </c>
      <c r="G38" s="447">
        <v>-6.121484141398132</v>
      </c>
      <c r="H38" s="447">
        <v>-22.362911578500317</v>
      </c>
      <c r="I38" s="448">
        <v>-24.708379397525025</v>
      </c>
    </row>
    <row r="39" spans="2:9">
      <c r="B39" s="407" t="s">
        <v>20</v>
      </c>
      <c r="C39" s="461">
        <v>2438.8879999999999</v>
      </c>
      <c r="D39" s="461">
        <v>2570.1865490826517</v>
      </c>
      <c r="E39" s="461">
        <v>2682.7526631684041</v>
      </c>
      <c r="F39" s="461">
        <v>2787.7383138420082</v>
      </c>
      <c r="G39" s="461">
        <v>2882.3997734650507</v>
      </c>
      <c r="H39" s="461">
        <v>2958.4603086764619</v>
      </c>
      <c r="I39" s="462">
        <v>3033.7004271882865</v>
      </c>
    </row>
    <row r="40" spans="2:9">
      <c r="B40" s="407" t="s">
        <v>24</v>
      </c>
      <c r="C40" s="461">
        <v>2810.136</v>
      </c>
      <c r="D40" s="461">
        <v>2940.2982284795498</v>
      </c>
      <c r="E40" s="461">
        <v>3069.7123768151878</v>
      </c>
      <c r="F40" s="461">
        <v>3211.0088307992901</v>
      </c>
      <c r="G40" s="461">
        <v>3340.8510356175957</v>
      </c>
      <c r="H40" s="461">
        <v>3451.8151099652364</v>
      </c>
      <c r="I40" s="462">
        <v>3546.3035096063072</v>
      </c>
    </row>
    <row r="41" spans="2:9">
      <c r="B41" s="407" t="s">
        <v>983</v>
      </c>
      <c r="C41" s="461">
        <v>2644.5949999999998</v>
      </c>
      <c r="D41" s="461">
        <v>2825.2993412148317</v>
      </c>
      <c r="E41" s="461">
        <v>2988.1397283008123</v>
      </c>
      <c r="F41" s="461">
        <v>3137.9433948317287</v>
      </c>
      <c r="G41" s="461">
        <v>3278.8189686387036</v>
      </c>
      <c r="H41" s="461">
        <v>3397.8124699495775</v>
      </c>
      <c r="I41" s="462">
        <v>3518.8810507813309</v>
      </c>
    </row>
    <row r="42" spans="2:9">
      <c r="B42" s="407" t="s">
        <v>984</v>
      </c>
      <c r="C42" s="447">
        <v>83.155000000000001</v>
      </c>
      <c r="D42" s="447">
        <v>92.420874491514724</v>
      </c>
      <c r="E42" s="447">
        <v>91.772202779251174</v>
      </c>
      <c r="F42" s="447">
        <v>96.2822883454633</v>
      </c>
      <c r="G42" s="447">
        <v>105.39137626816402</v>
      </c>
      <c r="H42" s="447">
        <v>113.33800160663135</v>
      </c>
      <c r="I42" s="448">
        <v>116.40671198253793</v>
      </c>
    </row>
    <row r="43" spans="2:9">
      <c r="B43" s="458" t="s">
        <v>985</v>
      </c>
      <c r="C43" s="463">
        <v>1095.8030000000003</v>
      </c>
      <c r="D43" s="463">
        <v>1189.0481958185567</v>
      </c>
      <c r="E43" s="463">
        <v>1260.040162225692</v>
      </c>
      <c r="F43" s="463">
        <v>1324.675023283311</v>
      </c>
      <c r="G43" s="464">
        <v>1374.1349814005537</v>
      </c>
      <c r="H43" s="463">
        <v>1434.6823266783433</v>
      </c>
      <c r="I43" s="465">
        <v>1488.928916855343</v>
      </c>
    </row>
    <row r="44" spans="2:9">
      <c r="B44" s="466" t="s">
        <v>986</v>
      </c>
      <c r="C44" s="467">
        <v>-0.38031648351970659</v>
      </c>
      <c r="D44" s="467">
        <v>-0.57831408250723371</v>
      </c>
      <c r="E44" s="467">
        <v>-0.39459816823946881</v>
      </c>
      <c r="F44" s="467">
        <v>-0.16758205011666405</v>
      </c>
      <c r="G44" s="468">
        <v>-6.3431833472378685E-2</v>
      </c>
      <c r="H44" s="467">
        <v>-1.2495608423108706E-2</v>
      </c>
      <c r="I44" s="469">
        <v>-1.977620097164845E-3</v>
      </c>
    </row>
    <row r="45" spans="2:9">
      <c r="B45" s="434" t="s">
        <v>987</v>
      </c>
      <c r="C45" s="470"/>
      <c r="D45" s="470"/>
      <c r="E45" s="470"/>
      <c r="F45" s="470"/>
      <c r="G45" s="470"/>
      <c r="H45" s="470"/>
      <c r="I45" s="471"/>
    </row>
    <row r="46" spans="2:9" ht="13.5" thickBot="1">
      <c r="B46" s="440" t="s">
        <v>988</v>
      </c>
      <c r="C46" s="472"/>
      <c r="D46" s="472"/>
      <c r="E46" s="472"/>
      <c r="F46" s="472"/>
      <c r="G46" s="472"/>
      <c r="H46" s="472"/>
      <c r="I46" s="472"/>
    </row>
    <row r="48" spans="2:9">
      <c r="C48" s="473"/>
      <c r="D48" s="473"/>
      <c r="E48" s="473"/>
      <c r="F48" s="473"/>
      <c r="G48" s="473"/>
      <c r="H48" s="473"/>
      <c r="I48" s="473"/>
    </row>
  </sheetData>
  <mergeCells count="3">
    <mergeCell ref="C3:I3"/>
    <mergeCell ref="D4:I4"/>
    <mergeCell ref="C33:I33"/>
  </mergeCells>
  <hyperlinks>
    <hyperlink ref="A1" location="Contents!A1" display="Contents!A1" xr:uid="{E2076DB1-1B64-4C5F-B2CC-F97533EFAFD9}"/>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7A3E5-809B-46B5-9FF3-96A7E14945A6}">
  <sheetPr>
    <pageSetUpPr fitToPage="1"/>
  </sheetPr>
  <dimension ref="A1:BP117"/>
  <sheetViews>
    <sheetView showGridLines="0" zoomScale="50" zoomScaleNormal="50" zoomScaleSheetLayoutView="44" zoomScalePageLayoutView="40" workbookViewId="0">
      <pane xSplit="7" ySplit="2" topLeftCell="J3" activePane="bottomRight" state="frozen"/>
      <selection pane="topRight" activeCell="H1" sqref="H1"/>
      <selection pane="bottomLeft" activeCell="A3" sqref="A3"/>
      <selection pane="bottomRight" activeCell="G15" sqref="G15"/>
    </sheetView>
  </sheetViews>
  <sheetFormatPr defaultColWidth="9" defaultRowHeight="23.25"/>
  <cols>
    <col min="1" max="1" width="4.85546875" style="281" customWidth="1"/>
    <col min="2" max="3" width="6.140625" style="342" customWidth="1"/>
    <col min="4" max="4" width="8.42578125" style="343" customWidth="1"/>
    <col min="5" max="5" width="2.140625" style="284" customWidth="1"/>
    <col min="6" max="6" width="10.85546875" style="349" customWidth="1"/>
    <col min="7" max="7" width="216.42578125" style="354" customWidth="1"/>
    <col min="8" max="14" width="22.5703125" style="349" customWidth="1"/>
    <col min="15" max="15" width="1.42578125" style="349" customWidth="1"/>
    <col min="16" max="16" width="2.140625" style="284" customWidth="1"/>
    <col min="17" max="17" width="103" style="281" customWidth="1"/>
    <col min="18" max="18" width="15" style="281" customWidth="1"/>
    <col min="19" max="19" width="9" style="281"/>
    <col min="20" max="20" width="9" style="281" customWidth="1"/>
    <col min="21" max="16384" width="9" style="281"/>
  </cols>
  <sheetData>
    <row r="1" spans="1:68" ht="41.1" customHeight="1" thickBot="1">
      <c r="B1" s="282"/>
      <c r="C1" s="282"/>
      <c r="D1" s="283"/>
      <c r="F1" s="517" t="s">
        <v>753</v>
      </c>
      <c r="G1" s="517"/>
      <c r="H1" s="517"/>
      <c r="I1" s="517"/>
      <c r="J1" s="517"/>
      <c r="K1" s="517"/>
      <c r="L1" s="517"/>
      <c r="M1" s="285"/>
      <c r="N1" s="285"/>
      <c r="O1" s="286"/>
    </row>
    <row r="2" spans="1:68" s="287" customFormat="1" ht="28.5" customHeight="1" thickBot="1">
      <c r="B2" s="282"/>
      <c r="C2" s="282"/>
      <c r="D2" s="288"/>
      <c r="E2" s="289"/>
      <c r="F2" s="290"/>
      <c r="G2" s="291"/>
      <c r="H2" s="292" t="s">
        <v>754</v>
      </c>
      <c r="I2" s="292" t="s">
        <v>142</v>
      </c>
      <c r="J2" s="292" t="s">
        <v>143</v>
      </c>
      <c r="K2" s="292" t="s">
        <v>144</v>
      </c>
      <c r="L2" s="292" t="s">
        <v>145</v>
      </c>
      <c r="M2" s="292" t="s">
        <v>146</v>
      </c>
      <c r="N2" s="292" t="s">
        <v>752</v>
      </c>
      <c r="O2" s="293"/>
      <c r="P2" s="289"/>
      <c r="Q2" s="294"/>
    </row>
    <row r="3" spans="1:68" s="303" customFormat="1" ht="28.5" customHeight="1">
      <c r="A3" s="282"/>
      <c r="B3" s="282"/>
      <c r="C3" s="295"/>
      <c r="D3" s="296"/>
      <c r="E3" s="297"/>
      <c r="F3" s="298" t="s">
        <v>755</v>
      </c>
      <c r="G3" s="299"/>
      <c r="H3" s="300"/>
      <c r="I3" s="301"/>
      <c r="J3" s="301"/>
      <c r="K3" s="301"/>
      <c r="L3" s="301"/>
      <c r="M3" s="301"/>
      <c r="N3" s="301"/>
      <c r="O3" s="302"/>
      <c r="P3" s="297"/>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4"/>
      <c r="BP3" s="304"/>
    </row>
    <row r="4" spans="1:68" s="303" customFormat="1" ht="54.6" customHeight="1">
      <c r="A4" s="282"/>
      <c r="B4" s="282"/>
      <c r="C4" s="282"/>
      <c r="D4" s="283"/>
      <c r="E4" s="297"/>
      <c r="F4" s="305">
        <v>1</v>
      </c>
      <c r="G4" s="306" t="s">
        <v>756</v>
      </c>
      <c r="H4" s="300" t="s">
        <v>757</v>
      </c>
      <c r="I4" s="301">
        <v>0</v>
      </c>
      <c r="J4" s="301">
        <v>-2580</v>
      </c>
      <c r="K4" s="301">
        <v>-2100</v>
      </c>
      <c r="L4" s="301">
        <v>-2195</v>
      </c>
      <c r="M4" s="301">
        <v>0</v>
      </c>
      <c r="N4" s="301">
        <v>0</v>
      </c>
      <c r="O4" s="302"/>
      <c r="P4" s="297"/>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4"/>
      <c r="BP4" s="304"/>
    </row>
    <row r="5" spans="1:68" s="303" customFormat="1" ht="53.45" customHeight="1">
      <c r="A5" s="282"/>
      <c r="B5" s="282"/>
      <c r="C5" s="282"/>
      <c r="D5" s="283"/>
      <c r="E5" s="297"/>
      <c r="F5" s="305">
        <v>2</v>
      </c>
      <c r="G5" s="306" t="s">
        <v>758</v>
      </c>
      <c r="H5" s="300" t="s">
        <v>757</v>
      </c>
      <c r="I5" s="301">
        <v>0</v>
      </c>
      <c r="J5" s="301">
        <v>-355</v>
      </c>
      <c r="K5" s="301">
        <v>-535</v>
      </c>
      <c r="L5" s="301">
        <v>-535</v>
      </c>
      <c r="M5" s="301">
        <v>-355</v>
      </c>
      <c r="N5" s="301">
        <v>0</v>
      </c>
      <c r="O5" s="302"/>
      <c r="P5" s="297"/>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row>
    <row r="6" spans="1:68" s="303" customFormat="1" ht="54.6" customHeight="1">
      <c r="A6" s="282"/>
      <c r="B6" s="282"/>
      <c r="C6" s="282"/>
      <c r="D6" s="283"/>
      <c r="E6" s="297"/>
      <c r="F6" s="305">
        <v>3</v>
      </c>
      <c r="G6" s="306" t="s">
        <v>759</v>
      </c>
      <c r="H6" s="300" t="s">
        <v>169</v>
      </c>
      <c r="I6" s="301">
        <v>-45</v>
      </c>
      <c r="J6" s="301">
        <v>-2370</v>
      </c>
      <c r="K6" s="301">
        <v>-855</v>
      </c>
      <c r="L6" s="301">
        <v>-855</v>
      </c>
      <c r="M6" s="301">
        <v>-850</v>
      </c>
      <c r="N6" s="301">
        <v>-840</v>
      </c>
      <c r="O6" s="302"/>
      <c r="P6" s="297"/>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4"/>
      <c r="BK6" s="304"/>
      <c r="BL6" s="304"/>
      <c r="BM6" s="304"/>
      <c r="BN6" s="304"/>
      <c r="BO6" s="304"/>
      <c r="BP6" s="304"/>
    </row>
    <row r="7" spans="1:68" s="303" customFormat="1" ht="54.6" customHeight="1">
      <c r="A7" s="282"/>
      <c r="B7" s="282"/>
      <c r="C7" s="282"/>
      <c r="D7" s="283"/>
      <c r="E7" s="297"/>
      <c r="F7" s="305">
        <v>4</v>
      </c>
      <c r="G7" s="306" t="s">
        <v>760</v>
      </c>
      <c r="H7" s="300" t="s">
        <v>757</v>
      </c>
      <c r="I7" s="301">
        <v>0</v>
      </c>
      <c r="J7" s="301">
        <v>-145</v>
      </c>
      <c r="K7" s="301">
        <v>-150</v>
      </c>
      <c r="L7" s="301">
        <v>-155</v>
      </c>
      <c r="M7" s="301">
        <v>-160</v>
      </c>
      <c r="N7" s="301">
        <v>-165</v>
      </c>
      <c r="O7" s="302"/>
      <c r="P7" s="297"/>
      <c r="R7" s="304"/>
      <c r="S7" s="304"/>
      <c r="T7" s="304"/>
      <c r="U7" s="304"/>
      <c r="V7" s="304"/>
      <c r="W7" s="304"/>
      <c r="X7" s="304"/>
      <c r="Y7" s="304"/>
      <c r="Z7" s="304"/>
      <c r="AA7" s="304"/>
      <c r="AB7" s="304"/>
      <c r="AC7" s="304"/>
      <c r="AD7" s="304"/>
      <c r="AE7" s="304"/>
      <c r="AF7" s="304"/>
      <c r="AG7" s="304"/>
      <c r="AH7" s="304"/>
      <c r="AI7" s="304"/>
      <c r="AJ7" s="304"/>
      <c r="AK7" s="304"/>
      <c r="AL7" s="304"/>
      <c r="AM7" s="304"/>
      <c r="AN7" s="304"/>
      <c r="AO7" s="304"/>
      <c r="AP7" s="304"/>
      <c r="AQ7" s="304"/>
      <c r="AR7" s="304"/>
      <c r="AS7" s="304"/>
      <c r="AT7" s="304"/>
      <c r="AU7" s="304"/>
      <c r="AV7" s="304"/>
      <c r="AW7" s="304"/>
      <c r="AX7" s="304"/>
      <c r="AY7" s="304"/>
      <c r="AZ7" s="304"/>
      <c r="BA7" s="304"/>
      <c r="BB7" s="304"/>
      <c r="BC7" s="304"/>
      <c r="BD7" s="304"/>
      <c r="BE7" s="304"/>
      <c r="BF7" s="304"/>
      <c r="BG7" s="304"/>
      <c r="BH7" s="304"/>
      <c r="BI7" s="304"/>
      <c r="BJ7" s="304"/>
      <c r="BK7" s="304"/>
      <c r="BL7" s="304"/>
      <c r="BM7" s="304"/>
      <c r="BN7" s="304"/>
      <c r="BO7" s="304"/>
      <c r="BP7" s="304"/>
    </row>
    <row r="8" spans="1:68" s="303" customFormat="1" ht="54.6" customHeight="1">
      <c r="A8" s="282"/>
      <c r="B8" s="282"/>
      <c r="C8" s="282"/>
      <c r="D8" s="283"/>
      <c r="E8" s="297"/>
      <c r="F8" s="305">
        <v>5</v>
      </c>
      <c r="G8" s="306" t="s">
        <v>761</v>
      </c>
      <c r="H8" s="300" t="s">
        <v>757</v>
      </c>
      <c r="I8" s="301">
        <v>0</v>
      </c>
      <c r="J8" s="301">
        <v>-15</v>
      </c>
      <c r="K8" s="301">
        <v>-15</v>
      </c>
      <c r="L8" s="301">
        <v>-15</v>
      </c>
      <c r="M8" s="301">
        <v>-15</v>
      </c>
      <c r="N8" s="301">
        <v>-15</v>
      </c>
      <c r="O8" s="302"/>
      <c r="P8" s="297"/>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4"/>
      <c r="BD8" s="304"/>
      <c r="BE8" s="304"/>
      <c r="BF8" s="304"/>
      <c r="BG8" s="304"/>
      <c r="BH8" s="304"/>
      <c r="BI8" s="304"/>
      <c r="BJ8" s="304"/>
      <c r="BK8" s="304"/>
      <c r="BL8" s="304"/>
      <c r="BM8" s="304"/>
      <c r="BN8" s="304"/>
      <c r="BO8" s="304"/>
      <c r="BP8" s="304"/>
    </row>
    <row r="9" spans="1:68" s="316" customFormat="1" ht="5.0999999999999996" customHeight="1" thickBot="1">
      <c r="A9" s="282"/>
      <c r="B9" s="282"/>
      <c r="C9" s="307"/>
      <c r="D9" s="308"/>
      <c r="E9" s="309"/>
      <c r="F9" s="310" t="s">
        <v>623</v>
      </c>
      <c r="G9" s="311"/>
      <c r="H9" s="312"/>
      <c r="I9" s="313"/>
      <c r="J9" s="313"/>
      <c r="K9" s="313"/>
      <c r="L9" s="313"/>
      <c r="M9" s="313"/>
      <c r="N9" s="312"/>
      <c r="O9" s="314"/>
      <c r="P9" s="309"/>
      <c r="Q9" s="315"/>
      <c r="R9" s="304"/>
      <c r="S9" s="304"/>
      <c r="T9" s="304"/>
      <c r="U9" s="304"/>
      <c r="V9" s="304"/>
      <c r="W9" s="304"/>
      <c r="X9" s="304"/>
      <c r="Y9" s="304"/>
      <c r="Z9" s="304"/>
      <c r="AA9" s="304"/>
      <c r="AB9" s="304"/>
      <c r="AC9" s="304"/>
      <c r="AD9" s="304"/>
      <c r="AE9" s="304"/>
      <c r="AF9" s="304"/>
      <c r="AG9" s="304"/>
      <c r="AH9" s="304"/>
      <c r="AI9" s="304"/>
      <c r="AJ9" s="304"/>
      <c r="AK9" s="304"/>
      <c r="AL9" s="304"/>
      <c r="AM9" s="304"/>
      <c r="AN9" s="304"/>
      <c r="AO9" s="304"/>
      <c r="AP9" s="304"/>
      <c r="AQ9" s="304"/>
      <c r="AR9" s="304"/>
      <c r="AS9" s="304"/>
      <c r="AT9" s="304"/>
      <c r="AU9" s="304"/>
      <c r="AV9" s="304"/>
      <c r="AW9" s="304"/>
      <c r="AX9" s="304"/>
      <c r="AY9" s="304"/>
      <c r="AZ9" s="304"/>
      <c r="BA9" s="304"/>
      <c r="BB9" s="304"/>
      <c r="BC9" s="304"/>
      <c r="BD9" s="304"/>
      <c r="BE9" s="304"/>
      <c r="BF9" s="304"/>
      <c r="BG9" s="304"/>
      <c r="BH9" s="304"/>
      <c r="BI9" s="304"/>
      <c r="BJ9" s="304"/>
      <c r="BK9" s="304"/>
      <c r="BL9" s="304"/>
      <c r="BM9" s="304"/>
      <c r="BN9" s="304"/>
      <c r="BO9" s="304"/>
      <c r="BP9" s="304"/>
    </row>
    <row r="10" spans="1:68" s="303" customFormat="1" ht="28.5" customHeight="1">
      <c r="A10" s="282"/>
      <c r="B10" s="282"/>
      <c r="C10" s="295"/>
      <c r="D10" s="296"/>
      <c r="E10" s="297"/>
      <c r="F10" s="298" t="s">
        <v>762</v>
      </c>
      <c r="G10" s="299"/>
      <c r="H10" s="300"/>
      <c r="I10" s="301"/>
      <c r="J10" s="301"/>
      <c r="K10" s="301"/>
      <c r="L10" s="301"/>
      <c r="M10" s="301"/>
      <c r="N10" s="301"/>
      <c r="O10" s="302"/>
      <c r="P10" s="297"/>
      <c r="S10" s="304"/>
      <c r="T10" s="304"/>
      <c r="U10" s="304"/>
      <c r="V10" s="304"/>
      <c r="W10" s="304"/>
      <c r="X10" s="304"/>
      <c r="Y10" s="304"/>
      <c r="Z10" s="304"/>
      <c r="AA10" s="304"/>
      <c r="AB10" s="304"/>
      <c r="AC10" s="304"/>
      <c r="AD10" s="304"/>
      <c r="AE10" s="304"/>
      <c r="AF10" s="304"/>
      <c r="AG10" s="304"/>
      <c r="AH10" s="304"/>
      <c r="AI10" s="304"/>
      <c r="AJ10" s="304"/>
      <c r="AK10" s="304"/>
      <c r="AL10" s="304"/>
      <c r="AM10" s="304"/>
      <c r="AN10" s="304"/>
      <c r="AO10" s="304"/>
      <c r="AP10" s="304"/>
      <c r="AQ10" s="304"/>
      <c r="AR10" s="304"/>
      <c r="AS10" s="304"/>
      <c r="AT10" s="304"/>
      <c r="AU10" s="304"/>
      <c r="AV10" s="304"/>
      <c r="AW10" s="304"/>
      <c r="AX10" s="304"/>
      <c r="AY10" s="304"/>
      <c r="AZ10" s="304"/>
      <c r="BA10" s="304"/>
      <c r="BB10" s="304"/>
      <c r="BC10" s="304"/>
      <c r="BD10" s="304"/>
      <c r="BE10" s="304"/>
      <c r="BF10" s="304"/>
      <c r="BG10" s="304"/>
      <c r="BH10" s="304"/>
      <c r="BI10" s="304"/>
      <c r="BJ10" s="304"/>
      <c r="BK10" s="304"/>
      <c r="BL10" s="304"/>
      <c r="BM10" s="304"/>
      <c r="BN10" s="304"/>
      <c r="BO10" s="304"/>
      <c r="BP10" s="304"/>
    </row>
    <row r="11" spans="1:68" s="303" customFormat="1" ht="50.1" customHeight="1">
      <c r="A11" s="282"/>
      <c r="B11" s="282"/>
      <c r="C11" s="282"/>
      <c r="D11" s="283"/>
      <c r="E11" s="297"/>
      <c r="F11" s="305">
        <v>6</v>
      </c>
      <c r="G11" s="306" t="s">
        <v>763</v>
      </c>
      <c r="H11" s="300" t="s">
        <v>757</v>
      </c>
      <c r="I11" s="301">
        <v>0</v>
      </c>
      <c r="J11" s="301">
        <v>-2365</v>
      </c>
      <c r="K11" s="301">
        <v>-2590</v>
      </c>
      <c r="L11" s="301">
        <v>-2815</v>
      </c>
      <c r="M11" s="301">
        <v>-3095</v>
      </c>
      <c r="N11" s="301">
        <v>-3235</v>
      </c>
      <c r="O11" s="302"/>
      <c r="P11" s="297"/>
      <c r="R11" s="304"/>
      <c r="S11" s="304"/>
      <c r="T11" s="304"/>
      <c r="U11" s="304"/>
      <c r="V11" s="304"/>
      <c r="W11" s="304"/>
      <c r="X11" s="304"/>
      <c r="Y11" s="304"/>
      <c r="Z11" s="304"/>
      <c r="AA11" s="304"/>
      <c r="AB11" s="304"/>
      <c r="AC11" s="304"/>
      <c r="AD11" s="304"/>
      <c r="AE11" s="304"/>
      <c r="AF11" s="304"/>
      <c r="AG11" s="304"/>
      <c r="AH11" s="304"/>
      <c r="AI11" s="304"/>
      <c r="AJ11" s="304"/>
      <c r="AK11" s="304"/>
      <c r="AL11" s="304"/>
      <c r="AM11" s="304"/>
      <c r="AN11" s="304"/>
      <c r="AO11" s="304"/>
      <c r="AP11" s="304"/>
      <c r="AQ11" s="304"/>
      <c r="AR11" s="304"/>
      <c r="AS11" s="304"/>
      <c r="AT11" s="304"/>
      <c r="AU11" s="304"/>
      <c r="AV11" s="304"/>
      <c r="AW11" s="304"/>
      <c r="AX11" s="304"/>
      <c r="AY11" s="304"/>
      <c r="AZ11" s="304"/>
      <c r="BA11" s="304"/>
      <c r="BB11" s="304"/>
      <c r="BC11" s="304"/>
      <c r="BD11" s="304"/>
      <c r="BE11" s="304"/>
      <c r="BF11" s="304"/>
      <c r="BG11" s="304"/>
      <c r="BH11" s="304"/>
      <c r="BI11" s="304"/>
      <c r="BJ11" s="304"/>
      <c r="BK11" s="304"/>
      <c r="BL11" s="304"/>
      <c r="BM11" s="304"/>
      <c r="BN11" s="304"/>
      <c r="BO11" s="304"/>
      <c r="BP11" s="304"/>
    </row>
    <row r="12" spans="1:68" s="303" customFormat="1" ht="45" customHeight="1">
      <c r="A12" s="282"/>
      <c r="B12" s="282"/>
      <c r="C12" s="282"/>
      <c r="D12" s="283"/>
      <c r="E12" s="297"/>
      <c r="F12" s="305">
        <v>7</v>
      </c>
      <c r="G12" s="306" t="s">
        <v>764</v>
      </c>
      <c r="H12" s="300" t="s">
        <v>757</v>
      </c>
      <c r="I12" s="301">
        <v>0</v>
      </c>
      <c r="J12" s="301">
        <v>-145</v>
      </c>
      <c r="K12" s="301">
        <v>0</v>
      </c>
      <c r="L12" s="301">
        <v>0</v>
      </c>
      <c r="M12" s="301">
        <v>0</v>
      </c>
      <c r="N12" s="301">
        <v>0</v>
      </c>
      <c r="O12" s="302"/>
      <c r="P12" s="297"/>
      <c r="R12" s="304"/>
      <c r="S12" s="304"/>
      <c r="T12" s="304"/>
      <c r="U12" s="304"/>
      <c r="V12" s="304"/>
      <c r="W12" s="304"/>
      <c r="X12" s="304"/>
      <c r="Y12" s="304"/>
      <c r="Z12" s="304"/>
      <c r="AA12" s="304"/>
      <c r="AB12" s="304"/>
      <c r="AC12" s="304"/>
      <c r="AD12" s="304"/>
      <c r="AE12" s="304"/>
      <c r="AF12" s="304"/>
      <c r="AG12" s="304"/>
      <c r="AH12" s="304"/>
      <c r="AI12" s="304"/>
      <c r="AJ12" s="304"/>
      <c r="AK12" s="304"/>
      <c r="AL12" s="304"/>
      <c r="AM12" s="304"/>
      <c r="AN12" s="304"/>
      <c r="AO12" s="304"/>
      <c r="AP12" s="304"/>
      <c r="AQ12" s="304"/>
      <c r="AR12" s="304"/>
      <c r="AS12" s="304"/>
      <c r="AT12" s="304"/>
      <c r="AU12" s="304"/>
      <c r="AV12" s="304"/>
      <c r="AW12" s="304"/>
      <c r="AX12" s="304"/>
      <c r="AY12" s="304"/>
      <c r="AZ12" s="304"/>
      <c r="BA12" s="304"/>
      <c r="BB12" s="304"/>
      <c r="BC12" s="304"/>
      <c r="BD12" s="304"/>
      <c r="BE12" s="304"/>
      <c r="BF12" s="304"/>
      <c r="BG12" s="304"/>
      <c r="BH12" s="304"/>
      <c r="BI12" s="304"/>
      <c r="BJ12" s="304"/>
      <c r="BK12" s="304"/>
      <c r="BL12" s="304"/>
      <c r="BM12" s="304"/>
      <c r="BN12" s="304"/>
      <c r="BO12" s="304"/>
      <c r="BP12" s="304"/>
    </row>
    <row r="13" spans="1:68" s="303" customFormat="1" ht="67.5" customHeight="1">
      <c r="A13" s="282"/>
      <c r="B13" s="282"/>
      <c r="C13" s="282"/>
      <c r="D13" s="283"/>
      <c r="E13" s="297"/>
      <c r="F13" s="305">
        <v>8</v>
      </c>
      <c r="G13" s="306" t="s">
        <v>765</v>
      </c>
      <c r="H13" s="300" t="s">
        <v>757</v>
      </c>
      <c r="I13" s="301">
        <v>-15</v>
      </c>
      <c r="J13" s="301">
        <v>-25</v>
      </c>
      <c r="K13" s="301">
        <v>-25</v>
      </c>
      <c r="L13" s="301">
        <v>-25</v>
      </c>
      <c r="M13" s="301">
        <v>-25</v>
      </c>
      <c r="N13" s="301">
        <v>-25</v>
      </c>
      <c r="O13" s="302"/>
      <c r="P13" s="297"/>
      <c r="R13" s="304"/>
      <c r="S13" s="304"/>
      <c r="T13" s="304"/>
      <c r="U13" s="304"/>
      <c r="V13" s="304"/>
      <c r="W13" s="304"/>
      <c r="X13" s="304"/>
      <c r="Y13" s="304"/>
      <c r="Z13" s="304"/>
      <c r="AA13" s="304"/>
      <c r="AB13" s="304"/>
      <c r="AC13" s="304"/>
      <c r="AD13" s="304"/>
      <c r="AE13" s="304"/>
      <c r="AF13" s="304"/>
      <c r="AG13" s="304"/>
      <c r="AH13" s="304"/>
      <c r="AI13" s="304"/>
      <c r="AJ13" s="304"/>
      <c r="AK13" s="304"/>
      <c r="AL13" s="304"/>
      <c r="AM13" s="304"/>
      <c r="AN13" s="304"/>
      <c r="AO13" s="304"/>
      <c r="AP13" s="304"/>
      <c r="AQ13" s="304"/>
      <c r="AR13" s="304"/>
      <c r="AS13" s="304"/>
      <c r="AT13" s="304"/>
      <c r="AU13" s="304"/>
      <c r="AV13" s="304"/>
      <c r="AW13" s="304"/>
      <c r="AX13" s="304"/>
      <c r="AY13" s="304"/>
      <c r="AZ13" s="304"/>
      <c r="BA13" s="304"/>
      <c r="BB13" s="304"/>
      <c r="BC13" s="304"/>
      <c r="BD13" s="304"/>
      <c r="BE13" s="304"/>
      <c r="BF13" s="304"/>
      <c r="BG13" s="304"/>
      <c r="BH13" s="304"/>
      <c r="BI13" s="304"/>
      <c r="BJ13" s="304"/>
      <c r="BK13" s="304"/>
      <c r="BL13" s="304"/>
      <c r="BM13" s="304"/>
      <c r="BN13" s="304"/>
      <c r="BO13" s="304"/>
      <c r="BP13" s="304"/>
    </row>
    <row r="14" spans="1:68" s="303" customFormat="1" ht="45" customHeight="1">
      <c r="A14" s="282"/>
      <c r="B14" s="282"/>
      <c r="C14" s="282"/>
      <c r="D14" s="283"/>
      <c r="E14" s="297"/>
      <c r="F14" s="305">
        <v>9</v>
      </c>
      <c r="G14" s="306" t="s">
        <v>766</v>
      </c>
      <c r="H14" s="300" t="s">
        <v>757</v>
      </c>
      <c r="I14" s="301">
        <v>0</v>
      </c>
      <c r="J14" s="301">
        <v>-20</v>
      </c>
      <c r="K14" s="301">
        <v>-35</v>
      </c>
      <c r="L14" s="301">
        <v>-20</v>
      </c>
      <c r="M14" s="301">
        <v>0</v>
      </c>
      <c r="N14" s="301">
        <v>0</v>
      </c>
      <c r="O14" s="302"/>
      <c r="P14" s="297"/>
      <c r="R14" s="304"/>
      <c r="S14" s="304"/>
      <c r="T14" s="304"/>
      <c r="U14" s="304"/>
      <c r="V14" s="304"/>
      <c r="W14" s="304"/>
      <c r="X14" s="304"/>
      <c r="Y14" s="304"/>
      <c r="Z14" s="304"/>
      <c r="AA14" s="304"/>
      <c r="AB14" s="304"/>
      <c r="AC14" s="304"/>
      <c r="AD14" s="304"/>
      <c r="AE14" s="304"/>
      <c r="AF14" s="304"/>
      <c r="AG14" s="304"/>
      <c r="AH14" s="304"/>
      <c r="AI14" s="304"/>
      <c r="AJ14" s="304"/>
      <c r="AK14" s="304"/>
      <c r="AL14" s="304"/>
      <c r="AM14" s="304"/>
      <c r="AN14" s="304"/>
      <c r="AO14" s="304"/>
      <c r="AP14" s="304"/>
      <c r="AQ14" s="304"/>
      <c r="AR14" s="304"/>
      <c r="AS14" s="304"/>
      <c r="AT14" s="304"/>
      <c r="AU14" s="304"/>
      <c r="AV14" s="304"/>
      <c r="AW14" s="304"/>
      <c r="AX14" s="304"/>
      <c r="AY14" s="304"/>
      <c r="AZ14" s="304"/>
      <c r="BA14" s="304"/>
      <c r="BB14" s="304"/>
      <c r="BC14" s="304"/>
      <c r="BD14" s="304"/>
      <c r="BE14" s="304"/>
      <c r="BF14" s="304"/>
      <c r="BG14" s="304"/>
      <c r="BH14" s="304"/>
      <c r="BI14" s="304"/>
      <c r="BJ14" s="304"/>
      <c r="BK14" s="304"/>
      <c r="BL14" s="304"/>
      <c r="BM14" s="304"/>
      <c r="BN14" s="304"/>
      <c r="BO14" s="304"/>
      <c r="BP14" s="304"/>
    </row>
    <row r="15" spans="1:68" s="303" customFormat="1" ht="45" customHeight="1">
      <c r="A15" s="282"/>
      <c r="B15" s="282"/>
      <c r="C15" s="282"/>
      <c r="D15" s="283"/>
      <c r="E15" s="297"/>
      <c r="F15" s="305">
        <v>10</v>
      </c>
      <c r="G15" s="306" t="s">
        <v>767</v>
      </c>
      <c r="H15" s="300" t="s">
        <v>757</v>
      </c>
      <c r="I15" s="301">
        <v>0</v>
      </c>
      <c r="J15" s="301">
        <v>-10</v>
      </c>
      <c r="K15" s="301">
        <v>-20</v>
      </c>
      <c r="L15" s="301">
        <v>-25</v>
      </c>
      <c r="M15" s="301">
        <v>-25</v>
      </c>
      <c r="N15" s="301">
        <v>-25</v>
      </c>
      <c r="O15" s="302"/>
      <c r="P15" s="297"/>
      <c r="R15" s="304"/>
      <c r="S15" s="304"/>
      <c r="T15" s="304"/>
      <c r="U15" s="304"/>
      <c r="V15" s="304"/>
      <c r="W15" s="304"/>
      <c r="X15" s="304"/>
      <c r="Y15" s="304"/>
      <c r="Z15" s="304"/>
      <c r="AA15" s="304"/>
      <c r="AB15" s="304"/>
      <c r="AC15" s="304"/>
      <c r="AD15" s="304"/>
      <c r="AE15" s="304"/>
      <c r="AF15" s="304"/>
      <c r="AG15" s="304"/>
      <c r="AH15" s="304"/>
      <c r="AI15" s="304"/>
      <c r="AJ15" s="304"/>
      <c r="AK15" s="304"/>
      <c r="AL15" s="304"/>
      <c r="AM15" s="304"/>
      <c r="AN15" s="304"/>
      <c r="AO15" s="304"/>
      <c r="AP15" s="304"/>
      <c r="AQ15" s="304"/>
      <c r="AR15" s="304"/>
      <c r="AS15" s="304"/>
      <c r="AT15" s="304"/>
      <c r="AU15" s="304"/>
      <c r="AV15" s="304"/>
      <c r="AW15" s="304"/>
      <c r="AX15" s="304"/>
      <c r="AY15" s="304"/>
      <c r="AZ15" s="304"/>
      <c r="BA15" s="304"/>
      <c r="BB15" s="304"/>
      <c r="BC15" s="304"/>
      <c r="BD15" s="304"/>
      <c r="BE15" s="304"/>
      <c r="BF15" s="304"/>
      <c r="BG15" s="304"/>
      <c r="BH15" s="304"/>
      <c r="BI15" s="304"/>
      <c r="BJ15" s="304"/>
      <c r="BK15" s="304"/>
      <c r="BL15" s="304"/>
      <c r="BM15" s="304"/>
      <c r="BN15" s="304"/>
      <c r="BO15" s="304"/>
      <c r="BP15" s="304"/>
    </row>
    <row r="16" spans="1:68" s="303" customFormat="1" ht="45" customHeight="1">
      <c r="A16" s="282"/>
      <c r="B16" s="282"/>
      <c r="C16" s="317"/>
      <c r="D16" s="283"/>
      <c r="E16" s="297"/>
      <c r="F16" s="305">
        <v>11</v>
      </c>
      <c r="G16" s="306" t="s">
        <v>768</v>
      </c>
      <c r="H16" s="300" t="s">
        <v>757</v>
      </c>
      <c r="I16" s="301">
        <v>0</v>
      </c>
      <c r="J16" s="301">
        <v>0</v>
      </c>
      <c r="K16" s="301">
        <v>0</v>
      </c>
      <c r="L16" s="301">
        <v>0</v>
      </c>
      <c r="M16" s="301">
        <v>0</v>
      </c>
      <c r="N16" s="301">
        <v>1265</v>
      </c>
      <c r="O16" s="302"/>
      <c r="P16" s="297"/>
      <c r="R16" s="304"/>
      <c r="S16" s="304"/>
      <c r="T16" s="304"/>
      <c r="U16" s="304"/>
      <c r="V16" s="304"/>
      <c r="W16" s="304"/>
      <c r="X16" s="304"/>
      <c r="Y16" s="304"/>
      <c r="Z16" s="304"/>
      <c r="AA16" s="304"/>
      <c r="AB16" s="304"/>
      <c r="AC16" s="304"/>
      <c r="AD16" s="304"/>
      <c r="AE16" s="304"/>
      <c r="AF16" s="304"/>
      <c r="AG16" s="304"/>
      <c r="AH16" s="304"/>
      <c r="AI16" s="304"/>
      <c r="AJ16" s="304"/>
      <c r="AK16" s="304"/>
      <c r="AL16" s="304"/>
      <c r="AM16" s="304"/>
      <c r="AN16" s="304"/>
      <c r="AO16" s="304"/>
      <c r="AP16" s="304"/>
      <c r="AQ16" s="304"/>
      <c r="AR16" s="304"/>
      <c r="AS16" s="304"/>
      <c r="AT16" s="304"/>
      <c r="AU16" s="304"/>
      <c r="AV16" s="304"/>
      <c r="AW16" s="304"/>
      <c r="AX16" s="304"/>
      <c r="AY16" s="304"/>
      <c r="AZ16" s="304"/>
      <c r="BA16" s="304"/>
      <c r="BB16" s="304"/>
      <c r="BC16" s="304"/>
      <c r="BD16" s="304"/>
      <c r="BE16" s="304"/>
      <c r="BF16" s="304"/>
      <c r="BG16" s="304"/>
      <c r="BH16" s="304"/>
      <c r="BI16" s="304"/>
      <c r="BJ16" s="304"/>
      <c r="BK16" s="304"/>
      <c r="BL16" s="304"/>
      <c r="BM16" s="304"/>
      <c r="BN16" s="304"/>
      <c r="BO16" s="304"/>
      <c r="BP16" s="304"/>
    </row>
    <row r="17" spans="1:68" s="303" customFormat="1" ht="45" customHeight="1">
      <c r="A17" s="282"/>
      <c r="B17" s="282"/>
      <c r="C17" s="282"/>
      <c r="D17" s="283"/>
      <c r="E17" s="297"/>
      <c r="F17" s="305">
        <v>12</v>
      </c>
      <c r="G17" s="306" t="s">
        <v>769</v>
      </c>
      <c r="H17" s="300" t="s">
        <v>757</v>
      </c>
      <c r="I17" s="301">
        <v>0</v>
      </c>
      <c r="J17" s="301">
        <v>15</v>
      </c>
      <c r="K17" s="301">
        <v>85</v>
      </c>
      <c r="L17" s="301">
        <v>135</v>
      </c>
      <c r="M17" s="301">
        <v>75</v>
      </c>
      <c r="N17" s="301">
        <v>60</v>
      </c>
      <c r="O17" s="302"/>
      <c r="P17" s="297"/>
      <c r="S17" s="304"/>
      <c r="T17" s="304"/>
      <c r="U17" s="304"/>
      <c r="V17" s="304"/>
      <c r="W17" s="304"/>
      <c r="X17" s="304"/>
      <c r="Y17" s="304"/>
      <c r="Z17" s="304"/>
      <c r="AA17" s="304"/>
      <c r="AB17" s="304"/>
      <c r="AC17" s="304"/>
      <c r="AD17" s="304"/>
      <c r="AE17" s="304"/>
      <c r="AF17" s="304"/>
      <c r="AG17" s="304"/>
      <c r="AH17" s="304"/>
      <c r="AI17" s="304"/>
      <c r="AJ17" s="304"/>
      <c r="AK17" s="304"/>
      <c r="AL17" s="304"/>
      <c r="AM17" s="304"/>
      <c r="AN17" s="304"/>
      <c r="AO17" s="304"/>
      <c r="AP17" s="304"/>
      <c r="AQ17" s="304"/>
      <c r="AR17" s="304"/>
      <c r="AS17" s="304"/>
      <c r="AT17" s="304"/>
      <c r="AU17" s="304"/>
      <c r="AV17" s="304"/>
      <c r="AW17" s="304"/>
      <c r="AX17" s="304"/>
      <c r="AY17" s="304"/>
      <c r="AZ17" s="304"/>
      <c r="BA17" s="304"/>
      <c r="BB17" s="304"/>
      <c r="BC17" s="304"/>
      <c r="BD17" s="304"/>
      <c r="BE17" s="304"/>
      <c r="BF17" s="304"/>
      <c r="BG17" s="304"/>
      <c r="BH17" s="304"/>
      <c r="BI17" s="304"/>
      <c r="BJ17" s="304"/>
      <c r="BK17" s="304"/>
      <c r="BL17" s="304"/>
      <c r="BM17" s="304"/>
      <c r="BN17" s="304"/>
      <c r="BO17" s="304"/>
      <c r="BP17" s="304"/>
    </row>
    <row r="18" spans="1:68" s="303" customFormat="1" ht="65.45" customHeight="1">
      <c r="A18" s="282"/>
      <c r="B18" s="282"/>
      <c r="C18" s="282"/>
      <c r="D18" s="283"/>
      <c r="E18" s="297"/>
      <c r="F18" s="305">
        <v>13</v>
      </c>
      <c r="G18" s="306" t="s">
        <v>770</v>
      </c>
      <c r="H18" s="300" t="s">
        <v>757</v>
      </c>
      <c r="I18" s="301">
        <v>0</v>
      </c>
      <c r="J18" s="301">
        <v>85</v>
      </c>
      <c r="K18" s="301">
        <v>310</v>
      </c>
      <c r="L18" s="301">
        <v>520</v>
      </c>
      <c r="M18" s="301">
        <v>580</v>
      </c>
      <c r="N18" s="301">
        <v>455</v>
      </c>
      <c r="O18" s="302"/>
      <c r="P18" s="297"/>
      <c r="R18" s="304"/>
      <c r="S18" s="304"/>
      <c r="T18" s="304"/>
      <c r="U18" s="304"/>
      <c r="V18" s="304"/>
      <c r="W18" s="304"/>
      <c r="X18" s="304"/>
      <c r="Y18" s="304"/>
      <c r="Z18" s="304"/>
      <c r="AA18" s="304"/>
      <c r="AB18" s="304"/>
      <c r="AC18" s="304"/>
      <c r="AD18" s="304"/>
      <c r="AE18" s="304"/>
      <c r="AF18" s="304"/>
      <c r="AG18" s="304"/>
      <c r="AH18" s="304"/>
      <c r="AI18" s="304"/>
      <c r="AJ18" s="304"/>
      <c r="AK18" s="304"/>
      <c r="AL18" s="304"/>
      <c r="AM18" s="304"/>
      <c r="AN18" s="304"/>
      <c r="AO18" s="304"/>
      <c r="AP18" s="304"/>
      <c r="AQ18" s="304"/>
      <c r="AR18" s="304"/>
      <c r="AS18" s="304"/>
      <c r="AT18" s="304"/>
      <c r="AU18" s="304"/>
      <c r="AV18" s="304"/>
      <c r="AW18" s="304"/>
      <c r="AX18" s="304"/>
      <c r="AY18" s="304"/>
      <c r="AZ18" s="304"/>
      <c r="BA18" s="304"/>
      <c r="BB18" s="304"/>
      <c r="BC18" s="304"/>
      <c r="BD18" s="304"/>
      <c r="BE18" s="304"/>
      <c r="BF18" s="304"/>
      <c r="BG18" s="304"/>
      <c r="BH18" s="304"/>
      <c r="BI18" s="304"/>
      <c r="BJ18" s="304"/>
      <c r="BK18" s="304"/>
      <c r="BL18" s="304"/>
      <c r="BM18" s="304"/>
      <c r="BN18" s="304"/>
      <c r="BO18" s="304"/>
      <c r="BP18" s="304"/>
    </row>
    <row r="19" spans="1:68" s="303" customFormat="1" ht="72" customHeight="1">
      <c r="A19" s="282"/>
      <c r="B19" s="282"/>
      <c r="C19" s="282"/>
      <c r="D19" s="283"/>
      <c r="E19" s="297"/>
      <c r="F19" s="305">
        <v>14</v>
      </c>
      <c r="G19" s="306" t="s">
        <v>771</v>
      </c>
      <c r="H19" s="300" t="s">
        <v>169</v>
      </c>
      <c r="I19" s="301">
        <v>0</v>
      </c>
      <c r="J19" s="301">
        <v>90</v>
      </c>
      <c r="K19" s="301">
        <v>165</v>
      </c>
      <c r="L19" s="301">
        <v>225</v>
      </c>
      <c r="M19" s="301">
        <v>280</v>
      </c>
      <c r="N19" s="301">
        <v>305</v>
      </c>
      <c r="O19" s="302"/>
      <c r="P19" s="297"/>
      <c r="R19" s="304"/>
      <c r="S19" s="304"/>
      <c r="T19" s="304"/>
      <c r="U19" s="304"/>
      <c r="V19" s="304"/>
      <c r="W19" s="304"/>
      <c r="X19" s="304"/>
      <c r="Y19" s="304"/>
      <c r="Z19" s="304"/>
      <c r="AA19" s="304"/>
      <c r="AB19" s="304"/>
      <c r="AC19" s="304"/>
      <c r="AD19" s="304"/>
      <c r="AE19" s="304"/>
      <c r="AF19" s="304"/>
      <c r="AG19" s="304"/>
      <c r="AH19" s="304"/>
      <c r="AI19" s="304"/>
      <c r="AJ19" s="304"/>
      <c r="AK19" s="304"/>
      <c r="AL19" s="304"/>
      <c r="AM19" s="304"/>
      <c r="AN19" s="304"/>
      <c r="AO19" s="304"/>
      <c r="AP19" s="304"/>
      <c r="AQ19" s="304"/>
      <c r="AR19" s="304"/>
      <c r="AS19" s="304"/>
      <c r="AT19" s="304"/>
      <c r="AU19" s="304"/>
      <c r="AV19" s="304"/>
      <c r="AW19" s="304"/>
      <c r="AX19" s="304"/>
      <c r="AY19" s="304"/>
      <c r="AZ19" s="304"/>
      <c r="BA19" s="304"/>
      <c r="BB19" s="304"/>
      <c r="BC19" s="304"/>
      <c r="BD19" s="304"/>
      <c r="BE19" s="304"/>
      <c r="BF19" s="304"/>
      <c r="BG19" s="304"/>
      <c r="BH19" s="304"/>
      <c r="BI19" s="304"/>
      <c r="BJ19" s="304"/>
      <c r="BK19" s="304"/>
      <c r="BL19" s="304"/>
      <c r="BM19" s="304"/>
      <c r="BN19" s="304"/>
      <c r="BO19" s="304"/>
      <c r="BP19" s="304"/>
    </row>
    <row r="20" spans="1:68" s="303" customFormat="1" ht="53.45" customHeight="1">
      <c r="A20" s="282"/>
      <c r="B20" s="282"/>
      <c r="C20" s="282"/>
      <c r="D20" s="283"/>
      <c r="E20" s="297"/>
      <c r="F20" s="305">
        <v>15</v>
      </c>
      <c r="G20" s="306" t="s">
        <v>772</v>
      </c>
      <c r="H20" s="300" t="s">
        <v>757</v>
      </c>
      <c r="I20" s="301">
        <v>0</v>
      </c>
      <c r="J20" s="301">
        <v>-5</v>
      </c>
      <c r="K20" s="301">
        <v>-10</v>
      </c>
      <c r="L20" s="301">
        <v>105</v>
      </c>
      <c r="M20" s="301">
        <v>225</v>
      </c>
      <c r="N20" s="301">
        <v>265</v>
      </c>
      <c r="O20" s="302"/>
      <c r="P20" s="297"/>
      <c r="R20" s="304"/>
      <c r="S20" s="304"/>
      <c r="T20" s="304"/>
      <c r="U20" s="304"/>
      <c r="V20" s="304"/>
      <c r="W20" s="304"/>
      <c r="X20" s="304"/>
      <c r="Y20" s="304"/>
      <c r="Z20" s="304"/>
      <c r="AA20" s="304"/>
      <c r="AB20" s="304"/>
      <c r="AC20" s="304"/>
      <c r="AD20" s="304"/>
      <c r="AE20" s="304"/>
      <c r="AF20" s="304"/>
      <c r="AG20" s="304"/>
      <c r="AH20" s="304"/>
      <c r="AI20" s="304"/>
      <c r="AJ20" s="304"/>
      <c r="AK20" s="304"/>
      <c r="AL20" s="304"/>
      <c r="AM20" s="304"/>
      <c r="AN20" s="304"/>
      <c r="AO20" s="304"/>
      <c r="AP20" s="304"/>
      <c r="AQ20" s="304"/>
      <c r="AR20" s="304"/>
      <c r="AS20" s="304"/>
      <c r="AT20" s="304"/>
      <c r="AU20" s="304"/>
      <c r="AV20" s="304"/>
      <c r="AW20" s="304"/>
      <c r="AX20" s="304"/>
      <c r="AY20" s="304"/>
      <c r="AZ20" s="304"/>
      <c r="BA20" s="304"/>
      <c r="BB20" s="304"/>
      <c r="BC20" s="304"/>
      <c r="BD20" s="304"/>
      <c r="BE20" s="304"/>
      <c r="BF20" s="304"/>
      <c r="BG20" s="304"/>
      <c r="BH20" s="304"/>
      <c r="BI20" s="304"/>
      <c r="BJ20" s="304"/>
      <c r="BK20" s="304"/>
      <c r="BL20" s="304"/>
      <c r="BM20" s="304"/>
      <c r="BN20" s="304"/>
      <c r="BO20" s="304"/>
      <c r="BP20" s="304"/>
    </row>
    <row r="21" spans="1:68" s="303" customFormat="1" ht="45" customHeight="1">
      <c r="A21" s="282"/>
      <c r="B21" s="282"/>
      <c r="C21" s="282"/>
      <c r="D21" s="283"/>
      <c r="E21" s="297"/>
      <c r="F21" s="305">
        <v>16</v>
      </c>
      <c r="G21" s="306" t="s">
        <v>773</v>
      </c>
      <c r="H21" s="300" t="s">
        <v>757</v>
      </c>
      <c r="I21" s="301">
        <v>0</v>
      </c>
      <c r="J21" s="301">
        <v>-5</v>
      </c>
      <c r="K21" s="301">
        <v>5</v>
      </c>
      <c r="L21" s="301">
        <v>10</v>
      </c>
      <c r="M21" s="301">
        <v>10</v>
      </c>
      <c r="N21" s="301">
        <v>15</v>
      </c>
      <c r="O21" s="302"/>
      <c r="P21" s="297"/>
      <c r="R21" s="304"/>
      <c r="S21" s="304"/>
      <c r="T21" s="304"/>
      <c r="U21" s="304"/>
      <c r="V21" s="304"/>
      <c r="W21" s="304"/>
      <c r="X21" s="304"/>
      <c r="Y21" s="304"/>
      <c r="Z21" s="304"/>
      <c r="AA21" s="304"/>
      <c r="AB21" s="304"/>
      <c r="AC21" s="304"/>
      <c r="AD21" s="304"/>
      <c r="AE21" s="304"/>
      <c r="AF21" s="304"/>
      <c r="AG21" s="304"/>
      <c r="AH21" s="304"/>
      <c r="AI21" s="304"/>
      <c r="AJ21" s="304"/>
      <c r="AK21" s="304"/>
      <c r="AL21" s="304"/>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4"/>
      <c r="BK21" s="304"/>
      <c r="BL21" s="304"/>
      <c r="BM21" s="304"/>
      <c r="BN21" s="304"/>
      <c r="BO21" s="304"/>
      <c r="BP21" s="304"/>
    </row>
    <row r="22" spans="1:68" s="316" customFormat="1" ht="6.75" customHeight="1" thickBot="1">
      <c r="A22" s="282"/>
      <c r="B22" s="282"/>
      <c r="C22" s="307"/>
      <c r="D22" s="308"/>
      <c r="E22" s="309"/>
      <c r="F22" s="310" t="s">
        <v>623</v>
      </c>
      <c r="G22" s="311"/>
      <c r="H22" s="312"/>
      <c r="I22" s="313"/>
      <c r="J22" s="313"/>
      <c r="K22" s="313"/>
      <c r="L22" s="313"/>
      <c r="M22" s="313"/>
      <c r="N22" s="312"/>
      <c r="O22" s="314"/>
      <c r="P22" s="309"/>
      <c r="Q22" s="315"/>
      <c r="R22" s="304"/>
      <c r="S22" s="304"/>
      <c r="T22" s="304"/>
      <c r="U22" s="304"/>
      <c r="V22" s="304"/>
      <c r="W22" s="304"/>
      <c r="X22" s="304"/>
      <c r="Y22" s="304"/>
      <c r="Z22" s="304"/>
      <c r="AA22" s="304"/>
      <c r="AB22" s="304"/>
      <c r="AC22" s="304"/>
      <c r="AD22" s="304"/>
      <c r="AE22" s="304"/>
      <c r="AF22" s="304"/>
      <c r="AG22" s="304"/>
      <c r="AH22" s="304"/>
      <c r="AI22" s="304"/>
      <c r="AJ22" s="304"/>
      <c r="AK22" s="304"/>
      <c r="AL22" s="304"/>
      <c r="AM22" s="304"/>
      <c r="AN22" s="304"/>
      <c r="AO22" s="304"/>
      <c r="AP22" s="304"/>
      <c r="AQ22" s="304"/>
      <c r="AR22" s="304"/>
      <c r="AS22" s="304"/>
      <c r="AT22" s="304"/>
      <c r="AU22" s="304"/>
      <c r="AV22" s="304"/>
      <c r="AW22" s="304"/>
      <c r="AX22" s="304"/>
      <c r="AY22" s="304"/>
      <c r="AZ22" s="304"/>
      <c r="BA22" s="304"/>
      <c r="BB22" s="304"/>
      <c r="BC22" s="304"/>
      <c r="BD22" s="304"/>
      <c r="BE22" s="304"/>
      <c r="BF22" s="304"/>
      <c r="BG22" s="304"/>
      <c r="BH22" s="304"/>
      <c r="BI22" s="304"/>
      <c r="BJ22" s="304"/>
      <c r="BK22" s="304"/>
      <c r="BL22" s="304"/>
      <c r="BM22" s="304"/>
      <c r="BN22" s="304"/>
      <c r="BO22" s="304"/>
      <c r="BP22" s="304"/>
    </row>
    <row r="23" spans="1:68" s="303" customFormat="1" ht="28.5" customHeight="1">
      <c r="A23" s="282"/>
      <c r="B23" s="282"/>
      <c r="C23" s="282"/>
      <c r="D23" s="283"/>
      <c r="E23" s="297"/>
      <c r="F23" s="298" t="s">
        <v>774</v>
      </c>
      <c r="G23" s="299"/>
      <c r="H23" s="300"/>
      <c r="I23" s="301"/>
      <c r="J23" s="301"/>
      <c r="K23" s="301"/>
      <c r="L23" s="301"/>
      <c r="M23" s="301"/>
      <c r="N23" s="301"/>
      <c r="O23" s="302"/>
      <c r="P23" s="297"/>
      <c r="S23" s="304"/>
      <c r="T23" s="304"/>
      <c r="U23" s="304"/>
      <c r="V23" s="304"/>
      <c r="W23" s="304"/>
      <c r="X23" s="304"/>
      <c r="Y23" s="304"/>
      <c r="Z23" s="304"/>
      <c r="AA23" s="304"/>
      <c r="AB23" s="304"/>
      <c r="AC23" s="304"/>
      <c r="AD23" s="304"/>
      <c r="AE23" s="304"/>
      <c r="AF23" s="304"/>
      <c r="AG23" s="304"/>
      <c r="AH23" s="304"/>
      <c r="AI23" s="304"/>
      <c r="AJ23" s="304"/>
      <c r="AK23" s="304"/>
      <c r="AL23" s="304"/>
      <c r="AM23" s="304"/>
      <c r="AN23" s="304"/>
      <c r="AO23" s="304"/>
      <c r="AP23" s="304"/>
      <c r="AQ23" s="304"/>
      <c r="AR23" s="304"/>
      <c r="AS23" s="304"/>
      <c r="AT23" s="304"/>
      <c r="AU23" s="304"/>
      <c r="AV23" s="304"/>
      <c r="AW23" s="304"/>
      <c r="AX23" s="304"/>
      <c r="AY23" s="304"/>
      <c r="AZ23" s="304"/>
      <c r="BA23" s="304"/>
      <c r="BB23" s="304"/>
      <c r="BC23" s="304"/>
      <c r="BD23" s="304"/>
      <c r="BE23" s="304"/>
      <c r="BF23" s="304"/>
      <c r="BG23" s="304"/>
      <c r="BH23" s="304"/>
      <c r="BI23" s="304"/>
      <c r="BJ23" s="304"/>
      <c r="BK23" s="304"/>
      <c r="BL23" s="304"/>
      <c r="BM23" s="304"/>
      <c r="BN23" s="304"/>
      <c r="BO23" s="304"/>
      <c r="BP23" s="304"/>
    </row>
    <row r="24" spans="1:68" s="303" customFormat="1" ht="53.1" customHeight="1">
      <c r="A24" s="282"/>
      <c r="B24" s="282"/>
      <c r="C24" s="282"/>
      <c r="D24" s="283"/>
      <c r="E24" s="297"/>
      <c r="F24" s="305">
        <v>17</v>
      </c>
      <c r="G24" s="306" t="s">
        <v>775</v>
      </c>
      <c r="H24" s="301" t="s">
        <v>757</v>
      </c>
      <c r="I24" s="301">
        <v>0</v>
      </c>
      <c r="J24" s="301">
        <v>-3210</v>
      </c>
      <c r="K24" s="301">
        <v>-1015</v>
      </c>
      <c r="L24" s="301">
        <v>1100</v>
      </c>
      <c r="M24" s="301">
        <v>1525</v>
      </c>
      <c r="N24" s="301">
        <v>-310</v>
      </c>
      <c r="O24" s="302"/>
      <c r="P24" s="297"/>
      <c r="R24" s="318"/>
      <c r="S24" s="318"/>
    </row>
    <row r="25" spans="1:68" s="303" customFormat="1" ht="51" customHeight="1">
      <c r="A25" s="282"/>
      <c r="B25" s="282"/>
      <c r="C25" s="282"/>
      <c r="D25" s="283"/>
      <c r="E25" s="297"/>
      <c r="F25" s="305">
        <v>18</v>
      </c>
      <c r="G25" s="306" t="s">
        <v>776</v>
      </c>
      <c r="H25" s="300" t="s">
        <v>169</v>
      </c>
      <c r="I25" s="301">
        <v>40</v>
      </c>
      <c r="J25" s="301">
        <v>-2140</v>
      </c>
      <c r="K25" s="301">
        <v>-1390</v>
      </c>
      <c r="L25" s="301">
        <v>-885</v>
      </c>
      <c r="M25" s="301">
        <v>15</v>
      </c>
      <c r="N25" s="301">
        <v>-5</v>
      </c>
      <c r="O25" s="302"/>
      <c r="P25" s="297"/>
      <c r="Q25" s="315"/>
      <c r="S25" s="304"/>
      <c r="T25" s="304"/>
      <c r="U25" s="304"/>
      <c r="V25" s="304"/>
      <c r="W25" s="304"/>
      <c r="X25" s="304"/>
      <c r="Y25" s="304"/>
      <c r="Z25" s="304"/>
      <c r="AA25" s="304"/>
      <c r="AB25" s="304"/>
      <c r="AC25" s="304"/>
      <c r="AD25" s="304"/>
      <c r="AE25" s="304"/>
      <c r="AF25" s="304"/>
      <c r="AG25" s="304"/>
      <c r="AH25" s="304"/>
      <c r="AI25" s="304"/>
      <c r="AJ25" s="304"/>
      <c r="AK25" s="304"/>
      <c r="AL25" s="304"/>
      <c r="AM25" s="304"/>
      <c r="AN25" s="304"/>
      <c r="AO25" s="304"/>
      <c r="AP25" s="304"/>
      <c r="AQ25" s="304"/>
      <c r="AR25" s="304"/>
      <c r="AS25" s="304"/>
      <c r="AT25" s="304"/>
      <c r="AU25" s="304"/>
      <c r="AV25" s="304"/>
      <c r="AW25" s="304"/>
      <c r="AX25" s="304"/>
      <c r="AY25" s="304"/>
      <c r="AZ25" s="304"/>
      <c r="BA25" s="304"/>
      <c r="BB25" s="304"/>
      <c r="BC25" s="304"/>
      <c r="BD25" s="304"/>
      <c r="BE25" s="304"/>
      <c r="BF25" s="304"/>
      <c r="BG25" s="304"/>
      <c r="BH25" s="304"/>
      <c r="BI25" s="304"/>
      <c r="BJ25" s="304"/>
      <c r="BK25" s="304"/>
      <c r="BL25" s="304"/>
      <c r="BM25" s="304"/>
      <c r="BN25" s="304"/>
      <c r="BO25" s="304"/>
      <c r="BP25" s="304"/>
    </row>
    <row r="26" spans="1:68" s="303" customFormat="1" ht="54.95" customHeight="1">
      <c r="A26" s="282"/>
      <c r="B26" s="282"/>
      <c r="C26" s="282"/>
      <c r="D26" s="283"/>
      <c r="E26" s="297"/>
      <c r="F26" s="305">
        <v>19</v>
      </c>
      <c r="G26" s="306" t="s">
        <v>777</v>
      </c>
      <c r="H26" s="300" t="s">
        <v>169</v>
      </c>
      <c r="I26" s="301">
        <v>0</v>
      </c>
      <c r="J26" s="301">
        <v>-50</v>
      </c>
      <c r="K26" s="301">
        <v>40</v>
      </c>
      <c r="L26" s="301">
        <v>35</v>
      </c>
      <c r="M26" s="301">
        <v>35</v>
      </c>
      <c r="N26" s="301">
        <v>35</v>
      </c>
      <c r="O26" s="302"/>
      <c r="P26" s="297"/>
      <c r="Q26" s="315"/>
      <c r="R26" s="304"/>
      <c r="S26" s="304"/>
      <c r="T26" s="304"/>
      <c r="U26" s="304"/>
      <c r="V26" s="304"/>
      <c r="W26" s="304"/>
      <c r="X26" s="304"/>
      <c r="Y26" s="304"/>
      <c r="Z26" s="304"/>
      <c r="AA26" s="304"/>
      <c r="AB26" s="304"/>
      <c r="AC26" s="304"/>
      <c r="AD26" s="304"/>
      <c r="AE26" s="304"/>
      <c r="AF26" s="304"/>
      <c r="AG26" s="304"/>
      <c r="AH26" s="304"/>
      <c r="AI26" s="304"/>
      <c r="AJ26" s="304"/>
      <c r="AK26" s="304"/>
      <c r="AL26" s="304"/>
      <c r="AM26" s="304"/>
      <c r="AN26" s="304"/>
      <c r="AO26" s="304"/>
      <c r="AP26" s="304"/>
      <c r="AQ26" s="304"/>
      <c r="AR26" s="304"/>
      <c r="AS26" s="304"/>
      <c r="AT26" s="304"/>
      <c r="AU26" s="304"/>
      <c r="AV26" s="304"/>
      <c r="AW26" s="304"/>
      <c r="AX26" s="304"/>
      <c r="AY26" s="304"/>
      <c r="AZ26" s="304"/>
      <c r="BA26" s="304"/>
      <c r="BB26" s="304"/>
      <c r="BC26" s="304"/>
      <c r="BD26" s="304"/>
      <c r="BE26" s="304"/>
      <c r="BF26" s="304"/>
      <c r="BG26" s="304"/>
      <c r="BH26" s="304"/>
      <c r="BI26" s="304"/>
      <c r="BJ26" s="304"/>
      <c r="BK26" s="304"/>
      <c r="BL26" s="304"/>
      <c r="BM26" s="304"/>
      <c r="BN26" s="304"/>
      <c r="BO26" s="304"/>
      <c r="BP26" s="304"/>
    </row>
    <row r="27" spans="1:68" s="303" customFormat="1" ht="45" customHeight="1">
      <c r="A27" s="282"/>
      <c r="B27" s="282"/>
      <c r="C27" s="282"/>
      <c r="D27" s="283"/>
      <c r="E27" s="297"/>
      <c r="F27" s="305">
        <v>20</v>
      </c>
      <c r="G27" s="306" t="s">
        <v>778</v>
      </c>
      <c r="H27" s="300" t="s">
        <v>169</v>
      </c>
      <c r="I27" s="301">
        <v>0</v>
      </c>
      <c r="J27" s="301">
        <v>-70</v>
      </c>
      <c r="K27" s="301">
        <v>-230</v>
      </c>
      <c r="L27" s="301">
        <v>-410</v>
      </c>
      <c r="M27" s="301">
        <v>-585</v>
      </c>
      <c r="N27" s="301">
        <v>-695</v>
      </c>
      <c r="O27" s="302"/>
      <c r="P27" s="297"/>
      <c r="R27" s="304"/>
      <c r="S27" s="304"/>
      <c r="T27" s="304"/>
      <c r="U27" s="304"/>
      <c r="V27" s="304"/>
      <c r="W27" s="304"/>
      <c r="X27" s="304"/>
      <c r="Y27" s="304"/>
      <c r="Z27" s="304"/>
      <c r="AA27" s="304"/>
      <c r="AB27" s="304"/>
      <c r="AC27" s="304"/>
      <c r="AD27" s="304"/>
      <c r="AE27" s="304"/>
      <c r="AF27" s="304"/>
      <c r="AG27" s="304"/>
      <c r="AH27" s="304"/>
      <c r="AI27" s="304"/>
      <c r="AJ27" s="304"/>
      <c r="AK27" s="304"/>
      <c r="AL27" s="304"/>
      <c r="AM27" s="304"/>
      <c r="AN27" s="304"/>
      <c r="AO27" s="304"/>
      <c r="AP27" s="304"/>
      <c r="AQ27" s="304"/>
      <c r="AR27" s="304"/>
      <c r="AS27" s="304"/>
      <c r="AT27" s="304"/>
      <c r="AU27" s="304"/>
      <c r="AV27" s="304"/>
      <c r="AW27" s="304"/>
      <c r="AX27" s="304"/>
      <c r="AY27" s="304"/>
      <c r="AZ27" s="304"/>
      <c r="BA27" s="304"/>
      <c r="BB27" s="304"/>
      <c r="BC27" s="304"/>
      <c r="BD27" s="304"/>
      <c r="BE27" s="304"/>
      <c r="BF27" s="304"/>
      <c r="BG27" s="304"/>
      <c r="BH27" s="304"/>
      <c r="BI27" s="304"/>
      <c r="BJ27" s="304"/>
      <c r="BK27" s="304"/>
      <c r="BL27" s="304"/>
      <c r="BM27" s="304"/>
      <c r="BN27" s="304"/>
      <c r="BO27" s="304"/>
      <c r="BP27" s="304"/>
    </row>
    <row r="28" spans="1:68" s="303" customFormat="1" ht="48.95" customHeight="1">
      <c r="A28" s="282"/>
      <c r="B28" s="282"/>
      <c r="C28" s="282"/>
      <c r="D28" s="283"/>
      <c r="E28" s="297"/>
      <c r="F28" s="305">
        <v>21</v>
      </c>
      <c r="G28" s="306" t="s">
        <v>779</v>
      </c>
      <c r="H28" s="300" t="s">
        <v>169</v>
      </c>
      <c r="I28" s="301">
        <v>0</v>
      </c>
      <c r="J28" s="301">
        <v>0</v>
      </c>
      <c r="K28" s="301">
        <v>-60</v>
      </c>
      <c r="L28" s="301">
        <v>-45</v>
      </c>
      <c r="M28" s="301">
        <v>-50</v>
      </c>
      <c r="N28" s="301">
        <v>-55</v>
      </c>
      <c r="O28" s="302"/>
      <c r="P28" s="297"/>
      <c r="R28" s="304"/>
      <c r="S28" s="304"/>
      <c r="T28" s="304"/>
      <c r="U28" s="304"/>
      <c r="V28" s="304"/>
      <c r="W28" s="304"/>
      <c r="X28" s="304"/>
      <c r="Y28" s="304"/>
      <c r="Z28" s="304"/>
      <c r="AA28" s="304"/>
      <c r="AB28" s="304"/>
      <c r="AC28" s="304"/>
      <c r="AD28" s="304"/>
      <c r="AE28" s="304"/>
      <c r="AF28" s="304"/>
      <c r="AG28" s="304"/>
      <c r="AH28" s="304"/>
      <c r="AI28" s="304"/>
      <c r="AJ28" s="304"/>
      <c r="AK28" s="304"/>
      <c r="AL28" s="304"/>
      <c r="AM28" s="304"/>
      <c r="AN28" s="304"/>
      <c r="AO28" s="304"/>
      <c r="AP28" s="304"/>
      <c r="AQ28" s="304"/>
      <c r="AR28" s="304"/>
      <c r="AS28" s="304"/>
      <c r="AT28" s="304"/>
      <c r="AU28" s="304"/>
      <c r="AV28" s="304"/>
      <c r="AW28" s="304"/>
      <c r="AX28" s="304"/>
      <c r="AY28" s="304"/>
      <c r="AZ28" s="304"/>
      <c r="BA28" s="304"/>
      <c r="BB28" s="304"/>
      <c r="BC28" s="304"/>
      <c r="BD28" s="304"/>
      <c r="BE28" s="304"/>
      <c r="BF28" s="304"/>
      <c r="BG28" s="304"/>
      <c r="BH28" s="304"/>
      <c r="BI28" s="304"/>
      <c r="BJ28" s="304"/>
      <c r="BK28" s="304"/>
      <c r="BL28" s="304"/>
      <c r="BM28" s="304"/>
      <c r="BN28" s="304"/>
      <c r="BO28" s="304"/>
      <c r="BP28" s="304"/>
    </row>
    <row r="29" spans="1:68" s="303" customFormat="1" ht="45" customHeight="1">
      <c r="A29" s="282"/>
      <c r="B29" s="282"/>
      <c r="C29" s="282"/>
      <c r="D29" s="283"/>
      <c r="E29" s="297"/>
      <c r="F29" s="305">
        <v>22</v>
      </c>
      <c r="G29" s="306" t="s">
        <v>780</v>
      </c>
      <c r="H29" s="300" t="s">
        <v>169</v>
      </c>
      <c r="I29" s="301">
        <v>0</v>
      </c>
      <c r="J29" s="301">
        <v>0</v>
      </c>
      <c r="K29" s="301">
        <v>125</v>
      </c>
      <c r="L29" s="301">
        <v>95</v>
      </c>
      <c r="M29" s="301">
        <v>95</v>
      </c>
      <c r="N29" s="301">
        <v>100</v>
      </c>
      <c r="O29" s="302"/>
      <c r="P29" s="297"/>
      <c r="R29" s="304"/>
      <c r="S29" s="304"/>
      <c r="T29" s="304"/>
      <c r="U29" s="304"/>
      <c r="V29" s="304"/>
      <c r="W29" s="304"/>
      <c r="X29" s="304"/>
      <c r="Y29" s="304"/>
      <c r="Z29" s="304"/>
      <c r="AA29" s="304"/>
      <c r="AB29" s="304"/>
      <c r="AC29" s="304"/>
      <c r="AD29" s="304"/>
      <c r="AE29" s="304"/>
      <c r="AF29" s="304"/>
      <c r="AG29" s="304"/>
      <c r="AH29" s="304"/>
      <c r="AI29" s="304"/>
      <c r="AJ29" s="304"/>
      <c r="AK29" s="304"/>
      <c r="AL29" s="304"/>
      <c r="AM29" s="304"/>
      <c r="AN29" s="304"/>
      <c r="AO29" s="304"/>
      <c r="AP29" s="304"/>
      <c r="AQ29" s="304"/>
      <c r="AR29" s="304"/>
      <c r="AS29" s="304"/>
      <c r="AT29" s="304"/>
      <c r="AU29" s="304"/>
      <c r="AV29" s="304"/>
      <c r="AW29" s="304"/>
      <c r="AX29" s="304"/>
      <c r="AY29" s="304"/>
      <c r="AZ29" s="304"/>
      <c r="BA29" s="304"/>
      <c r="BB29" s="304"/>
      <c r="BC29" s="304"/>
      <c r="BD29" s="304"/>
      <c r="BE29" s="304"/>
      <c r="BF29" s="304"/>
      <c r="BG29" s="304"/>
      <c r="BH29" s="304"/>
      <c r="BI29" s="304"/>
      <c r="BJ29" s="304"/>
      <c r="BK29" s="304"/>
      <c r="BL29" s="304"/>
      <c r="BM29" s="304"/>
      <c r="BN29" s="304"/>
      <c r="BO29" s="304"/>
      <c r="BP29" s="304"/>
    </row>
    <row r="30" spans="1:68" s="303" customFormat="1" ht="45" customHeight="1">
      <c r="A30" s="282"/>
      <c r="B30" s="282"/>
      <c r="C30" s="282"/>
      <c r="D30" s="283"/>
      <c r="E30" s="297"/>
      <c r="F30" s="305">
        <v>23</v>
      </c>
      <c r="G30" s="306" t="s">
        <v>781</v>
      </c>
      <c r="H30" s="300" t="s">
        <v>169</v>
      </c>
      <c r="I30" s="301">
        <v>-25</v>
      </c>
      <c r="J30" s="301">
        <v>-35</v>
      </c>
      <c r="K30" s="301">
        <v>-45</v>
      </c>
      <c r="L30" s="301">
        <v>-50</v>
      </c>
      <c r="M30" s="301">
        <v>-50</v>
      </c>
      <c r="N30" s="301">
        <v>-50</v>
      </c>
      <c r="O30" s="302"/>
      <c r="P30" s="297"/>
      <c r="R30" s="304"/>
      <c r="S30" s="304"/>
      <c r="T30" s="304"/>
      <c r="U30" s="304"/>
      <c r="V30" s="304"/>
      <c r="W30" s="304"/>
      <c r="X30" s="304"/>
      <c r="Y30" s="304"/>
      <c r="Z30" s="304"/>
      <c r="AA30" s="304"/>
      <c r="AB30" s="304"/>
      <c r="AC30" s="304"/>
      <c r="AD30" s="304"/>
      <c r="AE30" s="304"/>
      <c r="AF30" s="304"/>
      <c r="AG30" s="304"/>
      <c r="AH30" s="304"/>
      <c r="AI30" s="304"/>
      <c r="AJ30" s="304"/>
      <c r="AK30" s="304"/>
      <c r="AL30" s="304"/>
      <c r="AM30" s="304"/>
      <c r="AN30" s="304"/>
      <c r="AO30" s="304"/>
      <c r="AP30" s="304"/>
      <c r="AQ30" s="304"/>
      <c r="AR30" s="304"/>
      <c r="AS30" s="304"/>
      <c r="AT30" s="304"/>
      <c r="AU30" s="304"/>
      <c r="AV30" s="304"/>
      <c r="AW30" s="304"/>
      <c r="AX30" s="304"/>
      <c r="AY30" s="304"/>
      <c r="AZ30" s="304"/>
      <c r="BA30" s="304"/>
      <c r="BB30" s="304"/>
      <c r="BC30" s="304"/>
      <c r="BD30" s="304"/>
      <c r="BE30" s="304"/>
      <c r="BF30" s="304"/>
      <c r="BG30" s="304"/>
      <c r="BH30" s="304"/>
      <c r="BI30" s="304"/>
      <c r="BJ30" s="304"/>
      <c r="BK30" s="304"/>
      <c r="BL30" s="304"/>
      <c r="BM30" s="304"/>
      <c r="BN30" s="304"/>
      <c r="BO30" s="304"/>
      <c r="BP30" s="304"/>
    </row>
    <row r="31" spans="1:68" s="303" customFormat="1" ht="42.95" customHeight="1">
      <c r="A31" s="282"/>
      <c r="B31" s="282"/>
      <c r="C31" s="282"/>
      <c r="D31" s="283"/>
      <c r="E31" s="297"/>
      <c r="F31" s="305">
        <v>24</v>
      </c>
      <c r="G31" s="319" t="s">
        <v>782</v>
      </c>
      <c r="H31" s="301" t="s">
        <v>757</v>
      </c>
      <c r="I31" s="301">
        <v>0</v>
      </c>
      <c r="J31" s="301">
        <v>-520</v>
      </c>
      <c r="K31" s="301">
        <v>-555</v>
      </c>
      <c r="L31" s="301">
        <v>-495</v>
      </c>
      <c r="M31" s="301">
        <v>-110</v>
      </c>
      <c r="N31" s="301">
        <v>-105</v>
      </c>
      <c r="O31" s="302"/>
      <c r="P31" s="297"/>
      <c r="R31" s="304"/>
      <c r="S31" s="304"/>
      <c r="T31" s="304"/>
      <c r="U31" s="304"/>
      <c r="V31" s="304"/>
      <c r="W31" s="304"/>
      <c r="X31" s="304"/>
      <c r="Y31" s="304"/>
      <c r="Z31" s="304"/>
      <c r="AA31" s="304"/>
      <c r="AB31" s="304"/>
      <c r="AC31" s="304"/>
      <c r="AD31" s="304"/>
      <c r="AE31" s="304"/>
      <c r="AF31" s="304"/>
      <c r="AG31" s="304"/>
      <c r="AH31" s="304"/>
      <c r="AI31" s="304"/>
      <c r="AJ31" s="304"/>
      <c r="AK31" s="304"/>
      <c r="AL31" s="304"/>
      <c r="AM31" s="304"/>
      <c r="AN31" s="304"/>
      <c r="AO31" s="304"/>
      <c r="AP31" s="304"/>
      <c r="AQ31" s="304"/>
      <c r="AR31" s="304"/>
      <c r="AS31" s="304"/>
      <c r="AT31" s="304"/>
      <c r="AU31" s="304"/>
      <c r="AV31" s="304"/>
      <c r="AW31" s="304"/>
      <c r="AX31" s="304"/>
      <c r="AY31" s="304"/>
      <c r="AZ31" s="304"/>
      <c r="BA31" s="304"/>
      <c r="BB31" s="304"/>
      <c r="BC31" s="304"/>
      <c r="BD31" s="304"/>
      <c r="BE31" s="304"/>
      <c r="BF31" s="304"/>
      <c r="BG31" s="304"/>
      <c r="BH31" s="304"/>
      <c r="BI31" s="304"/>
      <c r="BJ31" s="304"/>
      <c r="BK31" s="304"/>
      <c r="BL31" s="304"/>
      <c r="BM31" s="304"/>
      <c r="BN31" s="304"/>
      <c r="BO31" s="304"/>
      <c r="BP31" s="304"/>
    </row>
    <row r="32" spans="1:68" s="303" customFormat="1" ht="45" customHeight="1">
      <c r="A32" s="282"/>
      <c r="B32" s="282"/>
      <c r="C32" s="317"/>
      <c r="D32" s="283"/>
      <c r="E32" s="297"/>
      <c r="F32" s="305">
        <v>25</v>
      </c>
      <c r="G32" s="306" t="s">
        <v>783</v>
      </c>
      <c r="H32" s="301" t="s">
        <v>757</v>
      </c>
      <c r="I32" s="301">
        <v>0</v>
      </c>
      <c r="J32" s="301">
        <v>-20</v>
      </c>
      <c r="K32" s="301">
        <v>-20</v>
      </c>
      <c r="L32" s="301">
        <v>-20</v>
      </c>
      <c r="M32" s="301">
        <v>0</v>
      </c>
      <c r="N32" s="301">
        <v>0</v>
      </c>
      <c r="O32" s="302"/>
      <c r="P32" s="297"/>
      <c r="R32" s="318"/>
      <c r="S32" s="318"/>
    </row>
    <row r="33" spans="1:68" s="303" customFormat="1" ht="45" customHeight="1">
      <c r="A33" s="282"/>
      <c r="B33" s="282"/>
      <c r="C33" s="282"/>
      <c r="D33" s="283"/>
      <c r="E33" s="297"/>
      <c r="F33" s="305">
        <v>26</v>
      </c>
      <c r="G33" s="306" t="s">
        <v>784</v>
      </c>
      <c r="H33" s="301" t="s">
        <v>757</v>
      </c>
      <c r="I33" s="301">
        <v>-50</v>
      </c>
      <c r="J33" s="301">
        <v>0</v>
      </c>
      <c r="K33" s="301">
        <v>0</v>
      </c>
      <c r="L33" s="301">
        <v>0</v>
      </c>
      <c r="M33" s="301">
        <v>0</v>
      </c>
      <c r="N33" s="301">
        <v>0</v>
      </c>
      <c r="O33" s="302"/>
      <c r="P33" s="297"/>
      <c r="R33" s="320"/>
      <c r="S33" s="304"/>
      <c r="T33" s="304"/>
      <c r="U33" s="304"/>
      <c r="V33" s="304"/>
      <c r="W33" s="304"/>
      <c r="X33" s="304"/>
      <c r="Y33" s="304"/>
      <c r="Z33" s="304"/>
      <c r="AA33" s="304"/>
      <c r="AB33" s="304"/>
      <c r="AC33" s="304"/>
      <c r="AD33" s="304"/>
      <c r="AE33" s="304"/>
      <c r="AF33" s="304"/>
      <c r="AG33" s="304"/>
      <c r="AH33" s="304"/>
      <c r="AI33" s="304"/>
      <c r="AJ33" s="304"/>
      <c r="AK33" s="304"/>
      <c r="AL33" s="304"/>
      <c r="AM33" s="304"/>
      <c r="AN33" s="304"/>
      <c r="AO33" s="304"/>
      <c r="AP33" s="304"/>
      <c r="AQ33" s="304"/>
      <c r="AR33" s="304"/>
      <c r="AS33" s="304"/>
      <c r="AT33" s="304"/>
      <c r="AU33" s="304"/>
      <c r="AV33" s="304"/>
      <c r="AW33" s="304"/>
      <c r="AX33" s="304"/>
      <c r="AY33" s="304"/>
      <c r="AZ33" s="304"/>
      <c r="BA33" s="304"/>
      <c r="BB33" s="304"/>
      <c r="BC33" s="304"/>
      <c r="BD33" s="304"/>
      <c r="BE33" s="304"/>
      <c r="BF33" s="304"/>
      <c r="BG33" s="304"/>
      <c r="BH33" s="304"/>
      <c r="BI33" s="304"/>
      <c r="BJ33" s="304"/>
      <c r="BK33" s="304"/>
      <c r="BL33" s="304"/>
      <c r="BM33" s="304"/>
      <c r="BN33" s="304"/>
      <c r="BO33" s="304"/>
      <c r="BP33" s="304"/>
    </row>
    <row r="34" spans="1:68" s="303" customFormat="1" ht="52.35" customHeight="1">
      <c r="A34" s="282"/>
      <c r="B34" s="282"/>
      <c r="C34" s="282"/>
      <c r="D34" s="283"/>
      <c r="E34" s="297"/>
      <c r="F34" s="305">
        <v>27</v>
      </c>
      <c r="G34" s="306" t="s">
        <v>785</v>
      </c>
      <c r="H34" s="301" t="s">
        <v>757</v>
      </c>
      <c r="I34" s="301">
        <v>0</v>
      </c>
      <c r="J34" s="301">
        <v>-15</v>
      </c>
      <c r="K34" s="301">
        <v>-15</v>
      </c>
      <c r="L34" s="301">
        <v>-15</v>
      </c>
      <c r="M34" s="301">
        <v>0</v>
      </c>
      <c r="N34" s="301">
        <v>0</v>
      </c>
      <c r="O34" s="302"/>
      <c r="P34" s="297"/>
      <c r="R34" s="320"/>
      <c r="S34" s="304"/>
      <c r="T34" s="304"/>
      <c r="U34" s="304"/>
      <c r="V34" s="304"/>
      <c r="W34" s="304"/>
      <c r="X34" s="304"/>
      <c r="Y34" s="304"/>
      <c r="Z34" s="304"/>
      <c r="AA34" s="304"/>
      <c r="AB34" s="304"/>
      <c r="AC34" s="304"/>
      <c r="AD34" s="304"/>
      <c r="AE34" s="304"/>
      <c r="AF34" s="304"/>
      <c r="AG34" s="304"/>
      <c r="AH34" s="304"/>
      <c r="AI34" s="304"/>
      <c r="AJ34" s="304"/>
      <c r="AK34" s="304"/>
      <c r="AL34" s="304"/>
      <c r="AM34" s="304"/>
      <c r="AN34" s="304"/>
      <c r="AO34" s="304"/>
      <c r="AP34" s="304"/>
      <c r="AQ34" s="304"/>
      <c r="AR34" s="304"/>
      <c r="AS34" s="304"/>
      <c r="AT34" s="304"/>
      <c r="AU34" s="304"/>
      <c r="AV34" s="304"/>
      <c r="AW34" s="304"/>
      <c r="AX34" s="304"/>
      <c r="AY34" s="304"/>
      <c r="AZ34" s="304"/>
      <c r="BA34" s="304"/>
      <c r="BB34" s="304"/>
      <c r="BC34" s="304"/>
      <c r="BD34" s="304"/>
      <c r="BE34" s="304"/>
      <c r="BF34" s="304"/>
      <c r="BG34" s="304"/>
      <c r="BH34" s="304"/>
      <c r="BI34" s="304"/>
      <c r="BJ34" s="304"/>
      <c r="BK34" s="304"/>
      <c r="BL34" s="304"/>
      <c r="BM34" s="304"/>
      <c r="BN34" s="304"/>
      <c r="BO34" s="304"/>
      <c r="BP34" s="304"/>
    </row>
    <row r="35" spans="1:68" s="303" customFormat="1" ht="45" customHeight="1">
      <c r="A35" s="282"/>
      <c r="B35" s="282"/>
      <c r="C35" s="282"/>
      <c r="D35" s="283"/>
      <c r="E35" s="297"/>
      <c r="F35" s="305">
        <v>28</v>
      </c>
      <c r="G35" s="306" t="s">
        <v>786</v>
      </c>
      <c r="H35" s="300" t="s">
        <v>169</v>
      </c>
      <c r="I35" s="301">
        <v>0</v>
      </c>
      <c r="J35" s="301">
        <v>-10</v>
      </c>
      <c r="K35" s="301">
        <v>-10</v>
      </c>
      <c r="L35" s="301">
        <v>-10</v>
      </c>
      <c r="M35" s="301">
        <v>-10</v>
      </c>
      <c r="N35" s="301">
        <v>-10</v>
      </c>
      <c r="O35" s="302"/>
      <c r="P35" s="297"/>
      <c r="R35" s="304"/>
      <c r="S35" s="304"/>
      <c r="T35" s="304"/>
      <c r="U35" s="304"/>
      <c r="V35" s="304"/>
      <c r="W35" s="304"/>
      <c r="X35" s="304"/>
      <c r="Y35" s="304"/>
      <c r="Z35" s="304"/>
      <c r="AA35" s="304"/>
      <c r="AB35" s="304"/>
      <c r="AC35" s="304"/>
      <c r="AD35" s="304"/>
      <c r="AE35" s="304"/>
      <c r="AF35" s="304"/>
      <c r="AG35" s="304"/>
      <c r="AH35" s="304"/>
      <c r="AI35" s="304"/>
      <c r="AJ35" s="304"/>
      <c r="AK35" s="304"/>
      <c r="AL35" s="304"/>
      <c r="AM35" s="304"/>
      <c r="AN35" s="304"/>
      <c r="AO35" s="304"/>
      <c r="AP35" s="304"/>
      <c r="AQ35" s="304"/>
      <c r="AR35" s="304"/>
      <c r="AS35" s="304"/>
      <c r="AT35" s="304"/>
      <c r="AU35" s="304"/>
      <c r="AV35" s="304"/>
      <c r="AW35" s="304"/>
      <c r="AX35" s="304"/>
      <c r="AY35" s="304"/>
      <c r="AZ35" s="304"/>
      <c r="BA35" s="304"/>
      <c r="BB35" s="304"/>
      <c r="BC35" s="304"/>
      <c r="BD35" s="304"/>
      <c r="BE35" s="304"/>
      <c r="BF35" s="304"/>
      <c r="BG35" s="304"/>
      <c r="BH35" s="304"/>
      <c r="BI35" s="304"/>
      <c r="BJ35" s="304"/>
      <c r="BK35" s="304"/>
      <c r="BL35" s="304"/>
      <c r="BM35" s="304"/>
      <c r="BN35" s="304"/>
      <c r="BO35" s="304"/>
      <c r="BP35" s="304"/>
    </row>
    <row r="36" spans="1:68" s="303" customFormat="1" ht="62.45" customHeight="1">
      <c r="A36" s="282"/>
      <c r="B36" s="282"/>
      <c r="C36" s="282"/>
      <c r="D36" s="283"/>
      <c r="E36" s="297"/>
      <c r="F36" s="305">
        <v>29</v>
      </c>
      <c r="G36" s="306" t="s">
        <v>787</v>
      </c>
      <c r="H36" s="300" t="s">
        <v>169</v>
      </c>
      <c r="I36" s="301">
        <v>-40</v>
      </c>
      <c r="J36" s="301">
        <v>-45</v>
      </c>
      <c r="K36" s="301">
        <v>-10</v>
      </c>
      <c r="L36" s="301">
        <v>-10</v>
      </c>
      <c r="M36" s="301">
        <v>-10</v>
      </c>
      <c r="N36" s="301">
        <v>-10</v>
      </c>
      <c r="O36" s="302"/>
      <c r="P36" s="297"/>
      <c r="R36" s="304"/>
      <c r="S36" s="304"/>
      <c r="T36" s="304"/>
      <c r="U36" s="304"/>
      <c r="V36" s="304"/>
      <c r="W36" s="304"/>
      <c r="X36" s="304"/>
      <c r="Y36" s="304"/>
      <c r="Z36" s="304"/>
      <c r="AA36" s="304"/>
      <c r="AB36" s="304"/>
      <c r="AC36" s="304"/>
      <c r="AD36" s="304"/>
      <c r="AE36" s="304"/>
      <c r="AF36" s="304"/>
      <c r="AG36" s="304"/>
      <c r="AH36" s="304"/>
      <c r="AI36" s="304"/>
      <c r="AJ36" s="304"/>
      <c r="AK36" s="304"/>
      <c r="AL36" s="304"/>
      <c r="AM36" s="304"/>
      <c r="AN36" s="304"/>
      <c r="AO36" s="304"/>
      <c r="AP36" s="304"/>
      <c r="AQ36" s="304"/>
      <c r="AR36" s="304"/>
      <c r="AS36" s="304"/>
      <c r="AT36" s="304"/>
      <c r="AU36" s="304"/>
      <c r="AV36" s="304"/>
      <c r="AW36" s="304"/>
      <c r="AX36" s="304"/>
      <c r="AY36" s="304"/>
      <c r="AZ36" s="304"/>
      <c r="BA36" s="304"/>
      <c r="BB36" s="304"/>
      <c r="BC36" s="304"/>
      <c r="BD36" s="304"/>
      <c r="BE36" s="304"/>
      <c r="BF36" s="304"/>
      <c r="BG36" s="304"/>
      <c r="BH36" s="304"/>
      <c r="BI36" s="304"/>
      <c r="BJ36" s="304"/>
      <c r="BK36" s="304"/>
      <c r="BL36" s="304"/>
      <c r="BM36" s="304"/>
      <c r="BN36" s="304"/>
      <c r="BO36" s="304"/>
      <c r="BP36" s="304"/>
    </row>
    <row r="37" spans="1:68" s="303" customFormat="1" ht="48.95" customHeight="1">
      <c r="A37" s="282"/>
      <c r="B37" s="282"/>
      <c r="C37" s="282"/>
      <c r="D37" s="283"/>
      <c r="E37" s="297"/>
      <c r="F37" s="305">
        <v>30</v>
      </c>
      <c r="G37" s="306" t="s">
        <v>788</v>
      </c>
      <c r="H37" s="300" t="s">
        <v>757</v>
      </c>
      <c r="I37" s="301">
        <v>0</v>
      </c>
      <c r="J37" s="301">
        <v>-5</v>
      </c>
      <c r="K37" s="301">
        <v>-5</v>
      </c>
      <c r="L37" s="301">
        <v>-5</v>
      </c>
      <c r="M37" s="301">
        <v>0</v>
      </c>
      <c r="N37" s="301">
        <v>0</v>
      </c>
      <c r="O37" s="302"/>
      <c r="P37" s="297"/>
      <c r="R37" s="304"/>
      <c r="S37" s="304"/>
      <c r="T37" s="304"/>
      <c r="U37" s="304"/>
      <c r="V37" s="304"/>
      <c r="W37" s="304"/>
      <c r="X37" s="304"/>
      <c r="Y37" s="304"/>
      <c r="Z37" s="304"/>
      <c r="AA37" s="304"/>
      <c r="AB37" s="304"/>
      <c r="AC37" s="304"/>
      <c r="AD37" s="304"/>
      <c r="AE37" s="304"/>
      <c r="AF37" s="304"/>
      <c r="AG37" s="304"/>
      <c r="AH37" s="304"/>
      <c r="AI37" s="304"/>
      <c r="AJ37" s="304"/>
      <c r="AK37" s="304"/>
      <c r="AL37" s="304"/>
      <c r="AM37" s="304"/>
      <c r="AN37" s="304"/>
      <c r="AO37" s="304"/>
      <c r="AP37" s="304"/>
      <c r="AQ37" s="304"/>
      <c r="AR37" s="304"/>
      <c r="AS37" s="304"/>
      <c r="AT37" s="304"/>
      <c r="AU37" s="304"/>
      <c r="AV37" s="304"/>
      <c r="AW37" s="304"/>
      <c r="AX37" s="304"/>
      <c r="AY37" s="304"/>
      <c r="AZ37" s="304"/>
      <c r="BA37" s="304"/>
      <c r="BB37" s="304"/>
      <c r="BC37" s="304"/>
      <c r="BD37" s="304"/>
      <c r="BE37" s="304"/>
      <c r="BF37" s="304"/>
      <c r="BG37" s="304"/>
      <c r="BH37" s="304"/>
      <c r="BI37" s="304"/>
      <c r="BJ37" s="304"/>
      <c r="BK37" s="304"/>
      <c r="BL37" s="304"/>
      <c r="BM37" s="304"/>
      <c r="BN37" s="304"/>
      <c r="BO37" s="304"/>
      <c r="BP37" s="304"/>
    </row>
    <row r="38" spans="1:68" s="303" customFormat="1" ht="48.95" customHeight="1">
      <c r="A38" s="282"/>
      <c r="B38" s="282"/>
      <c r="C38" s="282"/>
      <c r="D38" s="283"/>
      <c r="E38" s="297"/>
      <c r="F38" s="305">
        <v>31</v>
      </c>
      <c r="G38" s="306" t="s">
        <v>789</v>
      </c>
      <c r="H38" s="300" t="s">
        <v>757</v>
      </c>
      <c r="I38" s="301">
        <v>0</v>
      </c>
      <c r="J38" s="301">
        <v>-25</v>
      </c>
      <c r="K38" s="301">
        <v>-35</v>
      </c>
      <c r="L38" s="301">
        <v>-35</v>
      </c>
      <c r="M38" s="301">
        <v>-45</v>
      </c>
      <c r="N38" s="301">
        <v>-25</v>
      </c>
      <c r="O38" s="302"/>
      <c r="P38" s="297"/>
      <c r="R38" s="304"/>
      <c r="S38" s="304"/>
      <c r="T38" s="304"/>
      <c r="U38" s="304"/>
      <c r="V38" s="304"/>
      <c r="W38" s="304"/>
      <c r="X38" s="304"/>
      <c r="Y38" s="304"/>
      <c r="Z38" s="304"/>
      <c r="AA38" s="304"/>
      <c r="AB38" s="304"/>
      <c r="AC38" s="304"/>
      <c r="AD38" s="304"/>
      <c r="AE38" s="304"/>
      <c r="AF38" s="304"/>
      <c r="AG38" s="304"/>
      <c r="AH38" s="304"/>
      <c r="AI38" s="304"/>
      <c r="AJ38" s="304"/>
      <c r="AK38" s="304"/>
      <c r="AL38" s="304"/>
      <c r="AM38" s="304"/>
      <c r="AN38" s="304"/>
      <c r="AO38" s="304"/>
      <c r="AP38" s="304"/>
      <c r="AQ38" s="304"/>
      <c r="AR38" s="304"/>
      <c r="AS38" s="304"/>
      <c r="AT38" s="304"/>
      <c r="AU38" s="304"/>
      <c r="AV38" s="304"/>
      <c r="AW38" s="304"/>
      <c r="AX38" s="304"/>
      <c r="AY38" s="304"/>
      <c r="AZ38" s="304"/>
      <c r="BA38" s="304"/>
      <c r="BB38" s="304"/>
      <c r="BC38" s="304"/>
      <c r="BD38" s="304"/>
      <c r="BE38" s="304"/>
      <c r="BF38" s="304"/>
      <c r="BG38" s="304"/>
      <c r="BH38" s="304"/>
      <c r="BI38" s="304"/>
      <c r="BJ38" s="304"/>
      <c r="BK38" s="304"/>
      <c r="BL38" s="304"/>
      <c r="BM38" s="304"/>
      <c r="BN38" s="304"/>
      <c r="BO38" s="304"/>
      <c r="BP38" s="304"/>
    </row>
    <row r="39" spans="1:68" s="303" customFormat="1" ht="48.95" customHeight="1">
      <c r="A39" s="282"/>
      <c r="B39" s="282"/>
      <c r="C39" s="282"/>
      <c r="D39" s="283"/>
      <c r="E39" s="297"/>
      <c r="F39" s="305">
        <v>32</v>
      </c>
      <c r="G39" s="306" t="s">
        <v>790</v>
      </c>
      <c r="H39" s="300" t="s">
        <v>757</v>
      </c>
      <c r="I39" s="301">
        <v>0</v>
      </c>
      <c r="J39" s="301">
        <v>-5</v>
      </c>
      <c r="K39" s="301">
        <v>-5</v>
      </c>
      <c r="L39" s="301">
        <v>-5</v>
      </c>
      <c r="M39" s="301">
        <v>-5</v>
      </c>
      <c r="N39" s="301">
        <v>0</v>
      </c>
      <c r="O39" s="302"/>
      <c r="P39" s="297"/>
      <c r="R39" s="304"/>
      <c r="S39" s="304"/>
      <c r="T39" s="304"/>
      <c r="U39" s="304"/>
      <c r="V39" s="304"/>
      <c r="W39" s="304"/>
      <c r="X39" s="304"/>
      <c r="Y39" s="304"/>
      <c r="Z39" s="304"/>
      <c r="AA39" s="304"/>
      <c r="AB39" s="304"/>
      <c r="AC39" s="304"/>
      <c r="AD39" s="304"/>
      <c r="AE39" s="304"/>
      <c r="AF39" s="304"/>
      <c r="AG39" s="304"/>
      <c r="AH39" s="304"/>
      <c r="AI39" s="304"/>
      <c r="AJ39" s="304"/>
      <c r="AK39" s="304"/>
      <c r="AL39" s="304"/>
      <c r="AM39" s="304"/>
      <c r="AN39" s="304"/>
      <c r="AO39" s="304"/>
      <c r="AP39" s="304"/>
      <c r="AQ39" s="304"/>
      <c r="AR39" s="304"/>
      <c r="AS39" s="304"/>
      <c r="AT39" s="304"/>
      <c r="AU39" s="304"/>
      <c r="AV39" s="304"/>
      <c r="AW39" s="304"/>
      <c r="AX39" s="304"/>
      <c r="AY39" s="304"/>
      <c r="AZ39" s="304"/>
      <c r="BA39" s="304"/>
      <c r="BB39" s="304"/>
      <c r="BC39" s="304"/>
      <c r="BD39" s="304"/>
      <c r="BE39" s="304"/>
      <c r="BF39" s="304"/>
      <c r="BG39" s="304"/>
      <c r="BH39" s="304"/>
      <c r="BI39" s="304"/>
      <c r="BJ39" s="304"/>
      <c r="BK39" s="304"/>
      <c r="BL39" s="304"/>
      <c r="BM39" s="304"/>
      <c r="BN39" s="304"/>
      <c r="BO39" s="304"/>
      <c r="BP39" s="304"/>
    </row>
    <row r="40" spans="1:68" s="303" customFormat="1" ht="48.95" customHeight="1">
      <c r="A40" s="282"/>
      <c r="B40" s="282"/>
      <c r="C40" s="282"/>
      <c r="D40" s="283"/>
      <c r="E40" s="297"/>
      <c r="F40" s="305">
        <v>33</v>
      </c>
      <c r="G40" s="306" t="s">
        <v>791</v>
      </c>
      <c r="H40" s="300" t="s">
        <v>757</v>
      </c>
      <c r="I40" s="301">
        <v>0</v>
      </c>
      <c r="J40" s="301">
        <v>-10</v>
      </c>
      <c r="K40" s="301">
        <v>-5</v>
      </c>
      <c r="L40" s="301">
        <v>-5</v>
      </c>
      <c r="M40" s="301">
        <v>-5</v>
      </c>
      <c r="N40" s="301">
        <v>-5</v>
      </c>
      <c r="O40" s="302"/>
      <c r="P40" s="297"/>
      <c r="R40" s="304"/>
      <c r="S40" s="304"/>
      <c r="T40" s="304"/>
      <c r="U40" s="304"/>
      <c r="V40" s="304"/>
      <c r="W40" s="304"/>
      <c r="X40" s="304"/>
      <c r="Y40" s="304"/>
      <c r="Z40" s="304"/>
      <c r="AA40" s="304"/>
      <c r="AB40" s="304"/>
      <c r="AC40" s="304"/>
      <c r="AD40" s="304"/>
      <c r="AE40" s="304"/>
      <c r="AF40" s="304"/>
      <c r="AG40" s="304"/>
      <c r="AH40" s="304"/>
      <c r="AI40" s="304"/>
      <c r="AJ40" s="304"/>
      <c r="AK40" s="304"/>
      <c r="AL40" s="304"/>
      <c r="AM40" s="304"/>
      <c r="AN40" s="304"/>
      <c r="AO40" s="304"/>
      <c r="AP40" s="304"/>
      <c r="AQ40" s="304"/>
      <c r="AR40" s="304"/>
      <c r="AS40" s="304"/>
      <c r="AT40" s="304"/>
      <c r="AU40" s="304"/>
      <c r="AV40" s="304"/>
      <c r="AW40" s="304"/>
      <c r="AX40" s="304"/>
      <c r="AY40" s="304"/>
      <c r="AZ40" s="304"/>
      <c r="BA40" s="304"/>
      <c r="BB40" s="304"/>
      <c r="BC40" s="304"/>
      <c r="BD40" s="304"/>
      <c r="BE40" s="304"/>
      <c r="BF40" s="304"/>
      <c r="BG40" s="304"/>
      <c r="BH40" s="304"/>
      <c r="BI40" s="304"/>
      <c r="BJ40" s="304"/>
      <c r="BK40" s="304"/>
      <c r="BL40" s="304"/>
      <c r="BM40" s="304"/>
      <c r="BN40" s="304"/>
      <c r="BO40" s="304"/>
      <c r="BP40" s="304"/>
    </row>
    <row r="41" spans="1:68" s="303" customFormat="1" ht="48.95" customHeight="1">
      <c r="A41" s="282"/>
      <c r="B41" s="282"/>
      <c r="C41" s="282"/>
      <c r="D41" s="283"/>
      <c r="E41" s="297"/>
      <c r="F41" s="305">
        <v>34</v>
      </c>
      <c r="G41" s="306" t="s">
        <v>792</v>
      </c>
      <c r="H41" s="300" t="s">
        <v>757</v>
      </c>
      <c r="I41" s="301">
        <v>0</v>
      </c>
      <c r="J41" s="301">
        <v>-5</v>
      </c>
      <c r="K41" s="301">
        <v>-10</v>
      </c>
      <c r="L41" s="301">
        <v>0</v>
      </c>
      <c r="M41" s="301">
        <v>0</v>
      </c>
      <c r="N41" s="301">
        <v>0</v>
      </c>
      <c r="O41" s="302"/>
      <c r="P41" s="297"/>
      <c r="R41" s="304"/>
      <c r="S41" s="304"/>
      <c r="T41" s="304"/>
      <c r="U41" s="304"/>
      <c r="V41" s="304"/>
      <c r="W41" s="304"/>
      <c r="X41" s="304"/>
      <c r="Y41" s="304"/>
      <c r="Z41" s="304"/>
      <c r="AA41" s="304"/>
      <c r="AB41" s="304"/>
      <c r="AC41" s="304"/>
      <c r="AD41" s="304"/>
      <c r="AE41" s="304"/>
      <c r="AF41" s="304"/>
      <c r="AG41" s="304"/>
      <c r="AH41" s="304"/>
      <c r="AI41" s="304"/>
      <c r="AJ41" s="304"/>
      <c r="AK41" s="304"/>
      <c r="AL41" s="304"/>
      <c r="AM41" s="304"/>
      <c r="AN41" s="304"/>
      <c r="AO41" s="304"/>
      <c r="AP41" s="304"/>
      <c r="AQ41" s="304"/>
      <c r="AR41" s="304"/>
      <c r="AS41" s="304"/>
      <c r="AT41" s="304"/>
      <c r="AU41" s="304"/>
      <c r="AV41" s="304"/>
      <c r="AW41" s="304"/>
      <c r="AX41" s="304"/>
      <c r="AY41" s="304"/>
      <c r="AZ41" s="304"/>
      <c r="BA41" s="304"/>
      <c r="BB41" s="304"/>
      <c r="BC41" s="304"/>
      <c r="BD41" s="304"/>
      <c r="BE41" s="304"/>
      <c r="BF41" s="304"/>
      <c r="BG41" s="304"/>
      <c r="BH41" s="304"/>
      <c r="BI41" s="304"/>
      <c r="BJ41" s="304"/>
      <c r="BK41" s="304"/>
      <c r="BL41" s="304"/>
      <c r="BM41" s="304"/>
      <c r="BN41" s="304"/>
      <c r="BO41" s="304"/>
      <c r="BP41" s="304"/>
    </row>
    <row r="42" spans="1:68" s="303" customFormat="1" ht="67.5" customHeight="1">
      <c r="A42" s="282"/>
      <c r="B42" s="282"/>
      <c r="C42" s="282"/>
      <c r="D42" s="283"/>
      <c r="E42" s="297"/>
      <c r="F42" s="305">
        <v>35</v>
      </c>
      <c r="G42" s="306" t="s">
        <v>793</v>
      </c>
      <c r="H42" s="301" t="s">
        <v>169</v>
      </c>
      <c r="I42" s="301">
        <v>0</v>
      </c>
      <c r="J42" s="301">
        <v>0</v>
      </c>
      <c r="K42" s="301">
        <v>-5</v>
      </c>
      <c r="L42" s="301">
        <v>-10</v>
      </c>
      <c r="M42" s="301">
        <v>0</v>
      </c>
      <c r="N42" s="301">
        <v>0</v>
      </c>
      <c r="O42" s="302"/>
      <c r="P42" s="297"/>
      <c r="R42" s="320"/>
      <c r="S42" s="304"/>
      <c r="T42" s="304"/>
      <c r="U42" s="304"/>
      <c r="V42" s="304"/>
      <c r="W42" s="304"/>
      <c r="X42" s="304"/>
      <c r="Y42" s="304"/>
      <c r="Z42" s="304"/>
      <c r="AA42" s="304"/>
      <c r="AB42" s="304"/>
      <c r="AC42" s="304"/>
      <c r="AD42" s="304"/>
      <c r="AE42" s="304"/>
      <c r="AF42" s="304"/>
      <c r="AG42" s="304"/>
      <c r="AH42" s="304"/>
      <c r="AI42" s="304"/>
      <c r="AJ42" s="304"/>
      <c r="AK42" s="304"/>
      <c r="AL42" s="304"/>
      <c r="AM42" s="304"/>
      <c r="AN42" s="304"/>
      <c r="AO42" s="304"/>
      <c r="AP42" s="304"/>
      <c r="AQ42" s="304"/>
      <c r="AR42" s="304"/>
      <c r="AS42" s="304"/>
      <c r="AT42" s="304"/>
      <c r="AU42" s="304"/>
      <c r="AV42" s="304"/>
      <c r="AW42" s="304"/>
      <c r="AX42" s="304"/>
      <c r="AY42" s="304"/>
      <c r="AZ42" s="304"/>
      <c r="BA42" s="304"/>
      <c r="BB42" s="304"/>
      <c r="BC42" s="304"/>
      <c r="BD42" s="304"/>
      <c r="BE42" s="304"/>
      <c r="BF42" s="304"/>
      <c r="BG42" s="304"/>
      <c r="BH42" s="304"/>
      <c r="BI42" s="304"/>
      <c r="BJ42" s="304"/>
      <c r="BK42" s="304"/>
      <c r="BL42" s="304"/>
      <c r="BM42" s="304"/>
      <c r="BN42" s="304"/>
      <c r="BO42" s="304"/>
      <c r="BP42" s="304"/>
    </row>
    <row r="43" spans="1:68" s="303" customFormat="1" ht="48.95" customHeight="1">
      <c r="A43" s="282"/>
      <c r="B43" s="282"/>
      <c r="C43" s="282"/>
      <c r="D43" s="283"/>
      <c r="E43" s="297"/>
      <c r="F43" s="305">
        <v>36</v>
      </c>
      <c r="G43" s="306" t="s">
        <v>794</v>
      </c>
      <c r="H43" s="300" t="s">
        <v>757</v>
      </c>
      <c r="I43" s="301">
        <v>0</v>
      </c>
      <c r="J43" s="301">
        <v>-5</v>
      </c>
      <c r="K43" s="301">
        <v>0</v>
      </c>
      <c r="L43" s="301">
        <v>0</v>
      </c>
      <c r="M43" s="301">
        <v>0</v>
      </c>
      <c r="N43" s="301">
        <v>0</v>
      </c>
      <c r="O43" s="302"/>
      <c r="P43" s="297"/>
      <c r="R43" s="304"/>
      <c r="S43" s="304"/>
      <c r="T43" s="304"/>
      <c r="U43" s="304"/>
      <c r="V43" s="304"/>
      <c r="W43" s="304"/>
      <c r="X43" s="304"/>
      <c r="Y43" s="304"/>
      <c r="Z43" s="304"/>
      <c r="AA43" s="304"/>
      <c r="AB43" s="304"/>
      <c r="AC43" s="304"/>
      <c r="AD43" s="304"/>
      <c r="AE43" s="304"/>
      <c r="AF43" s="304"/>
      <c r="AG43" s="304"/>
      <c r="AH43" s="304"/>
      <c r="AI43" s="304"/>
      <c r="AJ43" s="304"/>
      <c r="AK43" s="304"/>
      <c r="AL43" s="304"/>
      <c r="AM43" s="304"/>
      <c r="AN43" s="304"/>
      <c r="AO43" s="304"/>
      <c r="AP43" s="304"/>
      <c r="AQ43" s="304"/>
      <c r="AR43" s="304"/>
      <c r="AS43" s="304"/>
      <c r="AT43" s="304"/>
      <c r="AU43" s="304"/>
      <c r="AV43" s="304"/>
      <c r="AW43" s="304"/>
      <c r="AX43" s="304"/>
      <c r="AY43" s="304"/>
      <c r="AZ43" s="304"/>
      <c r="BA43" s="304"/>
      <c r="BB43" s="304"/>
      <c r="BC43" s="304"/>
      <c r="BD43" s="304"/>
      <c r="BE43" s="304"/>
      <c r="BF43" s="304"/>
      <c r="BG43" s="304"/>
      <c r="BH43" s="304"/>
      <c r="BI43" s="304"/>
      <c r="BJ43" s="304"/>
      <c r="BK43" s="304"/>
      <c r="BL43" s="304"/>
      <c r="BM43" s="304"/>
      <c r="BN43" s="304"/>
      <c r="BO43" s="304"/>
      <c r="BP43" s="304"/>
    </row>
    <row r="44" spans="1:68" s="316" customFormat="1" ht="5.0999999999999996" customHeight="1" thickBot="1">
      <c r="A44" s="282"/>
      <c r="B44" s="282"/>
      <c r="C44" s="307"/>
      <c r="D44" s="308"/>
      <c r="E44" s="309"/>
      <c r="F44" s="310"/>
      <c r="G44" s="311"/>
      <c r="H44" s="312"/>
      <c r="I44" s="313"/>
      <c r="J44" s="313"/>
      <c r="K44" s="313"/>
      <c r="L44" s="313"/>
      <c r="M44" s="313"/>
      <c r="N44" s="312"/>
      <c r="O44" s="314"/>
      <c r="P44" s="309"/>
      <c r="Q44" s="315"/>
      <c r="R44" s="304"/>
      <c r="S44" s="304"/>
      <c r="T44" s="304"/>
      <c r="U44" s="304"/>
      <c r="V44" s="304"/>
      <c r="W44" s="304"/>
      <c r="X44" s="304"/>
      <c r="Y44" s="304"/>
      <c r="Z44" s="304"/>
      <c r="AA44" s="304"/>
      <c r="AB44" s="304"/>
      <c r="AC44" s="304"/>
      <c r="AD44" s="304"/>
      <c r="AE44" s="304"/>
      <c r="AF44" s="304"/>
      <c r="AG44" s="304"/>
      <c r="AH44" s="304"/>
      <c r="AI44" s="304"/>
      <c r="AJ44" s="304"/>
      <c r="AK44" s="304"/>
      <c r="AL44" s="304"/>
      <c r="AM44" s="304"/>
      <c r="AN44" s="304"/>
      <c r="AO44" s="304"/>
      <c r="AP44" s="304"/>
      <c r="AQ44" s="304"/>
      <c r="AR44" s="304"/>
      <c r="AS44" s="304"/>
      <c r="AT44" s="304"/>
      <c r="AU44" s="304"/>
      <c r="AV44" s="304"/>
      <c r="AW44" s="304"/>
      <c r="AX44" s="304"/>
      <c r="AY44" s="304"/>
      <c r="AZ44" s="304"/>
      <c r="BA44" s="304"/>
      <c r="BB44" s="304"/>
      <c r="BC44" s="304"/>
      <c r="BD44" s="304"/>
      <c r="BE44" s="304"/>
      <c r="BF44" s="304"/>
      <c r="BG44" s="304"/>
      <c r="BH44" s="304"/>
      <c r="BI44" s="304"/>
      <c r="BJ44" s="304"/>
      <c r="BK44" s="304"/>
      <c r="BL44" s="304"/>
      <c r="BM44" s="304"/>
      <c r="BN44" s="304"/>
      <c r="BO44" s="304"/>
      <c r="BP44" s="304"/>
    </row>
    <row r="45" spans="1:68" s="303" customFormat="1" ht="28.5" customHeight="1">
      <c r="A45" s="282"/>
      <c r="B45" s="282"/>
      <c r="C45" s="295"/>
      <c r="D45" s="296"/>
      <c r="E45" s="297"/>
      <c r="F45" s="298" t="s">
        <v>795</v>
      </c>
      <c r="G45" s="299"/>
      <c r="H45" s="300"/>
      <c r="I45" s="301"/>
      <c r="J45" s="301"/>
      <c r="K45" s="301"/>
      <c r="L45" s="301"/>
      <c r="M45" s="301"/>
      <c r="N45" s="301"/>
      <c r="O45" s="302"/>
      <c r="P45" s="297"/>
      <c r="S45" s="304"/>
      <c r="T45" s="304"/>
      <c r="U45" s="304"/>
      <c r="V45" s="304"/>
      <c r="W45" s="304"/>
      <c r="X45" s="304"/>
      <c r="Y45" s="304"/>
      <c r="Z45" s="304"/>
      <c r="AA45" s="304"/>
      <c r="AB45" s="304"/>
      <c r="AC45" s="304"/>
      <c r="AD45" s="304"/>
      <c r="AE45" s="304"/>
      <c r="AF45" s="304"/>
      <c r="AG45" s="304"/>
      <c r="AH45" s="304"/>
      <c r="AI45" s="304"/>
      <c r="AJ45" s="304"/>
      <c r="AK45" s="304"/>
      <c r="AL45" s="304"/>
      <c r="AM45" s="304"/>
      <c r="AN45" s="304"/>
      <c r="AO45" s="304"/>
      <c r="AP45" s="304"/>
      <c r="AQ45" s="304"/>
      <c r="AR45" s="304"/>
      <c r="AS45" s="304"/>
      <c r="AT45" s="304"/>
      <c r="AU45" s="304"/>
      <c r="AV45" s="304"/>
      <c r="AW45" s="304"/>
      <c r="AX45" s="304"/>
      <c r="AY45" s="304"/>
      <c r="AZ45" s="304"/>
      <c r="BA45" s="304"/>
      <c r="BB45" s="304"/>
      <c r="BC45" s="304"/>
      <c r="BD45" s="304"/>
      <c r="BE45" s="304"/>
      <c r="BF45" s="304"/>
      <c r="BG45" s="304"/>
      <c r="BH45" s="304"/>
      <c r="BI45" s="304"/>
      <c r="BJ45" s="304"/>
      <c r="BK45" s="304"/>
      <c r="BL45" s="304"/>
      <c r="BM45" s="304"/>
      <c r="BN45" s="304"/>
      <c r="BO45" s="304"/>
      <c r="BP45" s="304"/>
    </row>
    <row r="46" spans="1:68" s="303" customFormat="1" ht="52.35" customHeight="1">
      <c r="A46" s="282"/>
      <c r="B46" s="282"/>
      <c r="C46" s="282"/>
      <c r="D46" s="283"/>
      <c r="E46" s="297"/>
      <c r="F46" s="305">
        <v>37</v>
      </c>
      <c r="G46" s="319" t="s">
        <v>796</v>
      </c>
      <c r="H46" s="300" t="s">
        <v>757</v>
      </c>
      <c r="I46" s="301">
        <v>0</v>
      </c>
      <c r="J46" s="301">
        <v>0</v>
      </c>
      <c r="K46" s="301">
        <v>0</v>
      </c>
      <c r="L46" s="301">
        <v>1415</v>
      </c>
      <c r="M46" s="301">
        <v>3950</v>
      </c>
      <c r="N46" s="301">
        <v>4900</v>
      </c>
      <c r="O46" s="302"/>
      <c r="P46" s="297"/>
      <c r="R46" s="304"/>
      <c r="S46" s="304"/>
      <c r="T46" s="304"/>
      <c r="U46" s="304"/>
      <c r="V46" s="304"/>
      <c r="W46" s="304"/>
      <c r="X46" s="304"/>
      <c r="Y46" s="304"/>
      <c r="Z46" s="304"/>
      <c r="AA46" s="304"/>
      <c r="AB46" s="304"/>
      <c r="AC46" s="304"/>
      <c r="AD46" s="304"/>
      <c r="AE46" s="304"/>
      <c r="AF46" s="304"/>
      <c r="AG46" s="304"/>
      <c r="AH46" s="304"/>
      <c r="AI46" s="304"/>
      <c r="AJ46" s="304"/>
      <c r="AK46" s="304"/>
      <c r="AL46" s="304"/>
      <c r="AM46" s="304"/>
      <c r="AN46" s="304"/>
      <c r="AO46" s="304"/>
      <c r="AP46" s="304"/>
      <c r="AQ46" s="304"/>
      <c r="AR46" s="304"/>
      <c r="AS46" s="304"/>
      <c r="AT46" s="304"/>
      <c r="AU46" s="304"/>
      <c r="AV46" s="304"/>
      <c r="AW46" s="304"/>
      <c r="AX46" s="304"/>
      <c r="AY46" s="304"/>
      <c r="AZ46" s="304"/>
      <c r="BA46" s="304"/>
      <c r="BB46" s="304"/>
      <c r="BC46" s="304"/>
      <c r="BD46" s="304"/>
      <c r="BE46" s="304"/>
      <c r="BF46" s="304"/>
      <c r="BG46" s="304"/>
      <c r="BH46" s="304"/>
      <c r="BI46" s="304"/>
      <c r="BJ46" s="304"/>
      <c r="BK46" s="304"/>
      <c r="BL46" s="304"/>
      <c r="BM46" s="304"/>
      <c r="BN46" s="304"/>
      <c r="BO46" s="304"/>
      <c r="BP46" s="304"/>
    </row>
    <row r="47" spans="1:68" s="303" customFormat="1" ht="45" customHeight="1">
      <c r="A47" s="282"/>
      <c r="B47" s="282"/>
      <c r="C47" s="282"/>
      <c r="D47" s="283"/>
      <c r="E47" s="297"/>
      <c r="F47" s="305">
        <v>38</v>
      </c>
      <c r="G47" s="306" t="s">
        <v>797</v>
      </c>
      <c r="H47" s="300" t="s">
        <v>757</v>
      </c>
      <c r="I47" s="301">
        <v>-510</v>
      </c>
      <c r="J47" s="301">
        <v>-510</v>
      </c>
      <c r="K47" s="301">
        <v>70</v>
      </c>
      <c r="L47" s="301">
        <v>955</v>
      </c>
      <c r="M47" s="301">
        <v>975</v>
      </c>
      <c r="N47" s="301">
        <v>1010</v>
      </c>
      <c r="O47" s="302"/>
      <c r="P47" s="297"/>
      <c r="R47" s="304"/>
      <c r="S47" s="304"/>
      <c r="T47" s="304"/>
      <c r="U47" s="304"/>
      <c r="V47" s="304"/>
      <c r="W47" s="304"/>
      <c r="X47" s="304"/>
      <c r="Y47" s="304"/>
      <c r="Z47" s="304"/>
      <c r="AA47" s="304"/>
      <c r="AB47" s="304"/>
      <c r="AC47" s="304"/>
      <c r="AD47" s="304"/>
      <c r="AE47" s="304"/>
      <c r="AF47" s="304"/>
      <c r="AG47" s="304"/>
      <c r="AH47" s="304"/>
      <c r="AI47" s="304"/>
      <c r="AJ47" s="304"/>
      <c r="AK47" s="304"/>
      <c r="AL47" s="304"/>
      <c r="AM47" s="304"/>
      <c r="AN47" s="304"/>
      <c r="AO47" s="304"/>
      <c r="AP47" s="304"/>
      <c r="AQ47" s="304"/>
      <c r="AR47" s="304"/>
      <c r="AS47" s="304"/>
      <c r="AT47" s="304"/>
      <c r="AU47" s="304"/>
      <c r="AV47" s="304"/>
      <c r="AW47" s="304"/>
      <c r="AX47" s="304"/>
      <c r="AY47" s="304"/>
      <c r="AZ47" s="304"/>
      <c r="BA47" s="304"/>
      <c r="BB47" s="304"/>
      <c r="BC47" s="304"/>
      <c r="BD47" s="304"/>
      <c r="BE47" s="304"/>
      <c r="BF47" s="304"/>
      <c r="BG47" s="304"/>
      <c r="BH47" s="304"/>
      <c r="BI47" s="304"/>
      <c r="BJ47" s="304"/>
      <c r="BK47" s="304"/>
      <c r="BL47" s="304"/>
      <c r="BM47" s="304"/>
      <c r="BN47" s="304"/>
      <c r="BO47" s="304"/>
      <c r="BP47" s="304"/>
    </row>
    <row r="48" spans="1:68" s="322" customFormat="1" ht="53.1" customHeight="1">
      <c r="A48" s="282"/>
      <c r="B48" s="282"/>
      <c r="C48" s="321"/>
      <c r="D48" s="283"/>
      <c r="F48" s="305">
        <v>39</v>
      </c>
      <c r="G48" s="306" t="s">
        <v>798</v>
      </c>
      <c r="H48" s="300" t="s">
        <v>757</v>
      </c>
      <c r="I48" s="301">
        <v>0</v>
      </c>
      <c r="J48" s="301">
        <v>0</v>
      </c>
      <c r="K48" s="301">
        <v>-355</v>
      </c>
      <c r="L48" s="301">
        <v>0</v>
      </c>
      <c r="M48" s="301">
        <v>0</v>
      </c>
      <c r="N48" s="301">
        <v>0</v>
      </c>
      <c r="O48" s="302"/>
      <c r="R48" s="323"/>
      <c r="S48" s="323"/>
    </row>
    <row r="49" spans="1:68" s="303" customFormat="1" ht="45" customHeight="1">
      <c r="A49" s="282"/>
      <c r="B49" s="282"/>
      <c r="C49" s="317"/>
      <c r="D49" s="283"/>
      <c r="E49" s="324"/>
      <c r="F49" s="305">
        <v>40</v>
      </c>
      <c r="G49" s="306" t="s">
        <v>799</v>
      </c>
      <c r="H49" s="301" t="s">
        <v>757</v>
      </c>
      <c r="I49" s="301">
        <v>-100</v>
      </c>
      <c r="J49" s="301">
        <v>0</v>
      </c>
      <c r="K49" s="301">
        <v>0</v>
      </c>
      <c r="L49" s="301">
        <v>0</v>
      </c>
      <c r="M49" s="301">
        <v>0</v>
      </c>
      <c r="N49" s="301">
        <v>0</v>
      </c>
      <c r="O49" s="302"/>
      <c r="P49" s="324"/>
      <c r="S49" s="318"/>
    </row>
    <row r="50" spans="1:68" s="303" customFormat="1" ht="51" customHeight="1">
      <c r="A50" s="282"/>
      <c r="B50" s="282"/>
      <c r="C50" s="282"/>
      <c r="D50" s="283"/>
      <c r="E50" s="297"/>
      <c r="F50" s="305">
        <v>41</v>
      </c>
      <c r="G50" s="306" t="s">
        <v>800</v>
      </c>
      <c r="H50" s="301" t="s">
        <v>757</v>
      </c>
      <c r="I50" s="301">
        <v>0</v>
      </c>
      <c r="J50" s="301">
        <v>-410</v>
      </c>
      <c r="K50" s="301">
        <v>-490</v>
      </c>
      <c r="L50" s="301">
        <v>-295</v>
      </c>
      <c r="M50" s="301">
        <v>-165</v>
      </c>
      <c r="N50" s="301">
        <v>-220</v>
      </c>
      <c r="O50" s="302"/>
      <c r="P50" s="297"/>
      <c r="R50" s="318"/>
      <c r="S50" s="318"/>
    </row>
    <row r="51" spans="1:68" s="303" customFormat="1" ht="46.5" customHeight="1">
      <c r="A51" s="282"/>
      <c r="B51" s="282"/>
      <c r="C51" s="282"/>
      <c r="D51" s="283"/>
      <c r="E51" s="297"/>
      <c r="F51" s="305">
        <v>42</v>
      </c>
      <c r="G51" s="306" t="s">
        <v>801</v>
      </c>
      <c r="H51" s="300" t="s">
        <v>757</v>
      </c>
      <c r="I51" s="301">
        <v>0</v>
      </c>
      <c r="J51" s="301">
        <v>-5</v>
      </c>
      <c r="K51" s="301">
        <v>0</v>
      </c>
      <c r="L51" s="301">
        <v>0</v>
      </c>
      <c r="M51" s="301">
        <v>0</v>
      </c>
      <c r="N51" s="301">
        <v>0</v>
      </c>
      <c r="O51" s="302"/>
      <c r="P51" s="297"/>
      <c r="R51" s="304"/>
      <c r="S51" s="304"/>
      <c r="T51" s="304"/>
      <c r="U51" s="304"/>
      <c r="V51" s="304"/>
      <c r="W51" s="304"/>
      <c r="X51" s="304"/>
      <c r="Y51" s="304"/>
      <c r="Z51" s="304"/>
      <c r="AA51" s="304"/>
      <c r="AB51" s="304"/>
      <c r="AC51" s="304"/>
      <c r="AD51" s="304"/>
      <c r="AE51" s="304"/>
      <c r="AF51" s="304"/>
      <c r="AG51" s="304"/>
      <c r="AH51" s="304"/>
      <c r="AI51" s="304"/>
      <c r="AJ51" s="304"/>
      <c r="AK51" s="304"/>
      <c r="AL51" s="304"/>
      <c r="AM51" s="304"/>
      <c r="AN51" s="304"/>
      <c r="AO51" s="304"/>
      <c r="AP51" s="304"/>
      <c r="AQ51" s="304"/>
      <c r="AR51" s="304"/>
      <c r="AS51" s="304"/>
      <c r="AT51" s="304"/>
      <c r="AU51" s="304"/>
      <c r="AV51" s="304"/>
      <c r="AW51" s="304"/>
      <c r="AX51" s="304"/>
      <c r="AY51" s="304"/>
      <c r="AZ51" s="304"/>
      <c r="BA51" s="304"/>
      <c r="BB51" s="304"/>
      <c r="BC51" s="304"/>
      <c r="BD51" s="304"/>
      <c r="BE51" s="304"/>
      <c r="BF51" s="304"/>
      <c r="BG51" s="304"/>
      <c r="BH51" s="304"/>
      <c r="BI51" s="304"/>
      <c r="BJ51" s="304"/>
      <c r="BK51" s="304"/>
      <c r="BL51" s="304"/>
      <c r="BM51" s="304"/>
      <c r="BN51" s="304"/>
      <c r="BO51" s="304"/>
      <c r="BP51" s="304"/>
    </row>
    <row r="52" spans="1:68" s="303" customFormat="1" ht="50.1" customHeight="1">
      <c r="A52" s="282"/>
      <c r="B52" s="282"/>
      <c r="C52" s="282"/>
      <c r="D52" s="283"/>
      <c r="E52" s="297"/>
      <c r="F52" s="305">
        <v>43</v>
      </c>
      <c r="G52" s="306" t="s">
        <v>802</v>
      </c>
      <c r="H52" s="300" t="s">
        <v>757</v>
      </c>
      <c r="I52" s="301">
        <v>0</v>
      </c>
      <c r="J52" s="301">
        <v>-10</v>
      </c>
      <c r="K52" s="301">
        <v>-10</v>
      </c>
      <c r="L52" s="301">
        <v>0</v>
      </c>
      <c r="M52" s="301">
        <v>0</v>
      </c>
      <c r="N52" s="301">
        <v>0</v>
      </c>
      <c r="O52" s="302"/>
      <c r="P52" s="297"/>
      <c r="R52" s="304"/>
      <c r="S52" s="304"/>
      <c r="T52" s="304"/>
      <c r="U52" s="304"/>
      <c r="V52" s="304"/>
      <c r="W52" s="304"/>
      <c r="X52" s="304"/>
      <c r="Y52" s="304"/>
      <c r="Z52" s="304"/>
      <c r="AA52" s="304"/>
      <c r="AB52" s="304"/>
      <c r="AC52" s="304"/>
      <c r="AD52" s="304"/>
      <c r="AE52" s="304"/>
      <c r="AF52" s="304"/>
      <c r="AG52" s="304"/>
      <c r="AH52" s="304"/>
      <c r="AI52" s="304"/>
      <c r="AJ52" s="304"/>
      <c r="AK52" s="304"/>
      <c r="AL52" s="304"/>
      <c r="AM52" s="304"/>
      <c r="AN52" s="304"/>
      <c r="AO52" s="304"/>
      <c r="AP52" s="304"/>
      <c r="AQ52" s="304"/>
      <c r="AR52" s="304"/>
      <c r="AS52" s="304"/>
      <c r="AT52" s="304"/>
      <c r="AU52" s="304"/>
      <c r="AV52" s="304"/>
      <c r="AW52" s="304"/>
      <c r="AX52" s="304"/>
      <c r="AY52" s="304"/>
      <c r="AZ52" s="304"/>
      <c r="BA52" s="304"/>
      <c r="BB52" s="304"/>
      <c r="BC52" s="304"/>
      <c r="BD52" s="304"/>
      <c r="BE52" s="304"/>
      <c r="BF52" s="304"/>
      <c r="BG52" s="304"/>
      <c r="BH52" s="304"/>
      <c r="BI52" s="304"/>
      <c r="BJ52" s="304"/>
      <c r="BK52" s="304"/>
      <c r="BL52" s="304"/>
      <c r="BM52" s="304"/>
      <c r="BN52" s="304"/>
      <c r="BO52" s="304"/>
      <c r="BP52" s="304"/>
    </row>
    <row r="53" spans="1:68" s="303" customFormat="1" ht="45" customHeight="1">
      <c r="A53" s="282"/>
      <c r="B53" s="282"/>
      <c r="C53" s="317"/>
      <c r="D53" s="283"/>
      <c r="E53" s="297"/>
      <c r="F53" s="305">
        <v>44</v>
      </c>
      <c r="G53" s="306" t="s">
        <v>803</v>
      </c>
      <c r="H53" s="301" t="s">
        <v>757</v>
      </c>
      <c r="I53" s="301">
        <v>0</v>
      </c>
      <c r="J53" s="301">
        <v>-20</v>
      </c>
      <c r="K53" s="301">
        <v>-5</v>
      </c>
      <c r="L53" s="301">
        <v>35</v>
      </c>
      <c r="M53" s="301">
        <v>10</v>
      </c>
      <c r="N53" s="301">
        <v>10</v>
      </c>
      <c r="O53" s="302"/>
      <c r="P53" s="297"/>
      <c r="R53" s="318"/>
      <c r="S53" s="318"/>
    </row>
    <row r="54" spans="1:68" s="303" customFormat="1" ht="48.95" customHeight="1">
      <c r="A54" s="282"/>
      <c r="B54" s="282"/>
      <c r="C54" s="282"/>
      <c r="D54" s="283"/>
      <c r="E54" s="297"/>
      <c r="F54" s="305">
        <v>45</v>
      </c>
      <c r="G54" s="306" t="s">
        <v>804</v>
      </c>
      <c r="H54" s="300" t="s">
        <v>757</v>
      </c>
      <c r="I54" s="301">
        <v>-30</v>
      </c>
      <c r="J54" s="301">
        <v>0</v>
      </c>
      <c r="K54" s="301">
        <v>0</v>
      </c>
      <c r="L54" s="301">
        <v>0</v>
      </c>
      <c r="M54" s="301">
        <v>0</v>
      </c>
      <c r="N54" s="301">
        <v>0</v>
      </c>
      <c r="O54" s="302"/>
      <c r="P54" s="297"/>
      <c r="R54" s="304"/>
      <c r="S54" s="304"/>
      <c r="T54" s="304"/>
      <c r="U54" s="304"/>
      <c r="V54" s="304"/>
      <c r="W54" s="304"/>
      <c r="X54" s="304"/>
      <c r="Y54" s="304"/>
      <c r="Z54" s="304"/>
      <c r="AA54" s="304"/>
      <c r="AB54" s="304"/>
      <c r="AC54" s="304"/>
      <c r="AD54" s="304"/>
      <c r="AE54" s="304"/>
      <c r="AF54" s="304"/>
      <c r="AG54" s="304"/>
      <c r="AH54" s="304"/>
      <c r="AI54" s="304"/>
      <c r="AJ54" s="304"/>
      <c r="AK54" s="304"/>
      <c r="AL54" s="304"/>
      <c r="AM54" s="304"/>
      <c r="AN54" s="304"/>
      <c r="AO54" s="304"/>
      <c r="AP54" s="304"/>
      <c r="AQ54" s="304"/>
      <c r="AR54" s="304"/>
      <c r="AS54" s="304"/>
      <c r="AT54" s="304"/>
      <c r="AU54" s="304"/>
      <c r="AV54" s="304"/>
      <c r="AW54" s="304"/>
      <c r="AX54" s="304"/>
      <c r="AY54" s="304"/>
      <c r="AZ54" s="304"/>
      <c r="BA54" s="304"/>
      <c r="BB54" s="304"/>
      <c r="BC54" s="304"/>
      <c r="BD54" s="304"/>
      <c r="BE54" s="304"/>
      <c r="BF54" s="304"/>
      <c r="BG54" s="304"/>
      <c r="BH54" s="304"/>
      <c r="BI54" s="304"/>
      <c r="BJ54" s="304"/>
      <c r="BK54" s="304"/>
      <c r="BL54" s="304"/>
      <c r="BM54" s="304"/>
      <c r="BN54" s="304"/>
      <c r="BO54" s="304"/>
      <c r="BP54" s="304"/>
    </row>
    <row r="55" spans="1:68" s="316" customFormat="1" ht="5.0999999999999996" customHeight="1" thickBot="1">
      <c r="A55" s="282"/>
      <c r="B55" s="282"/>
      <c r="C55" s="307"/>
      <c r="D55" s="308"/>
      <c r="E55" s="309"/>
      <c r="F55" s="310" t="s">
        <v>623</v>
      </c>
      <c r="G55" s="311"/>
      <c r="H55" s="312"/>
      <c r="I55" s="313"/>
      <c r="J55" s="313"/>
      <c r="K55" s="313"/>
      <c r="L55" s="313"/>
      <c r="M55" s="313"/>
      <c r="N55" s="312"/>
      <c r="O55" s="314"/>
      <c r="P55" s="309"/>
      <c r="Q55" s="315"/>
      <c r="R55" s="304"/>
      <c r="S55" s="304"/>
      <c r="T55" s="304"/>
      <c r="U55" s="304"/>
      <c r="V55" s="304"/>
      <c r="W55" s="304"/>
      <c r="X55" s="304"/>
      <c r="Y55" s="304"/>
      <c r="Z55" s="304"/>
      <c r="AA55" s="304"/>
      <c r="AB55" s="304"/>
      <c r="AC55" s="304"/>
      <c r="AD55" s="304"/>
      <c r="AE55" s="304"/>
      <c r="AF55" s="304"/>
      <c r="AG55" s="304"/>
      <c r="AH55" s="304"/>
      <c r="AI55" s="304"/>
      <c r="AJ55" s="304"/>
      <c r="AK55" s="304"/>
      <c r="AL55" s="304"/>
      <c r="AM55" s="304"/>
      <c r="AN55" s="304"/>
      <c r="AO55" s="304"/>
      <c r="AP55" s="304"/>
      <c r="AQ55" s="304"/>
      <c r="AR55" s="304"/>
      <c r="AS55" s="304"/>
      <c r="AT55" s="304"/>
      <c r="AU55" s="304"/>
      <c r="AV55" s="304"/>
      <c r="AW55" s="304"/>
      <c r="AX55" s="304"/>
      <c r="AY55" s="304"/>
      <c r="AZ55" s="304"/>
      <c r="BA55" s="304"/>
      <c r="BB55" s="304"/>
      <c r="BC55" s="304"/>
      <c r="BD55" s="304"/>
      <c r="BE55" s="304"/>
      <c r="BF55" s="304"/>
      <c r="BG55" s="304"/>
      <c r="BH55" s="304"/>
      <c r="BI55" s="304"/>
      <c r="BJ55" s="304"/>
      <c r="BK55" s="304"/>
      <c r="BL55" s="304"/>
      <c r="BM55" s="304"/>
      <c r="BN55" s="304"/>
      <c r="BO55" s="304"/>
      <c r="BP55" s="304"/>
    </row>
    <row r="56" spans="1:68" s="303" customFormat="1" ht="28.5" customHeight="1">
      <c r="A56" s="282"/>
      <c r="B56" s="282"/>
      <c r="C56" s="282"/>
      <c r="D56" s="283"/>
      <c r="E56" s="297"/>
      <c r="F56" s="298" t="s">
        <v>805</v>
      </c>
      <c r="G56" s="299"/>
      <c r="H56" s="300"/>
      <c r="I56" s="301"/>
      <c r="J56" s="301"/>
      <c r="K56" s="301"/>
      <c r="L56" s="301"/>
      <c r="M56" s="301"/>
      <c r="N56" s="301"/>
      <c r="O56" s="302"/>
      <c r="P56" s="297"/>
      <c r="S56" s="304"/>
      <c r="T56" s="304"/>
      <c r="U56" s="304"/>
      <c r="V56" s="304"/>
      <c r="W56" s="304"/>
      <c r="X56" s="304"/>
      <c r="Y56" s="304"/>
      <c r="Z56" s="304"/>
      <c r="AA56" s="304"/>
      <c r="AB56" s="304"/>
      <c r="AC56" s="304"/>
      <c r="AD56" s="304"/>
      <c r="AE56" s="304"/>
      <c r="AF56" s="304"/>
      <c r="AG56" s="304"/>
      <c r="AH56" s="304"/>
      <c r="AI56" s="304"/>
      <c r="AJ56" s="304"/>
      <c r="AK56" s="304"/>
      <c r="AL56" s="304"/>
      <c r="AM56" s="304"/>
      <c r="AN56" s="304"/>
      <c r="AO56" s="304"/>
      <c r="AP56" s="304"/>
      <c r="AQ56" s="304"/>
      <c r="AR56" s="304"/>
      <c r="AS56" s="304"/>
      <c r="AT56" s="304"/>
      <c r="AU56" s="304"/>
      <c r="AV56" s="304"/>
      <c r="AW56" s="304"/>
      <c r="AX56" s="304"/>
      <c r="AY56" s="304"/>
      <c r="AZ56" s="304"/>
      <c r="BA56" s="304"/>
      <c r="BB56" s="304"/>
      <c r="BC56" s="304"/>
      <c r="BD56" s="304"/>
      <c r="BE56" s="304"/>
      <c r="BF56" s="304"/>
      <c r="BG56" s="304"/>
      <c r="BH56" s="304"/>
      <c r="BI56" s="304"/>
      <c r="BJ56" s="304"/>
      <c r="BK56" s="304"/>
      <c r="BL56" s="304"/>
      <c r="BM56" s="304"/>
      <c r="BN56" s="304"/>
      <c r="BO56" s="304"/>
      <c r="BP56" s="304"/>
    </row>
    <row r="57" spans="1:68" s="303" customFormat="1" ht="53.1" customHeight="1">
      <c r="A57" s="282"/>
      <c r="B57" s="282"/>
      <c r="C57" s="282"/>
      <c r="D57" s="283"/>
      <c r="E57" s="297"/>
      <c r="F57" s="305">
        <v>46</v>
      </c>
      <c r="G57" s="306" t="s">
        <v>806</v>
      </c>
      <c r="H57" s="301" t="s">
        <v>169</v>
      </c>
      <c r="I57" s="301">
        <v>0</v>
      </c>
      <c r="J57" s="301">
        <v>0</v>
      </c>
      <c r="K57" s="301">
        <v>-25</v>
      </c>
      <c r="L57" s="301">
        <v>3365</v>
      </c>
      <c r="M57" s="301">
        <v>7780</v>
      </c>
      <c r="N57" s="301">
        <v>12435</v>
      </c>
      <c r="O57" s="302"/>
      <c r="P57" s="297"/>
      <c r="R57" s="304"/>
      <c r="S57" s="304"/>
      <c r="T57" s="304"/>
      <c r="U57" s="304"/>
      <c r="V57" s="304"/>
      <c r="W57" s="304"/>
      <c r="X57" s="304"/>
      <c r="Y57" s="304"/>
      <c r="Z57" s="304"/>
      <c r="AA57" s="304"/>
      <c r="AB57" s="304"/>
      <c r="AC57" s="304"/>
      <c r="AD57" s="304"/>
      <c r="AE57" s="304"/>
      <c r="AF57" s="304"/>
      <c r="AG57" s="304"/>
      <c r="AH57" s="304"/>
      <c r="AI57" s="304"/>
      <c r="AJ57" s="304"/>
      <c r="AK57" s="304"/>
      <c r="AL57" s="304"/>
      <c r="AM57" s="304"/>
      <c r="AN57" s="304"/>
      <c r="AO57" s="304"/>
      <c r="AP57" s="304"/>
      <c r="AQ57" s="304"/>
      <c r="AR57" s="304"/>
      <c r="AS57" s="304"/>
      <c r="AT57" s="304"/>
      <c r="AU57" s="304"/>
      <c r="AV57" s="304"/>
      <c r="AW57" s="304"/>
      <c r="AX57" s="304"/>
      <c r="AY57" s="304"/>
      <c r="AZ57" s="304"/>
      <c r="BA57" s="304"/>
      <c r="BB57" s="304"/>
      <c r="BC57" s="304"/>
      <c r="BD57" s="304"/>
      <c r="BE57" s="304"/>
      <c r="BF57" s="304"/>
      <c r="BG57" s="304"/>
      <c r="BH57" s="304"/>
      <c r="BI57" s="304"/>
      <c r="BJ57" s="304"/>
      <c r="BK57" s="304"/>
      <c r="BL57" s="304"/>
      <c r="BM57" s="304"/>
      <c r="BN57" s="304"/>
      <c r="BO57" s="304"/>
      <c r="BP57" s="304"/>
    </row>
    <row r="58" spans="1:68" s="303" customFormat="1" ht="53.1" customHeight="1">
      <c r="A58" s="282"/>
      <c r="B58" s="282"/>
      <c r="C58" s="282"/>
      <c r="D58" s="283"/>
      <c r="E58" s="297"/>
      <c r="F58" s="305">
        <v>47</v>
      </c>
      <c r="G58" s="306" t="s">
        <v>807</v>
      </c>
      <c r="H58" s="300" t="s">
        <v>169</v>
      </c>
      <c r="I58" s="301">
        <v>0</v>
      </c>
      <c r="J58" s="301">
        <v>0</v>
      </c>
      <c r="K58" s="301">
        <v>-5</v>
      </c>
      <c r="L58" s="301">
        <v>290</v>
      </c>
      <c r="M58" s="301">
        <v>615</v>
      </c>
      <c r="N58" s="301">
        <v>925</v>
      </c>
      <c r="O58" s="302"/>
      <c r="P58" s="297"/>
      <c r="R58" s="304"/>
      <c r="S58" s="304"/>
      <c r="T58" s="304"/>
      <c r="U58" s="304"/>
      <c r="V58" s="304"/>
      <c r="W58" s="304"/>
      <c r="X58" s="304"/>
      <c r="Y58" s="304"/>
      <c r="Z58" s="304"/>
      <c r="AA58" s="304"/>
      <c r="AB58" s="304"/>
      <c r="AC58" s="304"/>
      <c r="AD58" s="304"/>
      <c r="AE58" s="304"/>
      <c r="AF58" s="304"/>
      <c r="AG58" s="304"/>
      <c r="AH58" s="304"/>
      <c r="AI58" s="304"/>
      <c r="AJ58" s="304"/>
      <c r="AK58" s="304"/>
      <c r="AL58" s="304"/>
      <c r="AM58" s="304"/>
      <c r="AN58" s="304"/>
      <c r="AO58" s="304"/>
      <c r="AP58" s="304"/>
      <c r="AQ58" s="304"/>
      <c r="AR58" s="304"/>
      <c r="AS58" s="304"/>
      <c r="AT58" s="304"/>
      <c r="AU58" s="304"/>
      <c r="AV58" s="304"/>
      <c r="AW58" s="304"/>
      <c r="AX58" s="304"/>
      <c r="AY58" s="304"/>
      <c r="AZ58" s="304"/>
      <c r="BA58" s="304"/>
      <c r="BB58" s="304"/>
      <c r="BC58" s="304"/>
      <c r="BD58" s="304"/>
      <c r="BE58" s="304"/>
      <c r="BF58" s="304"/>
      <c r="BG58" s="304"/>
      <c r="BH58" s="304"/>
      <c r="BI58" s="304"/>
      <c r="BJ58" s="304"/>
      <c r="BK58" s="304"/>
      <c r="BL58" s="304"/>
      <c r="BM58" s="304"/>
      <c r="BN58" s="304"/>
      <c r="BO58" s="304"/>
      <c r="BP58" s="304"/>
    </row>
    <row r="59" spans="1:68" s="303" customFormat="1" ht="45" customHeight="1">
      <c r="A59" s="282"/>
      <c r="B59" s="282"/>
      <c r="C59" s="317"/>
      <c r="D59" s="283"/>
      <c r="E59" s="297"/>
      <c r="F59" s="305">
        <v>48</v>
      </c>
      <c r="G59" s="306" t="s">
        <v>808</v>
      </c>
      <c r="H59" s="301" t="s">
        <v>757</v>
      </c>
      <c r="I59" s="301">
        <v>285</v>
      </c>
      <c r="J59" s="301">
        <v>5915</v>
      </c>
      <c r="K59" s="301">
        <v>255</v>
      </c>
      <c r="L59" s="301">
        <v>290</v>
      </c>
      <c r="M59" s="301">
        <v>355</v>
      </c>
      <c r="N59" s="301">
        <v>380</v>
      </c>
      <c r="O59" s="302"/>
      <c r="P59" s="297"/>
      <c r="R59" s="318"/>
      <c r="S59" s="318"/>
    </row>
    <row r="60" spans="1:68" s="303" customFormat="1" ht="45" customHeight="1">
      <c r="A60" s="282"/>
      <c r="B60" s="282"/>
      <c r="C60" s="282"/>
      <c r="D60" s="283"/>
      <c r="E60" s="297"/>
      <c r="F60" s="305">
        <v>49</v>
      </c>
      <c r="G60" s="306" t="s">
        <v>809</v>
      </c>
      <c r="H60" s="300" t="s">
        <v>169</v>
      </c>
      <c r="I60" s="301">
        <v>0</v>
      </c>
      <c r="J60" s="301">
        <v>0</v>
      </c>
      <c r="K60" s="301">
        <v>5</v>
      </c>
      <c r="L60" s="301">
        <v>590</v>
      </c>
      <c r="M60" s="301">
        <v>435</v>
      </c>
      <c r="N60" s="301">
        <v>445</v>
      </c>
      <c r="O60" s="302"/>
      <c r="P60" s="297"/>
      <c r="R60" s="304"/>
      <c r="S60" s="304"/>
      <c r="T60" s="304"/>
      <c r="U60" s="304"/>
      <c r="V60" s="304"/>
      <c r="W60" s="304"/>
      <c r="X60" s="304"/>
      <c r="Y60" s="304"/>
      <c r="Z60" s="304"/>
      <c r="AA60" s="304"/>
      <c r="AB60" s="304"/>
      <c r="AC60" s="304"/>
      <c r="AD60" s="304"/>
      <c r="AE60" s="304"/>
      <c r="AF60" s="304"/>
      <c r="AG60" s="304"/>
      <c r="AH60" s="304"/>
      <c r="AI60" s="304"/>
      <c r="AJ60" s="304"/>
      <c r="AK60" s="304"/>
      <c r="AL60" s="304"/>
      <c r="AM60" s="304"/>
      <c r="AN60" s="304"/>
      <c r="AO60" s="304"/>
      <c r="AP60" s="304"/>
      <c r="AQ60" s="304"/>
      <c r="AR60" s="304"/>
      <c r="AS60" s="304"/>
      <c r="AT60" s="304"/>
      <c r="AU60" s="304"/>
      <c r="AV60" s="304"/>
      <c r="AW60" s="304"/>
      <c r="AX60" s="304"/>
      <c r="AY60" s="304"/>
      <c r="AZ60" s="304"/>
      <c r="BA60" s="304"/>
      <c r="BB60" s="304"/>
      <c r="BC60" s="304"/>
      <c r="BD60" s="304"/>
      <c r="BE60" s="304"/>
      <c r="BF60" s="304"/>
      <c r="BG60" s="304"/>
      <c r="BH60" s="304"/>
      <c r="BI60" s="304"/>
      <c r="BJ60" s="304"/>
      <c r="BK60" s="304"/>
      <c r="BL60" s="304"/>
      <c r="BM60" s="304"/>
      <c r="BN60" s="304"/>
      <c r="BO60" s="304"/>
      <c r="BP60" s="304"/>
    </row>
    <row r="61" spans="1:68" s="303" customFormat="1" ht="45" customHeight="1">
      <c r="A61" s="282"/>
      <c r="B61" s="282"/>
      <c r="C61" s="282"/>
      <c r="D61" s="283"/>
      <c r="E61" s="297"/>
      <c r="F61" s="305">
        <v>50</v>
      </c>
      <c r="G61" s="306" t="s">
        <v>810</v>
      </c>
      <c r="H61" s="300" t="s">
        <v>169</v>
      </c>
      <c r="I61" s="301">
        <v>0</v>
      </c>
      <c r="J61" s="301">
        <v>280</v>
      </c>
      <c r="K61" s="301">
        <v>985</v>
      </c>
      <c r="L61" s="301">
        <v>1160</v>
      </c>
      <c r="M61" s="301">
        <v>1325</v>
      </c>
      <c r="N61" s="301">
        <v>1390</v>
      </c>
      <c r="O61" s="302"/>
      <c r="P61" s="297"/>
      <c r="R61" s="304"/>
      <c r="S61" s="304"/>
      <c r="T61" s="304"/>
      <c r="U61" s="304"/>
      <c r="V61" s="304"/>
      <c r="W61" s="304"/>
      <c r="X61" s="304"/>
      <c r="Y61" s="304"/>
      <c r="Z61" s="304"/>
      <c r="AA61" s="304"/>
      <c r="AB61" s="304"/>
      <c r="AC61" s="304"/>
      <c r="AD61" s="304"/>
      <c r="AE61" s="304"/>
      <c r="AF61" s="304"/>
      <c r="AG61" s="304"/>
      <c r="AH61" s="304"/>
      <c r="AI61" s="304"/>
      <c r="AJ61" s="304"/>
      <c r="AK61" s="304"/>
      <c r="AL61" s="304"/>
      <c r="AM61" s="304"/>
      <c r="AN61" s="304"/>
      <c r="AO61" s="304"/>
      <c r="AP61" s="304"/>
      <c r="AQ61" s="304"/>
      <c r="AR61" s="304"/>
      <c r="AS61" s="304"/>
      <c r="AT61" s="304"/>
      <c r="AU61" s="304"/>
      <c r="AV61" s="304"/>
      <c r="AW61" s="304"/>
      <c r="AX61" s="304"/>
      <c r="AY61" s="304"/>
      <c r="AZ61" s="304"/>
      <c r="BA61" s="304"/>
      <c r="BB61" s="304"/>
      <c r="BC61" s="304"/>
      <c r="BD61" s="304"/>
      <c r="BE61" s="304"/>
      <c r="BF61" s="304"/>
      <c r="BG61" s="304"/>
      <c r="BH61" s="304"/>
      <c r="BI61" s="304"/>
      <c r="BJ61" s="304"/>
      <c r="BK61" s="304"/>
      <c r="BL61" s="304"/>
      <c r="BM61" s="304"/>
      <c r="BN61" s="304"/>
      <c r="BO61" s="304"/>
      <c r="BP61" s="304"/>
    </row>
    <row r="62" spans="1:68" s="303" customFormat="1" ht="67.5" customHeight="1">
      <c r="A62" s="282"/>
      <c r="B62" s="282"/>
      <c r="C62" s="282"/>
      <c r="D62" s="283"/>
      <c r="E62" s="297"/>
      <c r="F62" s="305">
        <v>51</v>
      </c>
      <c r="G62" s="306" t="s">
        <v>811</v>
      </c>
      <c r="H62" s="300" t="s">
        <v>169</v>
      </c>
      <c r="I62" s="301">
        <v>0</v>
      </c>
      <c r="J62" s="301">
        <v>5</v>
      </c>
      <c r="K62" s="301">
        <v>55</v>
      </c>
      <c r="L62" s="301">
        <v>525</v>
      </c>
      <c r="M62" s="301">
        <v>470</v>
      </c>
      <c r="N62" s="301">
        <v>505</v>
      </c>
      <c r="O62" s="302"/>
      <c r="P62" s="297"/>
      <c r="R62" s="304"/>
      <c r="S62" s="304"/>
      <c r="T62" s="304"/>
      <c r="U62" s="304"/>
      <c r="V62" s="304"/>
      <c r="W62" s="304"/>
      <c r="X62" s="304"/>
      <c r="Y62" s="304"/>
      <c r="Z62" s="304"/>
      <c r="AA62" s="304"/>
      <c r="AB62" s="304"/>
      <c r="AC62" s="304"/>
      <c r="AD62" s="304"/>
      <c r="AE62" s="304"/>
      <c r="AF62" s="304"/>
      <c r="AG62" s="304"/>
      <c r="AH62" s="304"/>
      <c r="AI62" s="304"/>
      <c r="AJ62" s="304"/>
      <c r="AK62" s="304"/>
      <c r="AL62" s="304"/>
      <c r="AM62" s="304"/>
      <c r="AN62" s="304"/>
      <c r="AO62" s="304"/>
      <c r="AP62" s="304"/>
      <c r="AQ62" s="304"/>
      <c r="AR62" s="304"/>
      <c r="AS62" s="304"/>
      <c r="AT62" s="304"/>
      <c r="AU62" s="304"/>
      <c r="AV62" s="304"/>
      <c r="AW62" s="304"/>
      <c r="AX62" s="304"/>
      <c r="AY62" s="304"/>
      <c r="AZ62" s="304"/>
      <c r="BA62" s="304"/>
      <c r="BB62" s="304"/>
      <c r="BC62" s="304"/>
      <c r="BD62" s="304"/>
      <c r="BE62" s="304"/>
      <c r="BF62" s="304"/>
      <c r="BG62" s="304"/>
      <c r="BH62" s="304"/>
      <c r="BI62" s="304"/>
      <c r="BJ62" s="304"/>
      <c r="BK62" s="304"/>
      <c r="BL62" s="304"/>
      <c r="BM62" s="304"/>
      <c r="BN62" s="304"/>
      <c r="BO62" s="304"/>
      <c r="BP62" s="304"/>
    </row>
    <row r="63" spans="1:68" s="303" customFormat="1" ht="54.95" customHeight="1">
      <c r="A63" s="282"/>
      <c r="B63" s="282"/>
      <c r="C63" s="282"/>
      <c r="D63" s="283"/>
      <c r="E63" s="297"/>
      <c r="F63" s="305">
        <v>52</v>
      </c>
      <c r="G63" s="306" t="s">
        <v>812</v>
      </c>
      <c r="H63" s="300" t="s">
        <v>169</v>
      </c>
      <c r="I63" s="301">
        <v>0</v>
      </c>
      <c r="J63" s="301">
        <v>-40</v>
      </c>
      <c r="K63" s="301">
        <v>-55</v>
      </c>
      <c r="L63" s="301">
        <v>-75</v>
      </c>
      <c r="M63" s="301">
        <v>4845</v>
      </c>
      <c r="N63" s="301">
        <v>2585</v>
      </c>
      <c r="O63" s="302"/>
      <c r="P63" s="297"/>
      <c r="R63" s="304"/>
      <c r="S63" s="304"/>
      <c r="T63" s="304"/>
      <c r="U63" s="304"/>
      <c r="V63" s="304"/>
      <c r="W63" s="304"/>
      <c r="X63" s="304"/>
      <c r="Y63" s="304"/>
      <c r="Z63" s="304"/>
      <c r="AA63" s="304"/>
      <c r="AB63" s="304"/>
      <c r="AC63" s="304"/>
      <c r="AD63" s="304"/>
      <c r="AE63" s="304"/>
      <c r="AF63" s="304"/>
      <c r="AG63" s="304"/>
      <c r="AH63" s="304"/>
      <c r="AI63" s="304"/>
      <c r="AJ63" s="304"/>
      <c r="AK63" s="304"/>
      <c r="AL63" s="304"/>
      <c r="AM63" s="304"/>
      <c r="AN63" s="304"/>
      <c r="AO63" s="304"/>
      <c r="AP63" s="304"/>
      <c r="AQ63" s="304"/>
      <c r="AR63" s="304"/>
      <c r="AS63" s="304"/>
      <c r="AT63" s="304"/>
      <c r="AU63" s="304"/>
      <c r="AV63" s="304"/>
      <c r="AW63" s="304"/>
      <c r="AX63" s="304"/>
      <c r="AY63" s="304"/>
      <c r="AZ63" s="304"/>
      <c r="BA63" s="304"/>
      <c r="BB63" s="304"/>
      <c r="BC63" s="304"/>
      <c r="BD63" s="304"/>
      <c r="BE63" s="304"/>
      <c r="BF63" s="304"/>
      <c r="BG63" s="304"/>
      <c r="BH63" s="304"/>
      <c r="BI63" s="304"/>
      <c r="BJ63" s="304"/>
      <c r="BK63" s="304"/>
      <c r="BL63" s="304"/>
      <c r="BM63" s="304"/>
      <c r="BN63" s="304"/>
      <c r="BO63" s="304"/>
      <c r="BP63" s="304"/>
    </row>
    <row r="64" spans="1:68" s="303" customFormat="1" ht="45" customHeight="1">
      <c r="A64" s="282"/>
      <c r="B64" s="282"/>
      <c r="C64" s="282"/>
      <c r="D64" s="283"/>
      <c r="E64" s="297"/>
      <c r="F64" s="305">
        <v>53</v>
      </c>
      <c r="G64" s="306" t="s">
        <v>813</v>
      </c>
      <c r="H64" s="300" t="s">
        <v>169</v>
      </c>
      <c r="I64" s="301">
        <v>0</v>
      </c>
      <c r="J64" s="301">
        <v>185</v>
      </c>
      <c r="K64" s="301">
        <v>775</v>
      </c>
      <c r="L64" s="301">
        <v>825</v>
      </c>
      <c r="M64" s="301">
        <v>905</v>
      </c>
      <c r="N64" s="301">
        <v>985</v>
      </c>
      <c r="O64" s="302"/>
      <c r="P64" s="297"/>
      <c r="R64" s="304"/>
      <c r="S64" s="304"/>
      <c r="T64" s="304"/>
      <c r="U64" s="304"/>
      <c r="V64" s="304"/>
      <c r="W64" s="304"/>
      <c r="X64" s="304"/>
      <c r="Y64" s="304"/>
      <c r="Z64" s="304"/>
      <c r="AA64" s="304"/>
      <c r="AB64" s="304"/>
      <c r="AC64" s="304"/>
      <c r="AD64" s="304"/>
      <c r="AE64" s="304"/>
      <c r="AF64" s="304"/>
      <c r="AG64" s="304"/>
      <c r="AH64" s="304"/>
      <c r="AI64" s="304"/>
      <c r="AJ64" s="304"/>
      <c r="AK64" s="304"/>
      <c r="AL64" s="304"/>
      <c r="AM64" s="304"/>
      <c r="AN64" s="304"/>
      <c r="AO64" s="304"/>
      <c r="AP64" s="304"/>
      <c r="AQ64" s="304"/>
      <c r="AR64" s="304"/>
      <c r="AS64" s="304"/>
      <c r="AT64" s="304"/>
      <c r="AU64" s="304"/>
      <c r="AV64" s="304"/>
      <c r="AW64" s="304"/>
      <c r="AX64" s="304"/>
      <c r="AY64" s="304"/>
      <c r="AZ64" s="304"/>
      <c r="BA64" s="304"/>
      <c r="BB64" s="304"/>
      <c r="BC64" s="304"/>
      <c r="BD64" s="304"/>
      <c r="BE64" s="304"/>
      <c r="BF64" s="304"/>
      <c r="BG64" s="304"/>
      <c r="BH64" s="304"/>
      <c r="BI64" s="304"/>
      <c r="BJ64" s="304"/>
      <c r="BK64" s="304"/>
      <c r="BL64" s="304"/>
      <c r="BM64" s="304"/>
      <c r="BN64" s="304"/>
      <c r="BO64" s="304"/>
      <c r="BP64" s="304"/>
    </row>
    <row r="65" spans="1:68" s="303" customFormat="1" ht="58.5" customHeight="1">
      <c r="A65" s="282"/>
      <c r="B65" s="282"/>
      <c r="C65" s="282"/>
      <c r="D65" s="283"/>
      <c r="E65" s="297"/>
      <c r="F65" s="305">
        <v>54</v>
      </c>
      <c r="G65" s="306" t="s">
        <v>814</v>
      </c>
      <c r="H65" s="300" t="s">
        <v>169</v>
      </c>
      <c r="I65" s="301">
        <v>-60</v>
      </c>
      <c r="J65" s="301">
        <v>-120</v>
      </c>
      <c r="K65" s="301">
        <v>-155</v>
      </c>
      <c r="L65" s="301">
        <v>400</v>
      </c>
      <c r="M65" s="301">
        <v>430</v>
      </c>
      <c r="N65" s="301">
        <v>435</v>
      </c>
      <c r="O65" s="302"/>
      <c r="P65" s="297"/>
      <c r="R65" s="304"/>
      <c r="S65" s="304"/>
      <c r="T65" s="304"/>
      <c r="U65" s="304"/>
      <c r="V65" s="304"/>
      <c r="W65" s="304"/>
      <c r="X65" s="304"/>
      <c r="Y65" s="304"/>
      <c r="Z65" s="304"/>
      <c r="AA65" s="304"/>
      <c r="AB65" s="304"/>
      <c r="AC65" s="304"/>
      <c r="AD65" s="304"/>
      <c r="AE65" s="304"/>
      <c r="AF65" s="304"/>
      <c r="AG65" s="304"/>
      <c r="AH65" s="304"/>
      <c r="AI65" s="304"/>
      <c r="AJ65" s="304"/>
      <c r="AK65" s="304"/>
      <c r="AL65" s="304"/>
      <c r="AM65" s="304"/>
      <c r="AN65" s="304"/>
      <c r="AO65" s="304"/>
      <c r="AP65" s="304"/>
      <c r="AQ65" s="304"/>
      <c r="AR65" s="304"/>
      <c r="AS65" s="304"/>
      <c r="AT65" s="304"/>
      <c r="AU65" s="304"/>
      <c r="AV65" s="304"/>
      <c r="AW65" s="304"/>
      <c r="AX65" s="304"/>
      <c r="AY65" s="304"/>
      <c r="AZ65" s="304"/>
      <c r="BA65" s="304"/>
      <c r="BB65" s="304"/>
      <c r="BC65" s="304"/>
      <c r="BD65" s="304"/>
      <c r="BE65" s="304"/>
      <c r="BF65" s="304"/>
      <c r="BG65" s="304"/>
      <c r="BH65" s="304"/>
      <c r="BI65" s="304"/>
      <c r="BJ65" s="304"/>
      <c r="BK65" s="304"/>
      <c r="BL65" s="304"/>
      <c r="BM65" s="304"/>
      <c r="BN65" s="304"/>
      <c r="BO65" s="304"/>
      <c r="BP65" s="304"/>
    </row>
    <row r="66" spans="1:68" s="303" customFormat="1" ht="52.5" customHeight="1">
      <c r="A66" s="282"/>
      <c r="B66" s="282"/>
      <c r="C66" s="282"/>
      <c r="D66" s="283"/>
      <c r="E66" s="297"/>
      <c r="F66" s="305">
        <v>55</v>
      </c>
      <c r="G66" s="306" t="s">
        <v>815</v>
      </c>
      <c r="H66" s="300" t="s">
        <v>169</v>
      </c>
      <c r="I66" s="301">
        <v>0</v>
      </c>
      <c r="J66" s="301">
        <v>0</v>
      </c>
      <c r="K66" s="301">
        <v>0</v>
      </c>
      <c r="L66" s="301">
        <v>0</v>
      </c>
      <c r="M66" s="301">
        <v>0</v>
      </c>
      <c r="N66" s="301">
        <v>130</v>
      </c>
      <c r="O66" s="302"/>
      <c r="P66" s="297"/>
      <c r="R66" s="304"/>
      <c r="S66" s="304"/>
      <c r="T66" s="304"/>
      <c r="U66" s="304"/>
      <c r="V66" s="304"/>
      <c r="W66" s="304"/>
      <c r="X66" s="304"/>
      <c r="Y66" s="304"/>
      <c r="Z66" s="304"/>
      <c r="AA66" s="304"/>
      <c r="AB66" s="304"/>
      <c r="AC66" s="304"/>
      <c r="AD66" s="304"/>
      <c r="AE66" s="304"/>
      <c r="AF66" s="304"/>
      <c r="AG66" s="304"/>
      <c r="AH66" s="304"/>
      <c r="AI66" s="304"/>
      <c r="AJ66" s="304"/>
      <c r="AK66" s="304"/>
      <c r="AL66" s="304"/>
      <c r="AM66" s="304"/>
      <c r="AN66" s="304"/>
      <c r="AO66" s="304"/>
      <c r="AP66" s="304"/>
      <c r="AQ66" s="304"/>
      <c r="AR66" s="304"/>
      <c r="AS66" s="304"/>
      <c r="AT66" s="304"/>
      <c r="AU66" s="304"/>
      <c r="AV66" s="304"/>
      <c r="AW66" s="304"/>
      <c r="AX66" s="304"/>
      <c r="AY66" s="304"/>
      <c r="AZ66" s="304"/>
      <c r="BA66" s="304"/>
      <c r="BB66" s="304"/>
      <c r="BC66" s="304"/>
      <c r="BD66" s="304"/>
      <c r="BE66" s="304"/>
      <c r="BF66" s="304"/>
      <c r="BG66" s="304"/>
      <c r="BH66" s="304"/>
      <c r="BI66" s="304"/>
      <c r="BJ66" s="304"/>
      <c r="BK66" s="304"/>
      <c r="BL66" s="304"/>
      <c r="BM66" s="304"/>
      <c r="BN66" s="304"/>
      <c r="BO66" s="304"/>
      <c r="BP66" s="304"/>
    </row>
    <row r="67" spans="1:68" s="303" customFormat="1" ht="54.95" customHeight="1">
      <c r="A67" s="282"/>
      <c r="B67" s="282"/>
      <c r="C67" s="282"/>
      <c r="D67" s="283"/>
      <c r="E67" s="297"/>
      <c r="F67" s="305">
        <v>56</v>
      </c>
      <c r="G67" s="306" t="s">
        <v>816</v>
      </c>
      <c r="H67" s="300" t="s">
        <v>169</v>
      </c>
      <c r="I67" s="301">
        <v>0</v>
      </c>
      <c r="J67" s="301">
        <v>-5</v>
      </c>
      <c r="K67" s="301">
        <v>110</v>
      </c>
      <c r="L67" s="301">
        <v>155</v>
      </c>
      <c r="M67" s="301">
        <v>140</v>
      </c>
      <c r="N67" s="301">
        <v>110</v>
      </c>
      <c r="O67" s="302"/>
      <c r="P67" s="297"/>
      <c r="R67" s="304"/>
      <c r="S67" s="304"/>
      <c r="T67" s="304"/>
      <c r="U67" s="304"/>
      <c r="V67" s="304"/>
      <c r="W67" s="304"/>
      <c r="X67" s="304"/>
      <c r="Y67" s="304"/>
      <c r="Z67" s="304"/>
      <c r="AA67" s="304"/>
      <c r="AB67" s="304"/>
      <c r="AC67" s="304"/>
      <c r="AD67" s="304"/>
      <c r="AE67" s="304"/>
      <c r="AF67" s="304"/>
      <c r="AG67" s="304"/>
      <c r="AH67" s="304"/>
      <c r="AI67" s="304"/>
      <c r="AJ67" s="304"/>
      <c r="AK67" s="304"/>
      <c r="AL67" s="304"/>
      <c r="AM67" s="304"/>
      <c r="AN67" s="304"/>
      <c r="AO67" s="304"/>
      <c r="AP67" s="304"/>
      <c r="AQ67" s="304"/>
      <c r="AR67" s="304"/>
      <c r="AS67" s="304"/>
      <c r="AT67" s="304"/>
      <c r="AU67" s="304"/>
      <c r="AV67" s="304"/>
      <c r="AW67" s="304"/>
      <c r="AX67" s="304"/>
      <c r="AY67" s="304"/>
      <c r="AZ67" s="304"/>
      <c r="BA67" s="304"/>
      <c r="BB67" s="304"/>
      <c r="BC67" s="304"/>
      <c r="BD67" s="304"/>
      <c r="BE67" s="304"/>
      <c r="BF67" s="304"/>
      <c r="BG67" s="304"/>
      <c r="BH67" s="304"/>
      <c r="BI67" s="304"/>
      <c r="BJ67" s="304"/>
      <c r="BK67" s="304"/>
      <c r="BL67" s="304"/>
      <c r="BM67" s="304"/>
      <c r="BN67" s="304"/>
      <c r="BO67" s="304"/>
      <c r="BP67" s="304"/>
    </row>
    <row r="68" spans="1:68" s="303" customFormat="1" ht="63.75" customHeight="1">
      <c r="A68" s="282"/>
      <c r="B68" s="282"/>
      <c r="C68" s="282"/>
      <c r="D68" s="283"/>
      <c r="E68" s="297"/>
      <c r="F68" s="305">
        <v>57</v>
      </c>
      <c r="G68" s="306" t="s">
        <v>817</v>
      </c>
      <c r="H68" s="300" t="s">
        <v>169</v>
      </c>
      <c r="I68" s="301">
        <v>35</v>
      </c>
      <c r="J68" s="301">
        <v>1035</v>
      </c>
      <c r="K68" s="301">
        <v>1505</v>
      </c>
      <c r="L68" s="301">
        <v>1490</v>
      </c>
      <c r="M68" s="301">
        <v>1470</v>
      </c>
      <c r="N68" s="301">
        <v>1450</v>
      </c>
      <c r="O68" s="302"/>
      <c r="P68" s="297"/>
      <c r="R68" s="304"/>
      <c r="S68" s="304"/>
      <c r="T68" s="304"/>
      <c r="U68" s="304"/>
      <c r="V68" s="304"/>
      <c r="W68" s="304"/>
      <c r="X68" s="304"/>
      <c r="Y68" s="304"/>
      <c r="Z68" s="304"/>
      <c r="AA68" s="304"/>
      <c r="AB68" s="304"/>
      <c r="AC68" s="304"/>
      <c r="AD68" s="304"/>
      <c r="AE68" s="304"/>
      <c r="AF68" s="304"/>
      <c r="AG68" s="304"/>
      <c r="AH68" s="304"/>
      <c r="AI68" s="304"/>
      <c r="AJ68" s="304"/>
      <c r="AK68" s="304"/>
      <c r="AL68" s="304"/>
      <c r="AM68" s="304"/>
      <c r="AN68" s="304"/>
      <c r="AO68" s="304"/>
      <c r="AP68" s="304"/>
      <c r="AQ68" s="304"/>
      <c r="AR68" s="304"/>
      <c r="AS68" s="304"/>
      <c r="AT68" s="304"/>
      <c r="AU68" s="304"/>
      <c r="AV68" s="304"/>
      <c r="AW68" s="304"/>
      <c r="AX68" s="304"/>
      <c r="AY68" s="304"/>
      <c r="AZ68" s="304"/>
      <c r="BA68" s="304"/>
      <c r="BB68" s="304"/>
      <c r="BC68" s="304"/>
      <c r="BD68" s="304"/>
      <c r="BE68" s="304"/>
      <c r="BF68" s="304"/>
      <c r="BG68" s="304"/>
      <c r="BH68" s="304"/>
      <c r="BI68" s="304"/>
      <c r="BJ68" s="304"/>
      <c r="BK68" s="304"/>
      <c r="BL68" s="304"/>
      <c r="BM68" s="304"/>
      <c r="BN68" s="304"/>
      <c r="BO68" s="304"/>
      <c r="BP68" s="304"/>
    </row>
    <row r="69" spans="1:68" s="303" customFormat="1" ht="39.75" customHeight="1">
      <c r="A69" s="282"/>
      <c r="B69" s="282"/>
      <c r="C69" s="282"/>
      <c r="D69" s="283"/>
      <c r="E69" s="297"/>
      <c r="F69" s="305">
        <v>58</v>
      </c>
      <c r="G69" s="306" t="s">
        <v>818</v>
      </c>
      <c r="H69" s="300" t="s">
        <v>169</v>
      </c>
      <c r="I69" s="301">
        <v>0</v>
      </c>
      <c r="J69" s="301">
        <v>0</v>
      </c>
      <c r="K69" s="301">
        <v>10</v>
      </c>
      <c r="L69" s="301">
        <v>10</v>
      </c>
      <c r="M69" s="301">
        <v>10</v>
      </c>
      <c r="N69" s="301">
        <v>10</v>
      </c>
      <c r="O69" s="302"/>
      <c r="P69" s="297"/>
      <c r="R69" s="304"/>
      <c r="S69" s="304"/>
      <c r="T69" s="304"/>
      <c r="U69" s="304"/>
      <c r="V69" s="304"/>
      <c r="W69" s="304"/>
      <c r="X69" s="304"/>
      <c r="Y69" s="304"/>
      <c r="Z69" s="304"/>
      <c r="AA69" s="304"/>
      <c r="AB69" s="304"/>
      <c r="AC69" s="304"/>
      <c r="AD69" s="304"/>
      <c r="AE69" s="304"/>
      <c r="AF69" s="304"/>
      <c r="AG69" s="304"/>
      <c r="AH69" s="304"/>
      <c r="AI69" s="304"/>
      <c r="AJ69" s="304"/>
      <c r="AK69" s="304"/>
      <c r="AL69" s="304"/>
      <c r="AM69" s="304"/>
      <c r="AN69" s="304"/>
      <c r="AO69" s="304"/>
      <c r="AP69" s="304"/>
      <c r="AQ69" s="304"/>
      <c r="AR69" s="304"/>
      <c r="AS69" s="304"/>
      <c r="AT69" s="304"/>
      <c r="AU69" s="304"/>
      <c r="AV69" s="304"/>
      <c r="AW69" s="304"/>
      <c r="AX69" s="304"/>
      <c r="AY69" s="304"/>
      <c r="AZ69" s="304"/>
      <c r="BA69" s="304"/>
      <c r="BB69" s="304"/>
      <c r="BC69" s="304"/>
      <c r="BD69" s="304"/>
      <c r="BE69" s="304"/>
      <c r="BF69" s="304"/>
      <c r="BG69" s="304"/>
      <c r="BH69" s="304"/>
      <c r="BI69" s="304"/>
      <c r="BJ69" s="304"/>
      <c r="BK69" s="304"/>
      <c r="BL69" s="304"/>
      <c r="BM69" s="304"/>
      <c r="BN69" s="304"/>
      <c r="BO69" s="304"/>
      <c r="BP69" s="304"/>
    </row>
    <row r="70" spans="1:68" s="303" customFormat="1" ht="45.6" customHeight="1">
      <c r="A70" s="282"/>
      <c r="B70" s="282"/>
      <c r="C70" s="282"/>
      <c r="D70" s="283"/>
      <c r="E70" s="297"/>
      <c r="F70" s="305">
        <v>59</v>
      </c>
      <c r="G70" s="306" t="s">
        <v>819</v>
      </c>
      <c r="H70" s="300" t="s">
        <v>169</v>
      </c>
      <c r="I70" s="301">
        <v>75</v>
      </c>
      <c r="J70" s="301">
        <v>435</v>
      </c>
      <c r="K70" s="301">
        <v>695</v>
      </c>
      <c r="L70" s="301">
        <v>1250</v>
      </c>
      <c r="M70" s="301">
        <v>2415</v>
      </c>
      <c r="N70" s="301">
        <v>2590</v>
      </c>
      <c r="O70" s="302"/>
      <c r="P70" s="297"/>
      <c r="R70" s="304"/>
      <c r="S70" s="304"/>
      <c r="T70" s="304"/>
      <c r="U70" s="304"/>
      <c r="V70" s="304"/>
      <c r="W70" s="304"/>
      <c r="X70" s="304"/>
      <c r="Y70" s="304"/>
      <c r="Z70" s="304"/>
      <c r="AA70" s="304"/>
      <c r="AB70" s="304"/>
      <c r="AC70" s="304"/>
      <c r="AD70" s="304"/>
      <c r="AE70" s="304"/>
      <c r="AF70" s="304"/>
      <c r="AG70" s="304"/>
      <c r="AH70" s="304"/>
      <c r="AI70" s="304"/>
      <c r="AJ70" s="304"/>
      <c r="AK70" s="304"/>
      <c r="AL70" s="304"/>
      <c r="AM70" s="304"/>
      <c r="AN70" s="304"/>
      <c r="AO70" s="304"/>
      <c r="AP70" s="304"/>
      <c r="AQ70" s="304"/>
      <c r="AR70" s="304"/>
      <c r="AS70" s="304"/>
      <c r="AT70" s="304"/>
      <c r="AU70" s="304"/>
      <c r="AV70" s="304"/>
      <c r="AW70" s="304"/>
      <c r="AX70" s="304"/>
      <c r="AY70" s="304"/>
      <c r="AZ70" s="304"/>
      <c r="BA70" s="304"/>
      <c r="BB70" s="304"/>
      <c r="BC70" s="304"/>
      <c r="BD70" s="304"/>
      <c r="BE70" s="304"/>
      <c r="BF70" s="304"/>
      <c r="BG70" s="304"/>
      <c r="BH70" s="304"/>
      <c r="BI70" s="304"/>
      <c r="BJ70" s="304"/>
      <c r="BK70" s="304"/>
      <c r="BL70" s="304"/>
      <c r="BM70" s="304"/>
      <c r="BN70" s="304"/>
      <c r="BO70" s="304"/>
      <c r="BP70" s="304"/>
    </row>
    <row r="71" spans="1:68" s="316" customFormat="1" ht="5.0999999999999996" customHeight="1" thickBot="1">
      <c r="A71" s="282"/>
      <c r="B71" s="282"/>
      <c r="C71" s="307"/>
      <c r="D71" s="308"/>
      <c r="E71" s="309"/>
      <c r="F71" s="310" t="s">
        <v>623</v>
      </c>
      <c r="G71" s="311"/>
      <c r="H71" s="312"/>
      <c r="I71" s="313"/>
      <c r="J71" s="313"/>
      <c r="K71" s="313"/>
      <c r="L71" s="313"/>
      <c r="M71" s="313"/>
      <c r="N71" s="312"/>
      <c r="O71" s="314"/>
      <c r="P71" s="309"/>
      <c r="Q71" s="315"/>
      <c r="R71" s="304"/>
      <c r="S71" s="304"/>
      <c r="T71" s="304"/>
      <c r="U71" s="304"/>
      <c r="V71" s="304"/>
      <c r="W71" s="304"/>
      <c r="X71" s="304"/>
      <c r="Y71" s="304"/>
      <c r="Z71" s="304"/>
      <c r="AA71" s="304"/>
      <c r="AB71" s="304"/>
      <c r="AC71" s="304"/>
      <c r="AD71" s="304"/>
      <c r="AE71" s="304"/>
      <c r="AF71" s="304"/>
      <c r="AG71" s="304"/>
      <c r="AH71" s="304"/>
      <c r="AI71" s="304"/>
      <c r="AJ71" s="304"/>
      <c r="AK71" s="304"/>
      <c r="AL71" s="304"/>
      <c r="AM71" s="304"/>
      <c r="AN71" s="304"/>
      <c r="AO71" s="304"/>
      <c r="AP71" s="304"/>
      <c r="AQ71" s="304"/>
      <c r="AR71" s="304"/>
      <c r="AS71" s="304"/>
      <c r="AT71" s="304"/>
      <c r="AU71" s="304"/>
      <c r="AV71" s="304"/>
      <c r="AW71" s="304"/>
      <c r="AX71" s="304"/>
      <c r="AY71" s="304"/>
      <c r="AZ71" s="304"/>
      <c r="BA71" s="304"/>
      <c r="BB71" s="304"/>
      <c r="BC71" s="304"/>
      <c r="BD71" s="304"/>
      <c r="BE71" s="304"/>
      <c r="BF71" s="304"/>
      <c r="BG71" s="304"/>
      <c r="BH71" s="304"/>
      <c r="BI71" s="304"/>
      <c r="BJ71" s="304"/>
      <c r="BK71" s="304"/>
      <c r="BL71" s="304"/>
      <c r="BM71" s="304"/>
      <c r="BN71" s="304"/>
      <c r="BO71" s="304"/>
      <c r="BP71" s="304"/>
    </row>
    <row r="72" spans="1:68" s="303" customFormat="1" ht="45" customHeight="1">
      <c r="A72" s="282"/>
      <c r="B72" s="282"/>
      <c r="C72" s="282"/>
      <c r="D72" s="283"/>
      <c r="E72" s="297"/>
      <c r="F72" s="298" t="s">
        <v>820</v>
      </c>
      <c r="G72" s="306"/>
      <c r="H72" s="300"/>
      <c r="I72" s="301"/>
      <c r="J72" s="301"/>
      <c r="K72" s="301"/>
      <c r="L72" s="301"/>
      <c r="M72" s="301"/>
      <c r="N72" s="301"/>
      <c r="O72" s="302"/>
      <c r="P72" s="297"/>
      <c r="R72" s="304"/>
      <c r="S72" s="304"/>
      <c r="T72" s="304"/>
      <c r="U72" s="304"/>
      <c r="V72" s="304"/>
      <c r="W72" s="304"/>
      <c r="X72" s="304"/>
      <c r="Y72" s="304"/>
      <c r="Z72" s="304"/>
      <c r="AA72" s="304"/>
      <c r="AB72" s="304"/>
      <c r="AC72" s="304"/>
      <c r="AD72" s="304"/>
      <c r="AE72" s="304"/>
      <c r="AF72" s="304"/>
      <c r="AG72" s="304"/>
      <c r="AH72" s="304"/>
      <c r="AI72" s="304"/>
      <c r="AJ72" s="304"/>
      <c r="AK72" s="304"/>
      <c r="AL72" s="304"/>
      <c r="AM72" s="304"/>
      <c r="AN72" s="304"/>
      <c r="AO72" s="304"/>
      <c r="AP72" s="304"/>
      <c r="AQ72" s="304"/>
      <c r="AR72" s="304"/>
      <c r="AS72" s="304"/>
      <c r="AT72" s="304"/>
      <c r="AU72" s="304"/>
      <c r="AV72" s="304"/>
      <c r="AW72" s="304"/>
      <c r="AX72" s="304"/>
      <c r="AY72" s="304"/>
      <c r="AZ72" s="304"/>
      <c r="BA72" s="304"/>
      <c r="BB72" s="304"/>
      <c r="BC72" s="304"/>
      <c r="BD72" s="304"/>
      <c r="BE72" s="304"/>
      <c r="BF72" s="304"/>
      <c r="BG72" s="304"/>
      <c r="BH72" s="304"/>
      <c r="BI72" s="304"/>
      <c r="BJ72" s="304"/>
      <c r="BK72" s="304"/>
      <c r="BL72" s="304"/>
      <c r="BM72" s="304"/>
      <c r="BN72" s="304"/>
      <c r="BO72" s="304"/>
      <c r="BP72" s="304"/>
    </row>
    <row r="73" spans="1:68" s="303" customFormat="1" ht="72" customHeight="1">
      <c r="A73" s="282"/>
      <c r="B73" s="282"/>
      <c r="C73" s="282"/>
      <c r="D73" s="283"/>
      <c r="E73" s="297"/>
      <c r="F73" s="305">
        <v>60</v>
      </c>
      <c r="G73" s="306" t="s">
        <v>821</v>
      </c>
      <c r="H73" s="300" t="s">
        <v>169</v>
      </c>
      <c r="I73" s="301">
        <v>0</v>
      </c>
      <c r="J73" s="301">
        <v>810</v>
      </c>
      <c r="K73" s="301">
        <v>1065</v>
      </c>
      <c r="L73" s="301">
        <v>1100</v>
      </c>
      <c r="M73" s="301">
        <v>1135</v>
      </c>
      <c r="N73" s="301">
        <v>1155</v>
      </c>
      <c r="O73" s="302"/>
      <c r="P73" s="297"/>
      <c r="R73" s="304"/>
      <c r="S73" s="304"/>
      <c r="T73" s="304"/>
      <c r="U73" s="304"/>
      <c r="V73" s="304"/>
      <c r="W73" s="304"/>
      <c r="X73" s="304"/>
      <c r="Y73" s="304"/>
      <c r="Z73" s="304"/>
      <c r="AA73" s="304"/>
      <c r="AB73" s="304"/>
      <c r="AC73" s="304"/>
      <c r="AD73" s="304"/>
      <c r="AE73" s="304"/>
      <c r="AF73" s="304"/>
      <c r="AG73" s="304"/>
      <c r="AH73" s="304"/>
      <c r="AI73" s="304"/>
      <c r="AJ73" s="304"/>
      <c r="AK73" s="304"/>
      <c r="AL73" s="304"/>
      <c r="AM73" s="304"/>
      <c r="AN73" s="304"/>
      <c r="AO73" s="304"/>
      <c r="AP73" s="304"/>
      <c r="AQ73" s="304"/>
      <c r="AR73" s="304"/>
      <c r="AS73" s="304"/>
      <c r="AT73" s="304"/>
      <c r="AU73" s="304"/>
      <c r="AV73" s="304"/>
      <c r="AW73" s="304"/>
      <c r="AX73" s="304"/>
      <c r="AY73" s="304"/>
      <c r="AZ73" s="304"/>
      <c r="BA73" s="304"/>
      <c r="BB73" s="304"/>
      <c r="BC73" s="304"/>
      <c r="BD73" s="304"/>
      <c r="BE73" s="304"/>
      <c r="BF73" s="304"/>
      <c r="BG73" s="304"/>
      <c r="BH73" s="304"/>
      <c r="BI73" s="304"/>
      <c r="BJ73" s="304"/>
      <c r="BK73" s="304"/>
      <c r="BL73" s="304"/>
      <c r="BM73" s="304"/>
      <c r="BN73" s="304"/>
      <c r="BO73" s="304"/>
      <c r="BP73" s="304"/>
    </row>
    <row r="74" spans="1:68" s="303" customFormat="1" ht="60" customHeight="1">
      <c r="A74" s="282"/>
      <c r="B74" s="282"/>
      <c r="C74" s="282"/>
      <c r="D74" s="283"/>
      <c r="E74" s="297"/>
      <c r="F74" s="305">
        <v>61</v>
      </c>
      <c r="G74" s="306" t="s">
        <v>822</v>
      </c>
      <c r="H74" s="300" t="s">
        <v>757</v>
      </c>
      <c r="I74" s="301">
        <v>0</v>
      </c>
      <c r="J74" s="301">
        <v>-5</v>
      </c>
      <c r="K74" s="301">
        <v>-10</v>
      </c>
      <c r="L74" s="301">
        <v>-10</v>
      </c>
      <c r="M74" s="301">
        <v>0</v>
      </c>
      <c r="N74" s="301">
        <v>0</v>
      </c>
      <c r="O74" s="302"/>
      <c r="P74" s="297"/>
      <c r="R74" s="304"/>
      <c r="S74" s="304"/>
      <c r="T74" s="304"/>
      <c r="U74" s="304"/>
      <c r="V74" s="304"/>
      <c r="W74" s="304"/>
      <c r="X74" s="304"/>
      <c r="Y74" s="304"/>
      <c r="Z74" s="304"/>
      <c r="AA74" s="304"/>
      <c r="AB74" s="304"/>
      <c r="AC74" s="304"/>
      <c r="AD74" s="304"/>
      <c r="AE74" s="304"/>
      <c r="AF74" s="304"/>
      <c r="AG74" s="304"/>
      <c r="AH74" s="304"/>
      <c r="AI74" s="304"/>
      <c r="AJ74" s="304"/>
      <c r="AK74" s="304"/>
      <c r="AL74" s="304"/>
      <c r="AM74" s="304"/>
      <c r="AN74" s="304"/>
      <c r="AO74" s="304"/>
      <c r="AP74" s="304"/>
      <c r="AQ74" s="304"/>
      <c r="AR74" s="304"/>
      <c r="AS74" s="304"/>
      <c r="AT74" s="304"/>
      <c r="AU74" s="304"/>
      <c r="AV74" s="304"/>
      <c r="AW74" s="304"/>
      <c r="AX74" s="304"/>
      <c r="AY74" s="304"/>
      <c r="AZ74" s="304"/>
      <c r="BA74" s="304"/>
      <c r="BB74" s="304"/>
      <c r="BC74" s="304"/>
      <c r="BD74" s="304"/>
      <c r="BE74" s="304"/>
      <c r="BF74" s="304"/>
      <c r="BG74" s="304"/>
      <c r="BH74" s="304"/>
      <c r="BI74" s="304"/>
      <c r="BJ74" s="304"/>
      <c r="BK74" s="304"/>
      <c r="BL74" s="304"/>
      <c r="BM74" s="304"/>
      <c r="BN74" s="304"/>
      <c r="BO74" s="304"/>
      <c r="BP74" s="304"/>
    </row>
    <row r="75" spans="1:68" s="303" customFormat="1" ht="64.349999999999994" customHeight="1">
      <c r="A75" s="282"/>
      <c r="B75" s="282"/>
      <c r="C75" s="282"/>
      <c r="D75" s="283"/>
      <c r="E75" s="297"/>
      <c r="F75" s="305">
        <v>62</v>
      </c>
      <c r="G75" s="306" t="s">
        <v>823</v>
      </c>
      <c r="H75" s="300" t="s">
        <v>169</v>
      </c>
      <c r="I75" s="301">
        <v>190</v>
      </c>
      <c r="J75" s="301">
        <v>725</v>
      </c>
      <c r="K75" s="301">
        <v>665</v>
      </c>
      <c r="L75" s="301">
        <v>655</v>
      </c>
      <c r="M75" s="301">
        <v>650</v>
      </c>
      <c r="N75" s="301">
        <v>675</v>
      </c>
      <c r="O75" s="302"/>
      <c r="P75" s="297"/>
      <c r="R75" s="304"/>
      <c r="S75" s="304"/>
      <c r="T75" s="304"/>
      <c r="U75" s="304"/>
      <c r="V75" s="304"/>
      <c r="W75" s="304"/>
      <c r="X75" s="304"/>
      <c r="Y75" s="304"/>
      <c r="Z75" s="304"/>
      <c r="AA75" s="304"/>
      <c r="AB75" s="304"/>
      <c r="AC75" s="304"/>
      <c r="AD75" s="304"/>
      <c r="AE75" s="304"/>
      <c r="AF75" s="304"/>
      <c r="AG75" s="304"/>
      <c r="AH75" s="304"/>
      <c r="AI75" s="304"/>
      <c r="AJ75" s="304"/>
      <c r="AK75" s="304"/>
      <c r="AL75" s="304"/>
      <c r="AM75" s="304"/>
      <c r="AN75" s="304"/>
      <c r="AO75" s="304"/>
      <c r="AP75" s="304"/>
      <c r="AQ75" s="304"/>
      <c r="AR75" s="304"/>
      <c r="AS75" s="304"/>
      <c r="AT75" s="304"/>
      <c r="AU75" s="304"/>
      <c r="AV75" s="304"/>
      <c r="AW75" s="304"/>
      <c r="AX75" s="304"/>
      <c r="AY75" s="304"/>
      <c r="AZ75" s="304"/>
      <c r="BA75" s="304"/>
      <c r="BB75" s="304"/>
      <c r="BC75" s="304"/>
      <c r="BD75" s="304"/>
      <c r="BE75" s="304"/>
      <c r="BF75" s="304"/>
      <c r="BG75" s="304"/>
      <c r="BH75" s="304"/>
      <c r="BI75" s="304"/>
      <c r="BJ75" s="304"/>
      <c r="BK75" s="304"/>
      <c r="BL75" s="304"/>
      <c r="BM75" s="304"/>
      <c r="BN75" s="304"/>
      <c r="BO75" s="304"/>
      <c r="BP75" s="304"/>
    </row>
    <row r="76" spans="1:68" s="303" customFormat="1" ht="51" customHeight="1">
      <c r="A76" s="282"/>
      <c r="B76" s="282"/>
      <c r="C76" s="282"/>
      <c r="D76" s="283"/>
      <c r="E76" s="297"/>
      <c r="F76" s="305">
        <v>63</v>
      </c>
      <c r="G76" s="306" t="s">
        <v>824</v>
      </c>
      <c r="H76" s="300" t="s">
        <v>169</v>
      </c>
      <c r="I76" s="301">
        <v>0</v>
      </c>
      <c r="J76" s="301">
        <v>0</v>
      </c>
      <c r="K76" s="301">
        <v>0</v>
      </c>
      <c r="L76" s="301">
        <v>40</v>
      </c>
      <c r="M76" s="301">
        <v>535</v>
      </c>
      <c r="N76" s="301">
        <v>555</v>
      </c>
      <c r="O76" s="302"/>
      <c r="P76" s="297"/>
      <c r="R76" s="304"/>
      <c r="S76" s="304"/>
      <c r="T76" s="304"/>
      <c r="U76" s="304"/>
      <c r="V76" s="304"/>
      <c r="W76" s="304"/>
      <c r="X76" s="304"/>
      <c r="Y76" s="304"/>
      <c r="Z76" s="304"/>
      <c r="AA76" s="304"/>
      <c r="AB76" s="304"/>
      <c r="AC76" s="304"/>
      <c r="AD76" s="304"/>
      <c r="AE76" s="304"/>
      <c r="AF76" s="304"/>
      <c r="AG76" s="304"/>
      <c r="AH76" s="304"/>
      <c r="AI76" s="304"/>
      <c r="AJ76" s="304"/>
      <c r="AK76" s="304"/>
      <c r="AL76" s="304"/>
      <c r="AM76" s="304"/>
      <c r="AN76" s="304"/>
      <c r="AO76" s="304"/>
      <c r="AP76" s="304"/>
      <c r="AQ76" s="304"/>
      <c r="AR76" s="304"/>
      <c r="AS76" s="304"/>
      <c r="AT76" s="304"/>
      <c r="AU76" s="304"/>
      <c r="AV76" s="304"/>
      <c r="AW76" s="304"/>
      <c r="AX76" s="304"/>
      <c r="AY76" s="304"/>
      <c r="AZ76" s="304"/>
      <c r="BA76" s="304"/>
      <c r="BB76" s="304"/>
      <c r="BC76" s="304"/>
      <c r="BD76" s="304"/>
      <c r="BE76" s="304"/>
      <c r="BF76" s="304"/>
      <c r="BG76" s="304"/>
      <c r="BH76" s="304"/>
      <c r="BI76" s="304"/>
      <c r="BJ76" s="304"/>
      <c r="BK76" s="304"/>
      <c r="BL76" s="304"/>
      <c r="BM76" s="304"/>
      <c r="BN76" s="304"/>
      <c r="BO76" s="304"/>
      <c r="BP76" s="304"/>
    </row>
    <row r="77" spans="1:68" s="303" customFormat="1" ht="45" customHeight="1">
      <c r="A77" s="282"/>
      <c r="B77" s="282"/>
      <c r="C77" s="282"/>
      <c r="D77" s="283"/>
      <c r="E77" s="297"/>
      <c r="F77" s="305">
        <v>64</v>
      </c>
      <c r="G77" s="306" t="s">
        <v>825</v>
      </c>
      <c r="H77" s="300" t="s">
        <v>169</v>
      </c>
      <c r="I77" s="301">
        <v>0</v>
      </c>
      <c r="J77" s="301">
        <v>0</v>
      </c>
      <c r="K77" s="301">
        <v>0</v>
      </c>
      <c r="L77" s="301">
        <v>75</v>
      </c>
      <c r="M77" s="301">
        <v>290</v>
      </c>
      <c r="N77" s="301">
        <v>285</v>
      </c>
      <c r="O77" s="302"/>
      <c r="P77" s="297"/>
      <c r="R77" s="304"/>
      <c r="S77" s="304"/>
      <c r="T77" s="304"/>
      <c r="U77" s="304"/>
      <c r="V77" s="304"/>
      <c r="W77" s="304"/>
      <c r="X77" s="304"/>
      <c r="Y77" s="304"/>
      <c r="Z77" s="304"/>
      <c r="AA77" s="304"/>
      <c r="AB77" s="304"/>
      <c r="AC77" s="304"/>
      <c r="AD77" s="304"/>
      <c r="AE77" s="304"/>
      <c r="AF77" s="304"/>
      <c r="AG77" s="304"/>
      <c r="AH77" s="304"/>
      <c r="AI77" s="304"/>
      <c r="AJ77" s="304"/>
      <c r="AK77" s="304"/>
      <c r="AL77" s="304"/>
      <c r="AM77" s="304"/>
      <c r="AN77" s="304"/>
      <c r="AO77" s="304"/>
      <c r="AP77" s="304"/>
      <c r="AQ77" s="304"/>
      <c r="AR77" s="304"/>
      <c r="AS77" s="304"/>
      <c r="AT77" s="304"/>
      <c r="AU77" s="304"/>
      <c r="AV77" s="304"/>
      <c r="AW77" s="304"/>
      <c r="AX77" s="304"/>
      <c r="AY77" s="304"/>
      <c r="AZ77" s="304"/>
      <c r="BA77" s="304"/>
      <c r="BB77" s="304"/>
      <c r="BC77" s="304"/>
      <c r="BD77" s="304"/>
      <c r="BE77" s="304"/>
      <c r="BF77" s="304"/>
      <c r="BG77" s="304"/>
      <c r="BH77" s="304"/>
      <c r="BI77" s="304"/>
      <c r="BJ77" s="304"/>
      <c r="BK77" s="304"/>
      <c r="BL77" s="304"/>
      <c r="BM77" s="304"/>
      <c r="BN77" s="304"/>
      <c r="BO77" s="304"/>
      <c r="BP77" s="304"/>
    </row>
    <row r="78" spans="1:68" s="303" customFormat="1" ht="54" customHeight="1">
      <c r="A78" s="282"/>
      <c r="B78" s="282"/>
      <c r="C78" s="282"/>
      <c r="D78" s="283"/>
      <c r="E78" s="297"/>
      <c r="F78" s="305">
        <v>65</v>
      </c>
      <c r="G78" s="306" t="s">
        <v>826</v>
      </c>
      <c r="H78" s="300" t="s">
        <v>169</v>
      </c>
      <c r="I78" s="301">
        <v>0</v>
      </c>
      <c r="J78" s="301">
        <v>30</v>
      </c>
      <c r="K78" s="301">
        <v>120</v>
      </c>
      <c r="L78" s="301">
        <v>125</v>
      </c>
      <c r="M78" s="301">
        <v>135</v>
      </c>
      <c r="N78" s="301">
        <v>145</v>
      </c>
      <c r="O78" s="302"/>
      <c r="P78" s="297"/>
      <c r="R78" s="304"/>
      <c r="S78" s="304"/>
      <c r="T78" s="304"/>
      <c r="U78" s="304"/>
      <c r="V78" s="304"/>
      <c r="W78" s="304"/>
      <c r="X78" s="304"/>
      <c r="Y78" s="304"/>
      <c r="Z78" s="304"/>
      <c r="AA78" s="304"/>
      <c r="AB78" s="304"/>
      <c r="AC78" s="304"/>
      <c r="AD78" s="304"/>
      <c r="AE78" s="304"/>
      <c r="AF78" s="304"/>
      <c r="AG78" s="304"/>
      <c r="AH78" s="304"/>
      <c r="AI78" s="304"/>
      <c r="AJ78" s="304"/>
      <c r="AK78" s="304"/>
      <c r="AL78" s="304"/>
      <c r="AM78" s="304"/>
      <c r="AN78" s="304"/>
      <c r="AO78" s="304"/>
      <c r="AP78" s="304"/>
      <c r="AQ78" s="304"/>
      <c r="AR78" s="304"/>
      <c r="AS78" s="304"/>
      <c r="AT78" s="304"/>
      <c r="AU78" s="304"/>
      <c r="AV78" s="304"/>
      <c r="AW78" s="304"/>
      <c r="AX78" s="304"/>
      <c r="AY78" s="304"/>
      <c r="AZ78" s="304"/>
      <c r="BA78" s="304"/>
      <c r="BB78" s="304"/>
      <c r="BC78" s="304"/>
      <c r="BD78" s="304"/>
      <c r="BE78" s="304"/>
      <c r="BF78" s="304"/>
      <c r="BG78" s="304"/>
      <c r="BH78" s="304"/>
      <c r="BI78" s="304"/>
      <c r="BJ78" s="304"/>
      <c r="BK78" s="304"/>
      <c r="BL78" s="304"/>
      <c r="BM78" s="304"/>
      <c r="BN78" s="304"/>
      <c r="BO78" s="304"/>
      <c r="BP78" s="304"/>
    </row>
    <row r="79" spans="1:68" s="303" customFormat="1" ht="54" customHeight="1">
      <c r="A79" s="282"/>
      <c r="B79" s="282"/>
      <c r="C79" s="282"/>
      <c r="D79" s="283"/>
      <c r="E79" s="297"/>
      <c r="F79" s="305">
        <v>66</v>
      </c>
      <c r="G79" s="306" t="s">
        <v>827</v>
      </c>
      <c r="H79" s="300" t="s">
        <v>169</v>
      </c>
      <c r="I79" s="301">
        <v>0</v>
      </c>
      <c r="J79" s="301">
        <v>35</v>
      </c>
      <c r="K79" s="301">
        <v>60</v>
      </c>
      <c r="L79" s="301">
        <v>85</v>
      </c>
      <c r="M79" s="301">
        <v>110</v>
      </c>
      <c r="N79" s="301">
        <v>130</v>
      </c>
      <c r="O79" s="302"/>
      <c r="P79" s="297"/>
      <c r="R79" s="304"/>
      <c r="S79" s="304"/>
      <c r="T79" s="304"/>
      <c r="U79" s="304"/>
      <c r="V79" s="304"/>
      <c r="W79" s="304"/>
      <c r="X79" s="304"/>
      <c r="Y79" s="304"/>
      <c r="Z79" s="304"/>
      <c r="AA79" s="304"/>
      <c r="AB79" s="304"/>
      <c r="AC79" s="304"/>
      <c r="AD79" s="304"/>
      <c r="AE79" s="304"/>
      <c r="AF79" s="304"/>
      <c r="AG79" s="304"/>
      <c r="AH79" s="304"/>
      <c r="AI79" s="304"/>
      <c r="AJ79" s="304"/>
      <c r="AK79" s="304"/>
      <c r="AL79" s="304"/>
      <c r="AM79" s="304"/>
      <c r="AN79" s="304"/>
      <c r="AO79" s="304"/>
      <c r="AP79" s="304"/>
      <c r="AQ79" s="304"/>
      <c r="AR79" s="304"/>
      <c r="AS79" s="304"/>
      <c r="AT79" s="304"/>
      <c r="AU79" s="304"/>
      <c r="AV79" s="304"/>
      <c r="AW79" s="304"/>
      <c r="AX79" s="304"/>
      <c r="AY79" s="304"/>
      <c r="AZ79" s="304"/>
      <c r="BA79" s="304"/>
      <c r="BB79" s="304"/>
      <c r="BC79" s="304"/>
      <c r="BD79" s="304"/>
      <c r="BE79" s="304"/>
      <c r="BF79" s="304"/>
      <c r="BG79" s="304"/>
      <c r="BH79" s="304"/>
      <c r="BI79" s="304"/>
      <c r="BJ79" s="304"/>
      <c r="BK79" s="304"/>
      <c r="BL79" s="304"/>
      <c r="BM79" s="304"/>
      <c r="BN79" s="304"/>
      <c r="BO79" s="304"/>
      <c r="BP79" s="304"/>
    </row>
    <row r="80" spans="1:68" s="303" customFormat="1" ht="51" customHeight="1">
      <c r="A80" s="282"/>
      <c r="B80" s="282"/>
      <c r="C80" s="282"/>
      <c r="D80" s="283"/>
      <c r="E80" s="297"/>
      <c r="F80" s="305">
        <v>67</v>
      </c>
      <c r="G80" s="306" t="s">
        <v>828</v>
      </c>
      <c r="H80" s="300" t="s">
        <v>169</v>
      </c>
      <c r="I80" s="301">
        <v>0</v>
      </c>
      <c r="J80" s="301">
        <v>0</v>
      </c>
      <c r="K80" s="301">
        <v>10</v>
      </c>
      <c r="L80" s="301">
        <v>40</v>
      </c>
      <c r="M80" s="301">
        <v>40</v>
      </c>
      <c r="N80" s="301">
        <v>40</v>
      </c>
      <c r="O80" s="302"/>
      <c r="P80" s="297"/>
      <c r="R80" s="304"/>
      <c r="S80" s="304"/>
      <c r="T80" s="304"/>
      <c r="U80" s="304"/>
      <c r="V80" s="304"/>
      <c r="W80" s="304"/>
      <c r="X80" s="304"/>
      <c r="Y80" s="304"/>
      <c r="Z80" s="304"/>
      <c r="AA80" s="304"/>
      <c r="AB80" s="304"/>
      <c r="AC80" s="304"/>
      <c r="AD80" s="304"/>
      <c r="AE80" s="304"/>
      <c r="AF80" s="304"/>
      <c r="AG80" s="304"/>
      <c r="AH80" s="304"/>
      <c r="AI80" s="304"/>
      <c r="AJ80" s="304"/>
      <c r="AK80" s="304"/>
      <c r="AL80" s="304"/>
      <c r="AM80" s="304"/>
      <c r="AN80" s="304"/>
      <c r="AO80" s="304"/>
      <c r="AP80" s="304"/>
      <c r="AQ80" s="304"/>
      <c r="AR80" s="304"/>
      <c r="AS80" s="304"/>
      <c r="AT80" s="304"/>
      <c r="AU80" s="304"/>
      <c r="AV80" s="304"/>
      <c r="AW80" s="304"/>
      <c r="AX80" s="304"/>
      <c r="AY80" s="304"/>
      <c r="AZ80" s="304"/>
      <c r="BA80" s="304"/>
      <c r="BB80" s="304"/>
      <c r="BC80" s="304"/>
      <c r="BD80" s="304"/>
      <c r="BE80" s="304"/>
      <c r="BF80" s="304"/>
      <c r="BG80" s="304"/>
      <c r="BH80" s="304"/>
      <c r="BI80" s="304"/>
      <c r="BJ80" s="304"/>
      <c r="BK80" s="304"/>
      <c r="BL80" s="304"/>
      <c r="BM80" s="304"/>
      <c r="BN80" s="304"/>
      <c r="BO80" s="304"/>
      <c r="BP80" s="304"/>
    </row>
    <row r="81" spans="1:68" s="303" customFormat="1" ht="45" customHeight="1">
      <c r="A81" s="282"/>
      <c r="B81" s="282"/>
      <c r="C81" s="282"/>
      <c r="D81" s="283"/>
      <c r="E81" s="297"/>
      <c r="F81" s="305">
        <v>68</v>
      </c>
      <c r="G81" s="306" t="s">
        <v>829</v>
      </c>
      <c r="H81" s="300" t="s">
        <v>169</v>
      </c>
      <c r="I81" s="301">
        <v>0</v>
      </c>
      <c r="J81" s="301">
        <v>10</v>
      </c>
      <c r="K81" s="301">
        <v>30</v>
      </c>
      <c r="L81" s="301">
        <v>25</v>
      </c>
      <c r="M81" s="301">
        <v>25</v>
      </c>
      <c r="N81" s="301">
        <v>25</v>
      </c>
      <c r="O81" s="302"/>
      <c r="P81" s="297"/>
      <c r="R81" s="304"/>
      <c r="S81" s="304"/>
      <c r="T81" s="304"/>
      <c r="U81" s="304"/>
      <c r="V81" s="304"/>
      <c r="W81" s="304"/>
      <c r="X81" s="304"/>
      <c r="Y81" s="304"/>
      <c r="Z81" s="304"/>
      <c r="AA81" s="304"/>
      <c r="AB81" s="304"/>
      <c r="AC81" s="304"/>
      <c r="AD81" s="304"/>
      <c r="AE81" s="304"/>
      <c r="AF81" s="304"/>
      <c r="AG81" s="304"/>
      <c r="AH81" s="304"/>
      <c r="AI81" s="304"/>
      <c r="AJ81" s="304"/>
      <c r="AK81" s="304"/>
      <c r="AL81" s="304"/>
      <c r="AM81" s="304"/>
      <c r="AN81" s="304"/>
      <c r="AO81" s="304"/>
      <c r="AP81" s="304"/>
      <c r="AQ81" s="304"/>
      <c r="AR81" s="304"/>
      <c r="AS81" s="304"/>
      <c r="AT81" s="304"/>
      <c r="AU81" s="304"/>
      <c r="AV81" s="304"/>
      <c r="AW81" s="304"/>
      <c r="AX81" s="304"/>
      <c r="AY81" s="304"/>
      <c r="AZ81" s="304"/>
      <c r="BA81" s="304"/>
      <c r="BB81" s="304"/>
      <c r="BC81" s="304"/>
      <c r="BD81" s="304"/>
      <c r="BE81" s="304"/>
      <c r="BF81" s="304"/>
      <c r="BG81" s="304"/>
      <c r="BH81" s="304"/>
      <c r="BI81" s="304"/>
      <c r="BJ81" s="304"/>
      <c r="BK81" s="304"/>
      <c r="BL81" s="304"/>
      <c r="BM81" s="304"/>
      <c r="BN81" s="304"/>
      <c r="BO81" s="304"/>
      <c r="BP81" s="304"/>
    </row>
    <row r="82" spans="1:68" s="303" customFormat="1" ht="45" customHeight="1">
      <c r="A82" s="282"/>
      <c r="B82" s="282"/>
      <c r="C82" s="282"/>
      <c r="D82" s="283"/>
      <c r="E82" s="297"/>
      <c r="F82" s="305">
        <v>69</v>
      </c>
      <c r="G82" s="306" t="s">
        <v>830</v>
      </c>
      <c r="H82" s="300" t="s">
        <v>169</v>
      </c>
      <c r="I82" s="301">
        <v>0</v>
      </c>
      <c r="J82" s="301">
        <v>-40</v>
      </c>
      <c r="K82" s="301">
        <v>-170</v>
      </c>
      <c r="L82" s="301">
        <v>-180</v>
      </c>
      <c r="M82" s="301">
        <v>-170</v>
      </c>
      <c r="N82" s="301">
        <v>-165</v>
      </c>
      <c r="O82" s="302"/>
      <c r="P82" s="297"/>
      <c r="R82" s="304"/>
      <c r="S82" s="304"/>
      <c r="T82" s="304"/>
      <c r="U82" s="304"/>
      <c r="V82" s="304"/>
      <c r="W82" s="304"/>
      <c r="X82" s="304"/>
      <c r="Y82" s="304"/>
      <c r="Z82" s="304"/>
      <c r="AA82" s="304"/>
      <c r="AB82" s="304"/>
      <c r="AC82" s="304"/>
      <c r="AD82" s="304"/>
      <c r="AE82" s="304"/>
      <c r="AF82" s="304"/>
      <c r="AG82" s="304"/>
      <c r="AH82" s="304"/>
      <c r="AI82" s="304"/>
      <c r="AJ82" s="304"/>
      <c r="AK82" s="304"/>
      <c r="AL82" s="304"/>
      <c r="AM82" s="304"/>
      <c r="AN82" s="304"/>
      <c r="AO82" s="304"/>
      <c r="AP82" s="304"/>
      <c r="AQ82" s="304"/>
      <c r="AR82" s="304"/>
      <c r="AS82" s="304"/>
      <c r="AT82" s="304"/>
      <c r="AU82" s="304"/>
      <c r="AV82" s="304"/>
      <c r="AW82" s="304"/>
      <c r="AX82" s="304"/>
      <c r="AY82" s="304"/>
      <c r="AZ82" s="304"/>
      <c r="BA82" s="304"/>
      <c r="BB82" s="304"/>
      <c r="BC82" s="304"/>
      <c r="BD82" s="304"/>
      <c r="BE82" s="304"/>
      <c r="BF82" s="304"/>
      <c r="BG82" s="304"/>
      <c r="BH82" s="304"/>
      <c r="BI82" s="304"/>
      <c r="BJ82" s="304"/>
      <c r="BK82" s="304"/>
      <c r="BL82" s="304"/>
      <c r="BM82" s="304"/>
      <c r="BN82" s="304"/>
      <c r="BO82" s="304"/>
      <c r="BP82" s="304"/>
    </row>
    <row r="83" spans="1:68" s="303" customFormat="1" ht="54.75" customHeight="1">
      <c r="A83" s="282"/>
      <c r="B83" s="282"/>
      <c r="C83" s="282"/>
      <c r="D83" s="283"/>
      <c r="E83" s="297"/>
      <c r="F83" s="305">
        <v>70</v>
      </c>
      <c r="G83" s="306" t="s">
        <v>831</v>
      </c>
      <c r="H83" s="300" t="s">
        <v>169</v>
      </c>
      <c r="I83" s="301">
        <v>0</v>
      </c>
      <c r="J83" s="301">
        <v>-10</v>
      </c>
      <c r="K83" s="301">
        <v>-10</v>
      </c>
      <c r="L83" s="301">
        <v>-15</v>
      </c>
      <c r="M83" s="301">
        <v>-15</v>
      </c>
      <c r="N83" s="301">
        <v>-10</v>
      </c>
      <c r="O83" s="302"/>
      <c r="P83" s="297"/>
      <c r="R83" s="304"/>
      <c r="S83" s="304"/>
      <c r="T83" s="304"/>
      <c r="U83" s="304"/>
      <c r="V83" s="304"/>
      <c r="W83" s="304"/>
      <c r="X83" s="304"/>
      <c r="Y83" s="304"/>
      <c r="Z83" s="304"/>
      <c r="AA83" s="304"/>
      <c r="AB83" s="304"/>
      <c r="AC83" s="304"/>
      <c r="AD83" s="304"/>
      <c r="AE83" s="304"/>
      <c r="AF83" s="304"/>
      <c r="AG83" s="304"/>
      <c r="AH83" s="304"/>
      <c r="AI83" s="304"/>
      <c r="AJ83" s="304"/>
      <c r="AK83" s="304"/>
      <c r="AL83" s="304"/>
      <c r="AM83" s="304"/>
      <c r="AN83" s="304"/>
      <c r="AO83" s="304"/>
      <c r="AP83" s="304"/>
      <c r="AQ83" s="304"/>
      <c r="AR83" s="304"/>
      <c r="AS83" s="304"/>
      <c r="AT83" s="304"/>
      <c r="AU83" s="304"/>
      <c r="AV83" s="304"/>
      <c r="AW83" s="304"/>
      <c r="AX83" s="304"/>
      <c r="AY83" s="304"/>
      <c r="AZ83" s="304"/>
      <c r="BA83" s="304"/>
      <c r="BB83" s="304"/>
      <c r="BC83" s="304"/>
      <c r="BD83" s="304"/>
      <c r="BE83" s="304"/>
      <c r="BF83" s="304"/>
      <c r="BG83" s="304"/>
      <c r="BH83" s="304"/>
      <c r="BI83" s="304"/>
      <c r="BJ83" s="304"/>
      <c r="BK83" s="304"/>
      <c r="BL83" s="304"/>
      <c r="BM83" s="304"/>
      <c r="BN83" s="304"/>
      <c r="BO83" s="304"/>
      <c r="BP83" s="304"/>
    </row>
    <row r="84" spans="1:68" s="316" customFormat="1" ht="5.0999999999999996" customHeight="1" thickBot="1">
      <c r="A84" s="282"/>
      <c r="B84" s="282"/>
      <c r="C84" s="307"/>
      <c r="D84" s="308"/>
      <c r="E84" s="309"/>
      <c r="F84" s="310" t="s">
        <v>623</v>
      </c>
      <c r="G84" s="311"/>
      <c r="H84" s="312"/>
      <c r="I84" s="313"/>
      <c r="J84" s="313"/>
      <c r="K84" s="313"/>
      <c r="L84" s="313"/>
      <c r="M84" s="313"/>
      <c r="N84" s="312"/>
      <c r="O84" s="314"/>
      <c r="P84" s="309"/>
      <c r="Q84" s="315"/>
      <c r="R84" s="304"/>
      <c r="S84" s="304"/>
      <c r="T84" s="304"/>
      <c r="U84" s="304"/>
      <c r="V84" s="304"/>
      <c r="W84" s="304"/>
      <c r="X84" s="304"/>
      <c r="Y84" s="304"/>
      <c r="Z84" s="304"/>
      <c r="AA84" s="304"/>
      <c r="AB84" s="304"/>
      <c r="AC84" s="304"/>
      <c r="AD84" s="304"/>
      <c r="AE84" s="304"/>
      <c r="AF84" s="304"/>
      <c r="AG84" s="304"/>
      <c r="AH84" s="304"/>
      <c r="AI84" s="304"/>
      <c r="AJ84" s="304"/>
      <c r="AK84" s="304"/>
      <c r="AL84" s="304"/>
      <c r="AM84" s="304"/>
      <c r="AN84" s="304"/>
      <c r="AO84" s="304"/>
      <c r="AP84" s="304"/>
      <c r="AQ84" s="304"/>
      <c r="AR84" s="304"/>
      <c r="AS84" s="304"/>
      <c r="AT84" s="304"/>
      <c r="AU84" s="304"/>
      <c r="AV84" s="304"/>
      <c r="AW84" s="304"/>
      <c r="AX84" s="304"/>
      <c r="AY84" s="304"/>
      <c r="AZ84" s="304"/>
      <c r="BA84" s="304"/>
      <c r="BB84" s="304"/>
      <c r="BC84" s="304"/>
      <c r="BD84" s="304"/>
      <c r="BE84" s="304"/>
      <c r="BF84" s="304"/>
      <c r="BG84" s="304"/>
      <c r="BH84" s="304"/>
      <c r="BI84" s="304"/>
      <c r="BJ84" s="304"/>
      <c r="BK84" s="304"/>
      <c r="BL84" s="304"/>
      <c r="BM84" s="304"/>
      <c r="BN84" s="304"/>
      <c r="BO84" s="304"/>
      <c r="BP84" s="304"/>
    </row>
    <row r="85" spans="1:68" s="303" customFormat="1" ht="44.45" customHeight="1">
      <c r="A85" s="282"/>
      <c r="B85" s="282"/>
      <c r="C85" s="282"/>
      <c r="D85" s="283"/>
      <c r="E85" s="297"/>
      <c r="F85" s="298" t="s">
        <v>832</v>
      </c>
      <c r="G85" s="306"/>
      <c r="H85" s="300"/>
      <c r="I85" s="301"/>
      <c r="J85" s="301"/>
      <c r="K85" s="301"/>
      <c r="L85" s="301"/>
      <c r="M85" s="301"/>
      <c r="N85" s="301"/>
      <c r="O85" s="302"/>
      <c r="P85" s="297"/>
      <c r="R85" s="304"/>
      <c r="S85" s="304"/>
      <c r="T85" s="304"/>
      <c r="U85" s="304"/>
      <c r="V85" s="304"/>
      <c r="W85" s="304"/>
      <c r="X85" s="304"/>
      <c r="Y85" s="304"/>
      <c r="Z85" s="304"/>
      <c r="AA85" s="304"/>
      <c r="AB85" s="304"/>
      <c r="AC85" s="304"/>
      <c r="AD85" s="304"/>
      <c r="AE85" s="304"/>
      <c r="AF85" s="304"/>
      <c r="AG85" s="304"/>
      <c r="AH85" s="304"/>
      <c r="AI85" s="304"/>
      <c r="AJ85" s="304"/>
      <c r="AK85" s="304"/>
      <c r="AL85" s="304"/>
      <c r="AM85" s="304"/>
      <c r="AN85" s="304"/>
      <c r="AO85" s="304"/>
      <c r="AP85" s="304"/>
      <c r="AQ85" s="304"/>
      <c r="AR85" s="304"/>
      <c r="AS85" s="304"/>
      <c r="AT85" s="304"/>
      <c r="AU85" s="304"/>
      <c r="AV85" s="304"/>
      <c r="AW85" s="304"/>
      <c r="AX85" s="304"/>
      <c r="AY85" s="304"/>
      <c r="AZ85" s="304"/>
      <c r="BA85" s="304"/>
      <c r="BB85" s="304"/>
      <c r="BC85" s="304"/>
      <c r="BD85" s="304"/>
      <c r="BE85" s="304"/>
      <c r="BF85" s="304"/>
      <c r="BG85" s="304"/>
      <c r="BH85" s="304"/>
      <c r="BI85" s="304"/>
      <c r="BJ85" s="304"/>
      <c r="BK85" s="304"/>
      <c r="BL85" s="304"/>
      <c r="BM85" s="304"/>
      <c r="BN85" s="304"/>
      <c r="BO85" s="304"/>
      <c r="BP85" s="304"/>
    </row>
    <row r="86" spans="1:68" s="303" customFormat="1" ht="44.45" customHeight="1">
      <c r="A86" s="282"/>
      <c r="B86" s="282"/>
      <c r="C86" s="282"/>
      <c r="D86" s="283"/>
      <c r="E86" s="297"/>
      <c r="F86" s="305">
        <v>71</v>
      </c>
      <c r="G86" s="306" t="s">
        <v>833</v>
      </c>
      <c r="H86" s="300" t="s">
        <v>169</v>
      </c>
      <c r="I86" s="301">
        <v>-5</v>
      </c>
      <c r="J86" s="301">
        <v>-10</v>
      </c>
      <c r="K86" s="301">
        <v>-15</v>
      </c>
      <c r="L86" s="301">
        <v>1100</v>
      </c>
      <c r="M86" s="301">
        <v>1435</v>
      </c>
      <c r="N86" s="301">
        <v>1865</v>
      </c>
      <c r="O86" s="302"/>
      <c r="P86" s="297"/>
      <c r="R86" s="304"/>
      <c r="S86" s="304"/>
      <c r="T86" s="304"/>
      <c r="U86" s="304"/>
      <c r="V86" s="304"/>
      <c r="W86" s="304"/>
      <c r="X86" s="304"/>
      <c r="Y86" s="304"/>
      <c r="Z86" s="304"/>
      <c r="AA86" s="304"/>
      <c r="AB86" s="304"/>
      <c r="AC86" s="304"/>
      <c r="AD86" s="304"/>
      <c r="AE86" s="304"/>
      <c r="AF86" s="304"/>
      <c r="AG86" s="304"/>
      <c r="AH86" s="304"/>
      <c r="AI86" s="304"/>
      <c r="AJ86" s="304"/>
      <c r="AK86" s="304"/>
      <c r="AL86" s="304"/>
      <c r="AM86" s="304"/>
      <c r="AN86" s="304"/>
      <c r="AO86" s="304"/>
      <c r="AP86" s="304"/>
      <c r="AQ86" s="304"/>
      <c r="AR86" s="304"/>
      <c r="AS86" s="304"/>
      <c r="AT86" s="304"/>
      <c r="AU86" s="304"/>
      <c r="AV86" s="304"/>
      <c r="AW86" s="304"/>
      <c r="AX86" s="304"/>
      <c r="AY86" s="304"/>
      <c r="AZ86" s="304"/>
      <c r="BA86" s="304"/>
      <c r="BB86" s="304"/>
      <c r="BC86" s="304"/>
      <c r="BD86" s="304"/>
      <c r="BE86" s="304"/>
      <c r="BF86" s="304"/>
      <c r="BG86" s="304"/>
      <c r="BH86" s="304"/>
      <c r="BI86" s="304"/>
      <c r="BJ86" s="304"/>
      <c r="BK86" s="304"/>
      <c r="BL86" s="304"/>
      <c r="BM86" s="304"/>
      <c r="BN86" s="304"/>
      <c r="BO86" s="304"/>
      <c r="BP86" s="304"/>
    </row>
    <row r="87" spans="1:68" s="303" customFormat="1" ht="44.25" customHeight="1">
      <c r="A87" s="282"/>
      <c r="B87" s="282"/>
      <c r="C87" s="282"/>
      <c r="D87" s="283"/>
      <c r="E87" s="297"/>
      <c r="F87" s="305">
        <v>72</v>
      </c>
      <c r="G87" s="306" t="s">
        <v>834</v>
      </c>
      <c r="H87" s="301" t="s">
        <v>757</v>
      </c>
      <c r="I87" s="301">
        <v>-50</v>
      </c>
      <c r="J87" s="301">
        <v>-215</v>
      </c>
      <c r="K87" s="301">
        <v>-340</v>
      </c>
      <c r="L87" s="301">
        <v>-440</v>
      </c>
      <c r="M87" s="301">
        <v>-425</v>
      </c>
      <c r="N87" s="301">
        <v>-25</v>
      </c>
      <c r="O87" s="302"/>
      <c r="P87" s="297"/>
      <c r="R87" s="304"/>
      <c r="S87" s="304"/>
      <c r="T87" s="304"/>
      <c r="U87" s="304"/>
      <c r="V87" s="304"/>
      <c r="W87" s="304"/>
      <c r="X87" s="304"/>
      <c r="Y87" s="304"/>
      <c r="Z87" s="304"/>
      <c r="AA87" s="304"/>
      <c r="AB87" s="304"/>
      <c r="AC87" s="304"/>
      <c r="AD87" s="304"/>
      <c r="AE87" s="304"/>
      <c r="AF87" s="304"/>
      <c r="AG87" s="304"/>
      <c r="AH87" s="304"/>
      <c r="AI87" s="304"/>
      <c r="AJ87" s="304"/>
      <c r="AK87" s="304"/>
      <c r="AL87" s="304"/>
      <c r="AM87" s="304"/>
      <c r="AN87" s="304"/>
      <c r="AO87" s="304"/>
      <c r="AP87" s="304"/>
      <c r="AQ87" s="304"/>
      <c r="AR87" s="304"/>
      <c r="AS87" s="304"/>
      <c r="AT87" s="304"/>
      <c r="AU87" s="304"/>
      <c r="AV87" s="304"/>
      <c r="AW87" s="304"/>
      <c r="AX87" s="304"/>
      <c r="AY87" s="304"/>
      <c r="AZ87" s="304"/>
      <c r="BA87" s="304"/>
      <c r="BB87" s="304"/>
      <c r="BC87" s="304"/>
      <c r="BD87" s="304"/>
      <c r="BE87" s="304"/>
      <c r="BF87" s="304"/>
      <c r="BG87" s="304"/>
      <c r="BH87" s="304"/>
      <c r="BI87" s="304"/>
      <c r="BJ87" s="304"/>
      <c r="BK87" s="304"/>
      <c r="BL87" s="304"/>
      <c r="BM87" s="304"/>
      <c r="BN87" s="304"/>
      <c r="BO87" s="304"/>
      <c r="BP87" s="304"/>
    </row>
    <row r="88" spans="1:68" s="303" customFormat="1" ht="60.75" customHeight="1">
      <c r="A88" s="282"/>
      <c r="B88" s="282"/>
      <c r="C88" s="282"/>
      <c r="D88" s="283"/>
      <c r="E88" s="297"/>
      <c r="F88" s="305">
        <v>73</v>
      </c>
      <c r="G88" s="306" t="s">
        <v>835</v>
      </c>
      <c r="H88" s="300" t="s">
        <v>169</v>
      </c>
      <c r="I88" s="301">
        <v>0</v>
      </c>
      <c r="J88" s="301">
        <v>-50</v>
      </c>
      <c r="K88" s="301">
        <v>-110</v>
      </c>
      <c r="L88" s="301">
        <v>-190</v>
      </c>
      <c r="M88" s="301">
        <v>-325</v>
      </c>
      <c r="N88" s="301">
        <v>-505</v>
      </c>
      <c r="O88" s="302"/>
      <c r="P88" s="297"/>
      <c r="R88" s="304"/>
      <c r="S88" s="304"/>
      <c r="T88" s="304"/>
      <c r="U88" s="304"/>
      <c r="V88" s="304"/>
      <c r="W88" s="304"/>
      <c r="X88" s="304"/>
      <c r="Y88" s="304"/>
      <c r="Z88" s="304"/>
      <c r="AA88" s="304"/>
      <c r="AB88" s="304"/>
      <c r="AC88" s="304"/>
      <c r="AD88" s="304"/>
      <c r="AE88" s="304"/>
      <c r="AF88" s="304"/>
      <c r="AG88" s="304"/>
      <c r="AH88" s="304"/>
      <c r="AI88" s="304"/>
      <c r="AJ88" s="304"/>
      <c r="AK88" s="304"/>
      <c r="AL88" s="304"/>
      <c r="AM88" s="304"/>
      <c r="AN88" s="304"/>
      <c r="AO88" s="304"/>
      <c r="AP88" s="304"/>
      <c r="AQ88" s="304"/>
      <c r="AR88" s="304"/>
      <c r="AS88" s="304"/>
      <c r="AT88" s="304"/>
      <c r="AU88" s="304"/>
      <c r="AV88" s="304"/>
      <c r="AW88" s="304"/>
      <c r="AX88" s="304"/>
      <c r="AY88" s="304"/>
      <c r="AZ88" s="304"/>
      <c r="BA88" s="304"/>
      <c r="BB88" s="304"/>
      <c r="BC88" s="304"/>
      <c r="BD88" s="304"/>
      <c r="BE88" s="304"/>
      <c r="BF88" s="304"/>
      <c r="BG88" s="304"/>
      <c r="BH88" s="304"/>
      <c r="BI88" s="304"/>
      <c r="BJ88" s="304"/>
      <c r="BK88" s="304"/>
      <c r="BL88" s="304"/>
      <c r="BM88" s="304"/>
      <c r="BN88" s="304"/>
      <c r="BO88" s="304"/>
      <c r="BP88" s="304"/>
    </row>
    <row r="89" spans="1:68" s="303" customFormat="1" ht="60" customHeight="1">
      <c r="A89" s="282"/>
      <c r="B89" s="282"/>
      <c r="C89" s="282"/>
      <c r="D89" s="283"/>
      <c r="E89" s="297"/>
      <c r="F89" s="305">
        <v>74</v>
      </c>
      <c r="G89" s="306" t="s">
        <v>836</v>
      </c>
      <c r="H89" s="300" t="s">
        <v>169</v>
      </c>
      <c r="I89" s="301">
        <v>0</v>
      </c>
      <c r="J89" s="301">
        <v>-150</v>
      </c>
      <c r="K89" s="301">
        <v>-150</v>
      </c>
      <c r="L89" s="301">
        <v>-150</v>
      </c>
      <c r="M89" s="301">
        <v>-155</v>
      </c>
      <c r="N89" s="301">
        <v>-140</v>
      </c>
      <c r="O89" s="302"/>
      <c r="P89" s="297"/>
      <c r="R89" s="304"/>
      <c r="S89" s="304"/>
      <c r="T89" s="304"/>
      <c r="U89" s="304"/>
      <c r="V89" s="304"/>
      <c r="W89" s="304"/>
      <c r="X89" s="304"/>
      <c r="Y89" s="304"/>
      <c r="Z89" s="304"/>
      <c r="AA89" s="304"/>
      <c r="AB89" s="304"/>
      <c r="AC89" s="304"/>
      <c r="AD89" s="304"/>
      <c r="AE89" s="304"/>
      <c r="AF89" s="304"/>
      <c r="AG89" s="304"/>
      <c r="AH89" s="304"/>
      <c r="AI89" s="304"/>
      <c r="AJ89" s="304"/>
      <c r="AK89" s="304"/>
      <c r="AL89" s="304"/>
      <c r="AM89" s="304"/>
      <c r="AN89" s="304"/>
      <c r="AO89" s="304"/>
      <c r="AP89" s="304"/>
      <c r="AQ89" s="304"/>
      <c r="AR89" s="304"/>
      <c r="AS89" s="304"/>
      <c r="AT89" s="304"/>
      <c r="AU89" s="304"/>
      <c r="AV89" s="304"/>
      <c r="AW89" s="304"/>
      <c r="AX89" s="304"/>
      <c r="AY89" s="304"/>
      <c r="AZ89" s="304"/>
      <c r="BA89" s="304"/>
      <c r="BB89" s="304"/>
      <c r="BC89" s="304"/>
      <c r="BD89" s="304"/>
      <c r="BE89" s="304"/>
      <c r="BF89" s="304"/>
      <c r="BG89" s="304"/>
      <c r="BH89" s="304"/>
      <c r="BI89" s="304"/>
      <c r="BJ89" s="304"/>
      <c r="BK89" s="304"/>
      <c r="BL89" s="304"/>
      <c r="BM89" s="304"/>
      <c r="BN89" s="304"/>
      <c r="BO89" s="304"/>
      <c r="BP89" s="304"/>
    </row>
    <row r="90" spans="1:68" s="316" customFormat="1" ht="69" customHeight="1">
      <c r="A90" s="282"/>
      <c r="B90" s="282"/>
      <c r="C90" s="307"/>
      <c r="D90" s="308"/>
      <c r="E90" s="309"/>
      <c r="F90" s="305">
        <v>75</v>
      </c>
      <c r="G90" s="306" t="s">
        <v>837</v>
      </c>
      <c r="H90" s="300" t="s">
        <v>169</v>
      </c>
      <c r="I90" s="301">
        <v>-5</v>
      </c>
      <c r="J90" s="301">
        <v>-145</v>
      </c>
      <c r="K90" s="301">
        <v>-100</v>
      </c>
      <c r="L90" s="301">
        <v>15</v>
      </c>
      <c r="M90" s="301">
        <v>20</v>
      </c>
      <c r="N90" s="301">
        <v>25</v>
      </c>
      <c r="O90" s="302"/>
      <c r="P90" s="309"/>
      <c r="Q90" s="315"/>
      <c r="R90" s="304"/>
      <c r="S90" s="304"/>
      <c r="T90" s="304"/>
      <c r="U90" s="304"/>
      <c r="V90" s="304"/>
      <c r="W90" s="304"/>
      <c r="X90" s="304"/>
      <c r="Y90" s="304"/>
      <c r="Z90" s="304"/>
      <c r="AA90" s="304"/>
      <c r="AB90" s="304"/>
      <c r="AC90" s="304"/>
      <c r="AD90" s="304"/>
      <c r="AE90" s="304"/>
      <c r="AF90" s="304"/>
      <c r="AG90" s="304"/>
      <c r="AH90" s="304"/>
      <c r="AI90" s="304"/>
      <c r="AJ90" s="304"/>
      <c r="AK90" s="304"/>
      <c r="AL90" s="304"/>
      <c r="AM90" s="304"/>
      <c r="AN90" s="304"/>
      <c r="AO90" s="304"/>
      <c r="AP90" s="304"/>
      <c r="AQ90" s="304"/>
      <c r="AR90" s="304"/>
      <c r="AS90" s="304"/>
      <c r="AT90" s="304"/>
      <c r="AU90" s="304"/>
      <c r="AV90" s="304"/>
      <c r="AW90" s="304"/>
      <c r="AX90" s="304"/>
      <c r="AY90" s="304"/>
      <c r="AZ90" s="304"/>
      <c r="BA90" s="304"/>
      <c r="BB90" s="304"/>
      <c r="BC90" s="304"/>
      <c r="BD90" s="304"/>
      <c r="BE90" s="304"/>
      <c r="BF90" s="304"/>
      <c r="BG90" s="304"/>
      <c r="BH90" s="304"/>
      <c r="BI90" s="304"/>
      <c r="BJ90" s="304"/>
      <c r="BK90" s="304"/>
      <c r="BL90" s="304"/>
      <c r="BM90" s="304"/>
      <c r="BN90" s="304"/>
      <c r="BO90" s="304"/>
      <c r="BP90" s="304"/>
    </row>
    <row r="91" spans="1:68" s="303" customFormat="1" ht="28.5" customHeight="1">
      <c r="A91" s="282"/>
      <c r="B91" s="282"/>
      <c r="C91" s="295"/>
      <c r="D91" s="296"/>
      <c r="E91" s="297"/>
      <c r="F91" s="298" t="s">
        <v>838</v>
      </c>
      <c r="G91" s="306"/>
      <c r="H91" s="300"/>
      <c r="I91" s="301"/>
      <c r="J91" s="301"/>
      <c r="K91" s="301"/>
      <c r="L91" s="301"/>
      <c r="M91" s="301"/>
      <c r="N91" s="301"/>
      <c r="O91" s="302"/>
      <c r="P91" s="297"/>
      <c r="S91" s="304"/>
      <c r="T91" s="304"/>
      <c r="U91" s="304"/>
      <c r="V91" s="304"/>
      <c r="W91" s="304"/>
      <c r="X91" s="304"/>
      <c r="Y91" s="304"/>
      <c r="Z91" s="304"/>
      <c r="AA91" s="304"/>
      <c r="AB91" s="304"/>
      <c r="AC91" s="304"/>
      <c r="AD91" s="304"/>
      <c r="AE91" s="304"/>
      <c r="AF91" s="304"/>
      <c r="AG91" s="304"/>
      <c r="AH91" s="304"/>
      <c r="AI91" s="304"/>
      <c r="AJ91" s="304"/>
      <c r="AK91" s="304"/>
      <c r="AL91" s="304"/>
      <c r="AM91" s="304"/>
      <c r="AN91" s="304"/>
      <c r="AO91" s="304"/>
      <c r="AP91" s="304"/>
      <c r="AQ91" s="304"/>
      <c r="AR91" s="304"/>
      <c r="AS91" s="304"/>
      <c r="AT91" s="304"/>
      <c r="AU91" s="304"/>
      <c r="AV91" s="304"/>
      <c r="AW91" s="304"/>
      <c r="AX91" s="304"/>
      <c r="AY91" s="304"/>
      <c r="AZ91" s="304"/>
      <c r="BA91" s="304"/>
      <c r="BB91" s="304"/>
      <c r="BC91" s="304"/>
      <c r="BD91" s="304"/>
      <c r="BE91" s="304"/>
      <c r="BF91" s="304"/>
      <c r="BG91" s="304"/>
      <c r="BH91" s="304"/>
      <c r="BI91" s="304"/>
      <c r="BJ91" s="304"/>
      <c r="BK91" s="304"/>
      <c r="BL91" s="304"/>
      <c r="BM91" s="304"/>
      <c r="BN91" s="304"/>
      <c r="BO91" s="304"/>
      <c r="BP91" s="304"/>
    </row>
    <row r="92" spans="1:68" s="303" customFormat="1" ht="54.95" customHeight="1">
      <c r="A92" s="282"/>
      <c r="B92" s="282"/>
      <c r="C92" s="282"/>
      <c r="D92" s="283"/>
      <c r="E92" s="297"/>
      <c r="F92" s="305">
        <v>76</v>
      </c>
      <c r="G92" s="306" t="s">
        <v>839</v>
      </c>
      <c r="H92" s="300" t="s">
        <v>757</v>
      </c>
      <c r="I92" s="301">
        <v>50</v>
      </c>
      <c r="J92" s="301">
        <v>510</v>
      </c>
      <c r="K92" s="301">
        <v>580</v>
      </c>
      <c r="L92" s="301">
        <v>675</v>
      </c>
      <c r="M92" s="301">
        <v>795</v>
      </c>
      <c r="N92" s="301">
        <v>970</v>
      </c>
      <c r="O92" s="302"/>
      <c r="P92" s="297"/>
      <c r="R92" s="304"/>
      <c r="S92" s="304"/>
      <c r="T92" s="304"/>
      <c r="U92" s="304"/>
      <c r="V92" s="304"/>
      <c r="W92" s="304"/>
      <c r="X92" s="304"/>
      <c r="Y92" s="304"/>
      <c r="Z92" s="304"/>
      <c r="AA92" s="304"/>
      <c r="AB92" s="304"/>
      <c r="AC92" s="304"/>
      <c r="AD92" s="304"/>
      <c r="AE92" s="304"/>
      <c r="AF92" s="304"/>
      <c r="AG92" s="304"/>
      <c r="AH92" s="304"/>
      <c r="AI92" s="304"/>
      <c r="AJ92" s="304"/>
      <c r="AK92" s="304"/>
      <c r="AL92" s="304"/>
      <c r="AM92" s="304"/>
      <c r="AN92" s="304"/>
      <c r="AO92" s="304"/>
      <c r="AP92" s="304"/>
      <c r="AQ92" s="304"/>
      <c r="AR92" s="304"/>
      <c r="AS92" s="304"/>
      <c r="AT92" s="304"/>
      <c r="AU92" s="304"/>
      <c r="AV92" s="304"/>
      <c r="AW92" s="304"/>
      <c r="AX92" s="304"/>
      <c r="AY92" s="304"/>
      <c r="AZ92" s="304"/>
      <c r="BA92" s="304"/>
      <c r="BB92" s="304"/>
      <c r="BC92" s="304"/>
      <c r="BD92" s="304"/>
      <c r="BE92" s="304"/>
      <c r="BF92" s="304"/>
      <c r="BG92" s="304"/>
      <c r="BH92" s="304"/>
      <c r="BI92" s="304"/>
      <c r="BJ92" s="304"/>
      <c r="BK92" s="304"/>
      <c r="BL92" s="304"/>
      <c r="BM92" s="304"/>
      <c r="BN92" s="304"/>
      <c r="BO92" s="304"/>
      <c r="BP92" s="304"/>
    </row>
    <row r="93" spans="1:68" s="303" customFormat="1" ht="57.95" customHeight="1">
      <c r="A93" s="282"/>
      <c r="B93" s="282"/>
      <c r="C93" s="282"/>
      <c r="D93" s="283"/>
      <c r="E93" s="297"/>
      <c r="F93" s="305">
        <v>77</v>
      </c>
      <c r="G93" s="306" t="s">
        <v>840</v>
      </c>
      <c r="H93" s="301" t="s">
        <v>169</v>
      </c>
      <c r="I93" s="301">
        <v>0</v>
      </c>
      <c r="J93" s="301">
        <v>35</v>
      </c>
      <c r="K93" s="301">
        <v>60</v>
      </c>
      <c r="L93" s="301">
        <v>75</v>
      </c>
      <c r="M93" s="301">
        <v>80</v>
      </c>
      <c r="N93" s="301">
        <v>85</v>
      </c>
      <c r="O93" s="302"/>
      <c r="P93" s="297"/>
      <c r="R93" s="304"/>
      <c r="S93" s="304"/>
      <c r="T93" s="304"/>
      <c r="U93" s="304"/>
      <c r="V93" s="304"/>
      <c r="W93" s="304"/>
      <c r="X93" s="304"/>
      <c r="Y93" s="304"/>
      <c r="Z93" s="304"/>
      <c r="AA93" s="304"/>
      <c r="AB93" s="304"/>
      <c r="AC93" s="304"/>
      <c r="AD93" s="304"/>
      <c r="AE93" s="304"/>
      <c r="AF93" s="304"/>
      <c r="AG93" s="304"/>
      <c r="AH93" s="304"/>
      <c r="AI93" s="304"/>
      <c r="AJ93" s="304"/>
      <c r="AK93" s="304"/>
      <c r="AL93" s="304"/>
      <c r="AM93" s="304"/>
      <c r="AN93" s="304"/>
      <c r="AO93" s="304"/>
      <c r="AP93" s="304"/>
      <c r="AQ93" s="304"/>
      <c r="AR93" s="304"/>
      <c r="AS93" s="304"/>
      <c r="AT93" s="304"/>
      <c r="AU93" s="304"/>
      <c r="AV93" s="304"/>
      <c r="AW93" s="304"/>
      <c r="AX93" s="304"/>
      <c r="AY93" s="304"/>
      <c r="AZ93" s="304"/>
      <c r="BA93" s="304"/>
      <c r="BB93" s="304"/>
      <c r="BC93" s="304"/>
      <c r="BD93" s="304"/>
      <c r="BE93" s="304"/>
      <c r="BF93" s="304"/>
      <c r="BG93" s="304"/>
      <c r="BH93" s="304"/>
      <c r="BI93" s="304"/>
      <c r="BJ93" s="304"/>
      <c r="BK93" s="304"/>
      <c r="BL93" s="304"/>
      <c r="BM93" s="304"/>
      <c r="BN93" s="304"/>
      <c r="BO93" s="304"/>
      <c r="BP93" s="304"/>
    </row>
    <row r="94" spans="1:68" s="303" customFormat="1" ht="68.45" customHeight="1">
      <c r="A94" s="282"/>
      <c r="B94" s="282"/>
      <c r="C94" s="282"/>
      <c r="D94" s="283"/>
      <c r="E94" s="297"/>
      <c r="F94" s="305">
        <v>78</v>
      </c>
      <c r="G94" s="306" t="s">
        <v>841</v>
      </c>
      <c r="H94" s="301" t="s">
        <v>169</v>
      </c>
      <c r="I94" s="301">
        <v>0</v>
      </c>
      <c r="J94" s="301">
        <v>0</v>
      </c>
      <c r="K94" s="301">
        <v>5</v>
      </c>
      <c r="L94" s="301">
        <v>5</v>
      </c>
      <c r="M94" s="301">
        <v>5</v>
      </c>
      <c r="N94" s="301">
        <v>0</v>
      </c>
      <c r="O94" s="302"/>
      <c r="P94" s="297"/>
      <c r="S94" s="304"/>
      <c r="T94" s="304"/>
      <c r="U94" s="304"/>
      <c r="V94" s="304"/>
      <c r="W94" s="304"/>
      <c r="X94" s="304"/>
      <c r="Y94" s="304"/>
      <c r="Z94" s="304"/>
      <c r="AA94" s="304"/>
      <c r="AB94" s="304"/>
      <c r="AC94" s="304"/>
      <c r="AD94" s="304"/>
      <c r="AE94" s="304"/>
      <c r="AF94" s="304"/>
      <c r="AG94" s="304"/>
      <c r="AH94" s="304"/>
      <c r="AI94" s="304"/>
      <c r="AJ94" s="304"/>
      <c r="AK94" s="304"/>
      <c r="AL94" s="304"/>
      <c r="AM94" s="304"/>
      <c r="AN94" s="304"/>
      <c r="AO94" s="304"/>
      <c r="AP94" s="304"/>
      <c r="AQ94" s="304"/>
      <c r="AR94" s="304"/>
      <c r="AS94" s="304"/>
      <c r="AT94" s="304"/>
      <c r="AU94" s="304"/>
      <c r="AV94" s="304"/>
      <c r="AW94" s="304"/>
      <c r="AX94" s="304"/>
      <c r="AY94" s="304"/>
      <c r="AZ94" s="304"/>
      <c r="BA94" s="304"/>
      <c r="BB94" s="304"/>
      <c r="BC94" s="304"/>
      <c r="BD94" s="304"/>
      <c r="BE94" s="304"/>
      <c r="BF94" s="304"/>
      <c r="BG94" s="304"/>
      <c r="BH94" s="304"/>
      <c r="BI94" s="304"/>
      <c r="BJ94" s="304"/>
      <c r="BK94" s="304"/>
      <c r="BL94" s="304"/>
      <c r="BM94" s="304"/>
      <c r="BN94" s="304"/>
      <c r="BO94" s="304"/>
      <c r="BP94" s="304"/>
    </row>
    <row r="95" spans="1:68" s="303" customFormat="1" ht="75.75" customHeight="1">
      <c r="A95" s="282"/>
      <c r="B95" s="282"/>
      <c r="C95" s="282"/>
      <c r="D95" s="283"/>
      <c r="E95" s="297"/>
      <c r="F95" s="305">
        <v>79</v>
      </c>
      <c r="G95" s="306" t="s">
        <v>842</v>
      </c>
      <c r="H95" s="300" t="s">
        <v>169</v>
      </c>
      <c r="I95" s="301">
        <v>0</v>
      </c>
      <c r="J95" s="301">
        <v>-5</v>
      </c>
      <c r="K95" s="301">
        <v>-10</v>
      </c>
      <c r="L95" s="301">
        <v>-5</v>
      </c>
      <c r="M95" s="301">
        <v>-35</v>
      </c>
      <c r="N95" s="301">
        <v>-15</v>
      </c>
      <c r="O95" s="302"/>
      <c r="P95" s="297"/>
      <c r="R95" s="304"/>
      <c r="S95" s="304"/>
      <c r="T95" s="304"/>
      <c r="U95" s="304"/>
      <c r="V95" s="304"/>
      <c r="W95" s="304"/>
      <c r="X95" s="304"/>
      <c r="Y95" s="304"/>
      <c r="Z95" s="304"/>
      <c r="AA95" s="304"/>
      <c r="AB95" s="304"/>
      <c r="AC95" s="304"/>
      <c r="AD95" s="304"/>
      <c r="AE95" s="304"/>
      <c r="AF95" s="304"/>
      <c r="AG95" s="304"/>
      <c r="AH95" s="304"/>
      <c r="AI95" s="304"/>
      <c r="AJ95" s="304"/>
      <c r="AK95" s="304"/>
      <c r="AL95" s="304"/>
      <c r="AM95" s="304"/>
      <c r="AN95" s="304"/>
      <c r="AO95" s="304"/>
      <c r="AP95" s="304"/>
      <c r="AQ95" s="304"/>
      <c r="AR95" s="304"/>
      <c r="AS95" s="304"/>
      <c r="AT95" s="304"/>
      <c r="AU95" s="304"/>
      <c r="AV95" s="304"/>
      <c r="AW95" s="304"/>
      <c r="AX95" s="304"/>
      <c r="AY95" s="304"/>
      <c r="AZ95" s="304"/>
      <c r="BA95" s="304"/>
      <c r="BB95" s="304"/>
      <c r="BC95" s="304"/>
      <c r="BD95" s="304"/>
      <c r="BE95" s="304"/>
      <c r="BF95" s="304"/>
      <c r="BG95" s="304"/>
      <c r="BH95" s="304"/>
      <c r="BI95" s="304"/>
      <c r="BJ95" s="304"/>
      <c r="BK95" s="304"/>
      <c r="BL95" s="304"/>
      <c r="BM95" s="304"/>
      <c r="BN95" s="304"/>
      <c r="BO95" s="304"/>
      <c r="BP95" s="304"/>
    </row>
    <row r="96" spans="1:68" s="303" customFormat="1" ht="51" customHeight="1">
      <c r="A96" s="282"/>
      <c r="B96" s="282"/>
      <c r="C96" s="282"/>
      <c r="D96" s="283"/>
      <c r="E96" s="297"/>
      <c r="F96" s="305">
        <v>80</v>
      </c>
      <c r="G96" s="306" t="s">
        <v>843</v>
      </c>
      <c r="H96" s="300" t="s">
        <v>169</v>
      </c>
      <c r="I96" s="301">
        <v>0</v>
      </c>
      <c r="J96" s="301">
        <v>-30</v>
      </c>
      <c r="K96" s="301">
        <v>-70</v>
      </c>
      <c r="L96" s="301">
        <v>-70</v>
      </c>
      <c r="M96" s="301">
        <v>-70</v>
      </c>
      <c r="N96" s="301">
        <v>-70</v>
      </c>
      <c r="O96" s="302"/>
      <c r="P96" s="297"/>
      <c r="R96" s="304"/>
      <c r="S96" s="304"/>
      <c r="T96" s="304"/>
      <c r="U96" s="304"/>
      <c r="V96" s="304"/>
      <c r="W96" s="304"/>
      <c r="X96" s="304"/>
      <c r="Y96" s="304"/>
      <c r="Z96" s="304"/>
      <c r="AA96" s="304"/>
      <c r="AB96" s="304"/>
      <c r="AC96" s="304"/>
      <c r="AD96" s="304"/>
      <c r="AE96" s="304"/>
      <c r="AF96" s="304"/>
      <c r="AG96" s="304"/>
      <c r="AH96" s="304"/>
      <c r="AI96" s="304"/>
      <c r="AJ96" s="304"/>
      <c r="AK96" s="304"/>
      <c r="AL96" s="304"/>
      <c r="AM96" s="304"/>
      <c r="AN96" s="304"/>
      <c r="AO96" s="304"/>
      <c r="AP96" s="304"/>
      <c r="AQ96" s="304"/>
      <c r="AR96" s="304"/>
      <c r="AS96" s="304"/>
      <c r="AT96" s="304"/>
      <c r="AU96" s="304"/>
      <c r="AV96" s="304"/>
      <c r="AW96" s="304"/>
      <c r="AX96" s="304"/>
      <c r="AY96" s="304"/>
      <c r="AZ96" s="304"/>
      <c r="BA96" s="304"/>
      <c r="BB96" s="304"/>
      <c r="BC96" s="304"/>
      <c r="BD96" s="304"/>
      <c r="BE96" s="304"/>
      <c r="BF96" s="304"/>
      <c r="BG96" s="304"/>
      <c r="BH96" s="304"/>
      <c r="BI96" s="304"/>
      <c r="BJ96" s="304"/>
      <c r="BK96" s="304"/>
      <c r="BL96" s="304"/>
      <c r="BM96" s="304"/>
      <c r="BN96" s="304"/>
      <c r="BO96" s="304"/>
      <c r="BP96" s="304"/>
    </row>
    <row r="97" spans="1:68" s="303" customFormat="1" ht="45" customHeight="1">
      <c r="A97" s="282"/>
      <c r="B97" s="282"/>
      <c r="C97" s="282"/>
      <c r="D97" s="283"/>
      <c r="E97" s="297"/>
      <c r="F97" s="305">
        <v>81</v>
      </c>
      <c r="G97" s="306" t="s">
        <v>844</v>
      </c>
      <c r="H97" s="300" t="s">
        <v>757</v>
      </c>
      <c r="I97" s="301">
        <v>-1975</v>
      </c>
      <c r="J97" s="301">
        <v>-25</v>
      </c>
      <c r="K97" s="301">
        <v>-25</v>
      </c>
      <c r="L97" s="301">
        <v>-20</v>
      </c>
      <c r="M97" s="301">
        <v>-20</v>
      </c>
      <c r="N97" s="301">
        <v>-15</v>
      </c>
      <c r="O97" s="302"/>
      <c r="P97" s="297"/>
      <c r="R97" s="304"/>
      <c r="S97" s="304"/>
      <c r="T97" s="304"/>
      <c r="U97" s="304"/>
      <c r="V97" s="304"/>
      <c r="W97" s="304"/>
      <c r="X97" s="304"/>
      <c r="Y97" s="304"/>
      <c r="Z97" s="304"/>
      <c r="AA97" s="304"/>
      <c r="AB97" s="304"/>
      <c r="AC97" s="304"/>
      <c r="AD97" s="304"/>
      <c r="AE97" s="304"/>
      <c r="AF97" s="304"/>
      <c r="AG97" s="304"/>
      <c r="AH97" s="304"/>
      <c r="AI97" s="304"/>
      <c r="AJ97" s="304"/>
      <c r="AK97" s="304"/>
      <c r="AL97" s="304"/>
      <c r="AM97" s="304"/>
      <c r="AN97" s="304"/>
      <c r="AO97" s="304"/>
      <c r="AP97" s="304"/>
      <c r="AQ97" s="304"/>
      <c r="AR97" s="304"/>
      <c r="AS97" s="304"/>
      <c r="AT97" s="304"/>
      <c r="AU97" s="304"/>
      <c r="AV97" s="304"/>
      <c r="AW97" s="304"/>
      <c r="AX97" s="304"/>
      <c r="AY97" s="304"/>
      <c r="AZ97" s="304"/>
      <c r="BA97" s="304"/>
      <c r="BB97" s="304"/>
      <c r="BC97" s="304"/>
      <c r="BD97" s="304"/>
      <c r="BE97" s="304"/>
      <c r="BF97" s="304"/>
      <c r="BG97" s="304"/>
      <c r="BH97" s="304"/>
      <c r="BI97" s="304"/>
      <c r="BJ97" s="304"/>
      <c r="BK97" s="304"/>
      <c r="BL97" s="304"/>
      <c r="BM97" s="304"/>
      <c r="BN97" s="304"/>
      <c r="BO97" s="304"/>
      <c r="BP97" s="304"/>
    </row>
    <row r="98" spans="1:68" s="303" customFormat="1" ht="64.5" customHeight="1">
      <c r="A98" s="282"/>
      <c r="B98" s="282"/>
      <c r="C98" s="282"/>
      <c r="D98" s="283"/>
      <c r="E98" s="297"/>
      <c r="F98" s="305">
        <v>82</v>
      </c>
      <c r="G98" s="306" t="s">
        <v>845</v>
      </c>
      <c r="H98" s="300" t="s">
        <v>757</v>
      </c>
      <c r="I98" s="301">
        <v>0</v>
      </c>
      <c r="J98" s="301">
        <v>-1255</v>
      </c>
      <c r="K98" s="301">
        <v>-60</v>
      </c>
      <c r="L98" s="301">
        <v>-60</v>
      </c>
      <c r="M98" s="301">
        <v>-65</v>
      </c>
      <c r="N98" s="301">
        <v>-70</v>
      </c>
      <c r="O98" s="302"/>
      <c r="P98" s="297"/>
      <c r="R98" s="304"/>
      <c r="S98" s="304"/>
      <c r="T98" s="304"/>
      <c r="U98" s="304"/>
      <c r="V98" s="304"/>
      <c r="W98" s="304"/>
      <c r="X98" s="304"/>
      <c r="Y98" s="304"/>
      <c r="Z98" s="304"/>
      <c r="AA98" s="304"/>
      <c r="AB98" s="304"/>
      <c r="AC98" s="304"/>
      <c r="AD98" s="304"/>
      <c r="AE98" s="304"/>
      <c r="AF98" s="304"/>
      <c r="AG98" s="304"/>
      <c r="AH98" s="304"/>
      <c r="AI98" s="304"/>
      <c r="AJ98" s="304"/>
      <c r="AK98" s="304"/>
      <c r="AL98" s="304"/>
      <c r="AM98" s="304"/>
      <c r="AN98" s="304"/>
      <c r="AO98" s="304"/>
      <c r="AP98" s="304"/>
      <c r="AQ98" s="304"/>
      <c r="AR98" s="304"/>
      <c r="AS98" s="304"/>
      <c r="AT98" s="304"/>
      <c r="AU98" s="304"/>
      <c r="AV98" s="304"/>
      <c r="AW98" s="304"/>
      <c r="AX98" s="304"/>
      <c r="AY98" s="304"/>
      <c r="AZ98" s="304"/>
      <c r="BA98" s="304"/>
      <c r="BB98" s="304"/>
      <c r="BC98" s="304"/>
      <c r="BD98" s="304"/>
      <c r="BE98" s="304"/>
      <c r="BF98" s="304"/>
      <c r="BG98" s="304"/>
      <c r="BH98" s="304"/>
      <c r="BI98" s="304"/>
      <c r="BJ98" s="304"/>
      <c r="BK98" s="304"/>
      <c r="BL98" s="304"/>
      <c r="BM98" s="304"/>
      <c r="BN98" s="304"/>
      <c r="BO98" s="304"/>
      <c r="BP98" s="304"/>
    </row>
    <row r="99" spans="1:68" s="303" customFormat="1" ht="36" customHeight="1">
      <c r="A99" s="282"/>
      <c r="B99" s="282"/>
      <c r="C99" s="282"/>
      <c r="D99" s="283"/>
      <c r="E99" s="297"/>
      <c r="F99" s="305">
        <v>83</v>
      </c>
      <c r="G99" s="306" t="s">
        <v>846</v>
      </c>
      <c r="H99" s="301" t="s">
        <v>757</v>
      </c>
      <c r="I99" s="301">
        <v>0</v>
      </c>
      <c r="J99" s="301">
        <v>-235</v>
      </c>
      <c r="K99" s="301">
        <v>-1755</v>
      </c>
      <c r="L99" s="301">
        <v>-3350</v>
      </c>
      <c r="M99" s="301">
        <v>-4495</v>
      </c>
      <c r="N99" s="301">
        <v>-5345</v>
      </c>
      <c r="O99" s="302"/>
      <c r="P99" s="297"/>
      <c r="R99" s="304"/>
      <c r="S99" s="304"/>
      <c r="T99" s="304"/>
      <c r="U99" s="304"/>
      <c r="V99" s="304"/>
      <c r="W99" s="304"/>
      <c r="X99" s="304"/>
      <c r="Y99" s="304"/>
      <c r="Z99" s="304"/>
      <c r="AA99" s="304"/>
      <c r="AB99" s="304"/>
      <c r="AC99" s="304"/>
      <c r="AD99" s="304"/>
      <c r="AE99" s="304"/>
      <c r="AF99" s="304"/>
      <c r="AG99" s="304"/>
      <c r="AH99" s="304"/>
      <c r="AI99" s="304"/>
      <c r="AJ99" s="304"/>
      <c r="AK99" s="304"/>
      <c r="AL99" s="304"/>
      <c r="AM99" s="304"/>
      <c r="AN99" s="304"/>
      <c r="AO99" s="304"/>
      <c r="AP99" s="304"/>
      <c r="AQ99" s="304"/>
      <c r="AR99" s="304"/>
      <c r="AS99" s="304"/>
      <c r="AT99" s="304"/>
      <c r="AU99" s="304"/>
      <c r="AV99" s="304"/>
      <c r="AW99" s="304"/>
      <c r="AX99" s="304"/>
      <c r="AY99" s="304"/>
      <c r="AZ99" s="304"/>
      <c r="BA99" s="304"/>
      <c r="BB99" s="304"/>
      <c r="BC99" s="304"/>
      <c r="BD99" s="304"/>
      <c r="BE99" s="304"/>
      <c r="BF99" s="304"/>
      <c r="BG99" s="304"/>
      <c r="BH99" s="304"/>
      <c r="BI99" s="304"/>
      <c r="BJ99" s="304"/>
      <c r="BK99" s="304"/>
      <c r="BL99" s="304"/>
      <c r="BM99" s="304"/>
      <c r="BN99" s="304"/>
      <c r="BO99" s="304"/>
      <c r="BP99" s="304"/>
    </row>
    <row r="100" spans="1:68" s="303" customFormat="1" ht="44.45" customHeight="1">
      <c r="A100" s="282"/>
      <c r="B100" s="282"/>
      <c r="C100" s="282"/>
      <c r="D100" s="283"/>
      <c r="E100" s="297"/>
      <c r="F100" s="305">
        <v>84</v>
      </c>
      <c r="G100" s="306" t="s">
        <v>847</v>
      </c>
      <c r="H100" s="300" t="s">
        <v>757</v>
      </c>
      <c r="I100" s="301">
        <v>-1785</v>
      </c>
      <c r="J100" s="301">
        <v>-1390</v>
      </c>
      <c r="K100" s="301">
        <v>-910</v>
      </c>
      <c r="L100" s="301">
        <v>-1330</v>
      </c>
      <c r="M100" s="301">
        <v>-1340</v>
      </c>
      <c r="N100" s="301">
        <v>-1325</v>
      </c>
      <c r="O100" s="302"/>
      <c r="P100" s="297"/>
      <c r="Q100" s="315"/>
      <c r="R100" s="304"/>
      <c r="S100" s="304"/>
      <c r="T100" s="304"/>
      <c r="U100" s="304"/>
      <c r="V100" s="304"/>
      <c r="W100" s="304"/>
      <c r="X100" s="304"/>
      <c r="Y100" s="304"/>
      <c r="Z100" s="304"/>
      <c r="AA100" s="304"/>
      <c r="AB100" s="304"/>
      <c r="AC100" s="304"/>
      <c r="AD100" s="304"/>
      <c r="AE100" s="304"/>
      <c r="AF100" s="304"/>
      <c r="AG100" s="304"/>
      <c r="AH100" s="304"/>
      <c r="AI100" s="304"/>
      <c r="AJ100" s="304"/>
      <c r="AK100" s="304"/>
      <c r="AL100" s="304"/>
      <c r="AM100" s="304"/>
      <c r="AN100" s="304"/>
      <c r="AO100" s="304"/>
      <c r="AP100" s="304"/>
      <c r="AQ100" s="304"/>
      <c r="AR100" s="304"/>
      <c r="AS100" s="304"/>
      <c r="AT100" s="304"/>
      <c r="AU100" s="304"/>
      <c r="AV100" s="304"/>
      <c r="AW100" s="304"/>
      <c r="AX100" s="304"/>
      <c r="AY100" s="304"/>
      <c r="AZ100" s="304"/>
      <c r="BA100" s="304"/>
      <c r="BB100" s="304"/>
      <c r="BC100" s="304"/>
      <c r="BD100" s="304"/>
      <c r="BE100" s="304"/>
      <c r="BF100" s="304"/>
      <c r="BG100" s="304"/>
      <c r="BH100" s="304"/>
      <c r="BI100" s="304"/>
      <c r="BJ100" s="304"/>
      <c r="BK100" s="304"/>
      <c r="BL100" s="304"/>
      <c r="BM100" s="304"/>
      <c r="BN100" s="304"/>
      <c r="BO100" s="304"/>
      <c r="BP100" s="304"/>
    </row>
    <row r="101" spans="1:68" s="303" customFormat="1" ht="59.45" customHeight="1">
      <c r="A101" s="282"/>
      <c r="B101" s="282"/>
      <c r="C101" s="282"/>
      <c r="D101" s="283"/>
      <c r="E101" s="297"/>
      <c r="F101" s="305">
        <v>85</v>
      </c>
      <c r="G101" s="306" t="s">
        <v>848</v>
      </c>
      <c r="H101" s="300" t="s">
        <v>757</v>
      </c>
      <c r="I101" s="301">
        <v>0</v>
      </c>
      <c r="J101" s="301">
        <v>-245</v>
      </c>
      <c r="K101" s="301">
        <v>-475</v>
      </c>
      <c r="L101" s="301">
        <v>-630</v>
      </c>
      <c r="M101" s="301">
        <v>-790</v>
      </c>
      <c r="N101" s="301">
        <v>-945</v>
      </c>
      <c r="O101" s="302"/>
      <c r="P101" s="297"/>
      <c r="Q101" s="315"/>
      <c r="R101" s="304"/>
      <c r="S101" s="304"/>
      <c r="T101" s="304"/>
      <c r="U101" s="304"/>
      <c r="V101" s="304"/>
      <c r="W101" s="304"/>
      <c r="X101" s="304"/>
      <c r="Y101" s="304"/>
      <c r="Z101" s="304"/>
      <c r="AA101" s="304"/>
      <c r="AB101" s="304"/>
      <c r="AC101" s="304"/>
      <c r="AD101" s="304"/>
      <c r="AE101" s="304"/>
      <c r="AF101" s="304"/>
      <c r="AG101" s="304"/>
      <c r="AH101" s="304"/>
      <c r="AI101" s="304"/>
      <c r="AJ101" s="304"/>
      <c r="AK101" s="304"/>
      <c r="AL101" s="304"/>
      <c r="AM101" s="304"/>
      <c r="AN101" s="304"/>
      <c r="AO101" s="304"/>
      <c r="AP101" s="304"/>
      <c r="AQ101" s="304"/>
      <c r="AR101" s="304"/>
      <c r="AS101" s="304"/>
      <c r="AT101" s="304"/>
      <c r="AU101" s="304"/>
      <c r="AV101" s="304"/>
      <c r="AW101" s="304"/>
      <c r="AX101" s="304"/>
      <c r="AY101" s="304"/>
      <c r="AZ101" s="304"/>
      <c r="BA101" s="304"/>
      <c r="BB101" s="304"/>
      <c r="BC101" s="304"/>
      <c r="BD101" s="304"/>
      <c r="BE101" s="304"/>
      <c r="BF101" s="304"/>
      <c r="BG101" s="304"/>
      <c r="BH101" s="304"/>
      <c r="BI101" s="304"/>
      <c r="BJ101" s="304"/>
      <c r="BK101" s="304"/>
      <c r="BL101" s="304"/>
      <c r="BM101" s="304"/>
      <c r="BN101" s="304"/>
      <c r="BO101" s="304"/>
      <c r="BP101" s="304"/>
    </row>
    <row r="102" spans="1:68" s="303" customFormat="1" ht="45" customHeight="1">
      <c r="A102" s="282"/>
      <c r="B102" s="282"/>
      <c r="C102" s="282"/>
      <c r="D102" s="283"/>
      <c r="E102" s="297"/>
      <c r="F102" s="305">
        <v>86</v>
      </c>
      <c r="G102" s="306" t="s">
        <v>849</v>
      </c>
      <c r="H102" s="300" t="s">
        <v>169</v>
      </c>
      <c r="I102" s="301">
        <v>-25</v>
      </c>
      <c r="J102" s="301">
        <v>-95</v>
      </c>
      <c r="K102" s="301">
        <v>-30</v>
      </c>
      <c r="L102" s="301">
        <v>35</v>
      </c>
      <c r="M102" s="301">
        <v>-155</v>
      </c>
      <c r="N102" s="301">
        <v>-95</v>
      </c>
      <c r="O102" s="302"/>
      <c r="P102" s="297"/>
      <c r="R102" s="304"/>
      <c r="S102" s="304"/>
      <c r="T102" s="304"/>
      <c r="U102" s="304"/>
      <c r="V102" s="304"/>
      <c r="W102" s="304"/>
      <c r="X102" s="304"/>
      <c r="Y102" s="304"/>
      <c r="Z102" s="304"/>
      <c r="AA102" s="304"/>
      <c r="AB102" s="304"/>
      <c r="AC102" s="304"/>
      <c r="AD102" s="304"/>
      <c r="AE102" s="304"/>
      <c r="AF102" s="304"/>
      <c r="AG102" s="304"/>
      <c r="AH102" s="304"/>
      <c r="AI102" s="304"/>
      <c r="AJ102" s="304"/>
      <c r="AK102" s="304"/>
      <c r="AL102" s="304"/>
      <c r="AM102" s="304"/>
      <c r="AN102" s="304"/>
      <c r="AO102" s="304"/>
      <c r="AP102" s="304"/>
      <c r="AQ102" s="304"/>
      <c r="AR102" s="304"/>
      <c r="AS102" s="304"/>
      <c r="AT102" s="304"/>
      <c r="AU102" s="304"/>
      <c r="AV102" s="304"/>
      <c r="AW102" s="304"/>
      <c r="AX102" s="304"/>
      <c r="AY102" s="304"/>
      <c r="AZ102" s="304"/>
      <c r="BA102" s="304"/>
      <c r="BB102" s="304"/>
      <c r="BC102" s="304"/>
      <c r="BD102" s="304"/>
      <c r="BE102" s="304"/>
      <c r="BF102" s="304"/>
      <c r="BG102" s="304"/>
      <c r="BH102" s="304"/>
      <c r="BI102" s="304"/>
      <c r="BJ102" s="304"/>
      <c r="BK102" s="304"/>
      <c r="BL102" s="304"/>
      <c r="BM102" s="304"/>
      <c r="BN102" s="304"/>
      <c r="BO102" s="304"/>
      <c r="BP102" s="304"/>
    </row>
    <row r="103" spans="1:68" s="303" customFormat="1" ht="50.25" customHeight="1">
      <c r="A103" s="282"/>
      <c r="B103" s="282"/>
      <c r="C103" s="282"/>
      <c r="D103" s="283"/>
      <c r="E103" s="297"/>
      <c r="F103" s="305">
        <v>87</v>
      </c>
      <c r="G103" s="306" t="s">
        <v>850</v>
      </c>
      <c r="H103" s="301" t="s">
        <v>757</v>
      </c>
      <c r="I103" s="301">
        <v>-15</v>
      </c>
      <c r="J103" s="301">
        <v>-125</v>
      </c>
      <c r="K103" s="301">
        <v>-65</v>
      </c>
      <c r="L103" s="301">
        <v>-60</v>
      </c>
      <c r="M103" s="301">
        <v>0</v>
      </c>
      <c r="N103" s="301">
        <v>0</v>
      </c>
      <c r="O103" s="302"/>
      <c r="P103" s="297"/>
      <c r="S103" s="304"/>
      <c r="T103" s="304"/>
      <c r="U103" s="304"/>
      <c r="V103" s="304"/>
      <c r="W103" s="304"/>
      <c r="X103" s="304"/>
      <c r="Y103" s="304"/>
      <c r="Z103" s="304"/>
      <c r="AA103" s="304"/>
      <c r="AB103" s="304"/>
      <c r="AC103" s="304"/>
      <c r="AD103" s="304"/>
      <c r="AE103" s="304"/>
      <c r="AF103" s="304"/>
      <c r="AG103" s="304"/>
      <c r="AH103" s="304"/>
      <c r="AI103" s="304"/>
      <c r="AJ103" s="304"/>
      <c r="AK103" s="304"/>
      <c r="AL103" s="304"/>
      <c r="AM103" s="304"/>
      <c r="AN103" s="304"/>
      <c r="AO103" s="304"/>
      <c r="AP103" s="304"/>
      <c r="AQ103" s="304"/>
      <c r="AR103" s="304"/>
      <c r="AS103" s="304"/>
      <c r="AT103" s="304"/>
      <c r="AU103" s="304"/>
      <c r="AV103" s="304"/>
      <c r="AW103" s="304"/>
      <c r="AX103" s="304"/>
      <c r="AY103" s="304"/>
      <c r="AZ103" s="304"/>
      <c r="BA103" s="304"/>
      <c r="BB103" s="304"/>
      <c r="BC103" s="304"/>
      <c r="BD103" s="304"/>
      <c r="BE103" s="304"/>
      <c r="BF103" s="304"/>
      <c r="BG103" s="304"/>
      <c r="BH103" s="304"/>
      <c r="BI103" s="304"/>
      <c r="BJ103" s="304"/>
      <c r="BK103" s="304"/>
      <c r="BL103" s="304"/>
      <c r="BM103" s="304"/>
      <c r="BN103" s="304"/>
      <c r="BO103" s="304"/>
      <c r="BP103" s="304"/>
    </row>
    <row r="104" spans="1:68" s="303" customFormat="1" ht="53.1" customHeight="1">
      <c r="A104" s="282"/>
      <c r="B104" s="282"/>
      <c r="C104" s="282"/>
      <c r="D104" s="283"/>
      <c r="E104" s="297"/>
      <c r="F104" s="305">
        <v>88</v>
      </c>
      <c r="G104" s="306" t="s">
        <v>851</v>
      </c>
      <c r="H104" s="300" t="s">
        <v>169</v>
      </c>
      <c r="I104" s="301">
        <v>-55</v>
      </c>
      <c r="J104" s="301">
        <v>-150</v>
      </c>
      <c r="K104" s="301">
        <v>-95</v>
      </c>
      <c r="L104" s="301">
        <v>-100</v>
      </c>
      <c r="M104" s="301">
        <v>-100</v>
      </c>
      <c r="N104" s="301">
        <v>-105</v>
      </c>
      <c r="O104" s="302"/>
      <c r="P104" s="297"/>
      <c r="R104" s="304"/>
      <c r="S104" s="304"/>
      <c r="T104" s="304"/>
      <c r="U104" s="304"/>
      <c r="V104" s="304"/>
      <c r="W104" s="304"/>
      <c r="X104" s="304"/>
      <c r="Y104" s="304"/>
      <c r="Z104" s="304"/>
      <c r="AA104" s="304"/>
      <c r="AB104" s="304"/>
      <c r="AC104" s="304"/>
      <c r="AD104" s="304"/>
      <c r="AE104" s="304"/>
      <c r="AF104" s="304"/>
      <c r="AG104" s="304"/>
      <c r="AH104" s="304"/>
      <c r="AI104" s="304"/>
      <c r="AJ104" s="304"/>
      <c r="AK104" s="304"/>
      <c r="AL104" s="304"/>
      <c r="AM104" s="304"/>
      <c r="AN104" s="304"/>
      <c r="AO104" s="304"/>
      <c r="AP104" s="304"/>
      <c r="AQ104" s="304"/>
      <c r="AR104" s="304"/>
      <c r="AS104" s="304"/>
      <c r="AT104" s="304"/>
      <c r="AU104" s="304"/>
      <c r="AV104" s="304"/>
      <c r="AW104" s="304"/>
      <c r="AX104" s="304"/>
      <c r="AY104" s="304"/>
      <c r="AZ104" s="304"/>
      <c r="BA104" s="304"/>
      <c r="BB104" s="304"/>
      <c r="BC104" s="304"/>
      <c r="BD104" s="304"/>
      <c r="BE104" s="304"/>
      <c r="BF104" s="304"/>
      <c r="BG104" s="304"/>
      <c r="BH104" s="304"/>
      <c r="BI104" s="304"/>
      <c r="BJ104" s="304"/>
      <c r="BK104" s="304"/>
      <c r="BL104" s="304"/>
      <c r="BM104" s="304"/>
      <c r="BN104" s="304"/>
      <c r="BO104" s="304"/>
      <c r="BP104" s="304"/>
    </row>
    <row r="105" spans="1:68" s="316" customFormat="1" ht="4.5" customHeight="1" thickBot="1">
      <c r="A105" s="282"/>
      <c r="B105" s="282"/>
      <c r="C105" s="307"/>
      <c r="D105" s="308"/>
      <c r="E105" s="309"/>
      <c r="F105" s="310" t="s">
        <v>623</v>
      </c>
      <c r="G105" s="311"/>
      <c r="H105" s="312"/>
      <c r="I105" s="313"/>
      <c r="J105" s="313"/>
      <c r="K105" s="313"/>
      <c r="L105" s="313"/>
      <c r="M105" s="313"/>
      <c r="N105" s="312"/>
      <c r="O105" s="314"/>
      <c r="P105" s="309"/>
      <c r="Q105" s="315"/>
      <c r="R105" s="304"/>
      <c r="S105" s="304"/>
      <c r="T105" s="304"/>
      <c r="U105" s="304"/>
      <c r="V105" s="304"/>
      <c r="W105" s="304"/>
      <c r="X105" s="304"/>
      <c r="Y105" s="304"/>
      <c r="Z105" s="304"/>
      <c r="AA105" s="304"/>
      <c r="AB105" s="304"/>
      <c r="AC105" s="304"/>
      <c r="AD105" s="304"/>
      <c r="AE105" s="304"/>
      <c r="AF105" s="304"/>
      <c r="AG105" s="304"/>
      <c r="AH105" s="304"/>
      <c r="AI105" s="304"/>
      <c r="AJ105" s="304"/>
      <c r="AK105" s="304"/>
      <c r="AL105" s="304"/>
      <c r="AM105" s="304"/>
      <c r="AN105" s="304"/>
      <c r="AO105" s="304"/>
      <c r="AP105" s="304"/>
      <c r="AQ105" s="304"/>
      <c r="AR105" s="304"/>
      <c r="AS105" s="304"/>
      <c r="AT105" s="304"/>
      <c r="AU105" s="304"/>
      <c r="AV105" s="304"/>
      <c r="AW105" s="304"/>
      <c r="AX105" s="304"/>
      <c r="AY105" s="304"/>
      <c r="AZ105" s="304"/>
      <c r="BA105" s="304"/>
      <c r="BB105" s="304"/>
      <c r="BC105" s="304"/>
      <c r="BD105" s="304"/>
      <c r="BE105" s="304"/>
      <c r="BF105" s="304"/>
      <c r="BG105" s="304"/>
      <c r="BH105" s="304"/>
      <c r="BI105" s="304"/>
      <c r="BJ105" s="304"/>
      <c r="BK105" s="304"/>
      <c r="BL105" s="304"/>
      <c r="BM105" s="304"/>
      <c r="BN105" s="304"/>
      <c r="BO105" s="304"/>
      <c r="BP105" s="304"/>
    </row>
    <row r="106" spans="1:68" s="325" customFormat="1" ht="29.85" customHeight="1" thickBot="1">
      <c r="B106" s="282"/>
      <c r="C106" s="326"/>
      <c r="D106" s="308"/>
      <c r="E106" s="327"/>
      <c r="F106" s="328"/>
      <c r="G106" s="329" t="s">
        <v>852</v>
      </c>
      <c r="H106" s="330"/>
      <c r="I106" s="331">
        <v>-4125</v>
      </c>
      <c r="J106" s="331">
        <v>-9315</v>
      </c>
      <c r="K106" s="331">
        <v>-7445</v>
      </c>
      <c r="L106" s="331">
        <v>3425</v>
      </c>
      <c r="M106" s="331">
        <v>20535</v>
      </c>
      <c r="N106" s="331">
        <v>24110</v>
      </c>
      <c r="O106" s="332"/>
      <c r="P106" s="327"/>
      <c r="R106" s="304"/>
      <c r="S106" s="304"/>
      <c r="T106" s="304"/>
      <c r="U106" s="304"/>
      <c r="V106" s="304"/>
      <c r="W106" s="304"/>
      <c r="X106" s="304"/>
      <c r="Y106" s="304"/>
      <c r="Z106" s="304"/>
      <c r="AA106" s="304"/>
      <c r="AB106" s="304"/>
      <c r="AC106" s="304"/>
      <c r="AD106" s="304"/>
      <c r="AE106" s="304"/>
      <c r="AF106" s="304"/>
      <c r="AG106" s="304"/>
      <c r="AH106" s="304"/>
      <c r="AI106" s="304"/>
      <c r="AJ106" s="304"/>
      <c r="AK106" s="304"/>
      <c r="AL106" s="304"/>
      <c r="AM106" s="304"/>
      <c r="AN106" s="304"/>
      <c r="AO106" s="304"/>
      <c r="AP106" s="304"/>
      <c r="AQ106" s="304"/>
      <c r="AR106" s="304"/>
      <c r="AS106" s="304"/>
      <c r="AT106" s="304"/>
      <c r="AU106" s="304"/>
      <c r="AV106" s="304"/>
      <c r="AW106" s="304"/>
      <c r="AX106" s="304"/>
      <c r="AY106" s="304"/>
      <c r="AZ106" s="304"/>
      <c r="BA106" s="304"/>
      <c r="BB106" s="304"/>
      <c r="BC106" s="304"/>
      <c r="BD106" s="304"/>
      <c r="BE106" s="304"/>
      <c r="BF106" s="304"/>
      <c r="BG106" s="304"/>
      <c r="BH106" s="304"/>
      <c r="BI106" s="304"/>
      <c r="BJ106" s="304"/>
      <c r="BK106" s="304"/>
      <c r="BL106" s="304"/>
      <c r="BM106" s="304"/>
      <c r="BN106" s="304"/>
      <c r="BO106" s="304"/>
      <c r="BP106" s="304"/>
    </row>
    <row r="107" spans="1:68" s="325" customFormat="1" ht="29.85" customHeight="1" thickBot="1">
      <c r="B107" s="282"/>
      <c r="C107" s="326"/>
      <c r="D107" s="308"/>
      <c r="E107" s="333"/>
      <c r="F107" s="334"/>
      <c r="G107" s="329" t="s">
        <v>853</v>
      </c>
      <c r="H107" s="335"/>
      <c r="I107" s="336">
        <v>-4200</v>
      </c>
      <c r="J107" s="336">
        <v>-7410</v>
      </c>
      <c r="K107" s="336">
        <v>-10330</v>
      </c>
      <c r="L107" s="336">
        <v>-7305</v>
      </c>
      <c r="M107" s="336">
        <v>-2615</v>
      </c>
      <c r="N107" s="336">
        <v>-2535</v>
      </c>
      <c r="O107" s="337"/>
      <c r="P107" s="333"/>
      <c r="R107" s="304"/>
      <c r="S107" s="304"/>
      <c r="T107" s="304"/>
      <c r="U107" s="304"/>
      <c r="V107" s="304"/>
      <c r="W107" s="304"/>
      <c r="X107" s="304"/>
      <c r="Y107" s="304"/>
      <c r="Z107" s="304"/>
      <c r="AA107" s="304"/>
      <c r="AB107" s="304"/>
      <c r="AC107" s="304"/>
      <c r="AD107" s="304"/>
      <c r="AE107" s="304"/>
      <c r="AF107" s="304"/>
      <c r="AG107" s="304"/>
      <c r="AH107" s="304"/>
      <c r="AI107" s="304"/>
      <c r="AJ107" s="304"/>
      <c r="AK107" s="304"/>
      <c r="AL107" s="304"/>
      <c r="AM107" s="304"/>
      <c r="AN107" s="304"/>
      <c r="AO107" s="304"/>
      <c r="AP107" s="304"/>
      <c r="AQ107" s="304"/>
      <c r="AR107" s="304"/>
      <c r="AS107" s="304"/>
      <c r="AT107" s="304"/>
      <c r="AU107" s="304"/>
      <c r="AV107" s="304"/>
      <c r="AW107" s="304"/>
      <c r="AX107" s="304"/>
      <c r="AY107" s="304"/>
      <c r="AZ107" s="304"/>
      <c r="BA107" s="304"/>
      <c r="BB107" s="304"/>
      <c r="BC107" s="304"/>
      <c r="BD107" s="304"/>
      <c r="BE107" s="304"/>
      <c r="BF107" s="304"/>
      <c r="BG107" s="304"/>
      <c r="BH107" s="304"/>
      <c r="BI107" s="304"/>
      <c r="BJ107" s="304"/>
      <c r="BK107" s="304"/>
      <c r="BL107" s="304"/>
      <c r="BM107" s="304"/>
      <c r="BN107" s="304"/>
      <c r="BO107" s="304"/>
      <c r="BP107" s="304"/>
    </row>
    <row r="108" spans="1:68" s="325" customFormat="1" ht="29.85" customHeight="1" thickBot="1">
      <c r="B108" s="282"/>
      <c r="C108" s="326"/>
      <c r="D108" s="308"/>
      <c r="E108" s="333"/>
      <c r="F108" s="338"/>
      <c r="G108" s="329" t="s">
        <v>854</v>
      </c>
      <c r="H108" s="339"/>
      <c r="I108" s="340">
        <v>70</v>
      </c>
      <c r="J108" s="340">
        <v>-1905</v>
      </c>
      <c r="K108" s="340">
        <v>2890</v>
      </c>
      <c r="L108" s="340">
        <v>10730</v>
      </c>
      <c r="M108" s="340">
        <v>23150</v>
      </c>
      <c r="N108" s="340">
        <v>26645</v>
      </c>
      <c r="O108" s="341"/>
      <c r="P108" s="333"/>
      <c r="R108" s="304"/>
      <c r="S108" s="304"/>
      <c r="T108" s="304"/>
      <c r="U108" s="304"/>
      <c r="V108" s="304"/>
      <c r="W108" s="304"/>
      <c r="X108" s="304"/>
      <c r="Y108" s="304"/>
      <c r="Z108" s="304"/>
      <c r="AA108" s="304"/>
      <c r="AB108" s="304"/>
      <c r="AC108" s="304"/>
      <c r="AD108" s="304"/>
      <c r="AE108" s="304"/>
      <c r="AF108" s="304"/>
      <c r="AG108" s="304"/>
      <c r="AH108" s="304"/>
      <c r="AI108" s="304"/>
      <c r="AJ108" s="304"/>
      <c r="AK108" s="304"/>
      <c r="AL108" s="304"/>
      <c r="AM108" s="304"/>
      <c r="AN108" s="304"/>
      <c r="AO108" s="304"/>
      <c r="AP108" s="304"/>
      <c r="AQ108" s="304"/>
      <c r="AR108" s="304"/>
      <c r="AS108" s="304"/>
      <c r="AT108" s="304"/>
      <c r="AU108" s="304"/>
      <c r="AV108" s="304"/>
      <c r="AW108" s="304"/>
      <c r="AX108" s="304"/>
      <c r="AY108" s="304"/>
      <c r="AZ108" s="304"/>
      <c r="BA108" s="304"/>
      <c r="BB108" s="304"/>
      <c r="BC108" s="304"/>
      <c r="BD108" s="304"/>
      <c r="BE108" s="304"/>
      <c r="BF108" s="304"/>
      <c r="BG108" s="304"/>
      <c r="BH108" s="304"/>
      <c r="BI108" s="304"/>
      <c r="BJ108" s="304"/>
      <c r="BK108" s="304"/>
      <c r="BL108" s="304"/>
      <c r="BM108" s="304"/>
      <c r="BN108" s="304"/>
      <c r="BO108" s="304"/>
      <c r="BP108" s="304"/>
    </row>
    <row r="109" spans="1:68" ht="27.6" customHeight="1">
      <c r="B109" s="282"/>
      <c r="F109" s="518" t="s">
        <v>855</v>
      </c>
      <c r="G109" s="518"/>
      <c r="H109" s="518"/>
      <c r="I109" s="518"/>
      <c r="J109" s="518"/>
      <c r="K109" s="518"/>
      <c r="L109" s="518"/>
      <c r="M109" s="518"/>
      <c r="N109" s="518"/>
      <c r="O109" s="344"/>
      <c r="R109" s="304"/>
      <c r="S109" s="304"/>
      <c r="T109" s="304"/>
      <c r="U109" s="304"/>
      <c r="V109" s="304"/>
      <c r="W109" s="304"/>
      <c r="X109" s="304"/>
      <c r="Y109" s="304"/>
      <c r="Z109" s="304"/>
      <c r="AA109" s="304"/>
      <c r="AB109" s="304"/>
      <c r="AC109" s="304"/>
      <c r="AD109" s="304"/>
      <c r="AE109" s="304"/>
      <c r="AF109" s="304"/>
      <c r="AG109" s="304"/>
      <c r="AH109" s="304"/>
      <c r="AI109" s="304"/>
      <c r="AJ109" s="304"/>
      <c r="AK109" s="304"/>
      <c r="AL109" s="304"/>
      <c r="AM109" s="304"/>
      <c r="AN109" s="304"/>
      <c r="AO109" s="304"/>
      <c r="AP109" s="304"/>
      <c r="AQ109" s="304"/>
      <c r="AR109" s="304"/>
      <c r="AS109" s="304"/>
      <c r="AT109" s="304"/>
      <c r="AU109" s="304"/>
      <c r="AV109" s="304"/>
      <c r="AW109" s="304"/>
      <c r="AX109" s="304"/>
      <c r="AY109" s="304"/>
      <c r="AZ109" s="304"/>
      <c r="BA109" s="304"/>
      <c r="BB109" s="304"/>
      <c r="BC109" s="304"/>
      <c r="BD109" s="304"/>
      <c r="BE109" s="304"/>
      <c r="BF109" s="304"/>
      <c r="BG109" s="304"/>
      <c r="BH109" s="304"/>
      <c r="BI109" s="304"/>
      <c r="BJ109" s="304"/>
      <c r="BK109" s="304"/>
      <c r="BL109" s="304"/>
      <c r="BM109" s="304"/>
      <c r="BN109" s="304"/>
      <c r="BO109" s="304"/>
      <c r="BP109" s="304"/>
    </row>
    <row r="110" spans="1:68" ht="62.1" customHeight="1">
      <c r="B110" s="282"/>
      <c r="F110" s="519" t="s">
        <v>856</v>
      </c>
      <c r="G110" s="520"/>
      <c r="H110" s="520"/>
      <c r="I110" s="520"/>
      <c r="J110" s="520"/>
      <c r="K110" s="520"/>
      <c r="L110" s="520"/>
      <c r="M110" s="520"/>
      <c r="N110" s="520"/>
      <c r="O110" s="344"/>
      <c r="R110" s="304"/>
      <c r="S110" s="304"/>
      <c r="T110" s="304"/>
      <c r="U110" s="304"/>
      <c r="V110" s="304"/>
      <c r="W110" s="304"/>
      <c r="X110" s="304"/>
      <c r="Y110" s="304"/>
      <c r="Z110" s="304"/>
      <c r="AA110" s="304"/>
      <c r="AB110" s="304"/>
      <c r="AC110" s="304"/>
      <c r="AD110" s="304"/>
      <c r="AE110" s="304"/>
      <c r="AF110" s="304"/>
      <c r="AG110" s="304"/>
      <c r="AH110" s="304"/>
      <c r="AI110" s="304"/>
      <c r="AJ110" s="304"/>
      <c r="AK110" s="304"/>
      <c r="AL110" s="304"/>
      <c r="AM110" s="304"/>
      <c r="AN110" s="304"/>
      <c r="AO110" s="304"/>
      <c r="AP110" s="304"/>
      <c r="AQ110" s="304"/>
      <c r="AR110" s="304"/>
      <c r="AS110" s="304"/>
      <c r="AT110" s="304"/>
      <c r="AU110" s="304"/>
      <c r="AV110" s="304"/>
      <c r="AW110" s="304"/>
      <c r="AX110" s="304"/>
      <c r="AY110" s="304"/>
      <c r="AZ110" s="304"/>
      <c r="BA110" s="304"/>
      <c r="BB110" s="304"/>
      <c r="BC110" s="304"/>
      <c r="BD110" s="304"/>
      <c r="BE110" s="304"/>
      <c r="BF110" s="304"/>
      <c r="BG110" s="304"/>
      <c r="BH110" s="304"/>
      <c r="BI110" s="304"/>
      <c r="BJ110" s="304"/>
      <c r="BK110" s="304"/>
      <c r="BL110" s="304"/>
      <c r="BM110" s="304"/>
      <c r="BN110" s="304"/>
      <c r="BO110" s="304"/>
      <c r="BP110" s="304"/>
    </row>
    <row r="111" spans="1:68" ht="37.5" customHeight="1">
      <c r="B111" s="282"/>
      <c r="F111" s="521" t="s">
        <v>857</v>
      </c>
      <c r="G111" s="520"/>
      <c r="H111" s="520"/>
      <c r="I111" s="520"/>
      <c r="J111" s="520"/>
      <c r="K111" s="520"/>
      <c r="L111" s="520"/>
      <c r="M111" s="520"/>
      <c r="N111" s="520"/>
      <c r="O111" s="344"/>
      <c r="R111" s="304"/>
      <c r="S111" s="304"/>
      <c r="T111" s="304"/>
      <c r="U111" s="304"/>
      <c r="V111" s="304"/>
      <c r="W111" s="304"/>
      <c r="X111" s="304"/>
      <c r="Y111" s="304"/>
      <c r="Z111" s="304"/>
      <c r="AA111" s="304"/>
      <c r="AB111" s="304"/>
      <c r="AC111" s="304"/>
      <c r="AD111" s="304"/>
      <c r="AE111" s="304"/>
      <c r="AF111" s="304"/>
      <c r="AG111" s="304"/>
      <c r="AH111" s="304"/>
      <c r="AI111" s="304"/>
      <c r="AJ111" s="304"/>
      <c r="AK111" s="304"/>
      <c r="AL111" s="304"/>
      <c r="AM111" s="304"/>
      <c r="AN111" s="304"/>
      <c r="AO111" s="304"/>
      <c r="AP111" s="304"/>
      <c r="AQ111" s="304"/>
      <c r="AR111" s="304"/>
      <c r="AS111" s="304"/>
      <c r="AT111" s="304"/>
      <c r="AU111" s="304"/>
      <c r="AV111" s="304"/>
      <c r="AW111" s="304"/>
      <c r="AX111" s="304"/>
      <c r="AY111" s="304"/>
      <c r="AZ111" s="304"/>
      <c r="BA111" s="304"/>
      <c r="BB111" s="304"/>
      <c r="BC111" s="304"/>
      <c r="BD111" s="304"/>
      <c r="BE111" s="304"/>
      <c r="BF111" s="304"/>
      <c r="BG111" s="304"/>
      <c r="BH111" s="304"/>
      <c r="BI111" s="304"/>
      <c r="BJ111" s="304"/>
      <c r="BK111" s="304"/>
      <c r="BL111" s="304"/>
      <c r="BM111" s="304"/>
      <c r="BN111" s="304"/>
      <c r="BO111" s="304"/>
      <c r="BP111" s="304"/>
    </row>
    <row r="112" spans="1:68" ht="55.5" customHeight="1">
      <c r="B112" s="282"/>
      <c r="F112" s="519" t="s">
        <v>858</v>
      </c>
      <c r="G112" s="520"/>
      <c r="H112" s="520"/>
      <c r="I112" s="520"/>
      <c r="J112" s="520"/>
      <c r="K112" s="520"/>
      <c r="L112" s="520"/>
      <c r="M112" s="520"/>
      <c r="N112" s="520"/>
      <c r="O112" s="344"/>
      <c r="R112" s="304"/>
      <c r="S112" s="304"/>
      <c r="T112" s="304"/>
      <c r="U112" s="304"/>
      <c r="V112" s="304"/>
      <c r="W112" s="304"/>
      <c r="X112" s="304"/>
      <c r="Y112" s="304"/>
      <c r="Z112" s="304"/>
      <c r="AA112" s="304"/>
      <c r="AB112" s="304"/>
      <c r="AC112" s="304"/>
      <c r="AD112" s="304"/>
      <c r="AE112" s="304"/>
      <c r="AF112" s="304"/>
      <c r="AG112" s="304"/>
      <c r="AH112" s="304"/>
      <c r="AI112" s="304"/>
      <c r="AJ112" s="304"/>
      <c r="AK112" s="304"/>
      <c r="AL112" s="304"/>
      <c r="AM112" s="304"/>
      <c r="AN112" s="304"/>
      <c r="AO112" s="304"/>
      <c r="AP112" s="304"/>
      <c r="AQ112" s="304"/>
      <c r="AR112" s="304"/>
      <c r="AS112" s="304"/>
      <c r="AT112" s="304"/>
      <c r="AU112" s="304"/>
      <c r="AV112" s="304"/>
      <c r="AW112" s="304"/>
      <c r="AX112" s="304"/>
      <c r="AY112" s="304"/>
      <c r="AZ112" s="304"/>
      <c r="BA112" s="304"/>
      <c r="BB112" s="304"/>
      <c r="BC112" s="304"/>
      <c r="BD112" s="304"/>
      <c r="BE112" s="304"/>
      <c r="BF112" s="304"/>
      <c r="BG112" s="304"/>
      <c r="BH112" s="304"/>
      <c r="BI112" s="304"/>
      <c r="BJ112" s="304"/>
      <c r="BK112" s="304"/>
      <c r="BL112" s="304"/>
      <c r="BM112" s="304"/>
      <c r="BN112" s="304"/>
      <c r="BO112" s="304"/>
      <c r="BP112" s="304"/>
    </row>
    <row r="113" spans="2:68" ht="29.45" customHeight="1" thickBot="1">
      <c r="B113" s="282"/>
      <c r="F113" s="515" t="s">
        <v>859</v>
      </c>
      <c r="G113" s="516"/>
      <c r="H113" s="516"/>
      <c r="I113" s="516"/>
      <c r="J113" s="516"/>
      <c r="K113" s="516"/>
      <c r="L113" s="516"/>
      <c r="M113" s="516"/>
      <c r="N113" s="516"/>
      <c r="O113" s="345"/>
      <c r="R113" s="304"/>
      <c r="S113" s="304"/>
      <c r="T113" s="304"/>
      <c r="U113" s="304"/>
      <c r="V113" s="304"/>
      <c r="W113" s="304"/>
      <c r="X113" s="304"/>
      <c r="Y113" s="304"/>
      <c r="Z113" s="304"/>
      <c r="AA113" s="304"/>
      <c r="AB113" s="304"/>
      <c r="AC113" s="304"/>
      <c r="AD113" s="304"/>
      <c r="AE113" s="304"/>
      <c r="AF113" s="304"/>
      <c r="AG113" s="304"/>
      <c r="AH113" s="304"/>
      <c r="AI113" s="304"/>
      <c r="AJ113" s="304"/>
      <c r="AK113" s="304"/>
      <c r="AL113" s="304"/>
      <c r="AM113" s="304"/>
      <c r="AN113" s="304"/>
      <c r="AO113" s="304"/>
      <c r="AP113" s="304"/>
      <c r="AQ113" s="304"/>
      <c r="AR113" s="304"/>
      <c r="AS113" s="304"/>
      <c r="AT113" s="304"/>
      <c r="AU113" s="304"/>
      <c r="AV113" s="304"/>
      <c r="AW113" s="304"/>
      <c r="AX113" s="304"/>
      <c r="AY113" s="304"/>
      <c r="AZ113" s="304"/>
      <c r="BA113" s="304"/>
      <c r="BB113" s="304"/>
      <c r="BC113" s="304"/>
      <c r="BD113" s="304"/>
      <c r="BE113" s="304"/>
      <c r="BF113" s="304"/>
      <c r="BG113" s="304"/>
      <c r="BH113" s="304"/>
      <c r="BI113" s="304"/>
      <c r="BJ113" s="304"/>
      <c r="BK113" s="304"/>
      <c r="BL113" s="304"/>
      <c r="BM113" s="304"/>
      <c r="BN113" s="304"/>
      <c r="BO113" s="304"/>
      <c r="BP113" s="304"/>
    </row>
    <row r="114" spans="2:68" s="325" customFormat="1">
      <c r="B114" s="282"/>
      <c r="C114" s="326"/>
      <c r="D114" s="308"/>
      <c r="E114" s="346"/>
      <c r="F114" s="347"/>
      <c r="G114" s="348"/>
      <c r="H114" s="349"/>
      <c r="I114" s="350"/>
      <c r="J114" s="350"/>
      <c r="K114" s="350"/>
      <c r="L114" s="350"/>
      <c r="M114" s="350"/>
      <c r="N114" s="351"/>
      <c r="O114" s="351"/>
      <c r="P114" s="346"/>
      <c r="R114" s="304"/>
      <c r="S114" s="304"/>
      <c r="T114" s="304"/>
      <c r="U114" s="304"/>
      <c r="V114" s="304"/>
      <c r="W114" s="304"/>
      <c r="X114" s="304"/>
      <c r="Y114" s="304"/>
      <c r="Z114" s="304"/>
      <c r="AA114" s="304"/>
      <c r="AB114" s="304"/>
      <c r="AC114" s="304"/>
      <c r="AD114" s="304"/>
      <c r="AE114" s="304"/>
      <c r="AF114" s="304"/>
      <c r="AG114" s="304"/>
      <c r="AH114" s="304"/>
      <c r="AI114" s="304"/>
      <c r="AJ114" s="304"/>
      <c r="AK114" s="304"/>
      <c r="AL114" s="304"/>
      <c r="AM114" s="304"/>
      <c r="AN114" s="304"/>
      <c r="AO114" s="304"/>
      <c r="AP114" s="304"/>
      <c r="AQ114" s="304"/>
      <c r="AR114" s="304"/>
      <c r="AS114" s="304"/>
      <c r="AT114" s="304"/>
      <c r="AU114" s="304"/>
      <c r="AV114" s="304"/>
      <c r="AW114" s="304"/>
      <c r="AX114" s="304"/>
      <c r="AY114" s="304"/>
      <c r="AZ114" s="304"/>
      <c r="BA114" s="304"/>
      <c r="BB114" s="304"/>
      <c r="BC114" s="304"/>
      <c r="BD114" s="304"/>
      <c r="BE114" s="304"/>
      <c r="BF114" s="304"/>
      <c r="BG114" s="304"/>
      <c r="BH114" s="304"/>
      <c r="BI114" s="304"/>
      <c r="BJ114" s="304"/>
      <c r="BK114" s="304"/>
      <c r="BL114" s="304"/>
      <c r="BM114" s="304"/>
      <c r="BN114" s="304"/>
      <c r="BO114" s="304"/>
      <c r="BP114" s="304"/>
    </row>
    <row r="115" spans="2:68" s="325" customFormat="1">
      <c r="B115" s="282"/>
      <c r="C115" s="326"/>
      <c r="D115" s="308"/>
      <c r="E115" s="346"/>
      <c r="F115" s="347"/>
      <c r="G115" s="348"/>
      <c r="H115" s="349"/>
      <c r="I115" s="350"/>
      <c r="J115" s="350"/>
      <c r="K115" s="350"/>
      <c r="L115" s="350"/>
      <c r="M115" s="350"/>
      <c r="N115" s="351"/>
      <c r="O115" s="351"/>
      <c r="P115" s="346"/>
      <c r="R115" s="304"/>
      <c r="S115" s="304"/>
      <c r="T115" s="304"/>
      <c r="U115" s="304"/>
      <c r="V115" s="304"/>
      <c r="W115" s="304"/>
      <c r="X115" s="304"/>
      <c r="Y115" s="304"/>
      <c r="Z115" s="304"/>
      <c r="AA115" s="304"/>
      <c r="AB115" s="304"/>
      <c r="AC115" s="304"/>
      <c r="AD115" s="304"/>
      <c r="AE115" s="304"/>
      <c r="AF115" s="304"/>
      <c r="AG115" s="304"/>
      <c r="AH115" s="304"/>
      <c r="AI115" s="304"/>
      <c r="AJ115" s="304"/>
      <c r="AK115" s="304"/>
      <c r="AL115" s="304"/>
      <c r="AM115" s="304"/>
      <c r="AN115" s="304"/>
      <c r="AO115" s="304"/>
      <c r="AP115" s="304"/>
      <c r="AQ115" s="304"/>
      <c r="AR115" s="304"/>
      <c r="AS115" s="304"/>
      <c r="AT115" s="304"/>
      <c r="AU115" s="304"/>
      <c r="AV115" s="304"/>
      <c r="AW115" s="304"/>
      <c r="AX115" s="304"/>
      <c r="AY115" s="304"/>
      <c r="AZ115" s="304"/>
      <c r="BA115" s="304"/>
      <c r="BB115" s="304"/>
      <c r="BC115" s="304"/>
      <c r="BD115" s="304"/>
      <c r="BE115" s="304"/>
      <c r="BF115" s="304"/>
      <c r="BG115" s="304"/>
      <c r="BH115" s="304"/>
      <c r="BI115" s="304"/>
      <c r="BJ115" s="304"/>
      <c r="BK115" s="304"/>
      <c r="BL115" s="304"/>
      <c r="BM115" s="304"/>
      <c r="BN115" s="304"/>
      <c r="BO115" s="304"/>
      <c r="BP115" s="304"/>
    </row>
    <row r="116" spans="2:68">
      <c r="B116" s="282"/>
      <c r="C116" s="281"/>
      <c r="D116" s="352"/>
      <c r="F116" s="353"/>
      <c r="G116" s="348"/>
    </row>
    <row r="117" spans="2:68">
      <c r="B117" s="281"/>
      <c r="C117" s="281"/>
      <c r="D117" s="352"/>
      <c r="F117" s="353"/>
      <c r="G117" s="348"/>
    </row>
  </sheetData>
  <mergeCells count="6">
    <mergeCell ref="F113:N113"/>
    <mergeCell ref="F1:L1"/>
    <mergeCell ref="F109:N109"/>
    <mergeCell ref="F110:N110"/>
    <mergeCell ref="F111:N111"/>
    <mergeCell ref="F112:N112"/>
  </mergeCells>
  <conditionalFormatting sqref="H3:H8 H69:H71 H82:H83 H87:H88">
    <cfRule type="expression" dxfId="173" priority="149">
      <formula>#REF!&lt;&gt;""</formula>
    </cfRule>
    <cfRule type="expression" dxfId="172" priority="148" stopIfTrue="1">
      <formula>OR(#REF!="FT",#REF!="FT2",#REF!="OFT")</formula>
    </cfRule>
    <cfRule type="expression" dxfId="171" priority="150" stopIfTrue="1">
      <formula>OR(#REF!="FT",#REF!="FT2",#REF!="OFT")</formula>
    </cfRule>
    <cfRule type="expression" dxfId="170" priority="151">
      <formula>#REF!&lt;&gt;""</formula>
    </cfRule>
  </conditionalFormatting>
  <conditionalFormatting sqref="H3:H32 H34:H75 H80:H105 J22:O23 J44:O45 N55:O55">
    <cfRule type="expression" dxfId="169" priority="140">
      <formula>#REF!&lt;&gt;""</formula>
    </cfRule>
  </conditionalFormatting>
  <conditionalFormatting sqref="H3:H32 H34:H75 H80:H105 N85:O85 J3:O3 O4:O8 J9:O10 J22:O23 J44:O45 N55:O55 O11:O21 N71:O72 O57:O64 O67:O69 H77 N91:O91 O92:O104">
    <cfRule type="expression" dxfId="168" priority="152" stopIfTrue="1">
      <formula>OR(#REF!="FT",#REF!="FT2",#REF!="OFT")</formula>
    </cfRule>
  </conditionalFormatting>
  <conditionalFormatting sqref="H7:H8 H27:H29 H42">
    <cfRule type="expression" dxfId="167" priority="135" stopIfTrue="1">
      <formula>OR(#REF!="FT",#REF!="FT2",#REF!="OFT")</formula>
    </cfRule>
    <cfRule type="expression" dxfId="166" priority="139" stopIfTrue="1">
      <formula>OR(#REF!="FT",#REF!="FT2",#REF!="OFT")</formula>
    </cfRule>
    <cfRule type="expression" dxfId="165" priority="136">
      <formula>#REF!&lt;&gt;""</formula>
    </cfRule>
    <cfRule type="expression" dxfId="164" priority="137" stopIfTrue="1">
      <formula>OR(#REF!="FT",#REF!="FT2",#REF!="OFT")</formula>
    </cfRule>
    <cfRule type="expression" dxfId="163" priority="138">
      <formula>#REF!&lt;&gt;""</formula>
    </cfRule>
  </conditionalFormatting>
  <conditionalFormatting sqref="H10">
    <cfRule type="expression" dxfId="162" priority="144" stopIfTrue="1">
      <formula>OR(#REF!="FT",#REF!="FT2",#REF!="OFT")</formula>
    </cfRule>
  </conditionalFormatting>
  <conditionalFormatting sqref="H10:H11">
    <cfRule type="expression" dxfId="161" priority="133">
      <formula>#REF!&lt;&gt;""</formula>
    </cfRule>
    <cfRule type="expression" dxfId="160" priority="132" stopIfTrue="1">
      <formula>OR(#REF!="FT",#REF!="FT2",#REF!="OFT")</formula>
    </cfRule>
  </conditionalFormatting>
  <conditionalFormatting sqref="H11">
    <cfRule type="expression" dxfId="159" priority="131">
      <formula>#REF!&lt;&gt;""</formula>
    </cfRule>
  </conditionalFormatting>
  <conditionalFormatting sqref="H11:H12">
    <cfRule type="expression" dxfId="158" priority="108" stopIfTrue="1">
      <formula>OR(#REF!="FT",#REF!="FT2",#REF!="OFT")</formula>
    </cfRule>
  </conditionalFormatting>
  <conditionalFormatting sqref="H12">
    <cfRule type="expression" dxfId="157" priority="106" stopIfTrue="1">
      <formula>OR(#REF!="FT",#REF!="FT2",#REF!="OFT")</formula>
    </cfRule>
    <cfRule type="expression" dxfId="156" priority="107">
      <formula>#REF!&lt;&gt;""</formula>
    </cfRule>
  </conditionalFormatting>
  <conditionalFormatting sqref="H14:H21 H97:H98 H102">
    <cfRule type="expression" dxfId="155" priority="128">
      <formula>#REF!&lt;&gt;""</formula>
    </cfRule>
    <cfRule type="expression" dxfId="154" priority="129" stopIfTrue="1">
      <formula>OR(#REF!="FT",#REF!="FT2",#REF!="OFT")</formula>
    </cfRule>
    <cfRule type="expression" dxfId="153" priority="127" stopIfTrue="1">
      <formula>OR(#REF!="FT",#REF!="FT2",#REF!="OFT")</formula>
    </cfRule>
  </conditionalFormatting>
  <conditionalFormatting sqref="H31">
    <cfRule type="expression" dxfId="152" priority="36">
      <formula>#REF!&lt;&gt;""</formula>
    </cfRule>
    <cfRule type="expression" dxfId="151" priority="103">
      <formula>#REF!&lt;&gt;""</formula>
    </cfRule>
    <cfRule type="expression" dxfId="150" priority="102" stopIfTrue="1">
      <formula>OR(#REF!="FT",#REF!="FT2",#REF!="OFT")</formula>
    </cfRule>
    <cfRule type="expression" dxfId="149" priority="101">
      <formula>#REF!&lt;&gt;""</formula>
    </cfRule>
    <cfRule type="expression" dxfId="148" priority="100" stopIfTrue="1">
      <formula>OR(#REF!="FT",#REF!="FT2",#REF!="OFT")</formula>
    </cfRule>
  </conditionalFormatting>
  <conditionalFormatting sqref="H31:H32">
    <cfRule type="expression" dxfId="147" priority="105">
      <formula>#REF!&lt;&gt;""</formula>
    </cfRule>
    <cfRule type="expression" dxfId="146" priority="104" stopIfTrue="1">
      <formula>OR(#REF!="FT",#REF!="FT2",#REF!="OFT")</formula>
    </cfRule>
  </conditionalFormatting>
  <conditionalFormatting sqref="H33 O24:O43">
    <cfRule type="expression" dxfId="145" priority="99">
      <formula>#REF!&lt;&gt;""</formula>
    </cfRule>
  </conditionalFormatting>
  <conditionalFormatting sqref="H33">
    <cfRule type="expression" dxfId="144" priority="98" stopIfTrue="1">
      <formula>OR(#REF!="FT",#REF!="FT2",#REF!="OFT")</formula>
    </cfRule>
  </conditionalFormatting>
  <conditionalFormatting sqref="H45:H46">
    <cfRule type="expression" dxfId="143" priority="155">
      <formula>#REF!&lt;&gt;""</formula>
    </cfRule>
    <cfRule type="expression" dxfId="142" priority="154" stopIfTrue="1">
      <formula>OR(#REF!="FT",#REF!="FT2",#REF!="OFT")</formula>
    </cfRule>
    <cfRule type="expression" dxfId="141" priority="153">
      <formula>#REF!&lt;&gt;""</formula>
    </cfRule>
    <cfRule type="expression" dxfId="140" priority="156" stopIfTrue="1">
      <formula>OR(#REF!="FT",#REF!="FT2",#REF!="OFT")</formula>
    </cfRule>
  </conditionalFormatting>
  <conditionalFormatting sqref="H46">
    <cfRule type="expression" dxfId="139" priority="172">
      <formula>#REF!&lt;&gt;""</formula>
    </cfRule>
    <cfRule type="expression" dxfId="138" priority="173" stopIfTrue="1">
      <formula>OR(#REF!="FT",#REF!="FT2",#REF!="OFT")</formula>
    </cfRule>
    <cfRule type="expression" dxfId="137" priority="174">
      <formula>#REF!&lt;&gt;""</formula>
    </cfRule>
  </conditionalFormatting>
  <conditionalFormatting sqref="H49">
    <cfRule type="expression" dxfId="136" priority="126">
      <formula>#REF!&lt;&gt;""</formula>
    </cfRule>
    <cfRule type="expression" dxfId="135" priority="125" stopIfTrue="1">
      <formula>OR(#REF!="FT",#REF!="FT2",#REF!="OFT")</formula>
    </cfRule>
    <cfRule type="expression" dxfId="134" priority="124">
      <formula>#REF!&lt;&gt;""</formula>
    </cfRule>
  </conditionalFormatting>
  <conditionalFormatting sqref="H51:H52">
    <cfRule type="expression" dxfId="133" priority="115">
      <formula>#REF!&lt;&gt;""</formula>
    </cfRule>
    <cfRule type="expression" dxfId="132" priority="114" stopIfTrue="1">
      <formula>OR(#REF!="FT",#REF!="FT2",#REF!="OFT")</formula>
    </cfRule>
    <cfRule type="expression" dxfId="131" priority="130" stopIfTrue="1">
      <formula>OR(#REF!="FT",#REF!="FT2",#REF!="OFT")</formula>
    </cfRule>
  </conditionalFormatting>
  <conditionalFormatting sqref="H54 J71:O71 H82:H84">
    <cfRule type="expression" dxfId="130" priority="113" stopIfTrue="1">
      <formula>OR(#REF!="FT",#REF!="FT2",#REF!="OFT")</formula>
    </cfRule>
    <cfRule type="expression" dxfId="129" priority="112">
      <formula>#REF!&lt;&gt;""</formula>
    </cfRule>
  </conditionalFormatting>
  <conditionalFormatting sqref="H56 H77 H80:H83">
    <cfRule type="expression" dxfId="128" priority="164">
      <formula>#REF!&lt;&gt;""</formula>
    </cfRule>
    <cfRule type="expression" dxfId="127" priority="163" stopIfTrue="1">
      <formula>OR(#REF!="FT",#REF!="FT2",#REF!="OFT")</formula>
    </cfRule>
    <cfRule type="expression" dxfId="126" priority="162">
      <formula>#REF!&lt;&gt;""</formula>
    </cfRule>
    <cfRule type="expression" dxfId="125" priority="161" stopIfTrue="1">
      <formula>OR(#REF!="FT",#REF!="FT2",#REF!="OFT")</formula>
    </cfRule>
    <cfRule type="expression" dxfId="124" priority="160">
      <formula>#REF!&lt;&gt;""</formula>
    </cfRule>
    <cfRule type="expression" dxfId="123" priority="159" stopIfTrue="1">
      <formula>OR(#REF!="FT",#REF!="FT2",#REF!="OFT")</formula>
    </cfRule>
    <cfRule type="expression" dxfId="122" priority="158">
      <formula>#REF!&lt;&gt;""</formula>
    </cfRule>
  </conditionalFormatting>
  <conditionalFormatting sqref="H67">
    <cfRule type="expression" dxfId="121" priority="95">
      <formula>#REF!&lt;&gt;""</formula>
    </cfRule>
    <cfRule type="expression" dxfId="120" priority="94" stopIfTrue="1">
      <formula>OR(#REF!="FT",#REF!="FT2",#REF!="OFT")</formula>
    </cfRule>
  </conditionalFormatting>
  <conditionalFormatting sqref="H73:H74">
    <cfRule type="expression" dxfId="119" priority="93">
      <formula>#REF!&lt;&gt;""</formula>
    </cfRule>
    <cfRule type="expression" dxfId="118" priority="88" stopIfTrue="1">
      <formula>OR(#REF!="FT",#REF!="FT2",#REF!="OFT")</formula>
    </cfRule>
    <cfRule type="expression" dxfId="117" priority="92" stopIfTrue="1">
      <formula>OR(#REF!="FT",#REF!="FT2",#REF!="OFT")</formula>
    </cfRule>
    <cfRule type="expression" dxfId="116" priority="91">
      <formula>#REF!&lt;&gt;""</formula>
    </cfRule>
    <cfRule type="expression" dxfId="115" priority="90" stopIfTrue="1">
      <formula>OR(#REF!="FT",#REF!="FT2",#REF!="OFT")</formula>
    </cfRule>
    <cfRule type="expression" dxfId="114" priority="89">
      <formula>#REF!&lt;&gt;""</formula>
    </cfRule>
  </conditionalFormatting>
  <conditionalFormatting sqref="H73:H75">
    <cfRule type="expression" dxfId="113" priority="87">
      <formula>#REF!&lt;&gt;""</formula>
    </cfRule>
  </conditionalFormatting>
  <conditionalFormatting sqref="H75">
    <cfRule type="expression" dxfId="112" priority="82" stopIfTrue="1">
      <formula>OR(#REF!="FT",#REF!="FT2",#REF!="OFT")</formula>
    </cfRule>
    <cfRule type="expression" dxfId="111" priority="83">
      <formula>#REF!&lt;&gt;""</formula>
    </cfRule>
    <cfRule type="expression" dxfId="110" priority="84" stopIfTrue="1">
      <formula>OR(#REF!="FT",#REF!="FT2",#REF!="OFT")</formula>
    </cfRule>
    <cfRule type="expression" dxfId="109" priority="85">
      <formula>#REF!&lt;&gt;""</formula>
    </cfRule>
    <cfRule type="expression" dxfId="108" priority="86" stopIfTrue="1">
      <formula>OR(#REF!="FT",#REF!="FT2",#REF!="OFT")</formula>
    </cfRule>
  </conditionalFormatting>
  <conditionalFormatting sqref="H75:H77">
    <cfRule type="expression" dxfId="107" priority="81">
      <formula>#REF!&lt;&gt;""</formula>
    </cfRule>
  </conditionalFormatting>
  <conditionalFormatting sqref="H76">
    <cfRule type="expression" dxfId="106" priority="80" stopIfTrue="1">
      <formula>OR(#REF!="FT",#REF!="FT2",#REF!="OFT")</formula>
    </cfRule>
    <cfRule type="expression" dxfId="105" priority="79">
      <formula>#REF!&lt;&gt;""</formula>
    </cfRule>
    <cfRule type="expression" dxfId="104" priority="78" stopIfTrue="1">
      <formula>OR(#REF!="FT",#REF!="FT2",#REF!="OFT")</formula>
    </cfRule>
    <cfRule type="expression" dxfId="103" priority="77">
      <formula>#REF!&lt;&gt;""</formula>
    </cfRule>
    <cfRule type="expression" dxfId="102" priority="74" stopIfTrue="1">
      <formula>OR(#REF!="FT",#REF!="FT2",#REF!="OFT")</formula>
    </cfRule>
    <cfRule type="expression" dxfId="101" priority="75">
      <formula>#REF!&lt;&gt;""</formula>
    </cfRule>
    <cfRule type="expression" dxfId="100" priority="76" stopIfTrue="1">
      <formula>OR(#REF!="FT",#REF!="FT2",#REF!="OFT")</formula>
    </cfRule>
  </conditionalFormatting>
  <conditionalFormatting sqref="H76:H77">
    <cfRule type="expression" dxfId="99" priority="68" stopIfTrue="1">
      <formula>OR(#REF!="FT",#REF!="FT2",#REF!="OFT")</formula>
    </cfRule>
    <cfRule type="expression" dxfId="98" priority="69">
      <formula>#REF!&lt;&gt;""</formula>
    </cfRule>
  </conditionalFormatting>
  <conditionalFormatting sqref="H77">
    <cfRule type="expression" dxfId="97" priority="62" stopIfTrue="1">
      <formula>OR(#REF!="FT",#REF!="FT2",#REF!="OFT")</formula>
    </cfRule>
    <cfRule type="expression" dxfId="96" priority="63">
      <formula>#REF!&lt;&gt;""</formula>
    </cfRule>
    <cfRule type="expression" dxfId="95" priority="64" stopIfTrue="1">
      <formula>OR(#REF!="FT",#REF!="FT2",#REF!="OFT")</formula>
    </cfRule>
    <cfRule type="expression" dxfId="94" priority="65">
      <formula>#REF!&lt;&gt;""</formula>
    </cfRule>
    <cfRule type="expression" dxfId="93" priority="66" stopIfTrue="1">
      <formula>OR(#REF!="FT",#REF!="FT2",#REF!="OFT")</formula>
    </cfRule>
    <cfRule type="expression" dxfId="92" priority="67">
      <formula>#REF!&lt;&gt;""</formula>
    </cfRule>
  </conditionalFormatting>
  <conditionalFormatting sqref="H78 O78">
    <cfRule type="expression" dxfId="91" priority="54" stopIfTrue="1">
      <formula>OR(#REF!="FT",#REF!="FT2",#REF!="OFT")</formula>
    </cfRule>
  </conditionalFormatting>
  <conditionalFormatting sqref="H78">
    <cfRule type="expression" dxfId="90" priority="51">
      <formula>#REF!&lt;&gt;""</formula>
    </cfRule>
    <cfRule type="expression" dxfId="89" priority="55">
      <formula>#REF!&lt;&gt;""</formula>
    </cfRule>
    <cfRule type="expression" dxfId="88" priority="53">
      <formula>#REF!&lt;&gt;""</formula>
    </cfRule>
    <cfRule type="expression" dxfId="87" priority="52" stopIfTrue="1">
      <formula>OR(#REF!="FT",#REF!="FT2",#REF!="OFT")</formula>
    </cfRule>
    <cfRule type="expression" dxfId="86" priority="50" stopIfTrue="1">
      <formula>OR(#REF!="FT",#REF!="FT2",#REF!="OFT")</formula>
    </cfRule>
    <cfRule type="expression" dxfId="85" priority="58" stopIfTrue="1">
      <formula>OR(#REF!="FT",#REF!="FT2",#REF!="OFT")</formula>
    </cfRule>
    <cfRule type="expression" dxfId="84" priority="57">
      <formula>#REF!&lt;&gt;""</formula>
    </cfRule>
    <cfRule type="expression" dxfId="83" priority="56" stopIfTrue="1">
      <formula>OR(#REF!="FT",#REF!="FT2",#REF!="OFT")</formula>
    </cfRule>
  </conditionalFormatting>
  <conditionalFormatting sqref="H78:H79">
    <cfRule type="expression" dxfId="82" priority="48" stopIfTrue="1">
      <formula>OR(#REF!="FT",#REF!="FT2",#REF!="OFT")</formula>
    </cfRule>
    <cfRule type="expression" dxfId="81" priority="49">
      <formula>#REF!&lt;&gt;""</formula>
    </cfRule>
  </conditionalFormatting>
  <conditionalFormatting sqref="H79">
    <cfRule type="expression" dxfId="80" priority="39" stopIfTrue="1">
      <formula>OR(#REF!="FT",#REF!="FT2",#REF!="OFT")</formula>
    </cfRule>
    <cfRule type="expression" dxfId="79" priority="44" stopIfTrue="1">
      <formula>OR(#REF!="FT",#REF!="FT2",#REF!="OFT")</formula>
    </cfRule>
    <cfRule type="expression" dxfId="78" priority="45">
      <formula>#REF!&lt;&gt;""</formula>
    </cfRule>
    <cfRule type="expression" dxfId="77" priority="46" stopIfTrue="1">
      <formula>OR(#REF!="FT",#REF!="FT2",#REF!="OFT")</formula>
    </cfRule>
    <cfRule type="expression" dxfId="76" priority="47">
      <formula>#REF!&lt;&gt;""</formula>
    </cfRule>
    <cfRule type="expression" dxfId="75" priority="43">
      <formula>#REF!&lt;&gt;""</formula>
    </cfRule>
    <cfRule type="expression" dxfId="74" priority="42" stopIfTrue="1">
      <formula>OR(#REF!="FT",#REF!="FT2",#REF!="OFT")</formula>
    </cfRule>
  </conditionalFormatting>
  <conditionalFormatting sqref="H82:H84">
    <cfRule type="expression" dxfId="73" priority="123" stopIfTrue="1">
      <formula>OR(#REF!="FT",#REF!="FT2",#REF!="OFT")</formula>
    </cfRule>
  </conditionalFormatting>
  <conditionalFormatting sqref="H84">
    <cfRule type="expression" dxfId="72" priority="122">
      <formula>#REF!&lt;&gt;""</formula>
    </cfRule>
    <cfRule type="expression" dxfId="71" priority="116">
      <formula>#REF!&lt;&gt;""</formula>
    </cfRule>
    <cfRule type="expression" dxfId="70" priority="117" stopIfTrue="1">
      <formula>OR(#REF!="FT",#REF!="FT2",#REF!="OFT")</formula>
    </cfRule>
    <cfRule type="expression" dxfId="69" priority="118">
      <formula>#REF!&lt;&gt;""</formula>
    </cfRule>
    <cfRule type="expression" dxfId="68" priority="119" stopIfTrue="1">
      <formula>OR(#REF!="FT",#REF!="FT2",#REF!="OFT")</formula>
    </cfRule>
    <cfRule type="expression" dxfId="67" priority="120">
      <formula>#REF!&lt;&gt;""</formula>
    </cfRule>
    <cfRule type="expression" dxfId="66" priority="121" stopIfTrue="1">
      <formula>OR(#REF!="FT",#REF!="FT2",#REF!="OFT")</formula>
    </cfRule>
  </conditionalFormatting>
  <conditionalFormatting sqref="H86">
    <cfRule type="expression" dxfId="65" priority="168" stopIfTrue="1">
      <formula>OR(#REF!="FT",#REF!="FT2",#REF!="OFT")</formula>
    </cfRule>
    <cfRule type="expression" dxfId="64" priority="167">
      <formula>#REF!&lt;&gt;""</formula>
    </cfRule>
    <cfRule type="expression" dxfId="63" priority="171">
      <formula>#REF!&lt;&gt;""</formula>
    </cfRule>
    <cfRule type="expression" dxfId="62" priority="170" stopIfTrue="1">
      <formula>OR(#REF!="FT",#REF!="FT2",#REF!="OFT")</formula>
    </cfRule>
    <cfRule type="expression" dxfId="61" priority="169">
      <formula>#REF!&lt;&gt;""</formula>
    </cfRule>
  </conditionalFormatting>
  <conditionalFormatting sqref="H90">
    <cfRule type="expression" dxfId="60" priority="4" stopIfTrue="1">
      <formula>OR(#REF!="FT",#REF!="FT2",#REF!="OFT")</formula>
    </cfRule>
    <cfRule type="expression" dxfId="59" priority="3">
      <formula>#REF!&lt;&gt;""</formula>
    </cfRule>
    <cfRule type="expression" dxfId="58" priority="13" stopIfTrue="1">
      <formula>OR(#REF!="FT",#REF!="FT2",#REF!="OFT")</formula>
    </cfRule>
    <cfRule type="expression" dxfId="57" priority="12">
      <formula>#REF!&lt;&gt;""</formula>
    </cfRule>
    <cfRule type="expression" dxfId="56" priority="10">
      <formula>#REF!&lt;&gt;""</formula>
    </cfRule>
    <cfRule type="expression" dxfId="55" priority="15" stopIfTrue="1">
      <formula>OR(#REF!="FT",#REF!="FT2",#REF!="OFT")</formula>
    </cfRule>
    <cfRule type="expression" dxfId="54" priority="16">
      <formula>#REF!&lt;&gt;""</formula>
    </cfRule>
    <cfRule type="expression" dxfId="53" priority="14">
      <formula>#REF!&lt;&gt;""</formula>
    </cfRule>
    <cfRule type="expression" dxfId="52" priority="9" stopIfTrue="1">
      <formula>OR(#REF!="FT",#REF!="FT2",#REF!="OFT")</formula>
    </cfRule>
    <cfRule type="expression" dxfId="51" priority="8">
      <formula>#REF!&lt;&gt;""</formula>
    </cfRule>
    <cfRule type="expression" dxfId="50" priority="11" stopIfTrue="1">
      <formula>OR(#REF!="FT",#REF!="FT2",#REF!="OFT")</formula>
    </cfRule>
  </conditionalFormatting>
  <conditionalFormatting sqref="H92">
    <cfRule type="expression" dxfId="49" priority="17">
      <formula>#REF!&lt;&gt;""</formula>
    </cfRule>
    <cfRule type="expression" dxfId="48" priority="18" stopIfTrue="1">
      <formula>OR(#REF!="FT",#REF!="FT2",#REF!="OFT")</formula>
    </cfRule>
    <cfRule type="expression" dxfId="47" priority="19">
      <formula>#REF!&lt;&gt;""</formula>
    </cfRule>
  </conditionalFormatting>
  <conditionalFormatting sqref="H92:H93">
    <cfRule type="expression" dxfId="46" priority="21">
      <formula>#REF!&lt;&gt;""</formula>
    </cfRule>
    <cfRule type="expression" dxfId="45" priority="20" stopIfTrue="1">
      <formula>OR(#REF!="FT",#REF!="FT2",#REF!="OFT")</formula>
    </cfRule>
  </conditionalFormatting>
  <conditionalFormatting sqref="H104">
    <cfRule type="expression" dxfId="44" priority="32" stopIfTrue="1">
      <formula>OR(#REF!="FT",#REF!="FT2",#REF!="OFT")</formula>
    </cfRule>
    <cfRule type="expression" dxfId="43" priority="35">
      <formula>#REF!&lt;&gt;""</formula>
    </cfRule>
    <cfRule type="expression" dxfId="42" priority="34" stopIfTrue="1">
      <formula>OR(#REF!="FT",#REF!="FT2",#REF!="OFT")</formula>
    </cfRule>
    <cfRule type="expression" dxfId="41" priority="33">
      <formula>#REF!&lt;&gt;""</formula>
    </cfRule>
    <cfRule type="expression" dxfId="40" priority="31">
      <formula>#REF!&lt;&gt;""</formula>
    </cfRule>
    <cfRule type="expression" dxfId="39" priority="30" stopIfTrue="1">
      <formula>OR(#REF!="FT",#REF!="FT2",#REF!="OFT")</formula>
    </cfRule>
    <cfRule type="expression" dxfId="38" priority="29">
      <formula>#REF!&lt;&gt;""</formula>
    </cfRule>
    <cfRule type="expression" dxfId="37" priority="28" stopIfTrue="1">
      <formula>OR(#REF!="FT",#REF!="FT2",#REF!="OFT")</formula>
    </cfRule>
    <cfRule type="expression" dxfId="36" priority="26" stopIfTrue="1">
      <formula>OR(#REF!="FT",#REF!="FT2",#REF!="OFT")</formula>
    </cfRule>
    <cfRule type="expression" dxfId="35" priority="25">
      <formula>#REF!&lt;&gt;""</formula>
    </cfRule>
    <cfRule type="expression" dxfId="34" priority="24" stopIfTrue="1">
      <formula>OR(#REF!="FT",#REF!="FT2",#REF!="OFT")</formula>
    </cfRule>
    <cfRule type="expression" dxfId="33" priority="27">
      <formula>#REF!&lt;&gt;""</formula>
    </cfRule>
  </conditionalFormatting>
  <conditionalFormatting sqref="J56:O56">
    <cfRule type="expression" dxfId="32" priority="165" stopIfTrue="1">
      <formula>OR(#REF!="FT",#REF!="FT2",#REF!="OFT")</formula>
    </cfRule>
    <cfRule type="expression" dxfId="31" priority="166">
      <formula>#REF!&lt;&gt;""</formula>
    </cfRule>
  </conditionalFormatting>
  <conditionalFormatting sqref="N105">
    <cfRule type="expression" dxfId="30" priority="145">
      <formula>#REF!&lt;&gt;""</formula>
    </cfRule>
  </conditionalFormatting>
  <conditionalFormatting sqref="N85:O85">
    <cfRule type="expression" dxfId="29" priority="147">
      <formula>#REF!&lt;&gt;""</formula>
    </cfRule>
  </conditionalFormatting>
  <conditionalFormatting sqref="N91:O91">
    <cfRule type="expression" dxfId="28" priority="7">
      <formula>#REF!&lt;&gt;""</formula>
    </cfRule>
  </conditionalFormatting>
  <conditionalFormatting sqref="N105:O105 O24:O43">
    <cfRule type="expression" dxfId="27" priority="146" stopIfTrue="1">
      <formula>OR(#REF!="FT",#REF!="FT2",#REF!="OFT")</formula>
    </cfRule>
  </conditionalFormatting>
  <conditionalFormatting sqref="O4:O8 J3:O3 J9:O10">
    <cfRule type="expression" dxfId="26" priority="143">
      <formula>#REF!&lt;&gt;""</formula>
    </cfRule>
  </conditionalFormatting>
  <conditionalFormatting sqref="O5">
    <cfRule type="expression" dxfId="25" priority="157">
      <formula>#REF!&lt;&gt;""</formula>
    </cfRule>
  </conditionalFormatting>
  <conditionalFormatting sqref="O7:O8">
    <cfRule type="expression" dxfId="24" priority="141">
      <formula>#REF!&lt;&gt;""</formula>
    </cfRule>
    <cfRule type="expression" dxfId="23" priority="142" stopIfTrue="1">
      <formula>OR(#REF!="FT",#REF!="FT2",#REF!="OFT")</formula>
    </cfRule>
  </conditionalFormatting>
  <conditionalFormatting sqref="O11:O21">
    <cfRule type="expression" dxfId="22" priority="134">
      <formula>#REF!&lt;&gt;""</formula>
    </cfRule>
  </conditionalFormatting>
  <conditionalFormatting sqref="O33">
    <cfRule type="expression" dxfId="21" priority="97" stopIfTrue="1">
      <formula>OR(#REF!="FT",#REF!="FT2",#REF!="OFT")</formula>
    </cfRule>
  </conditionalFormatting>
  <conditionalFormatting sqref="O46:O54">
    <cfRule type="expression" dxfId="20" priority="23" stopIfTrue="1">
      <formula>OR(#REF!="FT",#REF!="FT2",#REF!="OFT")</formula>
    </cfRule>
    <cfRule type="expression" dxfId="19" priority="22">
      <formula>#REF!&lt;&gt;""</formula>
    </cfRule>
  </conditionalFormatting>
  <conditionalFormatting sqref="O57:O70 N71:O72">
    <cfRule type="expression" dxfId="18" priority="111">
      <formula>#REF!&lt;&gt;""</formula>
    </cfRule>
  </conditionalFormatting>
  <conditionalFormatting sqref="O65:O67">
    <cfRule type="expression" dxfId="17" priority="96" stopIfTrue="1">
      <formula>OR(#REF!="FT",#REF!="FT2",#REF!="OFT")</formula>
    </cfRule>
  </conditionalFormatting>
  <conditionalFormatting sqref="O69:O70">
    <cfRule type="expression" dxfId="16" priority="109">
      <formula>#REF!&lt;&gt;""</formula>
    </cfRule>
  </conditionalFormatting>
  <conditionalFormatting sqref="O70">
    <cfRule type="expression" dxfId="15" priority="110" stopIfTrue="1">
      <formula>OR(#REF!="FT",#REF!="FT2",#REF!="OFT")</formula>
    </cfRule>
  </conditionalFormatting>
  <conditionalFormatting sqref="O73:O77">
    <cfRule type="expression" dxfId="14" priority="71">
      <formula>#REF!&lt;&gt;""</formula>
    </cfRule>
    <cfRule type="expression" dxfId="13" priority="72" stopIfTrue="1">
      <formula>OR(#REF!="FT",#REF!="FT2",#REF!="OFT")</formula>
    </cfRule>
  </conditionalFormatting>
  <conditionalFormatting sqref="O76">
    <cfRule type="expression" dxfId="12" priority="70" stopIfTrue="1">
      <formula>OR(#REF!="FT",#REF!="FT2",#REF!="OFT")</formula>
    </cfRule>
    <cfRule type="expression" dxfId="11" priority="73">
      <formula>#REF!&lt;&gt;""</formula>
    </cfRule>
  </conditionalFormatting>
  <conditionalFormatting sqref="O78 H77:H78">
    <cfRule type="expression" dxfId="10" priority="61">
      <formula>#REF!&lt;&gt;""</formula>
    </cfRule>
  </conditionalFormatting>
  <conditionalFormatting sqref="O78">
    <cfRule type="expression" dxfId="9" priority="60" stopIfTrue="1">
      <formula>OR(#REF!="FT",#REF!="FT2",#REF!="OFT")</formula>
    </cfRule>
    <cfRule type="expression" dxfId="8" priority="59">
      <formula>#REF!&lt;&gt;""</formula>
    </cfRule>
  </conditionalFormatting>
  <conditionalFormatting sqref="O78:O79 H79">
    <cfRule type="expression" dxfId="7" priority="41">
      <formula>#REF!&lt;&gt;""</formula>
    </cfRule>
  </conditionalFormatting>
  <conditionalFormatting sqref="O79">
    <cfRule type="expression" dxfId="6" priority="37" stopIfTrue="1">
      <formula>OR(#REF!="FT",#REF!="FT2",#REF!="OFT")</formula>
    </cfRule>
  </conditionalFormatting>
  <conditionalFormatting sqref="O79:O83 J84:O84">
    <cfRule type="expression" dxfId="5" priority="40" stopIfTrue="1">
      <formula>OR(#REF!="FT",#REF!="FT2",#REF!="OFT")</formula>
    </cfRule>
    <cfRule type="expression" dxfId="4" priority="38">
      <formula>#REF!&lt;&gt;""</formula>
    </cfRule>
  </conditionalFormatting>
  <conditionalFormatting sqref="O86:O90">
    <cfRule type="expression" dxfId="3" priority="6" stopIfTrue="1">
      <formula>OR(#REF!="FT",#REF!="FT2",#REF!="OFT")</formula>
    </cfRule>
    <cfRule type="expression" dxfId="2" priority="5">
      <formula>#REF!&lt;&gt;""</formula>
    </cfRule>
  </conditionalFormatting>
  <conditionalFormatting sqref="O92:O106">
    <cfRule type="expression" dxfId="1" priority="2">
      <formula>#REF!&lt;&gt;""</formula>
    </cfRule>
  </conditionalFormatting>
  <conditionalFormatting sqref="O106">
    <cfRule type="expression" dxfId="0" priority="1" stopIfTrue="1">
      <formula>OR(#REF!="FT",#REF!="FT2",#REF!="OFT")</formula>
    </cfRule>
  </conditionalFormatting>
  <printOptions horizontalCentered="1" gridLines="1"/>
  <pageMargins left="0.70866141732283472" right="0.70866141732283472" top="0.35433070866141736" bottom="0.74803149606299213" header="0.31496062992125984" footer="0.31496062992125984"/>
  <pageSetup paperSize="8" scale="13" fitToHeight="0" orientation="portrait" r:id="rId1"/>
  <rowBreaks count="1" manualBreakCount="1">
    <brk id="71" min="4"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Charts</vt:lpstr>
      </vt:variant>
      <vt:variant>
        <vt:i4>7</vt:i4>
      </vt:variant>
    </vt:vector>
  </HeadingPairs>
  <TitlesOfParts>
    <vt:vector size="22" baseType="lpstr">
      <vt:lpstr>CHARTS&gt;&gt;</vt:lpstr>
      <vt:lpstr>DATA&gt;&gt;</vt:lpstr>
      <vt:lpstr>Chart Data</vt:lpstr>
      <vt:lpstr>DataQ</vt:lpstr>
      <vt:lpstr>GMW</vt:lpstr>
      <vt:lpstr>Aggregates (£bn)</vt:lpstr>
      <vt:lpstr>Aggregates (per cent of GDP)</vt:lpstr>
      <vt:lpstr>OBR_MAR25_ST1.1</vt:lpstr>
      <vt:lpstr>OBR_NOV25_ST1.1</vt:lpstr>
      <vt:lpstr>OBR_NOV25_C4.1</vt:lpstr>
      <vt:lpstr>OBR_NOV25_C5.1</vt:lpstr>
      <vt:lpstr>OBR_NOV25_C7.3</vt:lpstr>
      <vt:lpstr>OBR_NOV25_TA.5</vt:lpstr>
      <vt:lpstr>OBR_NOV25_TA.9</vt:lpstr>
      <vt:lpstr>PresentationalScorecardRounded</vt:lpstr>
      <vt:lpstr>Chart - Policy decisions</vt:lpstr>
      <vt:lpstr>Chart - GDP forecasts</vt:lpstr>
      <vt:lpstr>Chart - Fiscal impulse</vt:lpstr>
      <vt:lpstr>Chart - Headroom</vt:lpstr>
      <vt:lpstr>Chart - Real current DEL index</vt:lpstr>
      <vt:lpstr>Chart - Revenues &amp; Spending</vt:lpstr>
      <vt:lpstr>Chart - Inflation forecasts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2025-11-25T16:38:31Z</dcterms:created>
  <dcterms:modified xsi:type="dcterms:W3CDTF">2025-11-27T17:33:32Z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2025-11-25T16:53:35Z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15544b2c-25e4-42ac-89c4-2720090b1037</vt:lpwstr>
  </property>
  <property fmtid="{D5CDD505-2E9C-101B-9397-08002B2CF9AE}" pid="8" name="MSIP_Label_231f5784-19ed-4d1e-9a93-4ea41014d730_ContentBits">
    <vt:lpwstr>0</vt:lpwstr>
  </property>
  <property fmtid="{D5CDD505-2E9C-101B-9397-08002B2CF9AE}" pid="9" name="MSIP_Label_231f5784-19ed-4d1e-9a93-4ea41014d730_Tag">
    <vt:lpwstr>10, 0, 1, 1</vt:lpwstr>
  </property>
</Properties>
</file>