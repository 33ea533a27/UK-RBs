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87B000E0-AF49-472C-B532-5708EF7E2E6B}" xr6:coauthVersionLast="47" xr6:coauthVersionMax="47" xr10:uidLastSave="{00000000-0000-0000-0000-000000000000}"/>
  <bookViews>
    <workbookView xWindow="-120" yWindow="-120" windowWidth="29040" windowHeight="15720" activeTab="1" xr2:uid="{5D1A46FA-26F2-49D8-A235-668DF0146E8C}"/>
  </bookViews>
  <sheets>
    <sheet name="Chart1" sheetId="4" r:id="rId1"/>
    <sheet name="Chart2" sheetId="6" r:id="rId2"/>
    <sheet name="Chart3" sheetId="3" r:id="rId3"/>
    <sheet name="All adults" sheetId="5" r:id="rId4"/>
    <sheet name="CAPSNB" sheetId="7" r:id="rId5"/>
    <sheet name="votes for eu integration " sheetId="1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1" i="7" l="1"/>
  <c r="AE61" i="7"/>
  <c r="AD61" i="7"/>
  <c r="AC61" i="7"/>
  <c r="AB61" i="7"/>
  <c r="AA61" i="7"/>
  <c r="Z61" i="7"/>
  <c r="Y61" i="7"/>
  <c r="X61" i="7"/>
  <c r="AE60" i="7"/>
  <c r="AD60" i="7"/>
  <c r="AC60" i="7"/>
  <c r="AB60" i="7"/>
  <c r="AA60" i="7"/>
  <c r="Z60" i="7"/>
  <c r="Y60" i="7"/>
  <c r="AD59" i="7"/>
  <c r="AC59" i="7"/>
  <c r="AB59" i="7"/>
  <c r="AA59" i="7"/>
  <c r="Z59" i="7"/>
  <c r="Y59" i="7"/>
  <c r="X59" i="7"/>
  <c r="X60" i="7" s="1"/>
  <c r="AE58" i="7"/>
  <c r="AD58" i="7"/>
  <c r="AC58" i="7"/>
  <c r="AB58" i="7"/>
  <c r="AA58" i="7"/>
  <c r="Z58" i="7"/>
  <c r="Y58" i="7"/>
  <c r="X58" i="7"/>
  <c r="G55" i="5"/>
  <c r="B55" i="5"/>
  <c r="E54" i="5"/>
  <c r="B54" i="5"/>
  <c r="J52" i="5"/>
  <c r="I52" i="5"/>
  <c r="H52" i="5"/>
  <c r="G52" i="5"/>
  <c r="F52" i="5"/>
  <c r="E52" i="5"/>
  <c r="E55" i="5" s="1"/>
  <c r="D52" i="5"/>
  <c r="J51" i="5"/>
  <c r="J55" i="5" s="1"/>
  <c r="I51" i="5"/>
  <c r="I55" i="5" s="1"/>
  <c r="H51" i="5"/>
  <c r="H55" i="5" s="1"/>
  <c r="G51" i="5"/>
  <c r="F51" i="5"/>
  <c r="F55" i="5" s="1"/>
  <c r="E51" i="5"/>
  <c r="D51" i="5"/>
  <c r="D55" i="5" s="1"/>
  <c r="F50" i="5"/>
  <c r="E50" i="5"/>
  <c r="J49" i="5"/>
  <c r="I49" i="5"/>
  <c r="H49" i="5"/>
  <c r="G49" i="5"/>
  <c r="G50" i="5" s="1"/>
  <c r="G54" i="5" s="1"/>
  <c r="F49" i="5"/>
  <c r="E49" i="5"/>
  <c r="D49" i="5"/>
  <c r="J48" i="5"/>
  <c r="I48" i="5"/>
  <c r="H48" i="5"/>
  <c r="H50" i="5" s="1"/>
  <c r="G48" i="5"/>
  <c r="F48" i="5"/>
  <c r="F54" i="5" s="1"/>
  <c r="E48" i="5"/>
  <c r="D48" i="5"/>
  <c r="D50" i="5" s="1"/>
  <c r="J47" i="5"/>
  <c r="I47" i="5"/>
  <c r="H47" i="5"/>
  <c r="G47" i="5"/>
  <c r="F47" i="5"/>
  <c r="E47" i="5"/>
  <c r="D47" i="5"/>
  <c r="G43" i="5"/>
  <c r="F43" i="5"/>
  <c r="D43" i="5"/>
  <c r="H43" i="5" s="1"/>
  <c r="C43" i="5"/>
  <c r="G42" i="5"/>
  <c r="F42" i="5"/>
  <c r="D42" i="5"/>
  <c r="C42" i="5"/>
  <c r="H42" i="5" s="1"/>
  <c r="G41" i="5"/>
  <c r="F41" i="5"/>
  <c r="H41" i="5" s="1"/>
  <c r="D41" i="5"/>
  <c r="C41" i="5"/>
  <c r="G40" i="5"/>
  <c r="F40" i="5"/>
  <c r="D40" i="5"/>
  <c r="C40" i="5"/>
  <c r="H40" i="5" s="1"/>
  <c r="G39" i="5"/>
  <c r="F39" i="5"/>
  <c r="D39" i="5"/>
  <c r="C39" i="5"/>
  <c r="H39" i="5" s="1"/>
  <c r="B36" i="5"/>
  <c r="B35" i="5"/>
  <c r="G29" i="5"/>
  <c r="BD23" i="5"/>
  <c r="BC23" i="5"/>
  <c r="BB23" i="5"/>
  <c r="BA23" i="5"/>
  <c r="AZ23" i="5"/>
  <c r="G31" i="5" s="1"/>
  <c r="AY23" i="5"/>
  <c r="AX23" i="5"/>
  <c r="AW23" i="5"/>
  <c r="AV23" i="5"/>
  <c r="AU23" i="5"/>
  <c r="AT23" i="5"/>
  <c r="AS23" i="5"/>
  <c r="AR23" i="5"/>
  <c r="AQ23" i="5"/>
  <c r="F31" i="5" s="1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E31" i="5" s="1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D31" i="5" s="1"/>
  <c r="M23" i="5"/>
  <c r="L23" i="5"/>
  <c r="K23" i="5"/>
  <c r="J23" i="5"/>
  <c r="I23" i="5"/>
  <c r="H23" i="5"/>
  <c r="G23" i="5"/>
  <c r="F23" i="5"/>
  <c r="E23" i="5"/>
  <c r="D23" i="5"/>
  <c r="C23" i="5"/>
  <c r="C31" i="5" s="1"/>
  <c r="B23" i="5"/>
  <c r="BD22" i="5"/>
  <c r="BC22" i="5"/>
  <c r="BB22" i="5"/>
  <c r="BA22" i="5"/>
  <c r="AZ22" i="5"/>
  <c r="G30" i="5" s="1"/>
  <c r="AY22" i="5"/>
  <c r="AX22" i="5"/>
  <c r="AW22" i="5"/>
  <c r="AV22" i="5"/>
  <c r="AU22" i="5"/>
  <c r="AT22" i="5"/>
  <c r="AS22" i="5"/>
  <c r="AR22" i="5"/>
  <c r="AQ22" i="5"/>
  <c r="AP22" i="5"/>
  <c r="AO22" i="5"/>
  <c r="AN22" i="5"/>
  <c r="F30" i="5" s="1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E30" i="5" s="1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D30" i="5" s="1"/>
  <c r="M22" i="5"/>
  <c r="L22" i="5"/>
  <c r="K22" i="5"/>
  <c r="J22" i="5"/>
  <c r="I22" i="5"/>
  <c r="H22" i="5"/>
  <c r="G22" i="5"/>
  <c r="F22" i="5"/>
  <c r="E22" i="5"/>
  <c r="D22" i="5"/>
  <c r="C22" i="5"/>
  <c r="B22" i="5"/>
  <c r="C30" i="5" s="1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F29" i="5" s="1"/>
  <c r="F35" i="5" s="1"/>
  <c r="AM21" i="5"/>
  <c r="AL21" i="5"/>
  <c r="AK21" i="5"/>
  <c r="AJ21" i="5"/>
  <c r="AI21" i="5"/>
  <c r="AH21" i="5"/>
  <c r="AG21" i="5"/>
  <c r="E29" i="5" s="1"/>
  <c r="E35" i="5" s="1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D29" i="5" s="1"/>
  <c r="M21" i="5"/>
  <c r="L21" i="5"/>
  <c r="K21" i="5"/>
  <c r="J21" i="5"/>
  <c r="I21" i="5"/>
  <c r="H21" i="5"/>
  <c r="G21" i="5"/>
  <c r="F21" i="5"/>
  <c r="E21" i="5"/>
  <c r="D21" i="5"/>
  <c r="C21" i="5"/>
  <c r="B21" i="5"/>
  <c r="C29" i="5" s="1"/>
  <c r="BD20" i="5"/>
  <c r="BC20" i="5"/>
  <c r="BB20" i="5"/>
  <c r="BA20" i="5"/>
  <c r="AZ20" i="5"/>
  <c r="G33" i="5" s="1"/>
  <c r="AY20" i="5"/>
  <c r="AX20" i="5"/>
  <c r="AW20" i="5"/>
  <c r="AV20" i="5"/>
  <c r="AU20" i="5"/>
  <c r="AT20" i="5"/>
  <c r="AS20" i="5"/>
  <c r="AR20" i="5"/>
  <c r="AQ20" i="5"/>
  <c r="AP20" i="5"/>
  <c r="AO20" i="5"/>
  <c r="AN20" i="5"/>
  <c r="F33" i="5" s="1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E33" i="5" s="1"/>
  <c r="Z20" i="5"/>
  <c r="Y20" i="5"/>
  <c r="X20" i="5"/>
  <c r="W20" i="5"/>
  <c r="V20" i="5"/>
  <c r="U20" i="5"/>
  <c r="T20" i="5"/>
  <c r="S20" i="5"/>
  <c r="R20" i="5"/>
  <c r="Q20" i="5"/>
  <c r="P20" i="5"/>
  <c r="O20" i="5"/>
  <c r="D33" i="5" s="1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C33" i="5" s="1"/>
  <c r="BD19" i="5"/>
  <c r="BC19" i="5"/>
  <c r="BB19" i="5"/>
  <c r="BA19" i="5"/>
  <c r="AZ19" i="5"/>
  <c r="G32" i="5" s="1"/>
  <c r="AY19" i="5"/>
  <c r="AX19" i="5"/>
  <c r="AW19" i="5"/>
  <c r="AV19" i="5"/>
  <c r="AU19" i="5"/>
  <c r="F32" i="5" s="1"/>
  <c r="F36" i="5" s="1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E32" i="5" s="1"/>
  <c r="E36" i="5" s="1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D32" i="5" s="1"/>
  <c r="D36" i="5" s="1"/>
  <c r="M19" i="5"/>
  <c r="L19" i="5"/>
  <c r="K19" i="5"/>
  <c r="J19" i="5"/>
  <c r="I19" i="5"/>
  <c r="H19" i="5"/>
  <c r="G19" i="5"/>
  <c r="F19" i="5"/>
  <c r="E19" i="5"/>
  <c r="D19" i="5"/>
  <c r="C19" i="5"/>
  <c r="B19" i="5"/>
  <c r="C32" i="5" s="1"/>
  <c r="BD18" i="5"/>
  <c r="BB18" i="5"/>
  <c r="AW18" i="5"/>
  <c r="AV18" i="5"/>
  <c r="AT18" i="5"/>
  <c r="AO18" i="5"/>
  <c r="AN18" i="5"/>
  <c r="AL18" i="5"/>
  <c r="AG18" i="5"/>
  <c r="AF18" i="5"/>
  <c r="AD18" i="5"/>
  <c r="Y18" i="5"/>
  <c r="X18" i="5"/>
  <c r="V18" i="5"/>
  <c r="Q18" i="5"/>
  <c r="P18" i="5"/>
  <c r="N18" i="5"/>
  <c r="I18" i="5"/>
  <c r="H18" i="5"/>
  <c r="F18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BD14" i="5"/>
  <c r="BC14" i="5"/>
  <c r="BC18" i="5" s="1"/>
  <c r="BB14" i="5"/>
  <c r="BA14" i="5"/>
  <c r="BA18" i="5" s="1"/>
  <c r="AZ14" i="5"/>
  <c r="AZ18" i="5" s="1"/>
  <c r="AY14" i="5"/>
  <c r="AY18" i="5" s="1"/>
  <c r="AX14" i="5"/>
  <c r="AX18" i="5" s="1"/>
  <c r="AW14" i="5"/>
  <c r="AV14" i="5"/>
  <c r="AU14" i="5"/>
  <c r="AU18" i="5" s="1"/>
  <c r="AT14" i="5"/>
  <c r="AS14" i="5"/>
  <c r="AS18" i="5" s="1"/>
  <c r="AR14" i="5"/>
  <c r="AR18" i="5" s="1"/>
  <c r="AQ14" i="5"/>
  <c r="AQ18" i="5" s="1"/>
  <c r="AP14" i="5"/>
  <c r="AP18" i="5" s="1"/>
  <c r="AO14" i="5"/>
  <c r="AN14" i="5"/>
  <c r="AM14" i="5"/>
  <c r="AM18" i="5" s="1"/>
  <c r="AL14" i="5"/>
  <c r="AK14" i="5"/>
  <c r="AK18" i="5" s="1"/>
  <c r="AJ14" i="5"/>
  <c r="AJ18" i="5" s="1"/>
  <c r="AI14" i="5"/>
  <c r="AI18" i="5" s="1"/>
  <c r="AH14" i="5"/>
  <c r="AH18" i="5" s="1"/>
  <c r="AG14" i="5"/>
  <c r="AF14" i="5"/>
  <c r="AE14" i="5"/>
  <c r="AE18" i="5" s="1"/>
  <c r="AD14" i="5"/>
  <c r="AC14" i="5"/>
  <c r="AC18" i="5" s="1"/>
  <c r="AB14" i="5"/>
  <c r="AB18" i="5" s="1"/>
  <c r="AA14" i="5"/>
  <c r="AA18" i="5" s="1"/>
  <c r="Z14" i="5"/>
  <c r="Z18" i="5" s="1"/>
  <c r="Y14" i="5"/>
  <c r="X14" i="5"/>
  <c r="W14" i="5"/>
  <c r="W18" i="5" s="1"/>
  <c r="V14" i="5"/>
  <c r="U14" i="5"/>
  <c r="U18" i="5" s="1"/>
  <c r="T14" i="5"/>
  <c r="T18" i="5" s="1"/>
  <c r="S14" i="5"/>
  <c r="S18" i="5" s="1"/>
  <c r="R14" i="5"/>
  <c r="R18" i="5" s="1"/>
  <c r="Q14" i="5"/>
  <c r="P14" i="5"/>
  <c r="O14" i="5"/>
  <c r="O18" i="5" s="1"/>
  <c r="N14" i="5"/>
  <c r="M14" i="5"/>
  <c r="M18" i="5" s="1"/>
  <c r="L14" i="5"/>
  <c r="L18" i="5" s="1"/>
  <c r="K14" i="5"/>
  <c r="K18" i="5" s="1"/>
  <c r="J14" i="5"/>
  <c r="J18" i="5" s="1"/>
  <c r="I14" i="5"/>
  <c r="H14" i="5"/>
  <c r="G14" i="5"/>
  <c r="G18" i="5" s="1"/>
  <c r="F14" i="5"/>
  <c r="E14" i="5"/>
  <c r="E18" i="5" s="1"/>
  <c r="D14" i="5"/>
  <c r="D18" i="5" s="1"/>
  <c r="C14" i="5"/>
  <c r="C18" i="5" s="1"/>
  <c r="B14" i="5"/>
  <c r="B18" i="5" s="1"/>
  <c r="G35" i="5" l="1"/>
  <c r="C35" i="5"/>
  <c r="C36" i="5"/>
  <c r="G36" i="5"/>
  <c r="D35" i="5"/>
  <c r="I50" i="5"/>
  <c r="I54" i="5" s="1"/>
  <c r="J50" i="5"/>
  <c r="J54" i="5" s="1"/>
  <c r="D54" i="5"/>
  <c r="H54" i="5"/>
</calcChain>
</file>

<file path=xl/sharedStrings.xml><?xml version="1.0" encoding="utf-8"?>
<sst xmlns="http://schemas.openxmlformats.org/spreadsheetml/2006/main" count="213" uniqueCount="186">
  <si>
    <t>https://votes.theyworkforyou.com/person/25320/policies/commons/labour/all_time/1065</t>
  </si>
  <si>
    <t>Wes Streeting</t>
  </si>
  <si>
    <t>Votes for EU integration</t>
  </si>
  <si>
    <t>Angela Raynor</t>
  </si>
  <si>
    <t>Shabana Mahmood</t>
  </si>
  <si>
    <t>https://votes.theyworkforyou.com/person/24788/policies/commons/labour/all_time/1065</t>
  </si>
  <si>
    <t>https://votes.theyworkforyou.com/person/10766/policies/commons/labour/all_time/1065</t>
  </si>
  <si>
    <t>Andy Burnham</t>
  </si>
  <si>
    <t xml:space="preserve">Comparable figure among Labour MPs over same period </t>
  </si>
  <si>
    <t>Keir Starmer</t>
  </si>
  <si>
    <t>https://votes.theyworkforyou.com/person/25353/policies/commons/labour/all_time/1065</t>
  </si>
  <si>
    <t>If there were a general election held tomorrow, which party would you vote for?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</si>
  <si>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</si>
  <si>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</si>
  <si>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</si>
  <si>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</si>
  <si>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</si>
  <si>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</si>
  <si>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</si>
  <si>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</si>
  <si>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</si>
  <si>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</si>
  <si>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</si>
  <si>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</si>
  <si>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</si>
  <si>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</si>
  <si>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2025-04-22</t>
  </si>
  <si>
    <t>2025-04-28</t>
  </si>
  <si>
    <t>2025-05-06</t>
  </si>
  <si>
    <t>2025-05-12</t>
  </si>
  <si>
    <t>2025-05-19</t>
  </si>
  <si>
    <t>2025-05-27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</si>
  <si>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</si>
  <si>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</si>
  <si>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</si>
  <si>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</si>
  <si>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</si>
  <si>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</si>
  <si>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</si>
  <si>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</si>
  <si>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</si>
  <si>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</si>
  <si>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</si>
  <si>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</si>
  <si>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2025-08-26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</si>
  <si>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</si>
  <si>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</si>
  <si>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</si>
  <si>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</si>
  <si>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</si>
  <si>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</si>
  <si>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</si>
  <si>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</si>
  <si>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</si>
  <si>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</si>
  <si>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</si>
  <si>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</si>
  <si>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</si>
  <si>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</si>
  <si>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</si>
  <si>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</si>
  <si>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</si>
  <si>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2026-01-05</t>
  </si>
  <si>
    <t>2026-01-12</t>
  </si>
  <si>
    <t>2026-01-19</t>
  </si>
  <si>
    <t>2026-01-26</t>
  </si>
  <si>
    <t>2026-02-02</t>
  </si>
  <si>
    <t>Con</t>
  </si>
  <si>
    <t>Lab</t>
  </si>
  <si>
    <t>Lib Dem</t>
  </si>
  <si>
    <t>SNP</t>
  </si>
  <si>
    <t>Plaid Cymru</t>
  </si>
  <si>
    <t>Reform UK</t>
  </si>
  <si>
    <t>Green</t>
  </si>
  <si>
    <t>Other</t>
  </si>
  <si>
    <t>Unweighted base</t>
  </si>
  <si>
    <t>Base</t>
  </si>
  <si>
    <t>Right-leaning</t>
  </si>
  <si>
    <t>Left-leaning</t>
  </si>
  <si>
    <t>Conservative</t>
  </si>
  <si>
    <t>Reform</t>
  </si>
  <si>
    <t>Labour</t>
  </si>
  <si>
    <t>2024 Election outturn</t>
  </si>
  <si>
    <t>2025 Q1</t>
  </si>
  <si>
    <t>2025 Q2</t>
  </si>
  <si>
    <t>2025 Q3</t>
  </si>
  <si>
    <t>2025 Q4</t>
  </si>
  <si>
    <t>2026 Q1 (so far)</t>
  </si>
  <si>
    <t>Where are they now?</t>
  </si>
  <si>
    <t>2024 Election</t>
  </si>
  <si>
    <t>Labour voters</t>
  </si>
  <si>
    <t>Lib dem</t>
  </si>
  <si>
    <t>Green (assumed)</t>
  </si>
  <si>
    <t xml:space="preserve">Reform </t>
  </si>
  <si>
    <t>Vote retention within bloc</t>
  </si>
  <si>
    <t>Same bloc now</t>
  </si>
  <si>
    <t>left bloc</t>
  </si>
  <si>
    <t>right bloc</t>
  </si>
  <si>
    <t>CAPSNB</t>
  </si>
  <si>
    <t>Cyclically-adjusted public sector net borrowing (per cent of GDP)</t>
  </si>
  <si>
    <t>per cent of GDP</t>
  </si>
  <si>
    <t>Back to contents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</si>
  <si>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</si>
  <si>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</si>
  <si>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</si>
  <si>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</si>
  <si>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</si>
  <si>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</si>
  <si>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</si>
  <si>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</si>
  <si>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</si>
  <si>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</si>
  <si>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</si>
  <si>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</si>
  <si>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</si>
  <si>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</si>
  <si>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</si>
  <si>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</si>
  <si>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</si>
  <si>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</si>
  <si>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</si>
  <si>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</si>
  <si>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</si>
  <si>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</si>
  <si>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</si>
  <si>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</si>
  <si>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</si>
  <si>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</si>
  <si>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</si>
  <si>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</si>
  <si>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</si>
  <si>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</si>
  <si>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April 2003</t>
  </si>
  <si>
    <t>December 2003</t>
  </si>
  <si>
    <t>March 2004</t>
  </si>
  <si>
    <t>December 2004</t>
  </si>
  <si>
    <t>March 2005</t>
  </si>
  <si>
    <t>December 2005</t>
  </si>
  <si>
    <t>March 2006</t>
  </si>
  <si>
    <t>December 2006</t>
  </si>
  <si>
    <t>March 2007</t>
  </si>
  <si>
    <t>October 2007</t>
  </si>
  <si>
    <t>March 2008</t>
  </si>
  <si>
    <t>November 2008</t>
  </si>
  <si>
    <t>April 2009</t>
  </si>
  <si>
    <t>November 2009</t>
  </si>
  <si>
    <t>March 2010</t>
  </si>
  <si>
    <t>June 2010</t>
  </si>
  <si>
    <t>November 2010</t>
  </si>
  <si>
    <t>March 2011</t>
  </si>
  <si>
    <t>November 2011</t>
  </si>
  <si>
    <t>March 2012</t>
  </si>
  <si>
    <t>December 2012</t>
  </si>
  <si>
    <t>March 2013</t>
  </si>
  <si>
    <t>December 2013</t>
  </si>
  <si>
    <t>March 2014</t>
  </si>
  <si>
    <t>December 2014</t>
  </si>
  <si>
    <t>March 2015</t>
  </si>
  <si>
    <t>July 2015</t>
  </si>
  <si>
    <t>November 2015</t>
  </si>
  <si>
    <t>March 2016</t>
  </si>
  <si>
    <t>November 2016</t>
  </si>
  <si>
    <t>March 2017</t>
  </si>
  <si>
    <t>November 2017</t>
  </si>
  <si>
    <t>March 2018</t>
  </si>
  <si>
    <t>October 2018</t>
  </si>
  <si>
    <t>March 2019</t>
  </si>
  <si>
    <t>March 2020</t>
  </si>
  <si>
    <t>November 2020</t>
  </si>
  <si>
    <t>March 2021</t>
  </si>
  <si>
    <t>October 2021</t>
  </si>
  <si>
    <t>March 2022</t>
  </si>
  <si>
    <t>November 2022</t>
  </si>
  <si>
    <t>March 0203</t>
  </si>
  <si>
    <t>November 2023</t>
  </si>
  <si>
    <t>March 2024</t>
  </si>
  <si>
    <t>October 2024</t>
  </si>
  <si>
    <t>March 2025</t>
  </si>
  <si>
    <t>Outturn data* (March 2025)</t>
  </si>
  <si>
    <t>Outturn (Nov 2025)</t>
  </si>
  <si>
    <t>Memo: restated March 2019 forecast</t>
  </si>
  <si>
    <t>Memo: supplementary March 2020 forecast</t>
  </si>
  <si>
    <t>2030-31</t>
  </si>
  <si>
    <t>Pre-election plans of last Conservative govt. (March 2024)</t>
  </si>
  <si>
    <t>Labour's first Budget (Oct 2024)</t>
  </si>
  <si>
    <t>Latest plans (Nov 2025 Budget)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</si>
</sst>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m\-yyyy"/>
  </numFmts>
  <fonts count="1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</font>
    <font>
      <b/>
      <sz val="10"/>
      <name val="Aptos Narrow"/>
      <family val="2"/>
      <scheme val="minor"/>
    </font>
    <font>
      <b/>
      <sz val="14"/>
      <name val="Aptos Narrow"/>
      <family val="2"/>
      <scheme val="minor"/>
    </font>
    <font>
      <sz val="10"/>
      <name val="Calibri"/>
      <family val="2"/>
    </font>
    <font>
      <sz val="10"/>
      <name val="Futura Bk BT"/>
      <family val="2"/>
    </font>
    <font>
      <sz val="10"/>
      <name val="Aptos Narrow"/>
      <family val="2"/>
      <scheme val="minor"/>
    </font>
    <font>
      <u/>
      <sz val="11"/>
      <color indexed="12"/>
      <name val="Calibri"/>
      <family val="2"/>
    </font>
    <font>
      <u/>
      <sz val="10"/>
      <color theme="8"/>
      <name val="Aptos Narrow"/>
      <family val="2"/>
      <scheme val="minor"/>
    </font>
    <font>
      <i/>
      <sz val="8"/>
      <name val="Aptos Narrow"/>
      <family val="2"/>
      <scheme val="minor"/>
    </font>
    <font>
      <i/>
      <sz val="8"/>
      <name val="Calibri"/>
      <family val="2"/>
    </font>
    <font>
      <i/>
      <sz val="8"/>
      <name val="Futura Bk BT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/>
    <xf numFmtId="0" fontId="2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9" fontId="1" fillId="0" borderId="0" xfId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0" fontId="3" fillId="2" borderId="0" xfId="2" applyFont="1" applyFill="1"/>
    <xf numFmtId="0" fontId="4" fillId="2" borderId="0" xfId="2" applyFont="1" applyFill="1" applyAlignment="1">
      <alignment horizontal="left"/>
    </xf>
    <xf numFmtId="0" fontId="5" fillId="2" borderId="0" xfId="2" applyFont="1" applyFill="1"/>
    <xf numFmtId="0" fontId="6" fillId="2" borderId="0" xfId="2" applyFont="1" applyFill="1"/>
    <xf numFmtId="0" fontId="7" fillId="2" borderId="0" xfId="2" applyFont="1" applyFill="1"/>
    <xf numFmtId="0" fontId="9" fillId="2" borderId="0" xfId="3" applyFont="1" applyFill="1" applyBorder="1" applyAlignment="1" applyProtection="1"/>
    <xf numFmtId="0" fontId="7" fillId="2" borderId="0" xfId="2" applyFont="1" applyFill="1" applyAlignment="1">
      <alignment horizontal="right"/>
    </xf>
    <xf numFmtId="165" fontId="7" fillId="2" borderId="0" xfId="2" quotePrefix="1" applyNumberFormat="1" applyFont="1" applyFill="1" applyAlignment="1">
      <alignment horizontal="right" vertical="center"/>
    </xf>
    <xf numFmtId="164" fontId="7" fillId="0" borderId="0" xfId="2" applyNumberFormat="1" applyFont="1" applyAlignment="1">
      <alignment horizontal="right"/>
    </xf>
    <xf numFmtId="0" fontId="7" fillId="0" borderId="0" xfId="2" applyFont="1"/>
    <xf numFmtId="0" fontId="5" fillId="0" borderId="0" xfId="2" applyFont="1"/>
    <xf numFmtId="0" fontId="6" fillId="0" borderId="0" xfId="2" applyFont="1"/>
    <xf numFmtId="17" fontId="7" fillId="2" borderId="0" xfId="2" quotePrefix="1" applyNumberFormat="1" applyFont="1" applyFill="1" applyAlignment="1">
      <alignment horizontal="right"/>
    </xf>
    <xf numFmtId="164" fontId="7" fillId="0" borderId="0" xfId="2" applyNumberFormat="1" applyFont="1"/>
    <xf numFmtId="0" fontId="7" fillId="2" borderId="0" xfId="2" quotePrefix="1" applyFont="1" applyFill="1" applyAlignment="1">
      <alignment horizontal="right"/>
    </xf>
    <xf numFmtId="165" fontId="7" fillId="2" borderId="0" xfId="2" applyNumberFormat="1" applyFont="1" applyFill="1" applyAlignment="1">
      <alignment horizontal="right" vertical="center"/>
    </xf>
    <xf numFmtId="164" fontId="5" fillId="0" borderId="0" xfId="2" applyNumberFormat="1" applyFont="1"/>
    <xf numFmtId="165" fontId="10" fillId="2" borderId="0" xfId="2" applyNumberFormat="1" applyFont="1" applyFill="1" applyAlignment="1">
      <alignment horizontal="right" vertical="center"/>
    </xf>
    <xf numFmtId="17" fontId="10" fillId="2" borderId="0" xfId="2" quotePrefix="1" applyNumberFormat="1" applyFont="1" applyFill="1" applyAlignment="1">
      <alignment horizontal="right"/>
    </xf>
    <xf numFmtId="0" fontId="11" fillId="0" borderId="0" xfId="2" applyFont="1"/>
    <xf numFmtId="164" fontId="11" fillId="0" borderId="0" xfId="2" quotePrefix="1" applyNumberFormat="1" applyFont="1"/>
    <xf numFmtId="164" fontId="11" fillId="0" borderId="0" xfId="2" applyNumberFormat="1" applyFont="1"/>
    <xf numFmtId="164" fontId="10" fillId="0" borderId="0" xfId="2" applyNumberFormat="1" applyFont="1"/>
    <xf numFmtId="0" fontId="12" fillId="0" borderId="0" xfId="2" applyFont="1"/>
    <xf numFmtId="17" fontId="10" fillId="2" borderId="0" xfId="2" quotePrefix="1" applyNumberFormat="1" applyFont="1" applyFill="1" applyAlignment="1">
      <alignment horizontal="right" wrapText="1"/>
    </xf>
    <xf numFmtId="164" fontId="5" fillId="0" borderId="0" xfId="2" quotePrefix="1" applyNumberFormat="1" applyFont="1"/>
    <xf numFmtId="0" fontId="5" fillId="2" borderId="0" xfId="2" quotePrefix="1" applyFont="1" applyFill="1"/>
  </cellXfs>
  <cellStyles count="4">
    <cellStyle name="Hyperlink 2" xfId="3" xr:uid="{7C333D71-4FBB-41A3-8E53-4B5ECE0C8037}"/>
    <cellStyle name="Normal" xfId="0" builtinId="0"/>
    <cellStyle name="Normal 2" xfId="2" xr:uid="{B4EA5CCA-2398-47B2-9475-9572D6FBD39E}"/>
    <cellStyle name="Percent 2" xfId="1" xr:uid="{650842DE-9391-4F0F-A67E-0ED0DBDED348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chartsheet" Target="chart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10" Type="http://schemas.openxmlformats.org/officeDocument/2006/relationships/styles" Target="styles.xml"/><Relationship Id="rId4" Type="http://schemas.openxmlformats.org/officeDocument/2006/relationships/worksheet" Target="worksheets/sheet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9163014691036921"/>
          <c:h val="0.809073724007561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adults'!$B$28</c:f>
              <c:strCache>
                <c:ptCount val="1"/>
                <c:pt idx="0">
                  <c:v>2024 Election outturn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'All adults'!$A$29:$A$33</c:f>
              <c:strCache>
                <c:ptCount val="5"/>
                <c:pt idx="0">
                  <c:v>Labour</c:v>
                </c:pt>
                <c:pt idx="1">
                  <c:v>Lib Dem</c:v>
                </c:pt>
                <c:pt idx="2">
                  <c:v>Green</c:v>
                </c:pt>
                <c:pt idx="3">
                  <c:v>Conservative</c:v>
                </c:pt>
                <c:pt idx="4">
                  <c:v>Reform</c:v>
                </c:pt>
              </c:strCache>
            </c:strRef>
          </c:cat>
          <c:val>
            <c:numRef>
              <c:f>'All adults'!$B$29:$B$33</c:f>
              <c:numCache>
                <c:formatCode>General</c:formatCode>
                <c:ptCount val="5"/>
                <c:pt idx="0">
                  <c:v>33.700000000000003</c:v>
                </c:pt>
                <c:pt idx="1">
                  <c:v>12.2</c:v>
                </c:pt>
                <c:pt idx="2">
                  <c:v>6.4</c:v>
                </c:pt>
                <c:pt idx="3">
                  <c:v>23.7</c:v>
                </c:pt>
                <c:pt idx="4">
                  <c:v>14.3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6-47FB-8C4C-21A8C0B0A7FD}"/>
            </c:ext>
          </c:extLst>
        </c:ser>
        <c:ser>
          <c:idx val="1"/>
          <c:order val="1"/>
          <c:tx>
            <c:strRef>
              <c:f>'All adults'!$C$28</c:f>
              <c:strCache>
                <c:ptCount val="1"/>
                <c:pt idx="0">
                  <c:v>2025 Q1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'All adults'!$A$29:$A$33</c:f>
              <c:strCache>
                <c:ptCount val="5"/>
                <c:pt idx="0">
                  <c:v>Labour</c:v>
                </c:pt>
                <c:pt idx="1">
                  <c:v>Lib Dem</c:v>
                </c:pt>
                <c:pt idx="2">
                  <c:v>Green</c:v>
                </c:pt>
                <c:pt idx="3">
                  <c:v>Conservative</c:v>
                </c:pt>
                <c:pt idx="4">
                  <c:v>Reform</c:v>
                </c:pt>
              </c:strCache>
            </c:strRef>
          </c:cat>
          <c:val>
            <c:numRef>
              <c:f>'All adults'!$C$29:$C$33</c:f>
              <c:numCache>
                <c:formatCode>General</c:formatCode>
                <c:ptCount val="5"/>
                <c:pt idx="0">
                  <c:v>25</c:v>
                </c:pt>
                <c:pt idx="1">
                  <c:v>14.416666666666666</c:v>
                </c:pt>
                <c:pt idx="2">
                  <c:v>9.0833333333333339</c:v>
                </c:pt>
                <c:pt idx="3">
                  <c:v>21.583333333333332</c:v>
                </c:pt>
                <c:pt idx="4">
                  <c:v>24.333333333333332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86-47FB-8C4C-21A8C0B0A7FD}"/>
            </c:ext>
          </c:extLst>
        </c:ser>
        <c:ser>
          <c:idx val="2"/>
          <c:order val="2"/>
          <c:tx>
            <c:strRef>
              <c:f>'All adults'!$D$28</c:f>
              <c:strCache>
                <c:ptCount val="1"/>
                <c:pt idx="0">
                  <c:v>2025 Q2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'All adults'!$A$29:$A$33</c:f>
              <c:strCache>
                <c:ptCount val="5"/>
                <c:pt idx="0">
                  <c:v>Labour</c:v>
                </c:pt>
                <c:pt idx="1">
                  <c:v>Lib Dem</c:v>
                </c:pt>
                <c:pt idx="2">
                  <c:v>Green</c:v>
                </c:pt>
                <c:pt idx="3">
                  <c:v>Conservative</c:v>
                </c:pt>
                <c:pt idx="4">
                  <c:v>Reform</c:v>
                </c:pt>
              </c:strCache>
            </c:strRef>
          </c:cat>
          <c:val>
            <c:numRef>
              <c:f>'All adults'!$D$29:$D$33</c:f>
              <c:numCache>
                <c:formatCode>General</c:formatCode>
                <c:ptCount val="5"/>
                <c:pt idx="0">
                  <c:v>22.923076923076923</c:v>
                </c:pt>
                <c:pt idx="1">
                  <c:v>15.76923076923077</c:v>
                </c:pt>
                <c:pt idx="2">
                  <c:v>9.8461538461538467</c:v>
                </c:pt>
                <c:pt idx="3">
                  <c:v>18.384615384615383</c:v>
                </c:pt>
                <c:pt idx="4">
                  <c:v>26.76923076923077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86-47FB-8C4C-21A8C0B0A7FD}"/>
            </c:ext>
          </c:extLst>
        </c:ser>
        <c:ser>
          <c:idx val="3"/>
          <c:order val="3"/>
          <c:tx>
            <c:strRef>
              <c:f>'All adults'!$E$28</c:f>
              <c:strCache>
                <c:ptCount val="1"/>
                <c:pt idx="0">
                  <c:v>2025 Q3</c:v>
                </c:pt>
              </c:strCache>
            </c:strRef>
          </c:tx>
          <c:spPr>
            <a:solidFill>
              <a:srgbClr val="7B7C77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'All adults'!$A$29:$A$33</c:f>
              <c:strCache>
                <c:ptCount val="5"/>
                <c:pt idx="0">
                  <c:v>Labour</c:v>
                </c:pt>
                <c:pt idx="1">
                  <c:v>Lib Dem</c:v>
                </c:pt>
                <c:pt idx="2">
                  <c:v>Green</c:v>
                </c:pt>
                <c:pt idx="3">
                  <c:v>Conservative</c:v>
                </c:pt>
                <c:pt idx="4">
                  <c:v>Reform</c:v>
                </c:pt>
              </c:strCache>
            </c:strRef>
          </c:cat>
          <c:val>
            <c:numRef>
              <c:f>'All adults'!$E$29:$E$33</c:f>
              <c:numCache>
                <c:formatCode>General</c:formatCode>
                <c:ptCount val="5"/>
                <c:pt idx="0">
                  <c:v>21.46153846153846</c:v>
                </c:pt>
                <c:pt idx="1">
                  <c:v>15.076923076923077</c:v>
                </c:pt>
                <c:pt idx="2">
                  <c:v>10.923076923076923</c:v>
                </c:pt>
                <c:pt idx="3">
                  <c:v>16.846153846153847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86-47FB-8C4C-21A8C0B0A7FD}"/>
            </c:ext>
          </c:extLst>
        </c:ser>
        <c:ser>
          <c:idx val="4"/>
          <c:order val="4"/>
          <c:tx>
            <c:strRef>
              <c:f>'All adults'!$F$28</c:f>
              <c:strCache>
                <c:ptCount val="1"/>
                <c:pt idx="0">
                  <c:v>2025 Q4</c:v>
                </c:pt>
              </c:strCache>
            </c:strRef>
          </c:tx>
          <c:spPr>
            <a:solidFill>
              <a:srgbClr val="965793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'All adults'!$A$29:$A$33</c:f>
              <c:strCache>
                <c:ptCount val="5"/>
                <c:pt idx="0">
                  <c:v>Labour</c:v>
                </c:pt>
                <c:pt idx="1">
                  <c:v>Lib Dem</c:v>
                </c:pt>
                <c:pt idx="2">
                  <c:v>Green</c:v>
                </c:pt>
                <c:pt idx="3">
                  <c:v>Conservative</c:v>
                </c:pt>
                <c:pt idx="4">
                  <c:v>Reform</c:v>
                </c:pt>
              </c:strCache>
            </c:strRef>
          </c:cat>
          <c:val>
            <c:numRef>
              <c:f>'All adults'!$F$29:$F$33</c:f>
              <c:numCache>
                <c:formatCode>General</c:formatCode>
                <c:ptCount val="5"/>
                <c:pt idx="0">
                  <c:v>19.166666666666668</c:v>
                </c:pt>
                <c:pt idx="1">
                  <c:v>14.75</c:v>
                </c:pt>
                <c:pt idx="2">
                  <c:v>15.25</c:v>
                </c:pt>
                <c:pt idx="3">
                  <c:v>17.5</c:v>
                </c:pt>
                <c:pt idx="4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86-47FB-8C4C-21A8C0B0A7FD}"/>
            </c:ext>
          </c:extLst>
        </c:ser>
        <c:ser>
          <c:idx val="5"/>
          <c:order val="5"/>
          <c:tx>
            <c:strRef>
              <c:f>'All adults'!$G$28</c:f>
              <c:strCache>
                <c:ptCount val="1"/>
                <c:pt idx="0">
                  <c:v>2026 Q1 (so far)</c:v>
                </c:pt>
              </c:strCache>
            </c:strRef>
          </c:tx>
          <c:spPr>
            <a:solidFill>
              <a:srgbClr val="00ADDC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'All adults'!$A$29:$A$33</c:f>
              <c:strCache>
                <c:ptCount val="5"/>
                <c:pt idx="0">
                  <c:v>Labour</c:v>
                </c:pt>
                <c:pt idx="1">
                  <c:v>Lib Dem</c:v>
                </c:pt>
                <c:pt idx="2">
                  <c:v>Green</c:v>
                </c:pt>
                <c:pt idx="3">
                  <c:v>Conservative</c:v>
                </c:pt>
                <c:pt idx="4">
                  <c:v>Reform</c:v>
                </c:pt>
              </c:strCache>
            </c:strRef>
          </c:cat>
          <c:val>
            <c:numRef>
              <c:f>'All adults'!$G$29:$G$33</c:f>
              <c:numCache>
                <c:formatCode>0.0</c:formatCode>
                <c:ptCount val="5"/>
                <c:pt idx="0">
                  <c:v>19</c:v>
                </c:pt>
                <c:pt idx="1">
                  <c:v>14.8</c:v>
                </c:pt>
                <c:pt idx="2">
                  <c:v>15.8</c:v>
                </c:pt>
                <c:pt idx="3" formatCode="General">
                  <c:v>18.399999999999999</c:v>
                </c:pt>
                <c:pt idx="4" formatCode="General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86-47FB-8C4C-21A8C0B0A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7.5618903569257226E-2"/>
          <c:y val="0.13494547615510324"/>
          <c:w val="0.88041437193232208"/>
          <c:h val="0.1203157031113685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6338912283121"/>
          <c:w val="1"/>
          <c:h val="0.807774705220784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CAPSNB!$W$59</c:f>
              <c:strCache>
                <c:ptCount val="1"/>
                <c:pt idx="0">
                  <c:v>Pre-election plans of last Conservative govt. (March 2024)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CAPSNB!$X$58:$AF$58</c:f>
              <c:strCache>
                <c:ptCount val="9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  <c:pt idx="8">
                  <c:v>2030-31</c:v>
                </c:pt>
              </c:strCache>
            </c:strRef>
          </c:cat>
          <c:val>
            <c:numRef>
              <c:f>CAPSNB!$X$59:$AF$59</c:f>
              <c:numCache>
                <c:formatCode>0.0</c:formatCode>
                <c:ptCount val="9"/>
                <c:pt idx="0">
                  <c:v>5.9110168501402978</c:v>
                </c:pt>
                <c:pt idx="1">
                  <c:v>4.2739727675824541</c:v>
                </c:pt>
                <c:pt idx="2">
                  <c:v>2.7089205252899746</c:v>
                </c:pt>
                <c:pt idx="3">
                  <c:v>2.2772478865552648</c:v>
                </c:pt>
                <c:pt idx="4">
                  <c:v>2.1042322329727763</c:v>
                </c:pt>
                <c:pt idx="5">
                  <c:v>1.5737042417568636</c:v>
                </c:pt>
                <c:pt idx="6">
                  <c:v>1.2176610326856683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3-4BC7-AD72-E0202B3D235D}"/>
            </c:ext>
          </c:extLst>
        </c:ser>
        <c:ser>
          <c:idx val="1"/>
          <c:order val="1"/>
          <c:tx>
            <c:strRef>
              <c:f>CAPSNB!$W$60</c:f>
              <c:strCache>
                <c:ptCount val="1"/>
                <c:pt idx="0">
                  <c:v>Labour's first Budget (Oct 2024)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CAPSNB!$X$58:$AF$58</c:f>
              <c:strCache>
                <c:ptCount val="9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  <c:pt idx="8">
                  <c:v>2030-31</c:v>
                </c:pt>
              </c:strCache>
            </c:strRef>
          </c:cat>
          <c:val>
            <c:numRef>
              <c:f>CAPSNB!$X$60:$AF$60</c:f>
              <c:numCache>
                <c:formatCode>0.0</c:formatCode>
                <c:ptCount val="9"/>
                <c:pt idx="0">
                  <c:v>5.9110168501402978</c:v>
                </c:pt>
                <c:pt idx="1">
                  <c:v>4.6934671627891857</c:v>
                </c:pt>
                <c:pt idx="2">
                  <c:v>4.4142162341190234</c:v>
                </c:pt>
                <c:pt idx="3">
                  <c:v>3.6541420544460168</c:v>
                </c:pt>
                <c:pt idx="4">
                  <c:v>3.1201695377528775</c:v>
                </c:pt>
                <c:pt idx="5">
                  <c:v>2.4628452632288251</c:v>
                </c:pt>
                <c:pt idx="6">
                  <c:v>2.2900162603203142</c:v>
                </c:pt>
                <c:pt idx="7">
                  <c:v>2.1011109824743333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3-4BC7-AD72-E0202B3D235D}"/>
            </c:ext>
          </c:extLst>
        </c:ser>
        <c:ser>
          <c:idx val="2"/>
          <c:order val="2"/>
          <c:tx>
            <c:strRef>
              <c:f>CAPSNB!$W$61</c:f>
              <c:strCache>
                <c:ptCount val="1"/>
                <c:pt idx="0">
                  <c:v>Latest plans (Nov 2025 Budget)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CAPSNB!$X$58:$AF$58</c:f>
              <c:strCache>
                <c:ptCount val="9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  <c:pt idx="8">
                  <c:v>2030-31</c:v>
                </c:pt>
              </c:strCache>
            </c:strRef>
          </c:cat>
          <c:val>
            <c:numRef>
              <c:f>CAPSNB!$X$61:$AF$61</c:f>
              <c:numCache>
                <c:formatCode>0.0</c:formatCode>
                <c:ptCount val="9"/>
                <c:pt idx="0">
                  <c:v>5.6954075556743557</c:v>
                </c:pt>
                <c:pt idx="1">
                  <c:v>5.0378359188117026</c:v>
                </c:pt>
                <c:pt idx="2">
                  <c:v>5.0133049194156678</c:v>
                </c:pt>
                <c:pt idx="3">
                  <c:v>4.1787900508652225</c:v>
                </c:pt>
                <c:pt idx="4">
                  <c:v>3.2288256371442614</c:v>
                </c:pt>
                <c:pt idx="5">
                  <c:v>2.8416595686424446</c:v>
                </c:pt>
                <c:pt idx="6">
                  <c:v>2.5005556056916292</c:v>
                </c:pt>
                <c:pt idx="7">
                  <c:v>1.9179287006228543</c:v>
                </c:pt>
                <c:pt idx="8">
                  <c:v>1.847596510032449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03-4BC7-AD72-E0202B3D2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5401112149116952"/>
          <c:y val="0.10109761032346204"/>
          <c:w val="0.81260852008883511"/>
          <c:h val="0.1597343401381758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76370510396975"/>
          <c:w val="1"/>
          <c:h val="0.809073724007561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'votes for eu integration '!$A$6</c:f>
              <c:strCache>
                <c:ptCount val="1"/>
                <c:pt idx="0">
                  <c:v>Votes for EU integration</c:v>
                </c:pt>
              </c:strCache>
            </c:strRef>
          </c:tx>
          <c:spPr>
            <a:solidFill>
              <a:srgbClr val="BD1B21"/>
            </a:solidFill>
            <a:ln w="22225">
              <a:noFill/>
            </a:ln>
          </c:spPr>
          <c:invertIfNegative val="0"/>
          <c:cat>
            <c:strRef>
              <c:f>'votes for eu integration '!$B$5:$F$5</c:f>
              <c:strCache>
                <c:ptCount val="5"/>
                <c:pt idx="0">
                  <c:v>Wes Streeting</c:v>
                </c:pt>
                <c:pt idx="1">
                  <c:v>Shabana Mahmood</c:v>
                </c:pt>
                <c:pt idx="2">
                  <c:v>Keir Starmer</c:v>
                </c:pt>
                <c:pt idx="3">
                  <c:v>Angela Raynor</c:v>
                </c:pt>
                <c:pt idx="4">
                  <c:v>Andy Burnham</c:v>
                </c:pt>
              </c:strCache>
            </c:strRef>
          </c:cat>
          <c:val>
            <c:numRef>
              <c:f>'votes for eu integration '!$B$6:$F$6</c:f>
              <c:numCache>
                <c:formatCode>General</c:formatCode>
                <c:ptCount val="5"/>
                <c:pt idx="0">
                  <c:v>88</c:v>
                </c:pt>
                <c:pt idx="1">
                  <c:v>84</c:v>
                </c:pt>
                <c:pt idx="2">
                  <c:v>83</c:v>
                </c:pt>
                <c:pt idx="3">
                  <c:v>79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ser>
          <c:idx val="1"/>
          <c:order val="1"/>
          <c:tx>
            <c:strRef>
              <c:f>'votes for eu integration '!$A$7</c:f>
              <c:strCache>
                <c:ptCount val="1"/>
                <c:pt idx="0">
                  <c:v>Comparable figure among Labour MPs over same period </c:v>
                </c:pt>
              </c:strCache>
            </c:strRef>
          </c:tx>
          <c:spPr>
            <a:solidFill>
              <a:srgbClr val="003469"/>
            </a:solidFill>
            <a:ln w="22225">
              <a:noFill/>
            </a:ln>
          </c:spPr>
          <c:invertIfNegative val="0"/>
          <c:cat>
            <c:strRef>
              <c:f>'votes for eu integration '!$B$5:$F$5</c:f>
              <c:strCache>
                <c:ptCount val="5"/>
                <c:pt idx="0">
                  <c:v>Wes Streeting</c:v>
                </c:pt>
                <c:pt idx="1">
                  <c:v>Shabana Mahmood</c:v>
                </c:pt>
                <c:pt idx="2">
                  <c:v>Keir Starmer</c:v>
                </c:pt>
                <c:pt idx="3">
                  <c:v>Angela Raynor</c:v>
                </c:pt>
                <c:pt idx="4">
                  <c:v>Andy Burnham</c:v>
                </c:pt>
              </c:strCache>
            </c:strRef>
          </c:cat>
          <c:val>
            <c:numRef>
              <c:f>'votes for eu integration '!$B$7:$F$7</c:f>
              <c:numCache>
                <c:formatCode>General</c:formatCode>
                <c:ptCount val="5"/>
                <c:pt idx="0">
                  <c:v>84</c:v>
                </c:pt>
                <c:pt idx="1">
                  <c:v>83</c:v>
                </c:pt>
                <c:pt idx="2">
                  <c:v>84</c:v>
                </c:pt>
                <c:pt idx="3">
                  <c:v>84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3552036199095025"/>
          <c:y val="0.13330053733831476"/>
          <c:w val="0.72030355934015033"/>
          <c:h val="0.1094726344462140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82065D-2660-4205-98A8-85CFEA88CE35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B1EB7E-511D-4E62-98E8-1679FC398A8F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98066FE-11A9-4E0A-90C9-C122D21A43A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4DE2C9-CB8D-D845-0843-63AA61201A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46613AD-7931-C2C0-AE9D-95ED1B5CC16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Voting intentions (and actual voting in 2024 election)</a:t>
          </a:r>
        </a:p>
      </cdr:txBody>
    </cdr:sp>
  </cdr:relSizeAnchor>
  <cdr:relSizeAnchor xmlns:cdr="http://schemas.openxmlformats.org/drawingml/2006/chartDrawing">
    <cdr:from>
      <cdr:x>7.89299E-17</cdr:x>
      <cdr:y>0.93923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9897588D-89C2-E531-06A3-2E1F44A895F1}"/>
            </a:ext>
          </a:extLst>
        </cdr:cNvPr>
        <cdr:cNvSpPr/>
      </cdr:nvSpPr>
      <cdr:spPr>
        <a:xfrm xmlns:a="http://schemas.openxmlformats.org/drawingml/2006/main">
          <a:off x="50800" y="5908199"/>
          <a:ext cx="8661797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Source: YouGov</a:t>
          </a:r>
        </a:p>
      </cdr:txBody>
    </cdr:sp>
  </cdr:relSizeAnchor>
  <cdr:relSizeAnchor xmlns:cdr="http://schemas.openxmlformats.org/drawingml/2006/chartDrawing">
    <cdr:from>
      <cdr:x>0.62356</cdr:x>
      <cdr:y>0.28679</cdr:y>
    </cdr:from>
    <cdr:to>
      <cdr:x>0.62356</cdr:x>
      <cdr:y>0.86226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C0E38C89-480E-D042-DD42-440367E2FD87}"/>
            </a:ext>
          </a:extLst>
        </cdr:cNvPr>
        <cdr:cNvCxnSpPr/>
      </cdr:nvCxnSpPr>
      <cdr:spPr>
        <a:xfrm xmlns:a="http://schemas.openxmlformats.org/drawingml/2006/main">
          <a:off x="5250440" y="1930400"/>
          <a:ext cx="0" cy="38735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0.62486</cdr:x>
      <cdr:y>0.26139</cdr:y>
    </cdr:from>
    <cdr:to>
      <cdr:x>0.99548</cdr:x>
      <cdr:y>0.39153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00014C3-A391-2754-510B-7A54A172692B}"/>
            </a:ext>
          </a:extLst>
        </cdr:cNvPr>
        <cdr:cNvSpPr txBox="1"/>
      </cdr:nvSpPr>
      <cdr:spPr>
        <a:xfrm xmlns:a="http://schemas.openxmlformats.org/drawingml/2006/main">
          <a:off x="5267325" y="1760266"/>
          <a:ext cx="3124200" cy="8763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Right-leanin</a:t>
          </a:r>
          <a:r>
            <a:rPr lang="en-GB" sz="1800" kern="1200" baseline="0">
              <a:solidFill>
                <a:srgbClr val="495057"/>
              </a:solidFill>
              <a:latin typeface="Segoe UI" panose="020B0502040204020203" pitchFamily="34" charset="0"/>
            </a:rPr>
            <a:t>g parties </a:t>
          </a:r>
          <a:endParaRPr lang="en-GB" sz="18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0.07571</cdr:y>
    </cdr:from>
    <cdr:to>
      <cdr:x>1</cdr:x>
      <cdr:y>0.12681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6381409C-6B6B-4662-07E4-151DB8F2A6B9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those who would vote </a:t>
          </a:r>
        </a:p>
      </cdr:txBody>
    </cdr:sp>
  </cdr:relSizeAnchor>
  <cdr:relSizeAnchor xmlns:cdr="http://schemas.openxmlformats.org/drawingml/2006/chartDrawing">
    <cdr:from>
      <cdr:x>0.06328</cdr:x>
      <cdr:y>0.25995</cdr:y>
    </cdr:from>
    <cdr:to>
      <cdr:x>0.62486</cdr:x>
      <cdr:y>0.39009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2B5FA72-DEB8-A4AA-1026-07E446D0B9F9}"/>
            </a:ext>
          </a:extLst>
        </cdr:cNvPr>
        <cdr:cNvSpPr txBox="1"/>
      </cdr:nvSpPr>
      <cdr:spPr>
        <a:xfrm xmlns:a="http://schemas.openxmlformats.org/drawingml/2006/main">
          <a:off x="533400" y="1750518"/>
          <a:ext cx="4733925" cy="8763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Left-leanin</a:t>
          </a:r>
          <a:r>
            <a:rPr lang="en-GB" sz="1800" kern="1200" baseline="0">
              <a:solidFill>
                <a:srgbClr val="495057"/>
              </a:solidFill>
              <a:latin typeface="Segoe UI" panose="020B0502040204020203" pitchFamily="34" charset="0"/>
            </a:rPr>
            <a:t>g parties </a:t>
          </a:r>
          <a:endParaRPr lang="en-GB" sz="18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9C1057-B9BB-8B59-80DF-963D1BB60C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F176029-03CD-BC14-1176-ACA50CC8BC3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Cyclically adjusted fiscal deficit (OBR estimates) </a:t>
          </a:r>
        </a:p>
      </cdr:txBody>
    </cdr:sp>
  </cdr:relSizeAnchor>
  <cdr:relSizeAnchor xmlns:cdr="http://schemas.openxmlformats.org/drawingml/2006/chartDrawing">
    <cdr:from>
      <cdr:x>1.01481E-16</cdr:x>
      <cdr:y>0.93912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748140D0-7DAA-6FF8-3665-9A165F70234D}"/>
            </a:ext>
          </a:extLst>
        </cdr:cNvPr>
        <cdr:cNvSpPr/>
      </cdr:nvSpPr>
      <cdr:spPr>
        <a:xfrm xmlns:a="http://schemas.openxmlformats.org/drawingml/2006/main">
          <a:off x="50800" y="5897174"/>
          <a:ext cx="866069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Office for Budget Responsibility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47247C98-5625-7B89-D6A0-03CBFD184D73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GDP 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172A0F-FA9B-E8E7-1DF4-25112D8721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F52513F-D0A2-AB06-173A-173CBFDD5A3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3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Voting record on EU integration of possible Labour leaders </a:t>
          </a:r>
        </a:p>
      </cdr:txBody>
    </cdr:sp>
  </cdr:relSizeAnchor>
  <cdr:relSizeAnchor xmlns:cdr="http://schemas.openxmlformats.org/drawingml/2006/chartDrawing">
    <cdr:from>
      <cdr:x>1.01481E-16</cdr:x>
      <cdr:y>0.93912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BB2837CA-0C64-E7A0-51B3-071540D25F58}"/>
            </a:ext>
          </a:extLst>
        </cdr:cNvPr>
        <cdr:cNvSpPr/>
      </cdr:nvSpPr>
      <cdr:spPr>
        <a:xfrm xmlns:a="http://schemas.openxmlformats.org/drawingml/2006/main">
          <a:off x="50800" y="5897174"/>
          <a:ext cx="866069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Economics/Haver Analytics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D0723D7E-5B46-EFDE-6EF1-80BE8A402784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votes in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Parliament </a:t>
          </a:r>
          <a:endParaRPr lang="en-GB" sz="18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w%20Goodwin\AppData\Local\Microsoft\Windows\INetCache\Content.Outlook\W31P0Y79\Yougov%20polling%202025-present.xlsx" TargetMode="External"/><Relationship Id="rId1" Type="http://schemas.openxmlformats.org/officeDocument/2006/relationships/externalLinkPath" Target="file:///C:\Users\Andrew%20Goodwin\AppData\Local\Microsoft\Windows\INetCache\Content.Outlook\W31P0Y79\Yougov%20polling%202025-presen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w%20Goodwin\AppData\Local\Microsoft\Windows\INetCache\Content.Outlook\W31P0Y79\Historical_official_forecasts_database_March_2025.xlsx" TargetMode="External"/><Relationship Id="rId1" Type="http://schemas.openxmlformats.org/officeDocument/2006/relationships/externalLinkPath" Target="file:///C:\Users\Andrew%20Goodwin\AppData\Local\Microsoft\Windows\INetCache\Content.Outlook\W31P0Y79\Historical_official_forecasts_database_March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2"/>
      <sheetName val="Chart1"/>
      <sheetName val="Chart4"/>
      <sheetName val="Chart3"/>
      <sheetName val="All adults"/>
      <sheetName val="18-24"/>
      <sheetName val="25-49"/>
      <sheetName val="50-64"/>
      <sheetName val="65+"/>
      <sheetName val="Male"/>
      <sheetName val="Female"/>
      <sheetName val="London"/>
      <sheetName val="Rest of South"/>
      <sheetName val="Midlands"/>
      <sheetName val="North"/>
      <sheetName val="Scotland"/>
      <sheetName val="Wales"/>
      <sheetName val="Conservative"/>
      <sheetName val="Labour"/>
      <sheetName val="Liberal Democrat"/>
      <sheetName val="Reform UK"/>
      <sheetName val="I voted to Remain"/>
      <sheetName val="I voted to Leave"/>
      <sheetName val="ABC1"/>
      <sheetName val="C2D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8">
          <cell r="B28" t="str">
            <v>2024 Election outturn</v>
          </cell>
          <cell r="C28" t="str">
            <v>2025 Q1</v>
          </cell>
          <cell r="D28" t="str">
            <v>2025 Q2</v>
          </cell>
          <cell r="E28" t="str">
            <v>2025 Q3</v>
          </cell>
          <cell r="F28" t="str">
            <v>2025 Q4</v>
          </cell>
          <cell r="G28" t="str">
            <v>2026 Q1 (so far)</v>
          </cell>
        </row>
        <row r="29">
          <cell r="A29" t="str">
            <v>Labour</v>
          </cell>
          <cell r="B29">
            <v>33.700000000000003</v>
          </cell>
          <cell r="C29">
            <v>25</v>
          </cell>
          <cell r="D29">
            <v>22.923076923076923</v>
          </cell>
          <cell r="E29">
            <v>21.46153846153846</v>
          </cell>
          <cell r="F29">
            <v>19.166666666666668</v>
          </cell>
          <cell r="G29">
            <v>19</v>
          </cell>
        </row>
        <row r="30">
          <cell r="A30" t="str">
            <v>Lib Dem</v>
          </cell>
          <cell r="B30">
            <v>12.2</v>
          </cell>
          <cell r="C30">
            <v>14.416666666666666</v>
          </cell>
          <cell r="D30">
            <v>15.76923076923077</v>
          </cell>
          <cell r="E30">
            <v>15.076923076923077</v>
          </cell>
          <cell r="F30">
            <v>14.75</v>
          </cell>
          <cell r="G30">
            <v>14.8</v>
          </cell>
        </row>
        <row r="31">
          <cell r="A31" t="str">
            <v>Green</v>
          </cell>
          <cell r="B31">
            <v>6.4</v>
          </cell>
          <cell r="C31">
            <v>9.0833333333333339</v>
          </cell>
          <cell r="D31">
            <v>9.8461538461538467</v>
          </cell>
          <cell r="E31">
            <v>10.923076923076923</v>
          </cell>
          <cell r="F31">
            <v>15.25</v>
          </cell>
          <cell r="G31">
            <v>15.8</v>
          </cell>
        </row>
        <row r="32">
          <cell r="A32" t="str">
            <v>Conservative</v>
          </cell>
          <cell r="B32">
            <v>23.7</v>
          </cell>
          <cell r="C32">
            <v>21.583333333333332</v>
          </cell>
          <cell r="D32">
            <v>18.384615384615383</v>
          </cell>
          <cell r="E32">
            <v>16.846153846153847</v>
          </cell>
          <cell r="F32">
            <v>17.5</v>
          </cell>
          <cell r="G32">
            <v>18.399999999999999</v>
          </cell>
        </row>
        <row r="33">
          <cell r="A33" t="str">
            <v>Reform</v>
          </cell>
          <cell r="B33">
            <v>14.3</v>
          </cell>
          <cell r="C33">
            <v>24.333333333333332</v>
          </cell>
          <cell r="D33">
            <v>26.76923076923077</v>
          </cell>
          <cell r="E33">
            <v>28</v>
          </cell>
          <cell r="F33">
            <v>26.5</v>
          </cell>
          <cell r="G33">
            <v>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Z2">
            <v>0.64</v>
          </cell>
        </row>
        <row r="3">
          <cell r="AZ3">
            <v>0.01</v>
          </cell>
        </row>
        <row r="4">
          <cell r="AZ4">
            <v>0.06</v>
          </cell>
        </row>
        <row r="7">
          <cell r="AZ7">
            <v>0.25</v>
          </cell>
        </row>
        <row r="8">
          <cell r="AZ8">
            <v>0.02</v>
          </cell>
        </row>
        <row r="15">
          <cell r="AX15">
            <v>87.999999999999986</v>
          </cell>
          <cell r="AY15">
            <v>92</v>
          </cell>
          <cell r="AZ15">
            <v>89</v>
          </cell>
          <cell r="BA15">
            <v>92</v>
          </cell>
          <cell r="BB15">
            <v>90</v>
          </cell>
          <cell r="BC15">
            <v>87.999999999999986</v>
          </cell>
          <cell r="BD15">
            <v>88</v>
          </cell>
        </row>
      </sheetData>
      <sheetData sheetId="18">
        <row r="2">
          <cell r="AZ2">
            <v>0.05</v>
          </cell>
        </row>
        <row r="3">
          <cell r="AZ3">
            <v>0.5</v>
          </cell>
        </row>
        <row r="4">
          <cell r="AZ4">
            <v>0.12</v>
          </cell>
        </row>
        <row r="7">
          <cell r="AZ7">
            <v>0.11</v>
          </cell>
        </row>
        <row r="8">
          <cell r="AZ8">
            <v>0.17</v>
          </cell>
        </row>
        <row r="16">
          <cell r="AX16">
            <v>80</v>
          </cell>
          <cell r="AY16">
            <v>80</v>
          </cell>
          <cell r="AZ16">
            <v>79</v>
          </cell>
          <cell r="BA16">
            <v>83</v>
          </cell>
          <cell r="BB16">
            <v>84.000000000000014</v>
          </cell>
          <cell r="BC16">
            <v>86.000000000000014</v>
          </cell>
          <cell r="BD16">
            <v>81</v>
          </cell>
        </row>
      </sheetData>
      <sheetData sheetId="19">
        <row r="2">
          <cell r="AZ2">
            <v>0.06</v>
          </cell>
        </row>
        <row r="3">
          <cell r="AZ3">
            <v>0.04</v>
          </cell>
        </row>
        <row r="4">
          <cell r="AZ4">
            <v>0.72</v>
          </cell>
        </row>
        <row r="7">
          <cell r="AZ7">
            <v>0.03</v>
          </cell>
        </row>
        <row r="8">
          <cell r="AZ8">
            <v>0.13</v>
          </cell>
        </row>
        <row r="16">
          <cell r="AX16">
            <v>83</v>
          </cell>
          <cell r="AY16">
            <v>88</v>
          </cell>
          <cell r="AZ16">
            <v>89</v>
          </cell>
          <cell r="BA16">
            <v>87.999999999999986</v>
          </cell>
          <cell r="BB16">
            <v>89</v>
          </cell>
          <cell r="BC16">
            <v>82</v>
          </cell>
          <cell r="BD16">
            <v>91</v>
          </cell>
        </row>
      </sheetData>
      <sheetData sheetId="20">
        <row r="2">
          <cell r="AZ2">
            <v>0.03</v>
          </cell>
        </row>
        <row r="3">
          <cell r="AZ3">
            <v>0</v>
          </cell>
        </row>
        <row r="4">
          <cell r="AZ4">
            <v>0.02</v>
          </cell>
        </row>
        <row r="7">
          <cell r="AZ7">
            <v>0.93</v>
          </cell>
        </row>
        <row r="8">
          <cell r="AZ8">
            <v>0.01</v>
          </cell>
        </row>
        <row r="15">
          <cell r="AX15">
            <v>96.000000000000014</v>
          </cell>
          <cell r="AY15">
            <v>89.999999999999986</v>
          </cell>
          <cell r="AZ15">
            <v>96.000000000000014</v>
          </cell>
          <cell r="BA15">
            <v>96</v>
          </cell>
          <cell r="BB15">
            <v>92</v>
          </cell>
          <cell r="BC15">
            <v>95</v>
          </cell>
          <cell r="BD15">
            <v>95</v>
          </cell>
        </row>
      </sheetData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£PSCR (2)"/>
      <sheetName val="£TME (2)"/>
      <sheetName val="PSCR (2)"/>
      <sheetName val="TME (2)"/>
      <sheetName val="£PSNB (2)"/>
      <sheetName val="PSNB (2)"/>
      <sheetName val="CACB (2)"/>
      <sheetName val="CAPSNB (2)"/>
      <sheetName val="PSND (2)"/>
      <sheetName val="NGDP (2)"/>
      <sheetName val="UKGDP (2)"/>
      <sheetName val="Index"/>
      <sheetName val="Contents"/>
      <sheetName val="Aggregates"/>
      <sheetName val="£PSNB"/>
      <sheetName val="PSNB"/>
      <sheetName val="£PSCR"/>
      <sheetName val="PSCR"/>
      <sheetName val="£TME"/>
      <sheetName val="TME"/>
      <sheetName val="CACB"/>
      <sheetName val="Chart2"/>
      <sheetName val="Chart1"/>
      <sheetName val="CAPSNB"/>
      <sheetName val="PSNFL"/>
      <sheetName val="PSND"/>
      <sheetName val="PSNI"/>
      <sheetName val="£CB"/>
      <sheetName val="CB"/>
      <sheetName val="Receipts"/>
      <sheetName val="IT"/>
      <sheetName val="SA IT"/>
      <sheetName val="PAYE IT"/>
      <sheetName val="NICS"/>
      <sheetName val="HSC"/>
      <sheetName val="VAT"/>
      <sheetName val="Alcohol"/>
      <sheetName val="Onshore"/>
      <sheetName val="Oilandgas"/>
      <sheetName val="Fuel"/>
      <sheetName val="Business"/>
      <sheetName val="CGT"/>
      <sheetName val="IHT"/>
      <sheetName val="PTT"/>
      <sheetName val="Shares"/>
      <sheetName val="Tobacco"/>
      <sheetName val="Spirits"/>
      <sheetName val="Wine"/>
      <sheetName val="Beercider"/>
      <sheetName val="VED"/>
      <sheetName val="VATrefunds"/>
      <sheetName val="Council"/>
      <sheetName val="APD"/>
      <sheetName val="IPT"/>
      <sheetName val="CCL"/>
      <sheetName val="Bank"/>
      <sheetName val="Licence"/>
      <sheetName val="ETS"/>
      <sheetName val="EGL"/>
      <sheetName val="CBAM"/>
      <sheetName val="Vapes"/>
      <sheetName val="Scotland"/>
      <sheetName val="Spending"/>
      <sheetName val="RDEL"/>
      <sheetName val="CDEL"/>
      <sheetName val="Total welfare"/>
      <sheetName val="Welfare in"/>
      <sheetName val="Welfare out"/>
      <sheetName val="LASFEcurr"/>
      <sheetName val="LASFEcap"/>
      <sheetName val="PSDebtint"/>
      <sheetName val="Debtint"/>
      <sheetName val="APF"/>
      <sheetName val="Netdebtint"/>
      <sheetName val="PCDebtint"/>
      <sheetName val="Pensions"/>
      <sheetName val="EU"/>
      <sheetName val="PCcapex"/>
      <sheetName val="NRcap"/>
      <sheetName val="NRcur"/>
      <sheetName val="Ctaxcreds"/>
      <sheetName val="BBCcur"/>
      <sheetName val="Lotterycur"/>
      <sheetName val="Lotterycap"/>
      <sheetName val="Studentloans"/>
      <sheetName val="Fundedpensions"/>
      <sheetName val="GGIpensions"/>
      <sheetName val="Taxlit"/>
      <sheetName val="GGdepreciation"/>
      <sheetName val="R&amp;D"/>
      <sheetName val="SUME"/>
      <sheetName val="Economy"/>
      <sheetName val="NGDP"/>
      <sheetName val="UKGDP"/>
      <sheetName val="Outputgap"/>
      <sheetName val="Demand"/>
      <sheetName val="HHconsumption"/>
      <sheetName val="Govconsumption"/>
      <sheetName val="Fixedinv"/>
      <sheetName val="Businessinv"/>
      <sheetName val="Empl"/>
      <sheetName val="Govtinv"/>
      <sheetName val="Privatedwellingsinv"/>
      <sheetName val="Inventories"/>
      <sheetName val="Exports"/>
      <sheetName val="Imports"/>
      <sheetName val="Currentacc£"/>
      <sheetName val="Currentacc%GDP"/>
      <sheetName val="CPI"/>
      <sheetName val="RPI"/>
      <sheetName val="Deflator"/>
      <sheetName val="Prod"/>
      <sheetName val="Wages&amp;Salaries"/>
      <sheetName val="Earnings"/>
      <sheetName val="Unemplrate"/>
      <sheetName val="RHHDI"/>
      <sheetName val="Savingratio"/>
      <sheetName val="Houseprices"/>
      <sheetName val="HHnetworthtoincome"/>
      <sheetName val="WorldGDP"/>
      <sheetName val="Worldtrade"/>
      <sheetName val="EuroGDP"/>
      <sheetName val="UKexportmarkets"/>
      <sheetName val="Non-oilPNFCprofits"/>
      <sheetName val="Oilprices($)"/>
      <sheetName val="Oilprices(£)"/>
      <sheetName val="Gas Prices"/>
      <sheetName val="Equityprices"/>
      <sheetName val="Shorttermrates"/>
      <sheetName val="Gilts"/>
      <sheetName val="£€rate"/>
      <sheetName val="Nomconsumerspending"/>
      <sheetName val="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8">
          <cell r="X58" t="str">
            <v>2022-23</v>
          </cell>
          <cell r="Y58" t="str">
            <v>2023-24</v>
          </cell>
          <cell r="Z58" t="str">
            <v>2024-25</v>
          </cell>
          <cell r="AA58" t="str">
            <v>2025-26</v>
          </cell>
          <cell r="AB58" t="str">
            <v>2026-27</v>
          </cell>
          <cell r="AC58" t="str">
            <v>2027-28</v>
          </cell>
          <cell r="AD58" t="str">
            <v>2028-29</v>
          </cell>
          <cell r="AE58" t="str">
            <v>2029-30</v>
          </cell>
          <cell r="AF58" t="str">
            <v>2030-31</v>
          </cell>
        </row>
        <row r="59">
          <cell r="W59" t="str">
            <v>Pre-election plans of last Conservative govt. (March 2024)</v>
          </cell>
          <cell r="X59">
            <v>5.9110168501402978</v>
          </cell>
          <cell r="Y59">
            <v>4.2739727675824541</v>
          </cell>
          <cell r="Z59">
            <v>2.7089205252899746</v>
          </cell>
          <cell r="AA59">
            <v>2.2772478865552648</v>
          </cell>
          <cell r="AB59">
            <v>2.1042322329727763</v>
          </cell>
          <cell r="AC59">
            <v>1.5737042417568636</v>
          </cell>
          <cell r="AD59">
            <v>1.2176610326856683</v>
          </cell>
        </row>
        <row r="60">
          <cell r="W60" t="str">
            <v>Labour's first Budget (Oct 2024)</v>
          </cell>
          <cell r="X60">
            <v>5.9110168501402978</v>
          </cell>
          <cell r="Y60">
            <v>4.6934671627891857</v>
          </cell>
          <cell r="Z60">
            <v>4.4142162341190234</v>
          </cell>
          <cell r="AA60">
            <v>3.6541420544460168</v>
          </cell>
          <cell r="AB60">
            <v>3.1201695377528775</v>
          </cell>
          <cell r="AC60">
            <v>2.4628452632288251</v>
          </cell>
          <cell r="AD60">
            <v>2.2900162603203142</v>
          </cell>
          <cell r="AE60">
            <v>2.1011109824743333</v>
          </cell>
        </row>
        <row r="61">
          <cell r="W61" t="str">
            <v>Latest plans (Nov 2025 Budget)</v>
          </cell>
          <cell r="X61">
            <v>5.6954075556743557</v>
          </cell>
          <cell r="Y61">
            <v>5.0378359188117026</v>
          </cell>
          <cell r="Z61">
            <v>5.0133049194156678</v>
          </cell>
          <cell r="AA61">
            <v>4.1787900508652225</v>
          </cell>
          <cell r="AB61">
            <v>3.2288256371442614</v>
          </cell>
          <cell r="AC61">
            <v>2.8416595686424446</v>
          </cell>
          <cell r="AD61">
            <v>2.5005556056916292</v>
          </cell>
          <cell r="AE61">
            <v>1.9179287006228543</v>
          </cell>
          <cell r="AF61">
            <v>1.847596510032449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C86F-4BCF-43C3-A1B5-72A3FFB26102}">
  <dimension ref="A1:BD55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 activeCell="B15" sqref="B15"/>
    </sheetView>
  </sheetViews>
  <sheetFormatPr defaultRowHeight="15"/>
  <cols>
    <col min="1" max="1" width="30" customWidth="1"/>
    <col min="2" max="52" width="14" customWidth="1"/>
  </cols>
  <sheetData>
    <row r="1" spans="1:56" ht="15.75">
      <c r="A1" s="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</row>
    <row r="2" spans="1:56" ht="15.75">
      <c r="A2" s="1" t="s">
        <v>67</v>
      </c>
      <c r="B2" s="1">
        <v>0.22</v>
      </c>
      <c r="C2" s="1">
        <v>0.22</v>
      </c>
      <c r="D2" s="1">
        <v>0.22</v>
      </c>
      <c r="E2" s="1">
        <v>0.21</v>
      </c>
      <c r="F2" s="1">
        <v>0.21</v>
      </c>
      <c r="G2" s="1">
        <v>0.21</v>
      </c>
      <c r="H2" s="1">
        <v>0.22</v>
      </c>
      <c r="I2" s="1">
        <v>0.21</v>
      </c>
      <c r="J2" s="1">
        <v>0.22</v>
      </c>
      <c r="K2" s="1">
        <v>0.22</v>
      </c>
      <c r="L2" s="1">
        <v>0.22</v>
      </c>
      <c r="M2" s="1">
        <v>0.21</v>
      </c>
      <c r="N2" s="1">
        <v>0.22</v>
      </c>
      <c r="O2" s="1">
        <v>0.21</v>
      </c>
      <c r="P2" s="1">
        <v>0.2</v>
      </c>
      <c r="Q2" s="1">
        <v>0.2</v>
      </c>
      <c r="R2" s="1">
        <v>0.17</v>
      </c>
      <c r="S2" s="1">
        <v>0.18</v>
      </c>
      <c r="T2" s="1">
        <v>0.16</v>
      </c>
      <c r="U2" s="1">
        <v>0.19</v>
      </c>
      <c r="V2" s="1">
        <v>0.18</v>
      </c>
      <c r="W2" s="1">
        <v>0.17</v>
      </c>
      <c r="X2" s="1">
        <v>0.17</v>
      </c>
      <c r="Y2" s="1">
        <v>0.17</v>
      </c>
      <c r="Z2" s="1">
        <v>0.17</v>
      </c>
      <c r="AA2" s="1">
        <v>0.16</v>
      </c>
      <c r="AB2" s="1">
        <v>0.17</v>
      </c>
      <c r="AC2" s="1">
        <v>0.17</v>
      </c>
      <c r="AD2" s="1">
        <v>0.17</v>
      </c>
      <c r="AE2" s="1">
        <v>0.17</v>
      </c>
      <c r="AF2" s="1">
        <v>0.17</v>
      </c>
      <c r="AG2" s="1">
        <v>0.18</v>
      </c>
      <c r="AH2" s="1">
        <v>0.17</v>
      </c>
      <c r="AI2" s="1">
        <v>0.17</v>
      </c>
      <c r="AJ2" s="1">
        <v>0.17</v>
      </c>
      <c r="AK2" s="1">
        <v>0.17</v>
      </c>
      <c r="AL2" s="1">
        <v>0.16</v>
      </c>
      <c r="AM2" s="1">
        <v>0.16</v>
      </c>
      <c r="AN2" s="1">
        <v>0.17</v>
      </c>
      <c r="AO2" s="1">
        <v>0.17</v>
      </c>
      <c r="AP2" s="1">
        <v>0.17</v>
      </c>
      <c r="AQ2" s="1">
        <v>0.17</v>
      </c>
      <c r="AR2" s="1">
        <v>0.16</v>
      </c>
      <c r="AS2" s="1">
        <v>0.18</v>
      </c>
      <c r="AT2" s="1">
        <v>0.17</v>
      </c>
      <c r="AU2" s="1">
        <v>0.18</v>
      </c>
      <c r="AV2" s="1">
        <v>0.19</v>
      </c>
      <c r="AW2" s="1">
        <v>0.18</v>
      </c>
      <c r="AX2" s="1">
        <v>0.17</v>
      </c>
      <c r="AY2" s="1">
        <v>0.19</v>
      </c>
      <c r="AZ2" s="1">
        <v>0.19</v>
      </c>
      <c r="BA2" s="1">
        <v>0.2</v>
      </c>
      <c r="BB2" s="1">
        <v>0.18</v>
      </c>
      <c r="BC2" s="1">
        <v>0.17</v>
      </c>
      <c r="BD2" s="1">
        <v>0.18</v>
      </c>
    </row>
    <row r="3" spans="1:56" ht="15.75">
      <c r="A3" s="1" t="s">
        <v>68</v>
      </c>
      <c r="B3" s="1">
        <v>0.26</v>
      </c>
      <c r="C3" s="1">
        <v>0.26</v>
      </c>
      <c r="D3" s="1">
        <v>0.27</v>
      </c>
      <c r="E3" s="1">
        <v>0.24</v>
      </c>
      <c r="F3" s="1">
        <v>0.25</v>
      </c>
      <c r="G3" s="1">
        <v>0.25</v>
      </c>
      <c r="H3" s="1">
        <v>0.24</v>
      </c>
      <c r="I3" s="1">
        <v>0.26</v>
      </c>
      <c r="J3" s="1">
        <v>0.24</v>
      </c>
      <c r="K3" s="1">
        <v>0.26</v>
      </c>
      <c r="L3" s="1">
        <v>0.23</v>
      </c>
      <c r="M3" s="1">
        <v>0.24</v>
      </c>
      <c r="N3" s="1">
        <v>0.24</v>
      </c>
      <c r="O3" s="1">
        <v>0.24</v>
      </c>
      <c r="P3" s="1">
        <v>0.23</v>
      </c>
      <c r="Q3" s="1">
        <v>0.23</v>
      </c>
      <c r="R3" s="1">
        <v>0.22</v>
      </c>
      <c r="S3" s="1">
        <v>0.23</v>
      </c>
      <c r="T3" s="1">
        <v>0.22</v>
      </c>
      <c r="U3" s="1">
        <v>0.21</v>
      </c>
      <c r="V3" s="1">
        <v>0.22</v>
      </c>
      <c r="W3" s="1">
        <v>0.23</v>
      </c>
      <c r="X3" s="1">
        <v>0.24</v>
      </c>
      <c r="Y3" s="1">
        <v>0.23</v>
      </c>
      <c r="Z3" s="1">
        <v>0.24</v>
      </c>
      <c r="AA3" s="1">
        <v>0.24</v>
      </c>
      <c r="AB3" s="1">
        <v>0.22</v>
      </c>
      <c r="AC3" s="1">
        <v>0.23</v>
      </c>
      <c r="AD3" s="1">
        <v>0.22</v>
      </c>
      <c r="AE3" s="1">
        <v>0.21</v>
      </c>
      <c r="AF3" s="1">
        <v>0.21</v>
      </c>
      <c r="AG3" s="1">
        <v>0.21</v>
      </c>
      <c r="AH3" s="1">
        <v>0.2</v>
      </c>
      <c r="AI3" s="1">
        <v>0.2</v>
      </c>
      <c r="AJ3" s="1">
        <v>0.22</v>
      </c>
      <c r="AK3" s="1">
        <v>0.2</v>
      </c>
      <c r="AL3" s="1">
        <v>0.21</v>
      </c>
      <c r="AM3" s="1">
        <v>0.22</v>
      </c>
      <c r="AN3" s="1">
        <v>0.2</v>
      </c>
      <c r="AO3" s="1">
        <v>0.2</v>
      </c>
      <c r="AP3" s="1">
        <v>0.2</v>
      </c>
      <c r="AQ3" s="1">
        <v>0.17</v>
      </c>
      <c r="AR3" s="1">
        <v>0.2</v>
      </c>
      <c r="AS3" s="1">
        <v>0.19</v>
      </c>
      <c r="AT3" s="1">
        <v>0.19</v>
      </c>
      <c r="AU3" s="1">
        <v>0.19</v>
      </c>
      <c r="AV3" s="1">
        <v>0.19</v>
      </c>
      <c r="AW3" s="1">
        <v>0.19</v>
      </c>
      <c r="AX3" s="1">
        <v>0.18</v>
      </c>
      <c r="AY3" s="1">
        <v>0.2</v>
      </c>
      <c r="AZ3" s="1">
        <v>0.17</v>
      </c>
      <c r="BA3" s="1">
        <v>0.19</v>
      </c>
      <c r="BB3" s="1">
        <v>0.19</v>
      </c>
      <c r="BC3" s="1">
        <v>0.21</v>
      </c>
      <c r="BD3" s="1">
        <v>0.19</v>
      </c>
    </row>
    <row r="4" spans="1:56" ht="15.75">
      <c r="A4" s="1" t="s">
        <v>69</v>
      </c>
      <c r="B4" s="1">
        <v>0.14000000000000001</v>
      </c>
      <c r="C4" s="1">
        <v>0.14000000000000001</v>
      </c>
      <c r="D4" s="1">
        <v>0.14000000000000001</v>
      </c>
      <c r="E4" s="1">
        <v>0.14000000000000001</v>
      </c>
      <c r="F4" s="1">
        <v>0.14000000000000001</v>
      </c>
      <c r="G4" s="1">
        <v>0.14000000000000001</v>
      </c>
      <c r="H4" s="1">
        <v>0.16</v>
      </c>
      <c r="I4" s="1">
        <v>0.14000000000000001</v>
      </c>
      <c r="J4" s="1">
        <v>0.15</v>
      </c>
      <c r="K4" s="1">
        <v>0.14000000000000001</v>
      </c>
      <c r="L4" s="1">
        <v>0.16</v>
      </c>
      <c r="M4" s="1">
        <v>0.14000000000000001</v>
      </c>
      <c r="N4" s="1">
        <v>0.17</v>
      </c>
      <c r="O4" s="1">
        <v>0.14000000000000001</v>
      </c>
      <c r="P4" s="1">
        <v>0.16</v>
      </c>
      <c r="Q4" s="1">
        <v>0.15</v>
      </c>
      <c r="R4" s="1">
        <v>0.16</v>
      </c>
      <c r="S4" s="1">
        <v>0.16</v>
      </c>
      <c r="T4" s="1">
        <v>0.17</v>
      </c>
      <c r="U4" s="1">
        <v>0.15</v>
      </c>
      <c r="V4" s="1">
        <v>0.17</v>
      </c>
      <c r="W4" s="1">
        <v>0.15</v>
      </c>
      <c r="X4" s="1">
        <v>0.15</v>
      </c>
      <c r="Y4" s="1">
        <v>0.16</v>
      </c>
      <c r="Z4" s="1">
        <v>0.16</v>
      </c>
      <c r="AA4" s="1">
        <v>0.15</v>
      </c>
      <c r="AB4" s="1">
        <v>0.16</v>
      </c>
      <c r="AC4" s="1">
        <v>0.15</v>
      </c>
      <c r="AD4" s="1">
        <v>0.14000000000000001</v>
      </c>
      <c r="AE4" s="1">
        <v>0.15</v>
      </c>
      <c r="AF4" s="1">
        <v>0.16</v>
      </c>
      <c r="AG4" s="1">
        <v>0.15</v>
      </c>
      <c r="AH4" s="1">
        <v>0.16</v>
      </c>
      <c r="AI4" s="1">
        <v>0.15</v>
      </c>
      <c r="AJ4" s="1">
        <v>0.15</v>
      </c>
      <c r="AK4" s="1">
        <v>0.15</v>
      </c>
      <c r="AL4" s="1">
        <v>0.14000000000000001</v>
      </c>
      <c r="AM4" s="1">
        <v>0.15</v>
      </c>
      <c r="AN4" s="1">
        <v>0.17</v>
      </c>
      <c r="AO4" s="1">
        <v>0.16</v>
      </c>
      <c r="AP4" s="1">
        <v>0.15</v>
      </c>
      <c r="AQ4" s="1">
        <v>0.15</v>
      </c>
      <c r="AR4" s="1">
        <v>0.15</v>
      </c>
      <c r="AS4" s="1">
        <v>0.14000000000000001</v>
      </c>
      <c r="AT4" s="1">
        <v>0.13</v>
      </c>
      <c r="AU4" s="1">
        <v>0.15</v>
      </c>
      <c r="AV4" s="1">
        <v>0.14000000000000001</v>
      </c>
      <c r="AW4" s="1">
        <v>0.14000000000000001</v>
      </c>
      <c r="AX4" s="1">
        <v>0.14000000000000001</v>
      </c>
      <c r="AY4" s="1">
        <v>0.15</v>
      </c>
      <c r="AZ4" s="1">
        <v>0.16</v>
      </c>
      <c r="BA4" s="1">
        <v>0.16</v>
      </c>
      <c r="BB4" s="1">
        <v>0.14000000000000001</v>
      </c>
      <c r="BC4" s="1">
        <v>0.14000000000000001</v>
      </c>
      <c r="BD4" s="1">
        <v>0.14000000000000001</v>
      </c>
    </row>
    <row r="5" spans="1:56" ht="15.75">
      <c r="A5" s="1" t="s">
        <v>70</v>
      </c>
      <c r="B5" s="1">
        <v>0.03</v>
      </c>
      <c r="C5" s="1">
        <v>0.03</v>
      </c>
      <c r="D5" s="1">
        <v>0.03</v>
      </c>
      <c r="E5" s="1">
        <v>0.03</v>
      </c>
      <c r="F5" s="1">
        <v>0.03</v>
      </c>
      <c r="G5" s="1">
        <v>0.03</v>
      </c>
      <c r="H5" s="1">
        <v>0.03</v>
      </c>
      <c r="I5" s="1">
        <v>0.03</v>
      </c>
      <c r="J5" s="1">
        <v>0.03</v>
      </c>
      <c r="K5" s="1">
        <v>0.03</v>
      </c>
      <c r="L5" s="1">
        <v>0.03</v>
      </c>
      <c r="M5" s="1">
        <v>0.03</v>
      </c>
      <c r="N5" s="1">
        <v>0.03</v>
      </c>
      <c r="O5" s="1">
        <v>0.03</v>
      </c>
      <c r="P5" s="1">
        <v>0.03</v>
      </c>
      <c r="Q5" s="1">
        <v>0.03</v>
      </c>
      <c r="R5" s="1">
        <v>0.03</v>
      </c>
      <c r="S5" s="1">
        <v>0.03</v>
      </c>
      <c r="T5" s="1">
        <v>0.02</v>
      </c>
      <c r="U5" s="1">
        <v>0.02</v>
      </c>
      <c r="V5" s="1">
        <v>0.03</v>
      </c>
      <c r="W5" s="1">
        <v>0.03</v>
      </c>
      <c r="X5" s="1">
        <v>0.04</v>
      </c>
      <c r="Y5" s="1">
        <v>0.03</v>
      </c>
      <c r="Z5" s="1">
        <v>0.03</v>
      </c>
      <c r="AA5" s="1">
        <v>0.04</v>
      </c>
      <c r="AB5" s="1">
        <v>0.03</v>
      </c>
      <c r="AC5" s="1">
        <v>0.03</v>
      </c>
      <c r="AD5" s="1">
        <v>0.03</v>
      </c>
      <c r="AE5" s="1">
        <v>0.03</v>
      </c>
      <c r="AF5" s="1">
        <v>0.03</v>
      </c>
      <c r="AG5" s="1">
        <v>0.03</v>
      </c>
      <c r="AH5" s="1">
        <v>0.03</v>
      </c>
      <c r="AI5" s="1">
        <v>0.03</v>
      </c>
      <c r="AJ5" s="1">
        <v>0.03</v>
      </c>
      <c r="AK5" s="1">
        <v>0.03</v>
      </c>
      <c r="AL5" s="1">
        <v>0.03</v>
      </c>
      <c r="AM5" s="1">
        <v>0.03</v>
      </c>
      <c r="AN5" s="1">
        <v>0.04</v>
      </c>
      <c r="AO5" s="1">
        <v>0.03</v>
      </c>
      <c r="AP5" s="1">
        <v>0.04</v>
      </c>
      <c r="AQ5" s="1">
        <v>0.03</v>
      </c>
      <c r="AR5" s="1">
        <v>0.03</v>
      </c>
      <c r="AS5" s="1">
        <v>0.03</v>
      </c>
      <c r="AT5" s="1">
        <v>0.03</v>
      </c>
      <c r="AU5" s="1">
        <v>0.03</v>
      </c>
      <c r="AV5" s="1">
        <v>0.03</v>
      </c>
      <c r="AW5" s="1">
        <v>0.03</v>
      </c>
      <c r="AX5" s="1">
        <v>0.04</v>
      </c>
      <c r="AY5" s="1">
        <v>0.03</v>
      </c>
      <c r="AZ5" s="1">
        <v>0.04</v>
      </c>
      <c r="BA5" s="1">
        <v>0.04</v>
      </c>
      <c r="BB5" s="1">
        <v>0.03</v>
      </c>
      <c r="BC5" s="1">
        <v>0.03</v>
      </c>
      <c r="BD5" s="1">
        <v>0.03</v>
      </c>
    </row>
    <row r="6" spans="1:56" ht="15.75">
      <c r="A6" s="1" t="s">
        <v>71</v>
      </c>
      <c r="B6" s="1">
        <v>0.01</v>
      </c>
      <c r="C6" s="1">
        <v>0.01</v>
      </c>
      <c r="D6" s="1">
        <v>0.01</v>
      </c>
      <c r="E6" s="1">
        <v>0.01</v>
      </c>
      <c r="F6" s="1">
        <v>0.01</v>
      </c>
      <c r="G6" s="1">
        <v>0.01</v>
      </c>
      <c r="H6" s="1">
        <v>0.01</v>
      </c>
      <c r="I6" s="1">
        <v>0.01</v>
      </c>
      <c r="J6" s="1">
        <v>0.01</v>
      </c>
      <c r="K6" s="1">
        <v>0.01</v>
      </c>
      <c r="L6" s="1">
        <v>0.01</v>
      </c>
      <c r="M6" s="1">
        <v>0.01</v>
      </c>
      <c r="N6" s="1">
        <v>0.01</v>
      </c>
      <c r="O6" s="1">
        <v>0.01</v>
      </c>
      <c r="P6" s="1">
        <v>0.01</v>
      </c>
      <c r="Q6" s="1">
        <v>0.01</v>
      </c>
      <c r="R6" s="1">
        <v>0.01</v>
      </c>
      <c r="S6" s="1">
        <v>0.01</v>
      </c>
      <c r="T6" s="1">
        <v>0.01</v>
      </c>
      <c r="U6" s="1">
        <v>0.01</v>
      </c>
      <c r="V6" s="1">
        <v>0.01</v>
      </c>
      <c r="W6" s="1">
        <v>0.02</v>
      </c>
      <c r="X6" s="1">
        <v>0.01</v>
      </c>
      <c r="Y6" s="1">
        <v>0.01</v>
      </c>
      <c r="Z6" s="1">
        <v>0.01</v>
      </c>
      <c r="AA6" s="1">
        <v>0.01</v>
      </c>
      <c r="AB6" s="1">
        <v>0.01</v>
      </c>
      <c r="AC6" s="1">
        <v>0.01</v>
      </c>
      <c r="AD6" s="1">
        <v>0.01</v>
      </c>
      <c r="AE6" s="1">
        <v>0.01</v>
      </c>
      <c r="AF6" s="1">
        <v>0.01</v>
      </c>
      <c r="AG6" s="1">
        <v>0.01</v>
      </c>
      <c r="AH6" s="1">
        <v>0.01</v>
      </c>
      <c r="AI6" s="1">
        <v>0.01</v>
      </c>
      <c r="AJ6" s="1">
        <v>0.01</v>
      </c>
      <c r="AK6" s="1">
        <v>0.01</v>
      </c>
      <c r="AL6" s="1">
        <v>0.01</v>
      </c>
      <c r="AM6" s="1">
        <v>0.01</v>
      </c>
      <c r="AN6" s="1">
        <v>0.01</v>
      </c>
      <c r="AO6" s="1">
        <v>0.01</v>
      </c>
      <c r="AP6" s="1">
        <v>0.01</v>
      </c>
      <c r="AQ6" s="1">
        <v>0.01</v>
      </c>
      <c r="AR6" s="1">
        <v>0.01</v>
      </c>
      <c r="AS6" s="1">
        <v>0.02</v>
      </c>
      <c r="AT6" s="1">
        <v>0.02</v>
      </c>
      <c r="AU6" s="1">
        <v>0.01</v>
      </c>
      <c r="AV6" s="1">
        <v>0.01</v>
      </c>
      <c r="AW6" s="1">
        <v>0.02</v>
      </c>
      <c r="AX6" s="1">
        <v>0.01</v>
      </c>
      <c r="AY6" s="1">
        <v>0.01</v>
      </c>
      <c r="AZ6" s="1">
        <v>0.01</v>
      </c>
      <c r="BA6" s="1">
        <v>0.01</v>
      </c>
      <c r="BB6" s="1">
        <v>0.01</v>
      </c>
      <c r="BC6" s="1">
        <v>0.01</v>
      </c>
      <c r="BD6" s="1">
        <v>0.02</v>
      </c>
    </row>
    <row r="7" spans="1:56" ht="15.75">
      <c r="A7" s="1" t="s">
        <v>72</v>
      </c>
      <c r="B7" s="1">
        <v>0.25</v>
      </c>
      <c r="C7" s="1">
        <v>0.24</v>
      </c>
      <c r="D7" s="1">
        <v>0.23</v>
      </c>
      <c r="E7" s="1">
        <v>0.25</v>
      </c>
      <c r="F7" s="1">
        <v>0.26</v>
      </c>
      <c r="G7" s="1">
        <v>0.27</v>
      </c>
      <c r="H7" s="1">
        <v>0.25</v>
      </c>
      <c r="I7" s="1">
        <v>0.25</v>
      </c>
      <c r="J7" s="1">
        <v>0.23</v>
      </c>
      <c r="K7" s="1">
        <v>0.24</v>
      </c>
      <c r="L7" s="1">
        <v>0.22</v>
      </c>
      <c r="M7" s="1">
        <v>0.23</v>
      </c>
      <c r="N7" s="1">
        <v>0.23</v>
      </c>
      <c r="O7" s="1">
        <v>0.23</v>
      </c>
      <c r="P7" s="1">
        <v>0.24</v>
      </c>
      <c r="Q7" s="1">
        <v>0.26</v>
      </c>
      <c r="R7" s="1">
        <v>0.28999999999999998</v>
      </c>
      <c r="S7" s="1">
        <v>0.28000000000000003</v>
      </c>
      <c r="T7" s="1">
        <v>0.28999999999999998</v>
      </c>
      <c r="U7" s="1">
        <v>0.28999999999999998</v>
      </c>
      <c r="V7" s="1">
        <v>0.28000000000000003</v>
      </c>
      <c r="W7" s="1">
        <v>0.28999999999999998</v>
      </c>
      <c r="X7" s="1">
        <v>0.27</v>
      </c>
      <c r="Y7" s="1">
        <v>0.27</v>
      </c>
      <c r="Z7" s="1">
        <v>0.26</v>
      </c>
      <c r="AA7" s="1">
        <v>0.26</v>
      </c>
      <c r="AB7" s="1">
        <v>0.28000000000000003</v>
      </c>
      <c r="AC7" s="1">
        <v>0.27</v>
      </c>
      <c r="AD7" s="1">
        <v>0.28999999999999998</v>
      </c>
      <c r="AE7" s="1">
        <v>0.27</v>
      </c>
      <c r="AF7" s="1">
        <v>0.28000000000000003</v>
      </c>
      <c r="AG7" s="1">
        <v>0.28000000000000003</v>
      </c>
      <c r="AH7" s="1">
        <v>0.28000000000000003</v>
      </c>
      <c r="AI7" s="1">
        <v>0.28999999999999998</v>
      </c>
      <c r="AJ7" s="1">
        <v>0.27</v>
      </c>
      <c r="AK7" s="1">
        <v>0.28999999999999998</v>
      </c>
      <c r="AL7" s="1">
        <v>0.28999999999999998</v>
      </c>
      <c r="AM7" s="1">
        <v>0.28999999999999998</v>
      </c>
      <c r="AN7" s="1">
        <v>0.27</v>
      </c>
      <c r="AO7" s="1">
        <v>0.27</v>
      </c>
      <c r="AP7" s="1">
        <v>0.26</v>
      </c>
      <c r="AQ7" s="1">
        <v>0.27</v>
      </c>
      <c r="AR7" s="1">
        <v>0.27</v>
      </c>
      <c r="AS7" s="1">
        <v>0.26</v>
      </c>
      <c r="AT7" s="1">
        <v>0.27</v>
      </c>
      <c r="AU7" s="1">
        <v>0.25</v>
      </c>
      <c r="AV7" s="1">
        <v>0.26</v>
      </c>
      <c r="AW7" s="1">
        <v>0.27</v>
      </c>
      <c r="AX7" s="1">
        <v>0.28000000000000003</v>
      </c>
      <c r="AY7" s="1">
        <v>0.25</v>
      </c>
      <c r="AZ7" s="1">
        <v>0.26</v>
      </c>
      <c r="BA7" s="1">
        <v>0.24</v>
      </c>
      <c r="BB7" s="1">
        <v>0.24</v>
      </c>
      <c r="BC7" s="1">
        <v>0.25</v>
      </c>
      <c r="BD7" s="1">
        <v>0.26</v>
      </c>
    </row>
    <row r="8" spans="1:56" ht="15.75">
      <c r="A8" s="1" t="s">
        <v>73</v>
      </c>
      <c r="B8" s="1">
        <v>0.08</v>
      </c>
      <c r="C8" s="1">
        <v>0.09</v>
      </c>
      <c r="D8" s="1">
        <v>0.09</v>
      </c>
      <c r="E8" s="1">
        <v>0.09</v>
      </c>
      <c r="F8" s="1">
        <v>0.09</v>
      </c>
      <c r="G8" s="1">
        <v>0.09</v>
      </c>
      <c r="H8" s="1">
        <v>0.08</v>
      </c>
      <c r="I8" s="1">
        <v>0.09</v>
      </c>
      <c r="J8" s="1">
        <v>0.09</v>
      </c>
      <c r="K8" s="1">
        <v>0.09</v>
      </c>
      <c r="L8" s="1">
        <v>0.1</v>
      </c>
      <c r="M8" s="1">
        <v>0.11</v>
      </c>
      <c r="N8" s="1">
        <v>0.09</v>
      </c>
      <c r="O8" s="1">
        <v>0.11</v>
      </c>
      <c r="P8" s="1">
        <v>0.1</v>
      </c>
      <c r="Q8" s="1">
        <v>0.09</v>
      </c>
      <c r="R8" s="1">
        <v>0.1</v>
      </c>
      <c r="S8" s="1">
        <v>0.09</v>
      </c>
      <c r="T8" s="1">
        <v>0.1</v>
      </c>
      <c r="U8" s="1">
        <v>0.11</v>
      </c>
      <c r="V8" s="1">
        <v>0.09</v>
      </c>
      <c r="W8" s="1">
        <v>0.1</v>
      </c>
      <c r="X8" s="1">
        <v>0.1</v>
      </c>
      <c r="Y8" s="1">
        <v>0.1</v>
      </c>
      <c r="Z8" s="1">
        <v>0.1</v>
      </c>
      <c r="AA8" s="1">
        <v>0.11</v>
      </c>
      <c r="AB8" s="1">
        <v>0.12</v>
      </c>
      <c r="AC8" s="1">
        <v>0.11</v>
      </c>
      <c r="AD8" s="1">
        <v>0.11</v>
      </c>
      <c r="AE8" s="1">
        <v>0.11</v>
      </c>
      <c r="AF8" s="1">
        <v>0.1</v>
      </c>
      <c r="AG8" s="1">
        <v>0.1</v>
      </c>
      <c r="AH8" s="1">
        <v>0.11</v>
      </c>
      <c r="AI8" s="1">
        <v>0.1</v>
      </c>
      <c r="AJ8" s="1">
        <v>0.12</v>
      </c>
      <c r="AK8" s="1">
        <v>0.1</v>
      </c>
      <c r="AL8" s="1">
        <v>0.12</v>
      </c>
      <c r="AM8" s="1">
        <v>0.11</v>
      </c>
      <c r="AN8" s="1">
        <v>0.12</v>
      </c>
      <c r="AO8" s="1">
        <v>0.13</v>
      </c>
      <c r="AP8" s="1">
        <v>0.15</v>
      </c>
      <c r="AQ8" s="1">
        <v>0.16</v>
      </c>
      <c r="AR8" s="1">
        <v>0.16</v>
      </c>
      <c r="AS8" s="1">
        <v>0.15</v>
      </c>
      <c r="AT8" s="1">
        <v>0.17</v>
      </c>
      <c r="AU8" s="1">
        <v>0.16</v>
      </c>
      <c r="AV8" s="1">
        <v>0.16</v>
      </c>
      <c r="AW8" s="1">
        <v>0.15</v>
      </c>
      <c r="AX8" s="1">
        <v>0.17</v>
      </c>
      <c r="AY8" s="1">
        <v>0.15</v>
      </c>
      <c r="AZ8" s="1">
        <v>0.15</v>
      </c>
      <c r="BA8" s="1">
        <v>0.14000000000000001</v>
      </c>
      <c r="BB8" s="1">
        <v>0.17</v>
      </c>
      <c r="BC8" s="1">
        <v>0.16</v>
      </c>
      <c r="BD8" s="1">
        <v>0.17</v>
      </c>
    </row>
    <row r="9" spans="1:56" ht="15.75">
      <c r="A9" s="1" t="s">
        <v>74</v>
      </c>
      <c r="B9" s="1">
        <v>0.02</v>
      </c>
      <c r="C9" s="1">
        <v>0.02</v>
      </c>
      <c r="D9" s="1">
        <v>0.02</v>
      </c>
      <c r="E9" s="1">
        <v>0.02</v>
      </c>
      <c r="F9" s="1">
        <v>0.01</v>
      </c>
      <c r="G9" s="1">
        <v>0.01</v>
      </c>
      <c r="H9" s="1">
        <v>0.02</v>
      </c>
      <c r="I9" s="1">
        <v>0.02</v>
      </c>
      <c r="J9" s="1">
        <v>0.03</v>
      </c>
      <c r="K9" s="1">
        <v>0.02</v>
      </c>
      <c r="L9" s="1">
        <v>0.03</v>
      </c>
      <c r="M9" s="1">
        <v>0.03</v>
      </c>
      <c r="N9" s="1">
        <v>0.02</v>
      </c>
      <c r="O9" s="1">
        <v>0.02</v>
      </c>
      <c r="P9" s="1">
        <v>0.02</v>
      </c>
      <c r="Q9" s="1">
        <v>0.02</v>
      </c>
      <c r="R9" s="1">
        <v>0.01</v>
      </c>
      <c r="S9" s="1">
        <v>0.03</v>
      </c>
      <c r="T9" s="1">
        <v>0.02</v>
      </c>
      <c r="U9" s="1">
        <v>0.02</v>
      </c>
      <c r="V9" s="1">
        <v>0.02</v>
      </c>
      <c r="W9" s="1">
        <v>0.01</v>
      </c>
      <c r="X9" s="1">
        <v>0.02</v>
      </c>
      <c r="Y9" s="1">
        <v>0.03</v>
      </c>
      <c r="Z9" s="1">
        <v>0.02</v>
      </c>
      <c r="AA9" s="1">
        <v>0.03</v>
      </c>
      <c r="AB9" s="1">
        <v>0.03</v>
      </c>
      <c r="AC9" s="1">
        <v>0.03</v>
      </c>
      <c r="AD9" s="1">
        <v>0.04</v>
      </c>
      <c r="AE9" s="1">
        <v>0.04</v>
      </c>
      <c r="AF9" s="1">
        <v>0.05</v>
      </c>
      <c r="AG9" s="1">
        <v>0.04</v>
      </c>
      <c r="AH9" s="1">
        <v>0.04</v>
      </c>
      <c r="AI9" s="1">
        <v>0.05</v>
      </c>
      <c r="AJ9" s="1">
        <v>0.03</v>
      </c>
      <c r="AK9" s="1">
        <v>0.04</v>
      </c>
      <c r="AL9" s="1">
        <v>0.03</v>
      </c>
      <c r="AM9" s="1">
        <v>0.03</v>
      </c>
      <c r="AN9" s="1">
        <v>0.03</v>
      </c>
      <c r="AO9" s="1">
        <v>0.03</v>
      </c>
      <c r="AP9" s="1">
        <v>0.02</v>
      </c>
      <c r="AQ9" s="1">
        <v>0.03</v>
      </c>
      <c r="AR9" s="1">
        <v>0.02</v>
      </c>
      <c r="AS9" s="1">
        <v>0.03</v>
      </c>
      <c r="AT9" s="1">
        <v>0.02</v>
      </c>
      <c r="AU9" s="1">
        <v>0.03</v>
      </c>
      <c r="AV9" s="1">
        <v>0.02</v>
      </c>
      <c r="AW9" s="1">
        <v>0.02</v>
      </c>
      <c r="AX9" s="1">
        <v>0.02</v>
      </c>
      <c r="AY9" s="1">
        <v>0.02</v>
      </c>
      <c r="AZ9" s="1">
        <v>0.02</v>
      </c>
      <c r="BA9" s="1">
        <v>0.02</v>
      </c>
      <c r="BB9" s="1">
        <v>0.03</v>
      </c>
      <c r="BC9" s="1">
        <v>0.02</v>
      </c>
      <c r="BD9" s="1">
        <v>0.02</v>
      </c>
    </row>
    <row r="10" spans="1:56" ht="15.75">
      <c r="A10" s="1" t="s">
        <v>75</v>
      </c>
      <c r="B10">
        <v>1691</v>
      </c>
      <c r="C10">
        <v>1829</v>
      </c>
      <c r="D10">
        <v>1869</v>
      </c>
      <c r="E10">
        <v>1836</v>
      </c>
      <c r="F10">
        <v>1770</v>
      </c>
      <c r="G10">
        <v>1820</v>
      </c>
      <c r="H10">
        <v>1795</v>
      </c>
      <c r="I10">
        <v>1644</v>
      </c>
      <c r="J10">
        <v>1726</v>
      </c>
      <c r="K10">
        <v>1721</v>
      </c>
      <c r="L10">
        <v>1694</v>
      </c>
      <c r="M10">
        <v>1735</v>
      </c>
      <c r="N10">
        <v>1775</v>
      </c>
      <c r="O10">
        <v>1774</v>
      </c>
      <c r="P10">
        <v>1521</v>
      </c>
      <c r="Q10">
        <v>1693</v>
      </c>
      <c r="R10">
        <v>1637</v>
      </c>
      <c r="S10">
        <v>1698</v>
      </c>
      <c r="T10">
        <v>1679</v>
      </c>
      <c r="U10">
        <v>1524</v>
      </c>
      <c r="V10">
        <v>1660</v>
      </c>
      <c r="W10">
        <v>1611</v>
      </c>
      <c r="X10">
        <v>1665</v>
      </c>
      <c r="Y10">
        <v>1794</v>
      </c>
      <c r="Z10">
        <v>1713</v>
      </c>
      <c r="AA10">
        <v>1780</v>
      </c>
      <c r="AB10">
        <v>1637</v>
      </c>
      <c r="AC10">
        <v>1686</v>
      </c>
      <c r="AD10">
        <v>1637</v>
      </c>
      <c r="AE10">
        <v>1813</v>
      </c>
      <c r="AF10">
        <v>1827</v>
      </c>
      <c r="AG10">
        <v>1743</v>
      </c>
      <c r="AH10">
        <v>1763</v>
      </c>
      <c r="AI10">
        <v>1815</v>
      </c>
      <c r="AJ10">
        <v>1874</v>
      </c>
      <c r="AK10">
        <v>1759</v>
      </c>
      <c r="AL10">
        <v>1726</v>
      </c>
      <c r="AM10">
        <v>1909</v>
      </c>
      <c r="AN10">
        <v>1721</v>
      </c>
      <c r="AO10">
        <v>1671</v>
      </c>
      <c r="AP10">
        <v>1704</v>
      </c>
      <c r="AQ10">
        <v>1736</v>
      </c>
      <c r="AR10">
        <v>1696</v>
      </c>
      <c r="AS10">
        <v>1717</v>
      </c>
      <c r="AT10">
        <v>1675</v>
      </c>
      <c r="AU10">
        <v>1712</v>
      </c>
      <c r="AV10">
        <v>1730</v>
      </c>
      <c r="AW10">
        <v>1662</v>
      </c>
      <c r="AX10">
        <v>1656</v>
      </c>
      <c r="AY10">
        <v>1666</v>
      </c>
      <c r="AZ10">
        <v>1760</v>
      </c>
      <c r="BA10">
        <v>1640</v>
      </c>
      <c r="BB10">
        <v>1686</v>
      </c>
      <c r="BC10">
        <v>1761</v>
      </c>
      <c r="BD10">
        <v>1701</v>
      </c>
    </row>
    <row r="11" spans="1:56" ht="15.75">
      <c r="A11" s="1" t="s">
        <v>76</v>
      </c>
      <c r="B11">
        <v>1691</v>
      </c>
      <c r="C11">
        <v>1829</v>
      </c>
      <c r="D11">
        <v>1869</v>
      </c>
      <c r="E11">
        <v>1836</v>
      </c>
      <c r="F11">
        <v>1770</v>
      </c>
      <c r="G11">
        <v>1820</v>
      </c>
      <c r="H11">
        <v>1795</v>
      </c>
      <c r="I11">
        <v>1644</v>
      </c>
      <c r="J11">
        <v>1726</v>
      </c>
      <c r="K11">
        <v>1721</v>
      </c>
      <c r="L11">
        <v>1694</v>
      </c>
      <c r="M11">
        <v>1735</v>
      </c>
      <c r="N11">
        <v>1775</v>
      </c>
      <c r="O11">
        <v>1774</v>
      </c>
      <c r="P11">
        <v>1521</v>
      </c>
      <c r="Q11">
        <v>1693</v>
      </c>
      <c r="R11">
        <v>1637</v>
      </c>
      <c r="S11">
        <v>1698</v>
      </c>
      <c r="T11">
        <v>1679</v>
      </c>
      <c r="U11">
        <v>1524</v>
      </c>
      <c r="V11">
        <v>1660</v>
      </c>
      <c r="W11">
        <v>1611</v>
      </c>
      <c r="X11">
        <v>1665</v>
      </c>
      <c r="Y11">
        <v>1794</v>
      </c>
      <c r="Z11">
        <v>1713</v>
      </c>
      <c r="AA11">
        <v>1780</v>
      </c>
      <c r="AB11">
        <v>1637</v>
      </c>
      <c r="AC11">
        <v>1686</v>
      </c>
      <c r="AD11">
        <v>1637</v>
      </c>
      <c r="AE11">
        <v>1813</v>
      </c>
      <c r="AF11">
        <v>1827</v>
      </c>
      <c r="AG11">
        <v>1743</v>
      </c>
      <c r="AH11">
        <v>1763</v>
      </c>
      <c r="AI11">
        <v>1815</v>
      </c>
      <c r="AJ11">
        <v>1874</v>
      </c>
      <c r="AK11">
        <v>1759</v>
      </c>
      <c r="AL11">
        <v>1726</v>
      </c>
      <c r="AM11">
        <v>1909</v>
      </c>
      <c r="AN11">
        <v>1721</v>
      </c>
      <c r="AO11">
        <v>1671</v>
      </c>
      <c r="AP11">
        <v>1704</v>
      </c>
      <c r="AQ11">
        <v>1736</v>
      </c>
      <c r="AR11">
        <v>1696</v>
      </c>
      <c r="AS11">
        <v>1717</v>
      </c>
      <c r="AT11">
        <v>1675</v>
      </c>
      <c r="AU11">
        <v>1712</v>
      </c>
      <c r="AV11">
        <v>1730</v>
      </c>
      <c r="AW11">
        <v>1662</v>
      </c>
      <c r="AX11">
        <v>1656</v>
      </c>
      <c r="AY11">
        <v>1666</v>
      </c>
      <c r="AZ11">
        <v>1760</v>
      </c>
      <c r="BA11">
        <v>1640</v>
      </c>
      <c r="BB11">
        <v>1686</v>
      </c>
      <c r="BC11">
        <v>1761</v>
      </c>
      <c r="BD11">
        <v>1701</v>
      </c>
    </row>
    <row r="14" spans="1:56">
      <c r="B14" t="str">
        <f>B1</f>
        <v>2025-01-13</v>
      </c>
      <c r="C14" t="str">
        <f t="shared" ref="C14:BD14" si="0">C1</f>
        <v>2025-01-20</v>
      </c>
      <c r="D14" t="str">
        <f t="shared" si="0"/>
        <v>2025-01-27</v>
      </c>
      <c r="E14" t="str">
        <f t="shared" si="0"/>
        <v>2025-02-03</v>
      </c>
      <c r="F14" t="str">
        <f t="shared" si="0"/>
        <v>2025-02-10</v>
      </c>
      <c r="G14" t="str">
        <f t="shared" si="0"/>
        <v>2025-02-17</v>
      </c>
      <c r="H14" t="str">
        <f t="shared" si="0"/>
        <v>2025-02-24</v>
      </c>
      <c r="I14" t="str">
        <f t="shared" si="0"/>
        <v>2025-03-03</v>
      </c>
      <c r="J14" t="str">
        <f t="shared" si="0"/>
        <v>2025-03-10</v>
      </c>
      <c r="K14" t="str">
        <f t="shared" si="0"/>
        <v>2025-03-17</v>
      </c>
      <c r="L14" t="str">
        <f t="shared" si="0"/>
        <v>2025-03-24</v>
      </c>
      <c r="M14" t="str">
        <f t="shared" si="0"/>
        <v>2025-03-31</v>
      </c>
      <c r="N14" t="str">
        <f t="shared" si="0"/>
        <v>2025-04-07</v>
      </c>
      <c r="O14" t="str">
        <f t="shared" si="0"/>
        <v>2025-04-14</v>
      </c>
      <c r="P14" t="str">
        <f t="shared" si="0"/>
        <v>2025-04-22</v>
      </c>
      <c r="Q14" t="str">
        <f t="shared" si="0"/>
        <v>2025-04-28</v>
      </c>
      <c r="R14" t="str">
        <f t="shared" si="0"/>
        <v>2025-05-06</v>
      </c>
      <c r="S14" t="str">
        <f t="shared" si="0"/>
        <v>2025-05-12</v>
      </c>
      <c r="T14" t="str">
        <f t="shared" si="0"/>
        <v>2025-05-19</v>
      </c>
      <c r="U14" t="str">
        <f t="shared" si="0"/>
        <v>2025-05-27</v>
      </c>
      <c r="V14" t="str">
        <f t="shared" si="0"/>
        <v>2025-06-02</v>
      </c>
      <c r="W14" t="str">
        <f t="shared" si="0"/>
        <v>2025-06-09</v>
      </c>
      <c r="X14" t="str">
        <f t="shared" si="0"/>
        <v>2025-06-16</v>
      </c>
      <c r="Y14" t="str">
        <f t="shared" si="0"/>
        <v>2025-06-23</v>
      </c>
      <c r="Z14" t="str">
        <f t="shared" si="0"/>
        <v>2025-06-30</v>
      </c>
      <c r="AA14" t="str">
        <f t="shared" si="0"/>
        <v>2025-07-07</v>
      </c>
      <c r="AB14" t="str">
        <f t="shared" si="0"/>
        <v>2025-07-14</v>
      </c>
      <c r="AC14" t="str">
        <f t="shared" si="0"/>
        <v>2025-07-21</v>
      </c>
      <c r="AD14" t="str">
        <f t="shared" si="0"/>
        <v>2025-07-28</v>
      </c>
      <c r="AE14" t="str">
        <f t="shared" si="0"/>
        <v>2025-08-04</v>
      </c>
      <c r="AF14" t="str">
        <f t="shared" si="0"/>
        <v>2025-08-11</v>
      </c>
      <c r="AG14" t="str">
        <f t="shared" si="0"/>
        <v>2025-08-18</v>
      </c>
      <c r="AH14" t="str">
        <f t="shared" si="0"/>
        <v>2025-08-26</v>
      </c>
      <c r="AI14" t="str">
        <f t="shared" si="0"/>
        <v>2025-09-01</v>
      </c>
      <c r="AJ14" t="str">
        <f t="shared" si="0"/>
        <v>2025-09-08</v>
      </c>
      <c r="AK14" t="str">
        <f t="shared" si="0"/>
        <v>2025-09-15</v>
      </c>
      <c r="AL14" t="str">
        <f t="shared" si="0"/>
        <v>2025-09-22</v>
      </c>
      <c r="AM14" t="str">
        <f t="shared" si="0"/>
        <v>2025-09-29</v>
      </c>
      <c r="AN14" t="str">
        <f t="shared" si="0"/>
        <v>2025-10-06</v>
      </c>
      <c r="AO14" t="str">
        <f t="shared" si="0"/>
        <v>2025-10-13</v>
      </c>
      <c r="AP14" t="str">
        <f t="shared" si="0"/>
        <v>2025-10-20</v>
      </c>
      <c r="AQ14" t="str">
        <f t="shared" si="0"/>
        <v>2025-10-27</v>
      </c>
      <c r="AR14" t="str">
        <f t="shared" si="0"/>
        <v>2025-11-03</v>
      </c>
      <c r="AS14" t="str">
        <f t="shared" si="0"/>
        <v>2025-11-10</v>
      </c>
      <c r="AT14" t="str">
        <f t="shared" si="0"/>
        <v>2025-11-17</v>
      </c>
      <c r="AU14" t="str">
        <f t="shared" si="0"/>
        <v>2025-11-24</v>
      </c>
      <c r="AV14" t="str">
        <f t="shared" si="0"/>
        <v>2025-12-01</v>
      </c>
      <c r="AW14" t="str">
        <f t="shared" si="0"/>
        <v>2025-12-08</v>
      </c>
      <c r="AX14" t="str">
        <f t="shared" si="0"/>
        <v>2025-12-15</v>
      </c>
      <c r="AY14" t="str">
        <f t="shared" si="0"/>
        <v>2025-12-22</v>
      </c>
      <c r="AZ14" t="str">
        <f t="shared" si="0"/>
        <v>2026-01-05</v>
      </c>
      <c r="BA14" t="str">
        <f t="shared" si="0"/>
        <v>2026-01-12</v>
      </c>
      <c r="BB14" t="str">
        <f t="shared" si="0"/>
        <v>2026-01-19</v>
      </c>
      <c r="BC14" t="str">
        <f t="shared" si="0"/>
        <v>2026-01-26</v>
      </c>
      <c r="BD14" t="str">
        <f t="shared" si="0"/>
        <v>2026-02-02</v>
      </c>
    </row>
    <row r="15" spans="1:56">
      <c r="A15" t="s">
        <v>77</v>
      </c>
      <c r="B15" s="2">
        <f>(B2+B7)*100</f>
        <v>47</v>
      </c>
      <c r="C15" s="2">
        <f t="shared" ref="C15:BD15" si="1">(C2+C7)*100</f>
        <v>46</v>
      </c>
      <c r="D15" s="2">
        <f t="shared" si="1"/>
        <v>45</v>
      </c>
      <c r="E15" s="2">
        <f t="shared" si="1"/>
        <v>46</v>
      </c>
      <c r="F15" s="2">
        <f t="shared" si="1"/>
        <v>47</v>
      </c>
      <c r="G15" s="2">
        <f t="shared" si="1"/>
        <v>48</v>
      </c>
      <c r="H15" s="2">
        <f t="shared" si="1"/>
        <v>47</v>
      </c>
      <c r="I15" s="2">
        <f t="shared" si="1"/>
        <v>46</v>
      </c>
      <c r="J15" s="2">
        <f t="shared" si="1"/>
        <v>45</v>
      </c>
      <c r="K15" s="2">
        <f t="shared" si="1"/>
        <v>46</v>
      </c>
      <c r="L15" s="2">
        <f t="shared" si="1"/>
        <v>44</v>
      </c>
      <c r="M15" s="2">
        <f t="shared" si="1"/>
        <v>44</v>
      </c>
      <c r="N15" s="2">
        <f t="shared" si="1"/>
        <v>45</v>
      </c>
      <c r="O15" s="2">
        <f t="shared" si="1"/>
        <v>44</v>
      </c>
      <c r="P15" s="2">
        <f t="shared" si="1"/>
        <v>44</v>
      </c>
      <c r="Q15" s="2">
        <f t="shared" si="1"/>
        <v>46</v>
      </c>
      <c r="R15" s="2">
        <f t="shared" si="1"/>
        <v>46</v>
      </c>
      <c r="S15" s="2">
        <f t="shared" si="1"/>
        <v>46</v>
      </c>
      <c r="T15" s="2">
        <f t="shared" si="1"/>
        <v>44.999999999999993</v>
      </c>
      <c r="U15" s="2">
        <f t="shared" si="1"/>
        <v>48</v>
      </c>
      <c r="V15" s="2">
        <f t="shared" si="1"/>
        <v>46</v>
      </c>
      <c r="W15" s="2">
        <f t="shared" si="1"/>
        <v>46</v>
      </c>
      <c r="X15" s="2">
        <f t="shared" si="1"/>
        <v>44.000000000000007</v>
      </c>
      <c r="Y15" s="2">
        <f t="shared" si="1"/>
        <v>44.000000000000007</v>
      </c>
      <c r="Z15" s="2">
        <f t="shared" si="1"/>
        <v>43.000000000000007</v>
      </c>
      <c r="AA15" s="2">
        <f t="shared" si="1"/>
        <v>42.000000000000007</v>
      </c>
      <c r="AB15" s="2">
        <f t="shared" si="1"/>
        <v>45.000000000000007</v>
      </c>
      <c r="AC15" s="2">
        <f t="shared" si="1"/>
        <v>44.000000000000007</v>
      </c>
      <c r="AD15" s="2">
        <f t="shared" si="1"/>
        <v>46</v>
      </c>
      <c r="AE15" s="2">
        <f t="shared" si="1"/>
        <v>44.000000000000007</v>
      </c>
      <c r="AF15" s="2">
        <f t="shared" si="1"/>
        <v>45.000000000000007</v>
      </c>
      <c r="AG15" s="2">
        <f t="shared" si="1"/>
        <v>46</v>
      </c>
      <c r="AH15" s="2">
        <f t="shared" si="1"/>
        <v>45.000000000000007</v>
      </c>
      <c r="AI15" s="2">
        <f t="shared" si="1"/>
        <v>46</v>
      </c>
      <c r="AJ15" s="2">
        <f t="shared" si="1"/>
        <v>44.000000000000007</v>
      </c>
      <c r="AK15" s="2">
        <f t="shared" si="1"/>
        <v>46</v>
      </c>
      <c r="AL15" s="2">
        <f t="shared" si="1"/>
        <v>44.999999999999993</v>
      </c>
      <c r="AM15" s="2">
        <f t="shared" si="1"/>
        <v>44.999999999999993</v>
      </c>
      <c r="AN15" s="2">
        <f t="shared" si="1"/>
        <v>44.000000000000007</v>
      </c>
      <c r="AO15" s="2">
        <f t="shared" si="1"/>
        <v>44.000000000000007</v>
      </c>
      <c r="AP15" s="2">
        <f t="shared" si="1"/>
        <v>43.000000000000007</v>
      </c>
      <c r="AQ15" s="2">
        <f t="shared" si="1"/>
        <v>44.000000000000007</v>
      </c>
      <c r="AR15" s="2">
        <f t="shared" si="1"/>
        <v>43.000000000000007</v>
      </c>
      <c r="AS15" s="2">
        <f t="shared" si="1"/>
        <v>44</v>
      </c>
      <c r="AT15" s="2">
        <f t="shared" si="1"/>
        <v>44.000000000000007</v>
      </c>
      <c r="AU15" s="2">
        <f t="shared" si="1"/>
        <v>43</v>
      </c>
      <c r="AV15" s="2">
        <f t="shared" si="1"/>
        <v>45</v>
      </c>
      <c r="AW15" s="2">
        <f t="shared" si="1"/>
        <v>45</v>
      </c>
      <c r="AX15" s="2">
        <f t="shared" si="1"/>
        <v>45.000000000000007</v>
      </c>
      <c r="AY15" s="2">
        <f t="shared" si="1"/>
        <v>44</v>
      </c>
      <c r="AZ15" s="2">
        <f t="shared" si="1"/>
        <v>45</v>
      </c>
      <c r="BA15" s="2">
        <f t="shared" si="1"/>
        <v>44</v>
      </c>
      <c r="BB15" s="2">
        <f t="shared" si="1"/>
        <v>42</v>
      </c>
      <c r="BC15" s="2">
        <f t="shared" si="1"/>
        <v>42.000000000000007</v>
      </c>
      <c r="BD15" s="2">
        <f t="shared" si="1"/>
        <v>44</v>
      </c>
    </row>
    <row r="16" spans="1:56">
      <c r="A16" t="s">
        <v>78</v>
      </c>
      <c r="B16" s="2">
        <f>(B3+B4+B8)*100</f>
        <v>48.000000000000007</v>
      </c>
      <c r="C16" s="2">
        <f t="shared" ref="C16:BD16" si="2">(C3+C4+C8)*100</f>
        <v>49</v>
      </c>
      <c r="D16" s="2">
        <f t="shared" si="2"/>
        <v>50</v>
      </c>
      <c r="E16" s="2">
        <f t="shared" si="2"/>
        <v>47</v>
      </c>
      <c r="F16" s="2">
        <f t="shared" si="2"/>
        <v>48</v>
      </c>
      <c r="G16" s="2">
        <f t="shared" si="2"/>
        <v>48</v>
      </c>
      <c r="H16" s="2">
        <f t="shared" si="2"/>
        <v>48.000000000000007</v>
      </c>
      <c r="I16" s="2">
        <f t="shared" si="2"/>
        <v>49</v>
      </c>
      <c r="J16" s="2">
        <f t="shared" si="2"/>
        <v>48</v>
      </c>
      <c r="K16" s="2">
        <f t="shared" si="2"/>
        <v>49</v>
      </c>
      <c r="L16" s="2">
        <f t="shared" si="2"/>
        <v>49</v>
      </c>
      <c r="M16" s="2">
        <f t="shared" si="2"/>
        <v>49</v>
      </c>
      <c r="N16" s="2">
        <f t="shared" si="2"/>
        <v>50</v>
      </c>
      <c r="O16" s="2">
        <f t="shared" si="2"/>
        <v>49</v>
      </c>
      <c r="P16" s="2">
        <f t="shared" si="2"/>
        <v>49</v>
      </c>
      <c r="Q16" s="2">
        <f t="shared" si="2"/>
        <v>47</v>
      </c>
      <c r="R16" s="2">
        <f t="shared" si="2"/>
        <v>48</v>
      </c>
      <c r="S16" s="2">
        <f t="shared" si="2"/>
        <v>48</v>
      </c>
      <c r="T16" s="2">
        <f t="shared" si="2"/>
        <v>49</v>
      </c>
      <c r="U16" s="2">
        <f t="shared" si="2"/>
        <v>47</v>
      </c>
      <c r="V16" s="2">
        <f t="shared" si="2"/>
        <v>48</v>
      </c>
      <c r="W16" s="2">
        <f t="shared" si="2"/>
        <v>48</v>
      </c>
      <c r="X16" s="2">
        <f t="shared" si="2"/>
        <v>49</v>
      </c>
      <c r="Y16" s="2">
        <f t="shared" si="2"/>
        <v>49</v>
      </c>
      <c r="Z16" s="2">
        <f t="shared" si="2"/>
        <v>50</v>
      </c>
      <c r="AA16" s="2">
        <f t="shared" si="2"/>
        <v>50</v>
      </c>
      <c r="AB16" s="2">
        <f t="shared" si="2"/>
        <v>50</v>
      </c>
      <c r="AC16" s="2">
        <f t="shared" si="2"/>
        <v>49</v>
      </c>
      <c r="AD16" s="2">
        <f t="shared" si="2"/>
        <v>47</v>
      </c>
      <c r="AE16" s="2">
        <f t="shared" si="2"/>
        <v>47</v>
      </c>
      <c r="AF16" s="2">
        <f t="shared" si="2"/>
        <v>47</v>
      </c>
      <c r="AG16" s="2">
        <f t="shared" si="2"/>
        <v>46</v>
      </c>
      <c r="AH16" s="2">
        <f t="shared" si="2"/>
        <v>47</v>
      </c>
      <c r="AI16" s="2">
        <f t="shared" si="2"/>
        <v>44.999999999999993</v>
      </c>
      <c r="AJ16" s="2">
        <f t="shared" si="2"/>
        <v>49</v>
      </c>
      <c r="AK16" s="2">
        <f t="shared" si="2"/>
        <v>44.999999999999993</v>
      </c>
      <c r="AL16" s="2">
        <f t="shared" si="2"/>
        <v>47</v>
      </c>
      <c r="AM16" s="2">
        <f t="shared" si="2"/>
        <v>48</v>
      </c>
      <c r="AN16" s="2">
        <f t="shared" si="2"/>
        <v>49</v>
      </c>
      <c r="AO16" s="2">
        <f t="shared" si="2"/>
        <v>49</v>
      </c>
      <c r="AP16" s="2">
        <f t="shared" si="2"/>
        <v>50</v>
      </c>
      <c r="AQ16" s="2">
        <f t="shared" si="2"/>
        <v>48</v>
      </c>
      <c r="AR16" s="2">
        <f t="shared" si="2"/>
        <v>51</v>
      </c>
      <c r="AS16" s="2">
        <f t="shared" si="2"/>
        <v>48</v>
      </c>
      <c r="AT16" s="2">
        <f t="shared" si="2"/>
        <v>49</v>
      </c>
      <c r="AU16" s="2">
        <f t="shared" si="2"/>
        <v>50</v>
      </c>
      <c r="AV16" s="2">
        <f t="shared" si="2"/>
        <v>49</v>
      </c>
      <c r="AW16" s="2">
        <f t="shared" si="2"/>
        <v>48</v>
      </c>
      <c r="AX16" s="2">
        <f t="shared" si="2"/>
        <v>49</v>
      </c>
      <c r="AY16" s="2">
        <f t="shared" si="2"/>
        <v>50</v>
      </c>
      <c r="AZ16" s="2">
        <f t="shared" si="2"/>
        <v>48</v>
      </c>
      <c r="BA16" s="2">
        <f t="shared" si="2"/>
        <v>49</v>
      </c>
      <c r="BB16" s="2">
        <f t="shared" si="2"/>
        <v>50</v>
      </c>
      <c r="BC16" s="2">
        <f t="shared" si="2"/>
        <v>51</v>
      </c>
      <c r="BD16" s="2">
        <f t="shared" si="2"/>
        <v>50</v>
      </c>
    </row>
    <row r="18" spans="1:56">
      <c r="B18" t="str">
        <f>B14</f>
        <v>2025-01-13</v>
      </c>
      <c r="C18" t="str">
        <f t="shared" ref="C18:BD18" si="3">C14</f>
        <v>2025-01-20</v>
      </c>
      <c r="D18" t="str">
        <f t="shared" si="3"/>
        <v>2025-01-27</v>
      </c>
      <c r="E18" t="str">
        <f t="shared" si="3"/>
        <v>2025-02-03</v>
      </c>
      <c r="F18" t="str">
        <f t="shared" si="3"/>
        <v>2025-02-10</v>
      </c>
      <c r="G18" t="str">
        <f t="shared" si="3"/>
        <v>2025-02-17</v>
      </c>
      <c r="H18" t="str">
        <f t="shared" si="3"/>
        <v>2025-02-24</v>
      </c>
      <c r="I18" t="str">
        <f t="shared" si="3"/>
        <v>2025-03-03</v>
      </c>
      <c r="J18" t="str">
        <f t="shared" si="3"/>
        <v>2025-03-10</v>
      </c>
      <c r="K18" t="str">
        <f t="shared" si="3"/>
        <v>2025-03-17</v>
      </c>
      <c r="L18" t="str">
        <f t="shared" si="3"/>
        <v>2025-03-24</v>
      </c>
      <c r="M18" t="str">
        <f t="shared" si="3"/>
        <v>2025-03-31</v>
      </c>
      <c r="N18" t="str">
        <f t="shared" si="3"/>
        <v>2025-04-07</v>
      </c>
      <c r="O18" t="str">
        <f t="shared" si="3"/>
        <v>2025-04-14</v>
      </c>
      <c r="P18" t="str">
        <f t="shared" si="3"/>
        <v>2025-04-22</v>
      </c>
      <c r="Q18" t="str">
        <f t="shared" si="3"/>
        <v>2025-04-28</v>
      </c>
      <c r="R18" t="str">
        <f t="shared" si="3"/>
        <v>2025-05-06</v>
      </c>
      <c r="S18" t="str">
        <f t="shared" si="3"/>
        <v>2025-05-12</v>
      </c>
      <c r="T18" t="str">
        <f t="shared" si="3"/>
        <v>2025-05-19</v>
      </c>
      <c r="U18" t="str">
        <f t="shared" si="3"/>
        <v>2025-05-27</v>
      </c>
      <c r="V18" t="str">
        <f t="shared" si="3"/>
        <v>2025-06-02</v>
      </c>
      <c r="W18" t="str">
        <f t="shared" si="3"/>
        <v>2025-06-09</v>
      </c>
      <c r="X18" t="str">
        <f t="shared" si="3"/>
        <v>2025-06-16</v>
      </c>
      <c r="Y18" t="str">
        <f t="shared" si="3"/>
        <v>2025-06-23</v>
      </c>
      <c r="Z18" t="str">
        <f t="shared" si="3"/>
        <v>2025-06-30</v>
      </c>
      <c r="AA18" t="str">
        <f t="shared" si="3"/>
        <v>2025-07-07</v>
      </c>
      <c r="AB18" t="str">
        <f t="shared" si="3"/>
        <v>2025-07-14</v>
      </c>
      <c r="AC18" t="str">
        <f t="shared" si="3"/>
        <v>2025-07-21</v>
      </c>
      <c r="AD18" t="str">
        <f t="shared" si="3"/>
        <v>2025-07-28</v>
      </c>
      <c r="AE18" t="str">
        <f t="shared" si="3"/>
        <v>2025-08-04</v>
      </c>
      <c r="AF18" t="str">
        <f t="shared" si="3"/>
        <v>2025-08-11</v>
      </c>
      <c r="AG18" t="str">
        <f t="shared" si="3"/>
        <v>2025-08-18</v>
      </c>
      <c r="AH18" t="str">
        <f t="shared" si="3"/>
        <v>2025-08-26</v>
      </c>
      <c r="AI18" t="str">
        <f t="shared" si="3"/>
        <v>2025-09-01</v>
      </c>
      <c r="AJ18" t="str">
        <f t="shared" si="3"/>
        <v>2025-09-08</v>
      </c>
      <c r="AK18" t="str">
        <f t="shared" si="3"/>
        <v>2025-09-15</v>
      </c>
      <c r="AL18" t="str">
        <f t="shared" si="3"/>
        <v>2025-09-22</v>
      </c>
      <c r="AM18" t="str">
        <f t="shared" si="3"/>
        <v>2025-09-29</v>
      </c>
      <c r="AN18" t="str">
        <f t="shared" si="3"/>
        <v>2025-10-06</v>
      </c>
      <c r="AO18" t="str">
        <f t="shared" si="3"/>
        <v>2025-10-13</v>
      </c>
      <c r="AP18" t="str">
        <f t="shared" si="3"/>
        <v>2025-10-20</v>
      </c>
      <c r="AQ18" t="str">
        <f t="shared" si="3"/>
        <v>2025-10-27</v>
      </c>
      <c r="AR18" t="str">
        <f t="shared" si="3"/>
        <v>2025-11-03</v>
      </c>
      <c r="AS18" t="str">
        <f t="shared" si="3"/>
        <v>2025-11-10</v>
      </c>
      <c r="AT18" t="str">
        <f t="shared" si="3"/>
        <v>2025-11-17</v>
      </c>
      <c r="AU18" t="str">
        <f t="shared" si="3"/>
        <v>2025-11-24</v>
      </c>
      <c r="AV18" t="str">
        <f t="shared" si="3"/>
        <v>2025-12-01</v>
      </c>
      <c r="AW18" t="str">
        <f t="shared" si="3"/>
        <v>2025-12-08</v>
      </c>
      <c r="AX18" t="str">
        <f t="shared" si="3"/>
        <v>2025-12-15</v>
      </c>
      <c r="AY18" t="str">
        <f t="shared" si="3"/>
        <v>2025-12-22</v>
      </c>
      <c r="AZ18" t="str">
        <f t="shared" si="3"/>
        <v>2026-01-05</v>
      </c>
      <c r="BA18" t="str">
        <f t="shared" si="3"/>
        <v>2026-01-12</v>
      </c>
      <c r="BB18" t="str">
        <f t="shared" si="3"/>
        <v>2026-01-19</v>
      </c>
      <c r="BC18" t="str">
        <f t="shared" si="3"/>
        <v>2026-01-26</v>
      </c>
      <c r="BD18" t="str">
        <f t="shared" si="3"/>
        <v>2026-02-02</v>
      </c>
    </row>
    <row r="19" spans="1:56">
      <c r="A19" t="s">
        <v>79</v>
      </c>
      <c r="B19">
        <f>B2*100</f>
        <v>22</v>
      </c>
      <c r="C19">
        <f t="shared" ref="C19:BD19" si="4">C2*100</f>
        <v>22</v>
      </c>
      <c r="D19">
        <f t="shared" si="4"/>
        <v>22</v>
      </c>
      <c r="E19">
        <f t="shared" si="4"/>
        <v>21</v>
      </c>
      <c r="F19">
        <f t="shared" si="4"/>
        <v>21</v>
      </c>
      <c r="G19">
        <f t="shared" si="4"/>
        <v>21</v>
      </c>
      <c r="H19">
        <f t="shared" si="4"/>
        <v>22</v>
      </c>
      <c r="I19">
        <f t="shared" si="4"/>
        <v>21</v>
      </c>
      <c r="J19">
        <f t="shared" si="4"/>
        <v>22</v>
      </c>
      <c r="K19">
        <f t="shared" si="4"/>
        <v>22</v>
      </c>
      <c r="L19">
        <f t="shared" si="4"/>
        <v>22</v>
      </c>
      <c r="M19">
        <f t="shared" si="4"/>
        <v>21</v>
      </c>
      <c r="N19">
        <f t="shared" si="4"/>
        <v>22</v>
      </c>
      <c r="O19">
        <f t="shared" si="4"/>
        <v>21</v>
      </c>
      <c r="P19">
        <f t="shared" si="4"/>
        <v>20</v>
      </c>
      <c r="Q19">
        <f t="shared" si="4"/>
        <v>20</v>
      </c>
      <c r="R19">
        <f t="shared" si="4"/>
        <v>17</v>
      </c>
      <c r="S19">
        <f t="shared" si="4"/>
        <v>18</v>
      </c>
      <c r="T19">
        <f t="shared" si="4"/>
        <v>16</v>
      </c>
      <c r="U19">
        <f t="shared" si="4"/>
        <v>19</v>
      </c>
      <c r="V19">
        <f t="shared" si="4"/>
        <v>18</v>
      </c>
      <c r="W19">
        <f t="shared" si="4"/>
        <v>17</v>
      </c>
      <c r="X19">
        <f t="shared" si="4"/>
        <v>17</v>
      </c>
      <c r="Y19">
        <f t="shared" si="4"/>
        <v>17</v>
      </c>
      <c r="Z19">
        <f t="shared" si="4"/>
        <v>17</v>
      </c>
      <c r="AA19">
        <f t="shared" si="4"/>
        <v>16</v>
      </c>
      <c r="AB19">
        <f t="shared" si="4"/>
        <v>17</v>
      </c>
      <c r="AC19">
        <f t="shared" si="4"/>
        <v>17</v>
      </c>
      <c r="AD19">
        <f t="shared" si="4"/>
        <v>17</v>
      </c>
      <c r="AE19">
        <f t="shared" si="4"/>
        <v>17</v>
      </c>
      <c r="AF19">
        <f t="shared" si="4"/>
        <v>17</v>
      </c>
      <c r="AG19">
        <f t="shared" si="4"/>
        <v>18</v>
      </c>
      <c r="AH19">
        <f t="shared" si="4"/>
        <v>17</v>
      </c>
      <c r="AI19">
        <f t="shared" si="4"/>
        <v>17</v>
      </c>
      <c r="AJ19">
        <f t="shared" si="4"/>
        <v>17</v>
      </c>
      <c r="AK19">
        <f t="shared" si="4"/>
        <v>17</v>
      </c>
      <c r="AL19">
        <f t="shared" si="4"/>
        <v>16</v>
      </c>
      <c r="AM19">
        <f t="shared" si="4"/>
        <v>16</v>
      </c>
      <c r="AN19">
        <f t="shared" si="4"/>
        <v>17</v>
      </c>
      <c r="AO19">
        <f t="shared" si="4"/>
        <v>17</v>
      </c>
      <c r="AP19">
        <f t="shared" si="4"/>
        <v>17</v>
      </c>
      <c r="AQ19">
        <f t="shared" si="4"/>
        <v>17</v>
      </c>
      <c r="AR19">
        <f t="shared" si="4"/>
        <v>16</v>
      </c>
      <c r="AS19">
        <f t="shared" si="4"/>
        <v>18</v>
      </c>
      <c r="AT19">
        <f t="shared" si="4"/>
        <v>17</v>
      </c>
      <c r="AU19">
        <f t="shared" si="4"/>
        <v>18</v>
      </c>
      <c r="AV19">
        <f t="shared" si="4"/>
        <v>19</v>
      </c>
      <c r="AW19">
        <f t="shared" si="4"/>
        <v>18</v>
      </c>
      <c r="AX19">
        <f t="shared" si="4"/>
        <v>17</v>
      </c>
      <c r="AY19">
        <f t="shared" si="4"/>
        <v>19</v>
      </c>
      <c r="AZ19">
        <f t="shared" si="4"/>
        <v>19</v>
      </c>
      <c r="BA19">
        <f t="shared" si="4"/>
        <v>20</v>
      </c>
      <c r="BB19">
        <f t="shared" si="4"/>
        <v>18</v>
      </c>
      <c r="BC19">
        <f t="shared" si="4"/>
        <v>17</v>
      </c>
      <c r="BD19">
        <f t="shared" si="4"/>
        <v>18</v>
      </c>
    </row>
    <row r="20" spans="1:56">
      <c r="A20" t="s">
        <v>80</v>
      </c>
      <c r="B20">
        <f>B7*100</f>
        <v>25</v>
      </c>
      <c r="C20">
        <f t="shared" ref="C20:BD20" si="5">C7*100</f>
        <v>24</v>
      </c>
      <c r="D20">
        <f t="shared" si="5"/>
        <v>23</v>
      </c>
      <c r="E20">
        <f t="shared" si="5"/>
        <v>25</v>
      </c>
      <c r="F20">
        <f t="shared" si="5"/>
        <v>26</v>
      </c>
      <c r="G20">
        <f t="shared" si="5"/>
        <v>27</v>
      </c>
      <c r="H20">
        <f t="shared" si="5"/>
        <v>25</v>
      </c>
      <c r="I20">
        <f t="shared" si="5"/>
        <v>25</v>
      </c>
      <c r="J20">
        <f t="shared" si="5"/>
        <v>23</v>
      </c>
      <c r="K20">
        <f t="shared" si="5"/>
        <v>24</v>
      </c>
      <c r="L20">
        <f t="shared" si="5"/>
        <v>22</v>
      </c>
      <c r="M20">
        <f t="shared" si="5"/>
        <v>23</v>
      </c>
      <c r="N20">
        <f t="shared" si="5"/>
        <v>23</v>
      </c>
      <c r="O20">
        <f t="shared" si="5"/>
        <v>23</v>
      </c>
      <c r="P20">
        <f t="shared" si="5"/>
        <v>24</v>
      </c>
      <c r="Q20">
        <f t="shared" si="5"/>
        <v>26</v>
      </c>
      <c r="R20">
        <f t="shared" si="5"/>
        <v>28.999999999999996</v>
      </c>
      <c r="S20">
        <f t="shared" si="5"/>
        <v>28.000000000000004</v>
      </c>
      <c r="T20">
        <f t="shared" si="5"/>
        <v>28.999999999999996</v>
      </c>
      <c r="U20">
        <f t="shared" si="5"/>
        <v>28.999999999999996</v>
      </c>
      <c r="V20">
        <f t="shared" si="5"/>
        <v>28.000000000000004</v>
      </c>
      <c r="W20">
        <f t="shared" si="5"/>
        <v>28.999999999999996</v>
      </c>
      <c r="X20">
        <f t="shared" si="5"/>
        <v>27</v>
      </c>
      <c r="Y20">
        <f t="shared" si="5"/>
        <v>27</v>
      </c>
      <c r="Z20">
        <f t="shared" si="5"/>
        <v>26</v>
      </c>
      <c r="AA20">
        <f t="shared" si="5"/>
        <v>26</v>
      </c>
      <c r="AB20">
        <f t="shared" si="5"/>
        <v>28.000000000000004</v>
      </c>
      <c r="AC20">
        <f t="shared" si="5"/>
        <v>27</v>
      </c>
      <c r="AD20">
        <f t="shared" si="5"/>
        <v>28.999999999999996</v>
      </c>
      <c r="AE20">
        <f t="shared" si="5"/>
        <v>27</v>
      </c>
      <c r="AF20">
        <f t="shared" si="5"/>
        <v>28.000000000000004</v>
      </c>
      <c r="AG20">
        <f t="shared" si="5"/>
        <v>28.000000000000004</v>
      </c>
      <c r="AH20">
        <f t="shared" si="5"/>
        <v>28.000000000000004</v>
      </c>
      <c r="AI20">
        <f t="shared" si="5"/>
        <v>28.999999999999996</v>
      </c>
      <c r="AJ20">
        <f t="shared" si="5"/>
        <v>27</v>
      </c>
      <c r="AK20">
        <f t="shared" si="5"/>
        <v>28.999999999999996</v>
      </c>
      <c r="AL20">
        <f t="shared" si="5"/>
        <v>28.999999999999996</v>
      </c>
      <c r="AM20">
        <f t="shared" si="5"/>
        <v>28.999999999999996</v>
      </c>
      <c r="AN20">
        <f t="shared" si="5"/>
        <v>27</v>
      </c>
      <c r="AO20">
        <f t="shared" si="5"/>
        <v>27</v>
      </c>
      <c r="AP20">
        <f t="shared" si="5"/>
        <v>26</v>
      </c>
      <c r="AQ20">
        <f t="shared" si="5"/>
        <v>27</v>
      </c>
      <c r="AR20">
        <f t="shared" si="5"/>
        <v>27</v>
      </c>
      <c r="AS20">
        <f t="shared" si="5"/>
        <v>26</v>
      </c>
      <c r="AT20">
        <f t="shared" si="5"/>
        <v>27</v>
      </c>
      <c r="AU20">
        <f t="shared" si="5"/>
        <v>25</v>
      </c>
      <c r="AV20">
        <f t="shared" si="5"/>
        <v>26</v>
      </c>
      <c r="AW20">
        <f t="shared" si="5"/>
        <v>27</v>
      </c>
      <c r="AX20">
        <f t="shared" si="5"/>
        <v>28.000000000000004</v>
      </c>
      <c r="AY20">
        <f t="shared" si="5"/>
        <v>25</v>
      </c>
      <c r="AZ20">
        <f t="shared" si="5"/>
        <v>26</v>
      </c>
      <c r="BA20">
        <f t="shared" si="5"/>
        <v>24</v>
      </c>
      <c r="BB20">
        <f t="shared" si="5"/>
        <v>24</v>
      </c>
      <c r="BC20">
        <f t="shared" si="5"/>
        <v>25</v>
      </c>
      <c r="BD20">
        <f t="shared" si="5"/>
        <v>26</v>
      </c>
    </row>
    <row r="21" spans="1:56">
      <c r="A21" t="s">
        <v>81</v>
      </c>
      <c r="B21">
        <f>100*B3</f>
        <v>26</v>
      </c>
      <c r="C21">
        <f t="shared" ref="C21:BD22" si="6">100*C3</f>
        <v>26</v>
      </c>
      <c r="D21">
        <f t="shared" si="6"/>
        <v>27</v>
      </c>
      <c r="E21">
        <f t="shared" si="6"/>
        <v>24</v>
      </c>
      <c r="F21">
        <f t="shared" si="6"/>
        <v>25</v>
      </c>
      <c r="G21">
        <f t="shared" si="6"/>
        <v>25</v>
      </c>
      <c r="H21">
        <f t="shared" si="6"/>
        <v>24</v>
      </c>
      <c r="I21">
        <f t="shared" si="6"/>
        <v>26</v>
      </c>
      <c r="J21">
        <f t="shared" si="6"/>
        <v>24</v>
      </c>
      <c r="K21">
        <f t="shared" si="6"/>
        <v>26</v>
      </c>
      <c r="L21">
        <f t="shared" si="6"/>
        <v>23</v>
      </c>
      <c r="M21">
        <f t="shared" si="6"/>
        <v>24</v>
      </c>
      <c r="N21">
        <f t="shared" si="6"/>
        <v>24</v>
      </c>
      <c r="O21">
        <f t="shared" si="6"/>
        <v>24</v>
      </c>
      <c r="P21">
        <f t="shared" si="6"/>
        <v>23</v>
      </c>
      <c r="Q21">
        <f t="shared" si="6"/>
        <v>23</v>
      </c>
      <c r="R21">
        <f t="shared" si="6"/>
        <v>22</v>
      </c>
      <c r="S21">
        <f t="shared" si="6"/>
        <v>23</v>
      </c>
      <c r="T21">
        <f t="shared" si="6"/>
        <v>22</v>
      </c>
      <c r="U21">
        <f t="shared" si="6"/>
        <v>21</v>
      </c>
      <c r="V21">
        <f t="shared" si="6"/>
        <v>22</v>
      </c>
      <c r="W21">
        <f t="shared" si="6"/>
        <v>23</v>
      </c>
      <c r="X21">
        <f t="shared" si="6"/>
        <v>24</v>
      </c>
      <c r="Y21">
        <f t="shared" si="6"/>
        <v>23</v>
      </c>
      <c r="Z21">
        <f t="shared" si="6"/>
        <v>24</v>
      </c>
      <c r="AA21">
        <f t="shared" si="6"/>
        <v>24</v>
      </c>
      <c r="AB21">
        <f t="shared" si="6"/>
        <v>22</v>
      </c>
      <c r="AC21">
        <f t="shared" si="6"/>
        <v>23</v>
      </c>
      <c r="AD21">
        <f t="shared" si="6"/>
        <v>22</v>
      </c>
      <c r="AE21">
        <f t="shared" si="6"/>
        <v>21</v>
      </c>
      <c r="AF21">
        <f t="shared" si="6"/>
        <v>21</v>
      </c>
      <c r="AG21">
        <f t="shared" si="6"/>
        <v>21</v>
      </c>
      <c r="AH21">
        <f t="shared" si="6"/>
        <v>20</v>
      </c>
      <c r="AI21">
        <f t="shared" si="6"/>
        <v>20</v>
      </c>
      <c r="AJ21">
        <f t="shared" si="6"/>
        <v>22</v>
      </c>
      <c r="AK21">
        <f t="shared" si="6"/>
        <v>20</v>
      </c>
      <c r="AL21">
        <f t="shared" si="6"/>
        <v>21</v>
      </c>
      <c r="AM21">
        <f t="shared" si="6"/>
        <v>22</v>
      </c>
      <c r="AN21">
        <f t="shared" si="6"/>
        <v>20</v>
      </c>
      <c r="AO21">
        <f t="shared" si="6"/>
        <v>20</v>
      </c>
      <c r="AP21">
        <f t="shared" si="6"/>
        <v>20</v>
      </c>
      <c r="AQ21">
        <f t="shared" si="6"/>
        <v>17</v>
      </c>
      <c r="AR21">
        <f t="shared" si="6"/>
        <v>20</v>
      </c>
      <c r="AS21">
        <f t="shared" si="6"/>
        <v>19</v>
      </c>
      <c r="AT21">
        <f t="shared" si="6"/>
        <v>19</v>
      </c>
      <c r="AU21">
        <f t="shared" si="6"/>
        <v>19</v>
      </c>
      <c r="AV21">
        <f t="shared" si="6"/>
        <v>19</v>
      </c>
      <c r="AW21">
        <f t="shared" si="6"/>
        <v>19</v>
      </c>
      <c r="AX21">
        <f t="shared" si="6"/>
        <v>18</v>
      </c>
      <c r="AY21">
        <f t="shared" si="6"/>
        <v>20</v>
      </c>
      <c r="AZ21">
        <f t="shared" si="6"/>
        <v>17</v>
      </c>
      <c r="BA21">
        <f t="shared" si="6"/>
        <v>19</v>
      </c>
      <c r="BB21">
        <f t="shared" si="6"/>
        <v>19</v>
      </c>
      <c r="BC21">
        <f t="shared" si="6"/>
        <v>21</v>
      </c>
      <c r="BD21">
        <f t="shared" si="6"/>
        <v>19</v>
      </c>
    </row>
    <row r="22" spans="1:56">
      <c r="A22" t="s">
        <v>69</v>
      </c>
      <c r="B22">
        <f>100*B4</f>
        <v>14.000000000000002</v>
      </c>
      <c r="C22">
        <f t="shared" si="6"/>
        <v>14.000000000000002</v>
      </c>
      <c r="D22">
        <f t="shared" si="6"/>
        <v>14.000000000000002</v>
      </c>
      <c r="E22">
        <f t="shared" si="6"/>
        <v>14.000000000000002</v>
      </c>
      <c r="F22">
        <f t="shared" si="6"/>
        <v>14.000000000000002</v>
      </c>
      <c r="G22">
        <f t="shared" si="6"/>
        <v>14.000000000000002</v>
      </c>
      <c r="H22">
        <f t="shared" si="6"/>
        <v>16</v>
      </c>
      <c r="I22">
        <f t="shared" si="6"/>
        <v>14.000000000000002</v>
      </c>
      <c r="J22">
        <f t="shared" si="6"/>
        <v>15</v>
      </c>
      <c r="K22">
        <f t="shared" si="6"/>
        <v>14.000000000000002</v>
      </c>
      <c r="L22">
        <f t="shared" si="6"/>
        <v>16</v>
      </c>
      <c r="M22">
        <f t="shared" si="6"/>
        <v>14.000000000000002</v>
      </c>
      <c r="N22">
        <f t="shared" si="6"/>
        <v>17</v>
      </c>
      <c r="O22">
        <f t="shared" si="6"/>
        <v>14.000000000000002</v>
      </c>
      <c r="P22">
        <f t="shared" si="6"/>
        <v>16</v>
      </c>
      <c r="Q22">
        <f t="shared" si="6"/>
        <v>15</v>
      </c>
      <c r="R22">
        <f t="shared" si="6"/>
        <v>16</v>
      </c>
      <c r="S22">
        <f t="shared" si="6"/>
        <v>16</v>
      </c>
      <c r="T22">
        <f t="shared" si="6"/>
        <v>17</v>
      </c>
      <c r="U22">
        <f t="shared" si="6"/>
        <v>15</v>
      </c>
      <c r="V22">
        <f t="shared" si="6"/>
        <v>17</v>
      </c>
      <c r="W22">
        <f t="shared" si="6"/>
        <v>15</v>
      </c>
      <c r="X22">
        <f t="shared" si="6"/>
        <v>15</v>
      </c>
      <c r="Y22">
        <f t="shared" si="6"/>
        <v>16</v>
      </c>
      <c r="Z22">
        <f t="shared" si="6"/>
        <v>16</v>
      </c>
      <c r="AA22">
        <f t="shared" si="6"/>
        <v>15</v>
      </c>
      <c r="AB22">
        <f t="shared" si="6"/>
        <v>16</v>
      </c>
      <c r="AC22">
        <f t="shared" si="6"/>
        <v>15</v>
      </c>
      <c r="AD22">
        <f t="shared" si="6"/>
        <v>14.000000000000002</v>
      </c>
      <c r="AE22">
        <f t="shared" si="6"/>
        <v>15</v>
      </c>
      <c r="AF22">
        <f t="shared" si="6"/>
        <v>16</v>
      </c>
      <c r="AG22">
        <f t="shared" si="6"/>
        <v>15</v>
      </c>
      <c r="AH22">
        <f t="shared" si="6"/>
        <v>16</v>
      </c>
      <c r="AI22">
        <f t="shared" si="6"/>
        <v>15</v>
      </c>
      <c r="AJ22">
        <f t="shared" si="6"/>
        <v>15</v>
      </c>
      <c r="AK22">
        <f t="shared" si="6"/>
        <v>15</v>
      </c>
      <c r="AL22">
        <f t="shared" si="6"/>
        <v>14.000000000000002</v>
      </c>
      <c r="AM22">
        <f t="shared" si="6"/>
        <v>15</v>
      </c>
      <c r="AN22">
        <f t="shared" si="6"/>
        <v>17</v>
      </c>
      <c r="AO22">
        <f t="shared" si="6"/>
        <v>16</v>
      </c>
      <c r="AP22">
        <f t="shared" si="6"/>
        <v>15</v>
      </c>
      <c r="AQ22">
        <f t="shared" si="6"/>
        <v>15</v>
      </c>
      <c r="AR22">
        <f t="shared" si="6"/>
        <v>15</v>
      </c>
      <c r="AS22">
        <f t="shared" si="6"/>
        <v>14.000000000000002</v>
      </c>
      <c r="AT22">
        <f t="shared" si="6"/>
        <v>13</v>
      </c>
      <c r="AU22">
        <f t="shared" si="6"/>
        <v>15</v>
      </c>
      <c r="AV22">
        <f t="shared" si="6"/>
        <v>14.000000000000002</v>
      </c>
      <c r="AW22">
        <f t="shared" si="6"/>
        <v>14.000000000000002</v>
      </c>
      <c r="AX22">
        <f t="shared" si="6"/>
        <v>14.000000000000002</v>
      </c>
      <c r="AY22">
        <f t="shared" si="6"/>
        <v>15</v>
      </c>
      <c r="AZ22">
        <f t="shared" si="6"/>
        <v>16</v>
      </c>
      <c r="BA22">
        <f t="shared" si="6"/>
        <v>16</v>
      </c>
      <c r="BB22">
        <f t="shared" si="6"/>
        <v>14.000000000000002</v>
      </c>
      <c r="BC22">
        <f t="shared" si="6"/>
        <v>14.000000000000002</v>
      </c>
      <c r="BD22">
        <f t="shared" si="6"/>
        <v>14.000000000000002</v>
      </c>
    </row>
    <row r="23" spans="1:56">
      <c r="A23" t="s">
        <v>73</v>
      </c>
      <c r="B23">
        <f>100*B8</f>
        <v>8</v>
      </c>
      <c r="C23">
        <f t="shared" ref="C23:BD23" si="7">100*C8</f>
        <v>9</v>
      </c>
      <c r="D23">
        <f t="shared" si="7"/>
        <v>9</v>
      </c>
      <c r="E23">
        <f t="shared" si="7"/>
        <v>9</v>
      </c>
      <c r="F23">
        <f t="shared" si="7"/>
        <v>9</v>
      </c>
      <c r="G23">
        <f t="shared" si="7"/>
        <v>9</v>
      </c>
      <c r="H23">
        <f t="shared" si="7"/>
        <v>8</v>
      </c>
      <c r="I23">
        <f t="shared" si="7"/>
        <v>9</v>
      </c>
      <c r="J23">
        <f t="shared" si="7"/>
        <v>9</v>
      </c>
      <c r="K23">
        <f t="shared" si="7"/>
        <v>9</v>
      </c>
      <c r="L23">
        <f t="shared" si="7"/>
        <v>10</v>
      </c>
      <c r="M23">
        <f t="shared" si="7"/>
        <v>11</v>
      </c>
      <c r="N23">
        <f t="shared" si="7"/>
        <v>9</v>
      </c>
      <c r="O23">
        <f t="shared" si="7"/>
        <v>11</v>
      </c>
      <c r="P23">
        <f t="shared" si="7"/>
        <v>10</v>
      </c>
      <c r="Q23">
        <f t="shared" si="7"/>
        <v>9</v>
      </c>
      <c r="R23">
        <f t="shared" si="7"/>
        <v>10</v>
      </c>
      <c r="S23">
        <f t="shared" si="7"/>
        <v>9</v>
      </c>
      <c r="T23">
        <f t="shared" si="7"/>
        <v>10</v>
      </c>
      <c r="U23">
        <f t="shared" si="7"/>
        <v>11</v>
      </c>
      <c r="V23">
        <f t="shared" si="7"/>
        <v>9</v>
      </c>
      <c r="W23">
        <f t="shared" si="7"/>
        <v>10</v>
      </c>
      <c r="X23">
        <f t="shared" si="7"/>
        <v>10</v>
      </c>
      <c r="Y23">
        <f t="shared" si="7"/>
        <v>10</v>
      </c>
      <c r="Z23">
        <f t="shared" si="7"/>
        <v>10</v>
      </c>
      <c r="AA23">
        <f t="shared" si="7"/>
        <v>11</v>
      </c>
      <c r="AB23">
        <f t="shared" si="7"/>
        <v>12</v>
      </c>
      <c r="AC23">
        <f t="shared" si="7"/>
        <v>11</v>
      </c>
      <c r="AD23">
        <f t="shared" si="7"/>
        <v>11</v>
      </c>
      <c r="AE23">
        <f t="shared" si="7"/>
        <v>11</v>
      </c>
      <c r="AF23">
        <f t="shared" si="7"/>
        <v>10</v>
      </c>
      <c r="AG23">
        <f t="shared" si="7"/>
        <v>10</v>
      </c>
      <c r="AH23">
        <f t="shared" si="7"/>
        <v>11</v>
      </c>
      <c r="AI23">
        <f t="shared" si="7"/>
        <v>10</v>
      </c>
      <c r="AJ23">
        <f t="shared" si="7"/>
        <v>12</v>
      </c>
      <c r="AK23">
        <f t="shared" si="7"/>
        <v>10</v>
      </c>
      <c r="AL23">
        <f t="shared" si="7"/>
        <v>12</v>
      </c>
      <c r="AM23">
        <f t="shared" si="7"/>
        <v>11</v>
      </c>
      <c r="AN23">
        <f t="shared" si="7"/>
        <v>12</v>
      </c>
      <c r="AO23">
        <f t="shared" si="7"/>
        <v>13</v>
      </c>
      <c r="AP23">
        <f t="shared" si="7"/>
        <v>15</v>
      </c>
      <c r="AQ23">
        <f t="shared" si="7"/>
        <v>16</v>
      </c>
      <c r="AR23">
        <f t="shared" si="7"/>
        <v>16</v>
      </c>
      <c r="AS23">
        <f t="shared" si="7"/>
        <v>15</v>
      </c>
      <c r="AT23">
        <f t="shared" si="7"/>
        <v>17</v>
      </c>
      <c r="AU23">
        <f t="shared" si="7"/>
        <v>16</v>
      </c>
      <c r="AV23">
        <f t="shared" si="7"/>
        <v>16</v>
      </c>
      <c r="AW23">
        <f t="shared" si="7"/>
        <v>15</v>
      </c>
      <c r="AX23">
        <f t="shared" si="7"/>
        <v>17</v>
      </c>
      <c r="AY23">
        <f t="shared" si="7"/>
        <v>15</v>
      </c>
      <c r="AZ23">
        <f t="shared" si="7"/>
        <v>15</v>
      </c>
      <c r="BA23">
        <f t="shared" si="7"/>
        <v>14.000000000000002</v>
      </c>
      <c r="BB23">
        <f t="shared" si="7"/>
        <v>17</v>
      </c>
      <c r="BC23">
        <f t="shared" si="7"/>
        <v>16</v>
      </c>
      <c r="BD23">
        <f t="shared" si="7"/>
        <v>17</v>
      </c>
    </row>
    <row r="28" spans="1:56">
      <c r="B28" t="s">
        <v>82</v>
      </c>
      <c r="C28" t="s">
        <v>83</v>
      </c>
      <c r="D28" t="s">
        <v>84</v>
      </c>
      <c r="E28" t="s">
        <v>85</v>
      </c>
      <c r="F28" t="s">
        <v>86</v>
      </c>
      <c r="G28" t="s">
        <v>87</v>
      </c>
    </row>
    <row r="29" spans="1:56">
      <c r="A29" t="s">
        <v>81</v>
      </c>
      <c r="B29">
        <v>33.700000000000003</v>
      </c>
      <c r="C29">
        <f>AVERAGE(B21:M21)</f>
        <v>25</v>
      </c>
      <c r="D29">
        <f>AVERAGE(N21:Z21)</f>
        <v>22.923076923076923</v>
      </c>
      <c r="E29">
        <f>AVERAGE(AA21:AM21)</f>
        <v>21.46153846153846</v>
      </c>
      <c r="F29">
        <f>AVERAGE(AN21:AY21)</f>
        <v>19.166666666666668</v>
      </c>
      <c r="G29" s="3">
        <f>AVERAGE(AZ21:BD21)</f>
        <v>19</v>
      </c>
    </row>
    <row r="30" spans="1:56">
      <c r="A30" t="s">
        <v>69</v>
      </c>
      <c r="B30">
        <v>12.2</v>
      </c>
      <c r="C30">
        <f t="shared" ref="C30:C31" si="8">AVERAGE(B22:M22)</f>
        <v>14.416666666666666</v>
      </c>
      <c r="D30">
        <f>AVERAGE(N22:Z22)</f>
        <v>15.76923076923077</v>
      </c>
      <c r="E30">
        <f>AVERAGE(AA22:AM22)</f>
        <v>15.076923076923077</v>
      </c>
      <c r="F30">
        <f>AVERAGE(AN22:AY22)</f>
        <v>14.75</v>
      </c>
      <c r="G30" s="3">
        <f>AVERAGE(AZ22:BD22)</f>
        <v>14.8</v>
      </c>
    </row>
    <row r="31" spans="1:56">
      <c r="A31" t="s">
        <v>73</v>
      </c>
      <c r="B31">
        <v>6.4</v>
      </c>
      <c r="C31">
        <f t="shared" si="8"/>
        <v>9.0833333333333339</v>
      </c>
      <c r="D31">
        <f>AVERAGE(N23:Z23)</f>
        <v>9.8461538461538467</v>
      </c>
      <c r="E31">
        <f>AVERAGE(AA23:AM23)</f>
        <v>10.923076923076923</v>
      </c>
      <c r="F31">
        <f>AVERAGE(AN23:AY23)</f>
        <v>15.25</v>
      </c>
      <c r="G31" s="3">
        <f>AVERAGE(AZ23:BD23)</f>
        <v>15.8</v>
      </c>
    </row>
    <row r="32" spans="1:56">
      <c r="A32" t="s">
        <v>79</v>
      </c>
      <c r="B32">
        <v>23.7</v>
      </c>
      <c r="C32">
        <f>AVERAGE(B19:M19)</f>
        <v>21.583333333333332</v>
      </c>
      <c r="D32">
        <f>AVERAGE(N19:Z19)</f>
        <v>18.384615384615383</v>
      </c>
      <c r="E32">
        <f>AVERAGE(AA19:AM19)</f>
        <v>16.846153846153847</v>
      </c>
      <c r="F32">
        <f>AVERAGE(AN19:AY19)</f>
        <v>17.5</v>
      </c>
      <c r="G32">
        <f>AVERAGE(AZ19:BD19)</f>
        <v>18.399999999999999</v>
      </c>
    </row>
    <row r="33" spans="1:10">
      <c r="A33" t="s">
        <v>80</v>
      </c>
      <c r="B33">
        <v>14.3</v>
      </c>
      <c r="C33">
        <f>AVERAGE(B20:M20)</f>
        <v>24.333333333333332</v>
      </c>
      <c r="D33">
        <f>AVERAGE(N20:Z20)</f>
        <v>26.76923076923077</v>
      </c>
      <c r="E33">
        <f>AVERAGE(AA20:AM20)</f>
        <v>28</v>
      </c>
      <c r="F33">
        <f>AVERAGE(AN20:AY20)</f>
        <v>26.5</v>
      </c>
      <c r="G33">
        <f>AVERAGE(AZ20:BD20)</f>
        <v>25</v>
      </c>
    </row>
    <row r="35" spans="1:10">
      <c r="B35">
        <f>B29+B30+B31</f>
        <v>52.300000000000004</v>
      </c>
      <c r="C35" s="4">
        <f>C29+C30+C31</f>
        <v>48.5</v>
      </c>
      <c r="D35" s="4">
        <f t="shared" ref="D35:G35" si="9">D29+D30+D31</f>
        <v>48.53846153846154</v>
      </c>
      <c r="E35" s="4">
        <f t="shared" si="9"/>
        <v>47.461538461538453</v>
      </c>
      <c r="F35" s="4">
        <f t="shared" si="9"/>
        <v>49.166666666666671</v>
      </c>
      <c r="G35" s="4">
        <f t="shared" si="9"/>
        <v>49.599999999999994</v>
      </c>
    </row>
    <row r="36" spans="1:10">
      <c r="B36" s="4">
        <f>B32+B33</f>
        <v>38</v>
      </c>
      <c r="C36" s="4">
        <f>C32+C33</f>
        <v>45.916666666666664</v>
      </c>
      <c r="D36" s="4">
        <f t="shared" ref="D36:G36" si="10">D32+D33</f>
        <v>45.153846153846153</v>
      </c>
      <c r="E36" s="4">
        <f t="shared" si="10"/>
        <v>44.846153846153847</v>
      </c>
      <c r="F36" s="4">
        <f t="shared" si="10"/>
        <v>44</v>
      </c>
      <c r="G36" s="4">
        <f t="shared" si="10"/>
        <v>43.4</v>
      </c>
    </row>
    <row r="37" spans="1:10">
      <c r="C37" t="s">
        <v>88</v>
      </c>
    </row>
    <row r="38" spans="1:10">
      <c r="B38" t="s">
        <v>89</v>
      </c>
      <c r="C38" t="s">
        <v>90</v>
      </c>
      <c r="D38" t="s">
        <v>91</v>
      </c>
      <c r="E38" t="s">
        <v>92</v>
      </c>
      <c r="F38" t="s">
        <v>79</v>
      </c>
      <c r="G38" t="s">
        <v>93</v>
      </c>
    </row>
    <row r="39" spans="1:10">
      <c r="A39" t="s">
        <v>81</v>
      </c>
      <c r="B39">
        <v>33.700000000000003</v>
      </c>
      <c r="C39" s="5">
        <f>[1]Labour!$AZ3</f>
        <v>0.5</v>
      </c>
      <c r="D39" s="5">
        <f>'[1]Liberal Democrat'!AZ3</f>
        <v>0.04</v>
      </c>
      <c r="E39">
        <v>0</v>
      </c>
      <c r="F39" s="5">
        <f>[1]Conservative!$AZ3</f>
        <v>0.01</v>
      </c>
      <c r="G39" s="5">
        <f>'[1]Reform UK'!AZ3</f>
        <v>0</v>
      </c>
      <c r="H39">
        <f>(B$39*C39)+(B$40*D39)+(B$41*E39)+(B$42*F39)+(B$43*G39)</f>
        <v>17.574999999999999</v>
      </c>
    </row>
    <row r="40" spans="1:10">
      <c r="A40" t="s">
        <v>69</v>
      </c>
      <c r="B40">
        <v>12.2</v>
      </c>
      <c r="C40" s="5">
        <f>[1]Labour!$AZ4</f>
        <v>0.12</v>
      </c>
      <c r="D40" s="5">
        <f>'[1]Liberal Democrat'!AZ4</f>
        <v>0.72</v>
      </c>
      <c r="E40">
        <v>0</v>
      </c>
      <c r="F40" s="5">
        <f>[1]Conservative!$AZ4</f>
        <v>0.06</v>
      </c>
      <c r="G40" s="5">
        <f>'[1]Reform UK'!AZ4</f>
        <v>0.02</v>
      </c>
      <c r="H40">
        <f t="shared" ref="H40:H43" si="11">(B$39*C40)+(B$40*D40)+(B$41*E40)+(B$42*F40)+(B$43*G40)</f>
        <v>14.536</v>
      </c>
    </row>
    <row r="41" spans="1:10">
      <c r="A41" t="s">
        <v>73</v>
      </c>
      <c r="B41">
        <v>6.4</v>
      </c>
      <c r="C41" s="5">
        <f>[1]Labour!$AZ8</f>
        <v>0.17</v>
      </c>
      <c r="D41" s="5">
        <f>'[1]Liberal Democrat'!AZ8</f>
        <v>0.13</v>
      </c>
      <c r="E41">
        <v>1</v>
      </c>
      <c r="F41" s="5">
        <f>[1]Conservative!$AZ8</f>
        <v>0.02</v>
      </c>
      <c r="G41" s="5">
        <f>'[1]Reform UK'!AZ8</f>
        <v>0.01</v>
      </c>
      <c r="H41">
        <f t="shared" si="11"/>
        <v>14.332000000000003</v>
      </c>
    </row>
    <row r="42" spans="1:10">
      <c r="A42" t="s">
        <v>79</v>
      </c>
      <c r="B42">
        <v>23.7</v>
      </c>
      <c r="C42" s="5">
        <f>[1]Labour!$AZ2</f>
        <v>0.05</v>
      </c>
      <c r="D42" s="5">
        <f>'[1]Liberal Democrat'!AZ2</f>
        <v>0.06</v>
      </c>
      <c r="E42">
        <v>0</v>
      </c>
      <c r="F42" s="5">
        <f>[1]Conservative!$AZ2</f>
        <v>0.64</v>
      </c>
      <c r="G42" s="5">
        <f>'[1]Reform UK'!AZ2</f>
        <v>0.03</v>
      </c>
      <c r="H42">
        <f t="shared" si="11"/>
        <v>18.013999999999999</v>
      </c>
    </row>
    <row r="43" spans="1:10">
      <c r="A43" t="s">
        <v>80</v>
      </c>
      <c r="B43">
        <v>14.3</v>
      </c>
      <c r="C43" s="5">
        <f>[1]Labour!$AZ7</f>
        <v>0.11</v>
      </c>
      <c r="D43" s="5">
        <f>'[1]Liberal Democrat'!AZ7</f>
        <v>0.03</v>
      </c>
      <c r="E43">
        <v>0</v>
      </c>
      <c r="F43" s="5">
        <f>[1]Conservative!$AZ7</f>
        <v>0.25</v>
      </c>
      <c r="G43" s="5">
        <f>'[1]Reform UK'!AZ7</f>
        <v>0.93</v>
      </c>
      <c r="H43">
        <f t="shared" si="11"/>
        <v>23.297000000000004</v>
      </c>
    </row>
    <row r="45" spans="1:10">
      <c r="A45" t="s">
        <v>94</v>
      </c>
    </row>
    <row r="46" spans="1:10">
      <c r="D46" t="s">
        <v>95</v>
      </c>
      <c r="E46" t="s">
        <v>95</v>
      </c>
      <c r="F46" t="s">
        <v>95</v>
      </c>
      <c r="G46" t="s">
        <v>95</v>
      </c>
      <c r="H46" t="s">
        <v>95</v>
      </c>
      <c r="I46" t="s">
        <v>95</v>
      </c>
      <c r="J46" t="s">
        <v>95</v>
      </c>
    </row>
    <row r="47" spans="1:10">
      <c r="B47" t="s">
        <v>89</v>
      </c>
      <c r="D47" t="str">
        <f t="shared" ref="D47:G47" si="12">AX1</f>
        <v>2025-12-15</v>
      </c>
      <c r="E47" t="str">
        <f t="shared" si="12"/>
        <v>2025-12-22</v>
      </c>
      <c r="F47" t="str">
        <f t="shared" si="12"/>
        <v>2026-01-05</v>
      </c>
      <c r="G47" t="str">
        <f t="shared" si="12"/>
        <v>2026-01-12</v>
      </c>
      <c r="H47" t="str">
        <f>BB1</f>
        <v>2026-01-19</v>
      </c>
      <c r="I47" t="str">
        <f>BC1</f>
        <v>2026-01-26</v>
      </c>
      <c r="J47" t="str">
        <f>BD1</f>
        <v>2026-02-02</v>
      </c>
    </row>
    <row r="48" spans="1:10">
      <c r="A48" t="s">
        <v>81</v>
      </c>
      <c r="B48">
        <v>33.700000000000003</v>
      </c>
      <c r="D48" s="2">
        <f>[1]Labour!AX16</f>
        <v>80</v>
      </c>
      <c r="E48" s="2">
        <f>[1]Labour!AY16</f>
        <v>80</v>
      </c>
      <c r="F48" s="2">
        <f>[1]Labour!AZ16</f>
        <v>79</v>
      </c>
      <c r="G48" s="2">
        <f>[1]Labour!BA16</f>
        <v>83</v>
      </c>
      <c r="H48" s="2">
        <f>[1]Labour!BB16</f>
        <v>84.000000000000014</v>
      </c>
      <c r="I48" s="2">
        <f>[1]Labour!BC16</f>
        <v>86.000000000000014</v>
      </c>
      <c r="J48" s="2">
        <f>[1]Labour!BD16</f>
        <v>81</v>
      </c>
    </row>
    <row r="49" spans="1:10">
      <c r="A49" t="s">
        <v>69</v>
      </c>
      <c r="B49">
        <v>12.2</v>
      </c>
      <c r="D49" s="2">
        <f>'[1]Liberal Democrat'!AX16</f>
        <v>83</v>
      </c>
      <c r="E49" s="2">
        <f>'[1]Liberal Democrat'!AY16</f>
        <v>88</v>
      </c>
      <c r="F49" s="2">
        <f>'[1]Liberal Democrat'!AZ16</f>
        <v>89</v>
      </c>
      <c r="G49" s="2">
        <f>'[1]Liberal Democrat'!BA16</f>
        <v>87.999999999999986</v>
      </c>
      <c r="H49" s="2">
        <f>'[1]Liberal Democrat'!BB16</f>
        <v>89</v>
      </c>
      <c r="I49" s="2">
        <f>'[1]Liberal Democrat'!BC16</f>
        <v>82</v>
      </c>
      <c r="J49" s="2">
        <f>'[1]Liberal Democrat'!BD16</f>
        <v>91</v>
      </c>
    </row>
    <row r="50" spans="1:10">
      <c r="A50" t="s">
        <v>73</v>
      </c>
      <c r="B50">
        <v>6.4</v>
      </c>
      <c r="D50" s="2">
        <f t="shared" ref="D50:G50" si="13">AVERAGE(D48:D49)</f>
        <v>81.5</v>
      </c>
      <c r="E50" s="2">
        <f t="shared" si="13"/>
        <v>84</v>
      </c>
      <c r="F50" s="2">
        <f t="shared" si="13"/>
        <v>84</v>
      </c>
      <c r="G50" s="2">
        <f t="shared" si="13"/>
        <v>85.5</v>
      </c>
      <c r="H50" s="2">
        <f>AVERAGE(H48:H49)</f>
        <v>86.5</v>
      </c>
      <c r="I50" s="2">
        <f>AVERAGE(I48:I49)</f>
        <v>84</v>
      </c>
      <c r="J50" s="2">
        <f>AVERAGE(J48:J49)</f>
        <v>86</v>
      </c>
    </row>
    <row r="51" spans="1:10">
      <c r="A51" t="s">
        <v>79</v>
      </c>
      <c r="B51">
        <v>23.7</v>
      </c>
      <c r="D51" s="2">
        <f>[1]Conservative!AX15</f>
        <v>87.999999999999986</v>
      </c>
      <c r="E51" s="2">
        <f>[1]Conservative!AY15</f>
        <v>92</v>
      </c>
      <c r="F51" s="2">
        <f>[1]Conservative!AZ15</f>
        <v>89</v>
      </c>
      <c r="G51" s="2">
        <f>[1]Conservative!BA15</f>
        <v>92</v>
      </c>
      <c r="H51" s="2">
        <f>[1]Conservative!BB15</f>
        <v>90</v>
      </c>
      <c r="I51" s="2">
        <f>[1]Conservative!BC15</f>
        <v>87.999999999999986</v>
      </c>
      <c r="J51" s="2">
        <f>[1]Conservative!BD15</f>
        <v>88</v>
      </c>
    </row>
    <row r="52" spans="1:10">
      <c r="A52" t="s">
        <v>80</v>
      </c>
      <c r="B52">
        <v>14.3</v>
      </c>
      <c r="D52" s="2">
        <f>'[1]Reform UK'!AX15</f>
        <v>96.000000000000014</v>
      </c>
      <c r="E52" s="2">
        <f>'[1]Reform UK'!AY15</f>
        <v>89.999999999999986</v>
      </c>
      <c r="F52" s="2">
        <f>'[1]Reform UK'!AZ15</f>
        <v>96.000000000000014</v>
      </c>
      <c r="G52" s="2">
        <f>'[1]Reform UK'!BA15</f>
        <v>96</v>
      </c>
      <c r="H52" s="2">
        <f>'[1]Reform UK'!BB15</f>
        <v>92</v>
      </c>
      <c r="I52" s="2">
        <f>'[1]Reform UK'!BC15</f>
        <v>95</v>
      </c>
      <c r="J52" s="2">
        <f>'[1]Reform UK'!BD15</f>
        <v>95</v>
      </c>
    </row>
    <row r="54" spans="1:10">
      <c r="A54" t="s">
        <v>96</v>
      </c>
      <c r="B54">
        <f>B48+B49+B50</f>
        <v>52.300000000000004</v>
      </c>
      <c r="D54" s="3">
        <f t="shared" ref="D54:G54" si="14">SUMPRODUCT($B48:$B50,D48:D50)/SUM($B48:$B50)</f>
        <v>80.883365200764814</v>
      </c>
      <c r="E54" s="3">
        <f t="shared" si="14"/>
        <v>82.355640535372842</v>
      </c>
      <c r="F54" s="3">
        <f t="shared" si="14"/>
        <v>81.944550669216071</v>
      </c>
      <c r="G54" s="3">
        <f t="shared" si="14"/>
        <v>84.472275334608014</v>
      </c>
      <c r="H54" s="3">
        <f>SUMPRODUCT($B48:$B50,H48:H50)/SUM($B48:$B50)</f>
        <v>85.472275334608042</v>
      </c>
      <c r="I54" s="3">
        <f>SUMPRODUCT($B48:$B50,I48:I50)/SUM($B48:$B50)</f>
        <v>84.822179732313586</v>
      </c>
      <c r="J54" s="3">
        <f>SUMPRODUCT($B48:$B50,J48:J50)/SUM($B48:$B50)</f>
        <v>83.944550669216056</v>
      </c>
    </row>
    <row r="55" spans="1:10">
      <c r="A55" t="s">
        <v>97</v>
      </c>
      <c r="B55">
        <f>B51+B52</f>
        <v>38</v>
      </c>
      <c r="D55" s="3">
        <f t="shared" ref="D55:G55" si="15">SUMPRODUCT($B51:$B52,D51:D52)/SUM($B51:$B52)</f>
        <v>91.010526315789463</v>
      </c>
      <c r="E55" s="3">
        <f t="shared" si="15"/>
        <v>91.247368421052627</v>
      </c>
      <c r="F55" s="3">
        <f t="shared" si="15"/>
        <v>91.634210526315783</v>
      </c>
      <c r="G55" s="3">
        <f t="shared" si="15"/>
        <v>93.505263157894746</v>
      </c>
      <c r="H55" s="3">
        <f>SUMPRODUCT($B51:$B52,H51:H52)/SUM($B51:$B52)</f>
        <v>90.752631578947373</v>
      </c>
      <c r="I55" s="3">
        <f>SUMPRODUCT($B51:$B52,I51:I52)/SUM($B51:$B52)</f>
        <v>90.634210526315769</v>
      </c>
      <c r="J55" s="3">
        <f>SUMPRODUCT($B51:$B52,J51:J52)/SUM($B51:$B52)</f>
        <v>90.634210526315783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56CF-D21B-4342-9F49-964A5391340B}">
  <dimension ref="A1:BA116"/>
  <sheetViews>
    <sheetView zoomScaleNormal="100" workbookViewId="0">
      <pane xSplit="1" ySplit="4" topLeftCell="S43" activePane="bottomRight" state="frozen"/>
      <selection activeCell="B5" sqref="B5"/>
      <selection pane="topRight" activeCell="B5" sqref="B5"/>
      <selection pane="bottomLeft" activeCell="B5" sqref="B5"/>
      <selection pane="bottomRight" activeCell="Z63" sqref="Z63"/>
    </sheetView>
  </sheetViews>
  <sheetFormatPr defaultColWidth="9.140625" defaultRowHeight="12.75"/>
  <cols>
    <col min="1" max="1" width="30.5703125" style="9" customWidth="1"/>
    <col min="2" max="51" width="9.140625" style="17"/>
    <col min="52" max="52" width="12" style="17" bestFit="1" customWidth="1"/>
    <col min="53" max="16384" width="9.140625" style="17"/>
  </cols>
  <sheetData>
    <row r="1" spans="1:53" s="9" customFormat="1" ht="40.5" customHeight="1">
      <c r="A1" s="6" t="s">
        <v>98</v>
      </c>
      <c r="B1" s="7" t="s">
        <v>99</v>
      </c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</row>
    <row r="2" spans="1:53" s="9" customFormat="1" ht="13.5" customHeight="1">
      <c r="A2" s="10" t="s">
        <v>100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1:53" s="9" customFormat="1" ht="13.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 spans="1:53" s="9" customFormat="1" ht="13.5" customHeight="1">
      <c r="A4" s="11" t="s">
        <v>101</v>
      </c>
      <c r="B4" s="12" t="s">
        <v>102</v>
      </c>
      <c r="C4" s="12" t="s">
        <v>103</v>
      </c>
      <c r="D4" s="12" t="s">
        <v>104</v>
      </c>
      <c r="E4" s="12" t="s">
        <v>105</v>
      </c>
      <c r="F4" s="12" t="s">
        <v>106</v>
      </c>
      <c r="G4" s="12" t="s">
        <v>107</v>
      </c>
      <c r="H4" s="12" t="s">
        <v>108</v>
      </c>
      <c r="I4" s="12" t="s">
        <v>109</v>
      </c>
      <c r="J4" s="12" t="s">
        <v>110</v>
      </c>
      <c r="K4" s="12" t="s">
        <v>111</v>
      </c>
      <c r="L4" s="12" t="s">
        <v>112</v>
      </c>
      <c r="M4" s="12" t="s">
        <v>113</v>
      </c>
      <c r="N4" s="12" t="s">
        <v>114</v>
      </c>
      <c r="O4" s="12" t="s">
        <v>115</v>
      </c>
      <c r="P4" s="12" t="s">
        <v>116</v>
      </c>
      <c r="Q4" s="12" t="s">
        <v>117</v>
      </c>
      <c r="R4" s="12" t="s">
        <v>118</v>
      </c>
      <c r="S4" s="12" t="s">
        <v>119</v>
      </c>
      <c r="T4" s="10" t="s">
        <v>120</v>
      </c>
      <c r="U4" s="10" t="s">
        <v>121</v>
      </c>
      <c r="V4" s="10" t="s">
        <v>122</v>
      </c>
      <c r="W4" s="10" t="s">
        <v>123</v>
      </c>
      <c r="X4" s="10" t="s">
        <v>124</v>
      </c>
      <c r="Y4" s="10" t="s">
        <v>125</v>
      </c>
      <c r="Z4" s="10" t="s">
        <v>126</v>
      </c>
      <c r="AA4" s="10" t="s">
        <v>127</v>
      </c>
      <c r="AB4" s="10" t="s">
        <v>128</v>
      </c>
      <c r="AC4" s="10" t="s">
        <v>129</v>
      </c>
      <c r="AD4" s="10" t="s">
        <v>130</v>
      </c>
      <c r="AE4" s="10" t="s">
        <v>131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:53" ht="13.5">
      <c r="A5" s="13" t="s">
        <v>132</v>
      </c>
      <c r="B5" s="14">
        <v>-1.2084081957819852</v>
      </c>
      <c r="C5" s="14">
        <v>5.8657884209228989E-2</v>
      </c>
      <c r="D5" s="14">
        <v>1.678578345273021</v>
      </c>
      <c r="E5" s="14">
        <v>1.53698460103992</v>
      </c>
      <c r="F5" s="14">
        <v>1.451523663236199</v>
      </c>
      <c r="G5" s="14">
        <v>1.6949171983007898</v>
      </c>
      <c r="H5" s="14">
        <v>1.655598679561928</v>
      </c>
      <c r="I5" s="14">
        <v>1.6234890298091784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  <c r="Y5" s="15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</row>
    <row r="6" spans="1:53" ht="13.5">
      <c r="A6" s="13" t="s">
        <v>133</v>
      </c>
      <c r="B6" s="14"/>
      <c r="C6" s="14">
        <v>0.34981355166069883</v>
      </c>
      <c r="D6" s="14">
        <v>1.6027933549584681</v>
      </c>
      <c r="E6" s="14">
        <v>2.4243968911239393</v>
      </c>
      <c r="F6" s="14">
        <v>2.0203004605726531</v>
      </c>
      <c r="G6" s="14">
        <v>2.1806310255785211</v>
      </c>
      <c r="H6" s="14">
        <v>2.0489405992347542</v>
      </c>
      <c r="I6" s="14">
        <v>1.9393303914256246</v>
      </c>
      <c r="J6" s="14">
        <v>1.6667330406173229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5"/>
      <c r="Y6" s="15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</row>
    <row r="7" spans="1:53" ht="13.5">
      <c r="A7" s="13" t="s">
        <v>134</v>
      </c>
      <c r="B7" s="14"/>
      <c r="C7" s="14">
        <v>7.5616447930689001E-2</v>
      </c>
      <c r="D7" s="14">
        <v>2.1715062031514307</v>
      </c>
      <c r="E7" s="14">
        <v>3.3625446404720103</v>
      </c>
      <c r="F7" s="14">
        <v>2.800089033812426</v>
      </c>
      <c r="G7" s="14">
        <v>2.4649996617233483</v>
      </c>
      <c r="H7" s="14">
        <v>2.1027681488424812</v>
      </c>
      <c r="I7" s="14">
        <v>1.9343427682878751</v>
      </c>
      <c r="J7" s="14">
        <v>1.5945419620796246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5"/>
      <c r="Y7" s="15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</row>
    <row r="8" spans="1:53" ht="13.5">
      <c r="A8" s="13" t="s">
        <v>135</v>
      </c>
      <c r="B8" s="14"/>
      <c r="C8" s="14"/>
      <c r="D8" s="14">
        <v>1.7737191258722689</v>
      </c>
      <c r="E8" s="14">
        <v>2.1791821908403413</v>
      </c>
      <c r="F8" s="14">
        <v>2.2428547205080003</v>
      </c>
      <c r="G8" s="14">
        <v>2.4905712631672041</v>
      </c>
      <c r="H8" s="14">
        <v>2.1754704087779939</v>
      </c>
      <c r="I8" s="14">
        <v>2.0047050903807238</v>
      </c>
      <c r="J8" s="14">
        <v>1.6362672395473667</v>
      </c>
      <c r="K8" s="14">
        <v>1.4779235686012611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5"/>
      <c r="Y8" s="15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</row>
    <row r="9" spans="1:53" ht="13.5">
      <c r="A9" s="13" t="s">
        <v>136</v>
      </c>
      <c r="B9" s="14"/>
      <c r="C9" s="14"/>
      <c r="D9" s="14">
        <v>1.7980610787063074</v>
      </c>
      <c r="E9" s="14">
        <v>2.3248920083822058</v>
      </c>
      <c r="F9" s="14">
        <v>2.359512992100663</v>
      </c>
      <c r="G9" s="14">
        <v>2.3997045404658528</v>
      </c>
      <c r="H9" s="14">
        <v>2.1904584069232098</v>
      </c>
      <c r="I9" s="14">
        <v>1.9664341545751556</v>
      </c>
      <c r="J9" s="14">
        <v>1.646152140666137</v>
      </c>
      <c r="K9" s="14">
        <v>1.4680103754484262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5"/>
      <c r="Y9" s="15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</row>
    <row r="10" spans="1:53" ht="13.5">
      <c r="A10" s="13" t="s">
        <v>137</v>
      </c>
      <c r="B10" s="14"/>
      <c r="C10" s="14"/>
      <c r="D10" s="14"/>
      <c r="E10" s="14">
        <v>2.6538138904695558</v>
      </c>
      <c r="F10" s="14">
        <v>2.9420986107915237</v>
      </c>
      <c r="G10" s="14">
        <v>2.230508155124912</v>
      </c>
      <c r="H10" s="14">
        <v>1.6009725644240462</v>
      </c>
      <c r="I10" s="14">
        <v>1.6349838782186652</v>
      </c>
      <c r="J10" s="14">
        <v>1.6116955037171181</v>
      </c>
      <c r="K10" s="14">
        <v>1.5361964590920545</v>
      </c>
      <c r="L10" s="14">
        <v>1.4189164630786155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5"/>
      <c r="Y10" s="15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</row>
    <row r="11" spans="1:53" ht="13.5">
      <c r="A11" s="13" t="s">
        <v>138</v>
      </c>
      <c r="B11" s="14"/>
      <c r="C11" s="14"/>
      <c r="D11" s="14"/>
      <c r="E11" s="14">
        <v>2.7306164369132064</v>
      </c>
      <c r="F11" s="14">
        <v>3.0350161085707676</v>
      </c>
      <c r="G11" s="14">
        <v>2.3669640288957541</v>
      </c>
      <c r="H11" s="14">
        <v>1.8793613301240635</v>
      </c>
      <c r="I11" s="14">
        <v>1.5820498494059583</v>
      </c>
      <c r="J11" s="14">
        <v>1.5711707803607011</v>
      </c>
      <c r="K11" s="14">
        <v>1.5553815821971111</v>
      </c>
      <c r="L11" s="14">
        <v>1.4946147244496832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5"/>
      <c r="Y11" s="15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</row>
    <row r="12" spans="1:53" ht="13.5">
      <c r="A12" s="13" t="s">
        <v>139</v>
      </c>
      <c r="B12" s="14"/>
      <c r="C12" s="14"/>
      <c r="D12" s="14"/>
      <c r="E12" s="14"/>
      <c r="F12" s="14">
        <v>3.2492370404206357</v>
      </c>
      <c r="G12" s="14">
        <v>2.8223933633979277</v>
      </c>
      <c r="H12" s="14">
        <v>2.6387834633315936</v>
      </c>
      <c r="I12" s="14">
        <v>2.2337798009500602</v>
      </c>
      <c r="J12" s="14">
        <v>1.8801632789556715</v>
      </c>
      <c r="K12" s="14">
        <v>1.6822196533264384</v>
      </c>
      <c r="L12" s="14">
        <v>1.5184762923188191</v>
      </c>
      <c r="M12" s="14">
        <v>1.3154076899248661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5"/>
      <c r="Y12" s="15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</row>
    <row r="13" spans="1:53" ht="13.5">
      <c r="A13" s="13" t="s">
        <v>140</v>
      </c>
      <c r="B13" s="14"/>
      <c r="C13" s="14"/>
      <c r="D13" s="14"/>
      <c r="E13" s="14"/>
      <c r="F13" s="14">
        <v>3.2415381752455175</v>
      </c>
      <c r="G13" s="14">
        <v>2.8168268392082547</v>
      </c>
      <c r="H13" s="14">
        <v>2.495810144078296</v>
      </c>
      <c r="I13" s="14">
        <v>2.4091321295505792</v>
      </c>
      <c r="J13" s="14">
        <v>2.037669230794136</v>
      </c>
      <c r="K13" s="14">
        <v>1.844208812028409</v>
      </c>
      <c r="L13" s="14">
        <v>1.5917481248317582</v>
      </c>
      <c r="M13" s="14">
        <v>1.4060104976491312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5"/>
      <c r="Y13" s="15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</row>
    <row r="14" spans="1:53" ht="13.5">
      <c r="A14" s="13" t="s">
        <v>141</v>
      </c>
      <c r="B14" s="14"/>
      <c r="C14" s="14"/>
      <c r="D14" s="14"/>
      <c r="E14" s="14"/>
      <c r="F14" s="14"/>
      <c r="G14" s="14">
        <v>2.7617636357890891</v>
      </c>
      <c r="H14" s="14">
        <v>2.2016501875766461</v>
      </c>
      <c r="I14" s="14">
        <v>2.783467608324167</v>
      </c>
      <c r="J14" s="14">
        <v>2.3789812450528092</v>
      </c>
      <c r="K14" s="14">
        <v>1.9157605426443944</v>
      </c>
      <c r="L14" s="14">
        <v>1.6904582476470664</v>
      </c>
      <c r="M14" s="14">
        <v>1.4528347976438685</v>
      </c>
      <c r="N14" s="14">
        <v>1.2655629662293291</v>
      </c>
      <c r="O14" s="14"/>
      <c r="P14" s="14"/>
      <c r="Q14" s="14"/>
      <c r="R14" s="14"/>
      <c r="S14" s="14"/>
      <c r="T14" s="14"/>
      <c r="U14" s="14"/>
      <c r="V14" s="14"/>
      <c r="W14" s="14"/>
      <c r="X14" s="15"/>
      <c r="Y14" s="15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</row>
    <row r="15" spans="1:53" ht="13.5">
      <c r="A15" s="13" t="s">
        <v>142</v>
      </c>
      <c r="B15" s="14"/>
      <c r="C15" s="14"/>
      <c r="D15" s="14"/>
      <c r="E15" s="14"/>
      <c r="F15" s="14"/>
      <c r="G15" s="14">
        <v>2.821885812454147</v>
      </c>
      <c r="H15" s="14">
        <v>2.2066235683792521</v>
      </c>
      <c r="I15" s="14">
        <v>2.7263019560212562</v>
      </c>
      <c r="J15" s="14">
        <v>2.6913949020246895</v>
      </c>
      <c r="K15" s="14">
        <v>2.1655923945242326</v>
      </c>
      <c r="L15" s="14">
        <v>1.769814391337045</v>
      </c>
      <c r="M15" s="14">
        <v>1.4748539501850499</v>
      </c>
      <c r="N15" s="14">
        <v>1.2265617962762416</v>
      </c>
      <c r="O15" s="14"/>
      <c r="P15" s="14"/>
      <c r="Q15" s="14"/>
      <c r="R15" s="14"/>
      <c r="S15" s="14"/>
      <c r="T15" s="14"/>
      <c r="U15" s="14"/>
      <c r="V15" s="14"/>
      <c r="W15" s="14"/>
      <c r="X15" s="15"/>
      <c r="Y15" s="15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</row>
    <row r="16" spans="1:53" ht="13.5">
      <c r="A16" s="13" t="s">
        <v>143</v>
      </c>
      <c r="B16" s="14"/>
      <c r="C16" s="14"/>
      <c r="D16" s="14"/>
      <c r="E16" s="14"/>
      <c r="F16" s="14"/>
      <c r="G16" s="14"/>
      <c r="H16" s="14">
        <v>2.2568569170372652</v>
      </c>
      <c r="I16" s="14">
        <v>2.902023409070126</v>
      </c>
      <c r="J16" s="14">
        <v>5.2638126105576992</v>
      </c>
      <c r="K16" s="14">
        <v>7.1594615578370036</v>
      </c>
      <c r="L16" s="14">
        <v>5.5507852780894797</v>
      </c>
      <c r="M16" s="14">
        <v>4.2588918316395832</v>
      </c>
      <c r="N16" s="14">
        <v>3.4656542085789823</v>
      </c>
      <c r="O16" s="14">
        <v>2.7762481975974742</v>
      </c>
      <c r="P16" s="14"/>
      <c r="Q16" s="14"/>
      <c r="R16" s="14"/>
      <c r="S16" s="14"/>
      <c r="T16" s="14"/>
      <c r="U16" s="14"/>
      <c r="V16" s="14"/>
      <c r="W16" s="14"/>
      <c r="X16" s="15"/>
      <c r="Y16" s="15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ht="13.5">
      <c r="A17" s="13" t="s">
        <v>144</v>
      </c>
      <c r="B17" s="14"/>
      <c r="C17" s="14"/>
      <c r="D17" s="14"/>
      <c r="E17" s="14"/>
      <c r="F17" s="14"/>
      <c r="G17" s="14"/>
      <c r="H17" s="14">
        <v>2.275087037995783</v>
      </c>
      <c r="I17" s="14">
        <v>2.7324827996944983</v>
      </c>
      <c r="J17" s="14">
        <v>5.7018153140347945</v>
      </c>
      <c r="K17" s="14">
        <v>9.7741816379114042</v>
      </c>
      <c r="L17" s="14">
        <v>8.9085046733375819</v>
      </c>
      <c r="M17" s="14">
        <v>6.7824663869426782</v>
      </c>
      <c r="N17" s="14">
        <v>5.5264111392169966</v>
      </c>
      <c r="O17" s="14">
        <v>4.5178846850446677</v>
      </c>
      <c r="P17" s="14"/>
      <c r="Q17" s="14"/>
      <c r="R17" s="14"/>
      <c r="S17" s="14"/>
      <c r="T17" s="14"/>
      <c r="U17" s="14"/>
      <c r="V17" s="14"/>
      <c r="W17" s="14"/>
      <c r="X17" s="15"/>
      <c r="Y17" s="15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</row>
    <row r="18" spans="1:53" ht="13.5">
      <c r="A18" s="13" t="s">
        <v>145</v>
      </c>
      <c r="B18" s="14"/>
      <c r="C18" s="14"/>
      <c r="D18" s="14"/>
      <c r="E18" s="14"/>
      <c r="F18" s="14"/>
      <c r="G18" s="14"/>
      <c r="H18" s="14"/>
      <c r="I18" s="14">
        <v>2.6091138954935094</v>
      </c>
      <c r="J18" s="14">
        <v>5.7282012015773871</v>
      </c>
      <c r="K18" s="14">
        <v>9.0250709024109241</v>
      </c>
      <c r="L18" s="14">
        <v>8.0338678451453713</v>
      </c>
      <c r="M18" s="14">
        <v>5.8276356002778513</v>
      </c>
      <c r="N18" s="14">
        <v>4.4827299711877622</v>
      </c>
      <c r="O18" s="14">
        <v>3.5996532819974059</v>
      </c>
      <c r="P18" s="14">
        <v>3.1220352015522153</v>
      </c>
      <c r="Q18" s="14"/>
      <c r="R18" s="14"/>
      <c r="S18" s="14"/>
      <c r="T18" s="14"/>
      <c r="U18" s="14"/>
      <c r="V18" s="14"/>
      <c r="W18" s="14"/>
      <c r="X18" s="15"/>
      <c r="Y18" s="15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</row>
    <row r="19" spans="1:53" ht="13.5">
      <c r="A19" s="13" t="s">
        <v>146</v>
      </c>
      <c r="B19" s="14"/>
      <c r="C19" s="14"/>
      <c r="D19" s="14"/>
      <c r="E19" s="14"/>
      <c r="F19" s="14"/>
      <c r="G19" s="14"/>
      <c r="H19" s="14"/>
      <c r="I19" s="14">
        <v>2.5407559913402427</v>
      </c>
      <c r="J19" s="14">
        <v>5.7506439125000917</v>
      </c>
      <c r="K19" s="14">
        <v>8.3732962505276696</v>
      </c>
      <c r="L19" s="14">
        <v>7.3198416566497375</v>
      </c>
      <c r="M19" s="14">
        <v>5.2828027388007417</v>
      </c>
      <c r="N19" s="14">
        <v>4.0730259979259591</v>
      </c>
      <c r="O19" s="14">
        <v>3.0769292894156628</v>
      </c>
      <c r="P19" s="14">
        <v>2.5223655937122498</v>
      </c>
      <c r="Q19" s="14"/>
      <c r="R19" s="14"/>
      <c r="S19" s="14"/>
      <c r="T19" s="14"/>
      <c r="U19" s="14"/>
      <c r="V19" s="14"/>
      <c r="W19" s="14"/>
      <c r="X19" s="15"/>
      <c r="Y19" s="15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1:53" ht="13.5">
      <c r="A20" s="13" t="s">
        <v>147</v>
      </c>
      <c r="B20" s="14"/>
      <c r="C20" s="14"/>
      <c r="D20" s="14"/>
      <c r="E20" s="14"/>
      <c r="F20" s="14"/>
      <c r="G20" s="14"/>
      <c r="H20" s="14"/>
      <c r="I20" s="14"/>
      <c r="J20" s="14">
        <v>6.3288303934812555</v>
      </c>
      <c r="K20" s="14">
        <v>8.7422363713807965</v>
      </c>
      <c r="L20" s="14">
        <v>7.4398414079924056</v>
      </c>
      <c r="M20" s="14">
        <v>5.0141456976415135</v>
      </c>
      <c r="N20" s="14">
        <v>3.374541265951744</v>
      </c>
      <c r="O20" s="14">
        <v>1.815690984001201</v>
      </c>
      <c r="P20" s="14">
        <v>0.80790427053020131</v>
      </c>
      <c r="Q20" s="14">
        <v>0.28439774083230063</v>
      </c>
      <c r="R20" s="14"/>
      <c r="S20" s="14"/>
      <c r="T20" s="14"/>
      <c r="U20" s="14"/>
      <c r="V20" s="14"/>
      <c r="W20" s="14"/>
      <c r="X20" s="15"/>
      <c r="Y20" s="15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t="13.5">
      <c r="A21" s="13" t="s">
        <v>148</v>
      </c>
      <c r="B21" s="14"/>
      <c r="C21" s="14"/>
      <c r="D21" s="14"/>
      <c r="E21" s="14"/>
      <c r="F21" s="14"/>
      <c r="G21" s="14"/>
      <c r="H21" s="14"/>
      <c r="I21" s="14"/>
      <c r="J21" s="14"/>
      <c r="K21" s="14">
        <v>8.828655310831607</v>
      </c>
      <c r="L21" s="14">
        <v>7.5912270828266468</v>
      </c>
      <c r="M21" s="14">
        <v>5.2712740451384885</v>
      </c>
      <c r="N21" s="14">
        <v>3.5041188110555339</v>
      </c>
      <c r="O21" s="14">
        <v>1.8608156614568934</v>
      </c>
      <c r="P21" s="14">
        <v>0.79627339102725769</v>
      </c>
      <c r="Q21" s="14">
        <v>0.31039659521347018</v>
      </c>
      <c r="R21" s="14"/>
      <c r="S21" s="14"/>
      <c r="T21" s="14"/>
      <c r="U21" s="14"/>
      <c r="V21" s="14"/>
      <c r="W21" s="14"/>
      <c r="X21" s="15"/>
      <c r="Y21" s="15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1:53" ht="13.5">
      <c r="A22" s="13" t="s">
        <v>149</v>
      </c>
      <c r="B22" s="14"/>
      <c r="C22" s="14"/>
      <c r="D22" s="14"/>
      <c r="E22" s="14"/>
      <c r="F22" s="14"/>
      <c r="G22" s="14"/>
      <c r="H22" s="14"/>
      <c r="I22" s="14"/>
      <c r="J22" s="14"/>
      <c r="K22" s="14">
        <v>8.8643096136702226</v>
      </c>
      <c r="L22" s="14">
        <v>7.3715927935978911</v>
      </c>
      <c r="M22" s="14">
        <v>5.2593897019771845</v>
      </c>
      <c r="N22" s="14">
        <v>3.6688145458702603</v>
      </c>
      <c r="O22" s="14">
        <v>1.9621046570339016</v>
      </c>
      <c r="P22" s="14">
        <v>0.96483175057329973</v>
      </c>
      <c r="Q22" s="14">
        <v>0.49318642477452146</v>
      </c>
      <c r="R22" s="14">
        <v>0.13926557394341177</v>
      </c>
      <c r="S22" s="14"/>
      <c r="T22" s="14"/>
      <c r="U22" s="14"/>
      <c r="V22" s="14"/>
      <c r="W22" s="14"/>
      <c r="X22" s="15"/>
      <c r="Y22" s="15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</row>
    <row r="23" spans="1:53" ht="13.5">
      <c r="A23" s="13" t="s">
        <v>150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>
        <v>7.1145097864754376</v>
      </c>
      <c r="M23" s="14">
        <v>6.4319801422548739</v>
      </c>
      <c r="N23" s="14">
        <v>5.5038062577103872</v>
      </c>
      <c r="O23" s="14">
        <v>3.977645883733782</v>
      </c>
      <c r="P23" s="14">
        <v>2.8351142570289651</v>
      </c>
      <c r="Q23" s="14">
        <v>1.7085687314858573</v>
      </c>
      <c r="R23" s="14">
        <v>0.5767250228560733</v>
      </c>
      <c r="S23" s="14"/>
      <c r="T23" s="14"/>
      <c r="U23" s="14"/>
      <c r="V23" s="14"/>
      <c r="W23" s="14"/>
      <c r="X23" s="15"/>
      <c r="Y23" s="15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</row>
    <row r="24" spans="1:53" ht="13.5">
      <c r="A24" s="13" t="s">
        <v>151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>
        <v>6.984898910335767</v>
      </c>
      <c r="M24" s="14">
        <v>6.3902351517155953</v>
      </c>
      <c r="N24" s="14">
        <v>3.9709858347655649</v>
      </c>
      <c r="O24" s="14">
        <v>4.1455656057043662</v>
      </c>
      <c r="P24" s="14">
        <v>2.861160221861101</v>
      </c>
      <c r="Q24" s="14">
        <v>1.8845577306125811</v>
      </c>
      <c r="R24" s="14">
        <v>0.68640914631567762</v>
      </c>
      <c r="S24" s="14">
        <v>1.5704068197978518</v>
      </c>
      <c r="T24" s="14"/>
      <c r="U24" s="14"/>
      <c r="V24" s="14"/>
      <c r="W24" s="14"/>
      <c r="X24" s="15"/>
      <c r="Y24" s="15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</row>
    <row r="25" spans="1:53" ht="13.5">
      <c r="A25" s="13" t="s">
        <v>152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>
        <v>6.0123083156272319</v>
      </c>
      <c r="N25" s="14">
        <v>3.0054218146139453</v>
      </c>
      <c r="O25" s="14">
        <v>3.7573168449480336</v>
      </c>
      <c r="P25" s="14">
        <v>2.8747864797499876</v>
      </c>
      <c r="Q25" s="14">
        <v>2.0340245672998436</v>
      </c>
      <c r="R25" s="14">
        <v>0.87004852688384648</v>
      </c>
      <c r="S25" s="14">
        <v>0.26847526218055773</v>
      </c>
      <c r="T25" s="14"/>
      <c r="U25" s="14"/>
      <c r="V25" s="14"/>
      <c r="W25" s="14"/>
      <c r="X25" s="15"/>
      <c r="Y25" s="15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ht="13.5">
      <c r="A26" s="13" t="s">
        <v>153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>
        <v>6.0320944005856916</v>
      </c>
      <c r="N26" s="14">
        <v>3.6343147214738467</v>
      </c>
      <c r="O26" s="14">
        <v>4.322451833219648</v>
      </c>
      <c r="P26" s="14">
        <v>3.3235888668122158</v>
      </c>
      <c r="Q26" s="14">
        <v>2.6832733109108515</v>
      </c>
      <c r="R26" s="14">
        <v>1.3428734965747648</v>
      </c>
      <c r="S26" s="14">
        <v>0.61616582381743479</v>
      </c>
      <c r="T26" s="14"/>
      <c r="U26" s="14"/>
      <c r="V26" s="14"/>
      <c r="W26" s="14"/>
      <c r="X26" s="15"/>
      <c r="Y26" s="15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</row>
    <row r="27" spans="1:53" ht="13.5">
      <c r="A27" s="13" t="s">
        <v>154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>
        <v>3.2758043969923252</v>
      </c>
      <c r="O27" s="14">
        <v>4.4391248513029202</v>
      </c>
      <c r="P27" s="14">
        <v>3.6030855629868901</v>
      </c>
      <c r="Q27" s="14">
        <v>2.9092088801981424</v>
      </c>
      <c r="R27" s="14">
        <v>1.727751734674762</v>
      </c>
      <c r="S27" s="14">
        <v>0.76530056063805274</v>
      </c>
      <c r="T27" s="14">
        <v>-8.5947121844349633E-2</v>
      </c>
      <c r="U27" s="14"/>
      <c r="V27" s="14"/>
      <c r="W27" s="14"/>
      <c r="X27" s="15"/>
      <c r="Y27" s="15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</row>
    <row r="28" spans="1:53" ht="13.5">
      <c r="A28" s="13" t="s">
        <v>155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>
        <v>3.1407292091244123</v>
      </c>
      <c r="O28" s="14">
        <v>4.2810635130618673</v>
      </c>
      <c r="P28" s="14">
        <v>3.8308797382851703</v>
      </c>
      <c r="Q28" s="14">
        <v>3.0397379047048125</v>
      </c>
      <c r="R28" s="14">
        <v>1.6991820894495051</v>
      </c>
      <c r="S28" s="14">
        <v>0.68785436632375463</v>
      </c>
      <c r="T28" s="14">
        <v>-9.508820059819241E-2</v>
      </c>
      <c r="U28" s="14"/>
      <c r="V28" s="14"/>
      <c r="W28" s="14"/>
      <c r="X28" s="15"/>
      <c r="Y28" s="15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</row>
    <row r="29" spans="1:53" ht="13.5">
      <c r="A29" s="13" t="s">
        <v>156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>
        <v>4.071898467501045</v>
      </c>
      <c r="P29" s="14">
        <v>4.2474365018106761</v>
      </c>
      <c r="Q29" s="14">
        <v>3.6016718901988871</v>
      </c>
      <c r="R29" s="14">
        <v>1.7766409538673293</v>
      </c>
      <c r="S29" s="14">
        <v>0.53431885428202042</v>
      </c>
      <c r="T29" s="14">
        <v>-0.2841348750635454</v>
      </c>
      <c r="U29" s="14">
        <v>-1.0698859418661635</v>
      </c>
      <c r="V29" s="14"/>
      <c r="W29" s="14"/>
      <c r="X29" s="15"/>
      <c r="Y29" s="15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</row>
    <row r="30" spans="1:53" ht="13.5">
      <c r="A30" s="18" t="s">
        <v>157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>
        <v>4.0660708992796231</v>
      </c>
      <c r="P30" s="14">
        <v>4.2125160402088246</v>
      </c>
      <c r="Q30" s="14">
        <v>3.664126760265157</v>
      </c>
      <c r="R30" s="14">
        <v>1.868565972690845</v>
      </c>
      <c r="S30" s="14">
        <v>0.58469303491598179</v>
      </c>
      <c r="T30" s="14">
        <v>-0.25435293897215483</v>
      </c>
      <c r="U30" s="14">
        <v>-0.316684203734381</v>
      </c>
      <c r="V30" s="14"/>
      <c r="W30" s="14"/>
      <c r="X30" s="15"/>
      <c r="Y30" s="15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</row>
    <row r="31" spans="1:53" ht="13.5">
      <c r="A31" s="18" t="s">
        <v>158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4.1411184505013807</v>
      </c>
      <c r="Q31" s="14">
        <v>3.2483492875213766</v>
      </c>
      <c r="R31" s="14">
        <v>1.9631399166714991</v>
      </c>
      <c r="S31" s="14">
        <v>1.0820330407105216</v>
      </c>
      <c r="T31" s="14">
        <v>0.27422960023552312</v>
      </c>
      <c r="U31" s="14">
        <v>-0.45117158176020994</v>
      </c>
      <c r="V31" s="14">
        <v>-0.49934221095311859</v>
      </c>
      <c r="W31" s="14"/>
      <c r="X31" s="15"/>
      <c r="Y31" s="15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</row>
    <row r="32" spans="1:53" ht="13.5">
      <c r="A32" s="18" t="s">
        <v>159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4.3853450549399735</v>
      </c>
      <c r="Q32" s="14">
        <v>3.3750961772030759</v>
      </c>
      <c r="R32" s="14">
        <v>2.258606062554088</v>
      </c>
      <c r="S32" s="14">
        <v>1.1031708568914498</v>
      </c>
      <c r="T32" s="14">
        <v>0.19312114798180821</v>
      </c>
      <c r="U32" s="14">
        <v>-0.45262901121375188</v>
      </c>
      <c r="V32" s="14">
        <v>-0.62484931254295761</v>
      </c>
      <c r="W32" s="14"/>
      <c r="X32" s="15"/>
      <c r="Y32" s="15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</row>
    <row r="33" spans="1:53" ht="13.5">
      <c r="A33" s="18" t="s">
        <v>160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4.2655301430526524</v>
      </c>
      <c r="Q33" s="14">
        <v>3.5726832498814391</v>
      </c>
      <c r="R33" s="14">
        <v>2.7451261263546152</v>
      </c>
      <c r="S33" s="14">
        <v>1.9284855894087316</v>
      </c>
      <c r="T33" s="14">
        <v>1.0359907012077594</v>
      </c>
      <c r="U33" s="14">
        <v>-0.49750189572693415</v>
      </c>
      <c r="V33" s="14">
        <v>-0.49700188306343468</v>
      </c>
      <c r="W33" s="14"/>
      <c r="X33" s="15"/>
      <c r="Y33" s="15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</row>
    <row r="34" spans="1:53" ht="13.5">
      <c r="A34" s="18" t="s">
        <v>161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>
        <v>3.8017231076966493</v>
      </c>
      <c r="R34" s="14">
        <v>3.327469499719383</v>
      </c>
      <c r="S34" s="14">
        <v>2.5657420161627469</v>
      </c>
      <c r="T34" s="14">
        <v>1.8202343896374318</v>
      </c>
      <c r="U34" s="14">
        <v>0.76475816459375245</v>
      </c>
      <c r="V34" s="14">
        <v>0.81990294121945173</v>
      </c>
      <c r="W34" s="14">
        <v>0.71100951972953852</v>
      </c>
      <c r="X34" s="15"/>
      <c r="Y34" s="15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</row>
    <row r="35" spans="1:53" ht="13.5">
      <c r="A35" s="18" t="s">
        <v>162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9">
        <v>3.5753179078126451</v>
      </c>
      <c r="R35" s="19">
        <v>2.634857713983449</v>
      </c>
      <c r="S35" s="19">
        <v>2.925141609500765</v>
      </c>
      <c r="T35" s="19">
        <v>1.9279915124495877</v>
      </c>
      <c r="U35" s="19">
        <v>0.91317130223110565</v>
      </c>
      <c r="V35" s="19">
        <v>0.85536326095420334</v>
      </c>
      <c r="W35" s="19">
        <v>0.7031185640674108</v>
      </c>
      <c r="X35" s="15"/>
      <c r="Y35" s="15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</row>
    <row r="36" spans="1:53" ht="13.5">
      <c r="A36" s="18" t="s">
        <v>163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9"/>
      <c r="R36" s="19">
        <v>2.1693304577931642</v>
      </c>
      <c r="S36" s="19">
        <v>2.348476009208408</v>
      </c>
      <c r="T36" s="19">
        <v>1.8062064504640354</v>
      </c>
      <c r="U36" s="19">
        <v>1.4981320716471256</v>
      </c>
      <c r="V36" s="19">
        <v>1.3366296205429951</v>
      </c>
      <c r="W36" s="19">
        <v>1.2210394376555893</v>
      </c>
      <c r="X36" s="19">
        <v>1.0543254620475735</v>
      </c>
      <c r="Y36" s="15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</row>
    <row r="37" spans="1:53" ht="13.5">
      <c r="A37" s="18" t="s">
        <v>164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9"/>
      <c r="R37" s="19">
        <v>2.2636257422431387</v>
      </c>
      <c r="S37" s="19">
        <v>2.2754841846893736</v>
      </c>
      <c r="T37" s="19">
        <v>1.9017070017801394</v>
      </c>
      <c r="U37" s="19">
        <v>1.6458665176402651</v>
      </c>
      <c r="V37" s="19">
        <v>1.3149761926477745</v>
      </c>
      <c r="W37" s="19">
        <v>1.1295754279011327</v>
      </c>
      <c r="X37" s="19">
        <v>0.895400129849521</v>
      </c>
      <c r="Y37" s="15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</row>
    <row r="38" spans="1:53" ht="13.5">
      <c r="A38" s="18" t="s">
        <v>165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9"/>
      <c r="R38" s="15"/>
      <c r="S38" s="19">
        <v>1.9141215236054825</v>
      </c>
      <c r="T38" s="19">
        <v>1.3354611544248634</v>
      </c>
      <c r="U38" s="19">
        <v>1.6381049448959013</v>
      </c>
      <c r="V38" s="19">
        <v>1.3227787879858384</v>
      </c>
      <c r="W38" s="19">
        <v>1.1014208101819707</v>
      </c>
      <c r="X38" s="19">
        <v>0.91472830874080413</v>
      </c>
      <c r="Y38" s="19">
        <v>0.83517204712004633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</row>
    <row r="39" spans="1:53" ht="13.5">
      <c r="A39" s="18" t="s">
        <v>166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9"/>
      <c r="R39" s="15"/>
      <c r="S39" s="19">
        <v>2.0095214812759039</v>
      </c>
      <c r="T39" s="19">
        <v>1.1693478696850474</v>
      </c>
      <c r="U39" s="19">
        <v>1.3057301321429837</v>
      </c>
      <c r="V39" s="19">
        <v>0.82887386814204189</v>
      </c>
      <c r="W39" s="19">
        <v>0.67422701859552392</v>
      </c>
      <c r="X39" s="19">
        <v>0.56854523073635266</v>
      </c>
      <c r="Y39" s="19">
        <v>0.52949666896072545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</row>
    <row r="40" spans="1:53" ht="13.5">
      <c r="A40" s="18" t="s">
        <v>167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9"/>
      <c r="R40" s="15"/>
      <c r="S40" s="16"/>
      <c r="T40" s="19">
        <v>1.9115692318660678</v>
      </c>
      <c r="U40" s="19">
        <v>2.1620237330880401</v>
      </c>
      <c r="V40" s="19">
        <v>2.4008306515835933</v>
      </c>
      <c r="W40" s="19">
        <v>2.9989804106628477</v>
      </c>
      <c r="X40" s="19">
        <v>2.7484894113533462</v>
      </c>
      <c r="Y40" s="19">
        <v>2.4931682626709173</v>
      </c>
      <c r="Z40" s="19">
        <v>2.2132020415818023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</row>
    <row r="41" spans="1:53" ht="13.5">
      <c r="A41" s="18" t="s">
        <v>168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9"/>
      <c r="R41" s="15"/>
      <c r="S41" s="16"/>
      <c r="T41" s="19"/>
      <c r="U41" s="19">
        <v>2.6040561069709058</v>
      </c>
      <c r="V41" s="19">
        <v>18.576092762653971</v>
      </c>
      <c r="W41" s="19">
        <v>6.6951228481093805</v>
      </c>
      <c r="X41" s="19">
        <v>3.9331677205819826</v>
      </c>
      <c r="Y41" s="19">
        <v>3.8574027340507353</v>
      </c>
      <c r="Z41" s="19">
        <v>3.7923933942507984</v>
      </c>
      <c r="AA41" s="19">
        <v>3.8074623812970079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</row>
    <row r="42" spans="1:53" ht="13.5">
      <c r="A42" s="18" t="s">
        <v>169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9"/>
      <c r="R42" s="15"/>
      <c r="S42" s="16"/>
      <c r="T42" s="19"/>
      <c r="U42" s="19">
        <v>2.6430028400680214</v>
      </c>
      <c r="V42" s="19">
        <v>16.4713949386257</v>
      </c>
      <c r="W42" s="19">
        <v>9.68424361378875</v>
      </c>
      <c r="X42" s="19">
        <v>4.1751240331397499</v>
      </c>
      <c r="Y42" s="19">
        <v>3.3190750740666353</v>
      </c>
      <c r="Z42" s="19">
        <v>2.8191904936909071</v>
      </c>
      <c r="AA42" s="19">
        <v>2.7332428615029318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</row>
    <row r="43" spans="1:53" ht="13.5">
      <c r="A43" s="18" t="s">
        <v>170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9"/>
      <c r="R43" s="15"/>
      <c r="S43" s="16"/>
      <c r="T43" s="19"/>
      <c r="U43" s="19"/>
      <c r="V43" s="19">
        <v>15.088301159035472</v>
      </c>
      <c r="W43" s="19">
        <v>8.2505747109298184</v>
      </c>
      <c r="X43" s="19">
        <v>3.8755433031336524</v>
      </c>
      <c r="Y43" s="19">
        <v>2.7049115816107516</v>
      </c>
      <c r="Z43" s="19">
        <v>1.8154251782014532</v>
      </c>
      <c r="AA43" s="19">
        <v>1.6825295777326132</v>
      </c>
      <c r="AB43" s="19">
        <v>1.5335816023919229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</row>
    <row r="44" spans="1:53" ht="13.5">
      <c r="A44" s="18" t="s">
        <v>171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9"/>
      <c r="R44" s="19"/>
      <c r="S44" s="19"/>
      <c r="T44" s="19"/>
      <c r="U44" s="19"/>
      <c r="V44" s="19">
        <v>14.876575412916701</v>
      </c>
      <c r="W44" s="19">
        <v>6.0790162334271285</v>
      </c>
      <c r="X44" s="19">
        <v>4.3711687919423801</v>
      </c>
      <c r="Y44" s="19">
        <v>1.8531579868229642</v>
      </c>
      <c r="Z44" s="19">
        <v>1.3065847270211512</v>
      </c>
      <c r="AA44" s="19">
        <v>1.250324236047252</v>
      </c>
      <c r="AB44" s="19">
        <v>1.0826967156863372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</row>
    <row r="45" spans="1:53" ht="13.5">
      <c r="A45" s="18" t="s">
        <v>172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9"/>
      <c r="R45" s="19"/>
      <c r="S45" s="19"/>
      <c r="T45" s="19"/>
      <c r="U45" s="19"/>
      <c r="V45" s="19"/>
      <c r="W45" s="19">
        <v>6.5328850646935868</v>
      </c>
      <c r="X45" s="19">
        <v>7.4879386742581202</v>
      </c>
      <c r="Y45" s="19">
        <v>4.0845552306202073</v>
      </c>
      <c r="Z45" s="19">
        <v>1.5064687739493419</v>
      </c>
      <c r="AA45" s="19">
        <v>1.7595089287171857</v>
      </c>
      <c r="AB45" s="19">
        <v>2.4247413438059389</v>
      </c>
      <c r="AC45" s="19">
        <v>2.2854497937197165</v>
      </c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</row>
    <row r="46" spans="1:53" ht="13.5">
      <c r="A46" s="20" t="s">
        <v>173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9"/>
      <c r="R46" s="19"/>
      <c r="S46" s="19"/>
      <c r="T46" s="19"/>
      <c r="U46" s="19"/>
      <c r="V46" s="19"/>
      <c r="W46" s="19">
        <v>6.0781492712784928</v>
      </c>
      <c r="X46" s="19">
        <v>6.7517038272727037</v>
      </c>
      <c r="Y46" s="19">
        <v>4.4872453645897661</v>
      </c>
      <c r="Z46" s="19">
        <v>2.3911284481603219</v>
      </c>
      <c r="AA46" s="19">
        <v>2.391195036147113</v>
      </c>
      <c r="AB46" s="19">
        <v>2.1221793274570664</v>
      </c>
      <c r="AC46" s="19">
        <v>1.6565414848576994</v>
      </c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</row>
    <row r="47" spans="1:53" ht="13.5">
      <c r="A47" s="18" t="s">
        <v>174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9"/>
      <c r="R47" s="19"/>
      <c r="S47" s="19"/>
      <c r="T47" s="19"/>
      <c r="U47" s="19"/>
      <c r="V47" s="19"/>
      <c r="W47" s="19"/>
      <c r="X47" s="19">
        <v>5.998888500769076</v>
      </c>
      <c r="Y47" s="19">
        <v>4.7910040194331502</v>
      </c>
      <c r="Z47" s="19">
        <v>2.6509879478611116</v>
      </c>
      <c r="AA47" s="19">
        <v>2.1147475772156072</v>
      </c>
      <c r="AB47" s="19">
        <v>1.9377081217938954</v>
      </c>
      <c r="AC47" s="19">
        <v>1.4524727799544557</v>
      </c>
      <c r="AD47" s="19">
        <v>1.0614309348894486</v>
      </c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</row>
    <row r="48" spans="1:53" ht="13.5">
      <c r="A48" s="18" t="s">
        <v>175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9"/>
      <c r="R48" s="19"/>
      <c r="S48" s="19"/>
      <c r="T48" s="19"/>
      <c r="U48" s="19"/>
      <c r="V48" s="19"/>
      <c r="W48" s="19"/>
      <c r="X48" s="19">
        <v>5.9110168501402978</v>
      </c>
      <c r="Y48" s="19">
        <v>4.2739727675824541</v>
      </c>
      <c r="Z48" s="19">
        <v>2.7089205252899746</v>
      </c>
      <c r="AA48" s="19">
        <v>2.2772478865552648</v>
      </c>
      <c r="AB48" s="19">
        <v>2.1042322329727763</v>
      </c>
      <c r="AC48" s="19">
        <v>1.5737042417568636</v>
      </c>
      <c r="AD48" s="19">
        <v>1.2176610326856683</v>
      </c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</row>
    <row r="49" spans="1:53" ht="13.5">
      <c r="A49" s="18" t="s">
        <v>176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9"/>
      <c r="R49" s="19"/>
      <c r="S49" s="19"/>
      <c r="T49" s="19"/>
      <c r="U49" s="19"/>
      <c r="V49" s="19"/>
      <c r="W49" s="19"/>
      <c r="X49" s="19"/>
      <c r="Y49" s="19">
        <v>4.6934671627891857</v>
      </c>
      <c r="Z49" s="19">
        <v>4.4142162341190234</v>
      </c>
      <c r="AA49" s="19">
        <v>3.6541420544460168</v>
      </c>
      <c r="AB49" s="19">
        <v>3.1201695377528775</v>
      </c>
      <c r="AC49" s="19">
        <v>2.4628452632288251</v>
      </c>
      <c r="AD49" s="19">
        <v>2.2900162603203142</v>
      </c>
      <c r="AE49" s="19">
        <v>2.1011109824743333</v>
      </c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</row>
    <row r="50" spans="1:53" ht="13.5">
      <c r="A50" s="18" t="s">
        <v>177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9"/>
      <c r="R50" s="19"/>
      <c r="S50" s="19"/>
      <c r="T50" s="19"/>
      <c r="U50" s="19"/>
      <c r="V50" s="19"/>
      <c r="W50" s="19"/>
      <c r="X50" s="19"/>
      <c r="Y50" s="19">
        <v>4.9865943321335209</v>
      </c>
      <c r="Z50" s="19">
        <v>4.5810627870220344</v>
      </c>
      <c r="AA50" s="19">
        <v>3.6007042228491417</v>
      </c>
      <c r="AB50" s="19">
        <v>2.9716194681891364</v>
      </c>
      <c r="AC50" s="19">
        <v>2.4655343364486768</v>
      </c>
      <c r="AD50" s="19">
        <v>2.3184495584467286</v>
      </c>
      <c r="AE50" s="19">
        <v>2.1374700163650391</v>
      </c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</row>
    <row r="51" spans="1:53" ht="13.5">
      <c r="A51" s="20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9"/>
      <c r="R51" s="19"/>
      <c r="S51" s="19"/>
      <c r="T51" s="19"/>
      <c r="U51" s="19"/>
      <c r="V51" s="19"/>
      <c r="W51" s="19"/>
      <c r="X51" s="19"/>
      <c r="Y51" s="19"/>
      <c r="Z51" s="19">
        <v>4.9000000000000004</v>
      </c>
      <c r="AA51" s="19">
        <v>4.2</v>
      </c>
      <c r="AB51" s="19">
        <v>3.2</v>
      </c>
      <c r="AC51" s="16">
        <v>2.8</v>
      </c>
      <c r="AD51" s="16">
        <v>2.5</v>
      </c>
      <c r="AE51" s="16">
        <v>1.9</v>
      </c>
      <c r="AF51" s="16">
        <v>1.8</v>
      </c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</row>
    <row r="52" spans="1:53" ht="13.5">
      <c r="A52" s="21" t="s">
        <v>178</v>
      </c>
      <c r="B52" s="19">
        <v>1.4548465579606129</v>
      </c>
      <c r="C52" s="19">
        <v>0.50253262209911287</v>
      </c>
      <c r="D52" s="19">
        <v>2.9186102974447885</v>
      </c>
      <c r="E52" s="19">
        <v>3.4530041599808894</v>
      </c>
      <c r="F52" s="19">
        <v>3.8866656782050932</v>
      </c>
      <c r="G52" s="19">
        <v>3.7433796541739293</v>
      </c>
      <c r="H52" s="19">
        <v>3.1879278862444238</v>
      </c>
      <c r="I52" s="19">
        <v>3.3654792589937115</v>
      </c>
      <c r="J52" s="19">
        <v>7.0493937079589646</v>
      </c>
      <c r="K52" s="19">
        <v>8.5558275302350264</v>
      </c>
      <c r="L52" s="19">
        <v>6.8765183720521481</v>
      </c>
      <c r="M52" s="19">
        <v>5.4842889459873128</v>
      </c>
      <c r="N52" s="19">
        <v>5.5978003801203391</v>
      </c>
      <c r="O52" s="19">
        <v>4.5212755566121237</v>
      </c>
      <c r="P52" s="19">
        <v>4.6095391722680077</v>
      </c>
      <c r="Q52" s="19">
        <v>4.0476112016545835</v>
      </c>
      <c r="R52" s="19">
        <v>2.7549842134457441</v>
      </c>
      <c r="S52" s="19">
        <v>2.8497129007605935</v>
      </c>
      <c r="T52" s="19">
        <v>2.2701712953497997</v>
      </c>
      <c r="U52" s="19">
        <v>3.0641079894669199</v>
      </c>
      <c r="V52" s="19">
        <v>15.019855081365938</v>
      </c>
      <c r="W52" s="19">
        <v>6.0163249605648543</v>
      </c>
      <c r="X52" s="19">
        <v>5.638753747140024</v>
      </c>
      <c r="Y52" s="19">
        <v>4.9865943321335209</v>
      </c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</row>
    <row r="53" spans="1:53" ht="13.5">
      <c r="A53" s="23" t="s">
        <v>179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9">
        <v>2.711126983673446</v>
      </c>
      <c r="S53" s="19">
        <v>2.805921776275766</v>
      </c>
      <c r="T53" s="19">
        <v>2.2282110059232809</v>
      </c>
      <c r="U53" s="19">
        <v>2.9310720070158327</v>
      </c>
      <c r="V53" s="19">
        <v>14.702641460540484</v>
      </c>
      <c r="W53" s="19">
        <v>5.8446317410307067</v>
      </c>
      <c r="X53" s="19">
        <v>5.6954075556743557</v>
      </c>
      <c r="Y53" s="19">
        <v>5.0378359188117026</v>
      </c>
      <c r="Z53" s="22">
        <v>5.0133049194156678</v>
      </c>
      <c r="AA53" s="22">
        <v>4.1787900508652225</v>
      </c>
      <c r="AB53" s="22">
        <v>3.2288256371442614</v>
      </c>
      <c r="AC53" s="22">
        <v>2.8416595686424446</v>
      </c>
      <c r="AD53" s="22">
        <v>2.5005556056916292</v>
      </c>
      <c r="AE53" s="22">
        <v>1.9179287006228543</v>
      </c>
      <c r="AF53" s="22">
        <v>1.847596510032449</v>
      </c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</row>
    <row r="54" spans="1:53">
      <c r="A54" s="8"/>
      <c r="B54" s="16"/>
      <c r="C54" s="16"/>
      <c r="D54" s="16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</row>
    <row r="55" spans="1:53" s="29" customFormat="1" ht="11.25">
      <c r="A55" s="24" t="s">
        <v>180</v>
      </c>
      <c r="B55" s="25"/>
      <c r="C55" s="25"/>
      <c r="D55" s="25"/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8">
        <v>2.0095214812759039</v>
      </c>
      <c r="T55" s="28">
        <v>2.0203053839328948</v>
      </c>
      <c r="U55" s="28">
        <v>2.1372125559599606</v>
      </c>
      <c r="V55" s="28">
        <v>1.6670889679201779</v>
      </c>
      <c r="W55" s="28">
        <v>1.5215937516601228</v>
      </c>
      <c r="X55" s="28">
        <v>1.4303103987947039</v>
      </c>
      <c r="Y55" s="28">
        <v>1.3150343638493576</v>
      </c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</row>
    <row r="56" spans="1:53" s="29" customFormat="1" ht="11.25">
      <c r="A56" s="30" t="s">
        <v>181</v>
      </c>
      <c r="B56" s="25"/>
      <c r="C56" s="25"/>
      <c r="D56" s="25"/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8">
        <v>1.9115692318660678</v>
      </c>
      <c r="U56" s="28">
        <v>2.1526580636724635</v>
      </c>
      <c r="V56" s="28">
        <v>2.4003668906559215</v>
      </c>
      <c r="W56" s="28">
        <v>2.998509639624777</v>
      </c>
      <c r="X56" s="28">
        <v>2.7480711540279263</v>
      </c>
      <c r="Y56" s="28">
        <v>2.4927878691658631</v>
      </c>
      <c r="Z56" s="28">
        <v>2.2127328698796225</v>
      </c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</row>
    <row r="57" spans="1:53">
      <c r="A57" s="8"/>
      <c r="B57" s="16"/>
      <c r="C57" s="16"/>
      <c r="D57" s="16"/>
      <c r="E57" s="31"/>
      <c r="F57" s="31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</row>
    <row r="58" spans="1:53">
      <c r="A58" s="8"/>
      <c r="B58" s="16"/>
      <c r="C58" s="16"/>
      <c r="D58" s="16"/>
      <c r="E58" s="31"/>
      <c r="F58" s="31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 t="str">
        <f>X4</f>
        <v>2022-23</v>
      </c>
      <c r="Y58" s="22" t="str">
        <f t="shared" ref="Y58:AE58" si="0">Y4</f>
        <v>2023-24</v>
      </c>
      <c r="Z58" s="22" t="str">
        <f t="shared" si="0"/>
        <v>2024-25</v>
      </c>
      <c r="AA58" s="22" t="str">
        <f t="shared" si="0"/>
        <v>2025-26</v>
      </c>
      <c r="AB58" s="22" t="str">
        <f t="shared" si="0"/>
        <v>2026-27</v>
      </c>
      <c r="AC58" s="22" t="str">
        <f t="shared" si="0"/>
        <v>2027-28</v>
      </c>
      <c r="AD58" s="22" t="str">
        <f t="shared" si="0"/>
        <v>2028-29</v>
      </c>
      <c r="AE58" s="22" t="str">
        <f t="shared" si="0"/>
        <v>2029-30</v>
      </c>
      <c r="AF58" s="22" t="s">
        <v>182</v>
      </c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</row>
    <row r="59" spans="1:53" ht="13.5">
      <c r="A59" s="8"/>
      <c r="B59" s="16"/>
      <c r="C59" s="16"/>
      <c r="D59" s="16"/>
      <c r="E59" s="31"/>
      <c r="F59" s="31"/>
      <c r="G59" s="3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 t="s">
        <v>183</v>
      </c>
      <c r="X59" s="19">
        <f>X48</f>
        <v>5.9110168501402978</v>
      </c>
      <c r="Y59" s="19">
        <f t="shared" ref="Y59:AE60" si="1">Y48</f>
        <v>4.2739727675824541</v>
      </c>
      <c r="Z59" s="19">
        <f t="shared" si="1"/>
        <v>2.7089205252899746</v>
      </c>
      <c r="AA59" s="19">
        <f t="shared" si="1"/>
        <v>2.2772478865552648</v>
      </c>
      <c r="AB59" s="19">
        <f t="shared" si="1"/>
        <v>2.1042322329727763</v>
      </c>
      <c r="AC59" s="19">
        <f t="shared" si="1"/>
        <v>1.5737042417568636</v>
      </c>
      <c r="AD59" s="19">
        <f t="shared" si="1"/>
        <v>1.2176610326856683</v>
      </c>
      <c r="AE59" s="19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</row>
    <row r="60" spans="1:53">
      <c r="A60" s="8"/>
      <c r="B60" s="16"/>
      <c r="C60" s="16"/>
      <c r="D60" s="16"/>
      <c r="E60" s="31"/>
      <c r="F60" s="31"/>
      <c r="G60" s="3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 t="s">
        <v>184</v>
      </c>
      <c r="X60" s="22">
        <f>X59</f>
        <v>5.9110168501402978</v>
      </c>
      <c r="Y60" s="22">
        <f t="shared" si="1"/>
        <v>4.6934671627891857</v>
      </c>
      <c r="Z60" s="22">
        <f t="shared" si="1"/>
        <v>4.4142162341190234</v>
      </c>
      <c r="AA60" s="22">
        <f t="shared" si="1"/>
        <v>3.6541420544460168</v>
      </c>
      <c r="AB60" s="22">
        <f t="shared" si="1"/>
        <v>3.1201695377528775</v>
      </c>
      <c r="AC60" s="22">
        <f t="shared" si="1"/>
        <v>2.4628452632288251</v>
      </c>
      <c r="AD60" s="22">
        <f t="shared" si="1"/>
        <v>2.2900162603203142</v>
      </c>
      <c r="AE60" s="22">
        <f t="shared" si="1"/>
        <v>2.1011109824743333</v>
      </c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</row>
    <row r="61" spans="1:53">
      <c r="A61" s="8"/>
      <c r="B61" s="16"/>
      <c r="C61" s="16"/>
      <c r="D61" s="16"/>
      <c r="E61" s="31"/>
      <c r="F61" s="31"/>
      <c r="G61" s="31"/>
      <c r="H61" s="31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 t="s">
        <v>185</v>
      </c>
      <c r="X61" s="22">
        <f>X53</f>
        <v>5.6954075556743557</v>
      </c>
      <c r="Y61" s="22">
        <f t="shared" ref="Y61:AF61" si="2">Y53</f>
        <v>5.0378359188117026</v>
      </c>
      <c r="Z61" s="22">
        <f t="shared" si="2"/>
        <v>5.0133049194156678</v>
      </c>
      <c r="AA61" s="22">
        <f t="shared" si="2"/>
        <v>4.1787900508652225</v>
      </c>
      <c r="AB61" s="22">
        <f t="shared" si="2"/>
        <v>3.2288256371442614</v>
      </c>
      <c r="AC61" s="22">
        <f t="shared" si="2"/>
        <v>2.8416595686424446</v>
      </c>
      <c r="AD61" s="22">
        <f t="shared" si="2"/>
        <v>2.5005556056916292</v>
      </c>
      <c r="AE61" s="22">
        <f t="shared" si="2"/>
        <v>1.9179287006228543</v>
      </c>
      <c r="AF61" s="22">
        <f t="shared" si="2"/>
        <v>1.847596510032449</v>
      </c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</row>
    <row r="62" spans="1:53">
      <c r="A62" s="8"/>
      <c r="B62" s="16"/>
      <c r="C62" s="16"/>
      <c r="D62" s="16"/>
      <c r="E62" s="31"/>
      <c r="F62" s="31"/>
      <c r="G62" s="31"/>
      <c r="H62" s="31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</row>
    <row r="63" spans="1:53">
      <c r="A63" s="8"/>
      <c r="B63" s="16"/>
      <c r="C63" s="16"/>
      <c r="D63" s="16"/>
      <c r="E63" s="31"/>
      <c r="F63" s="31"/>
      <c r="G63" s="31"/>
      <c r="H63" s="31"/>
      <c r="I63" s="31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</row>
    <row r="64" spans="1:53">
      <c r="A64" s="8"/>
      <c r="B64" s="16"/>
      <c r="C64" s="16"/>
      <c r="D64" s="16"/>
      <c r="E64" s="31"/>
      <c r="F64" s="31"/>
      <c r="G64" s="31"/>
      <c r="H64" s="31"/>
      <c r="I64" s="31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</row>
    <row r="65" spans="1:53">
      <c r="A65" s="8"/>
      <c r="B65" s="16"/>
      <c r="C65" s="16"/>
      <c r="D65" s="16"/>
      <c r="E65" s="31"/>
      <c r="F65" s="31"/>
      <c r="G65" s="31"/>
      <c r="H65" s="31"/>
      <c r="I65" s="31"/>
      <c r="J65" s="31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</row>
    <row r="66" spans="1:53">
      <c r="A66" s="8"/>
      <c r="B66" s="16"/>
      <c r="C66" s="16"/>
      <c r="D66" s="16"/>
      <c r="E66" s="31"/>
      <c r="F66" s="31"/>
      <c r="G66" s="31"/>
      <c r="H66" s="31"/>
      <c r="I66" s="31"/>
      <c r="J66" s="31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</row>
    <row r="67" spans="1:53">
      <c r="A67" s="8"/>
      <c r="B67" s="16"/>
      <c r="C67" s="16"/>
      <c r="D67" s="16"/>
      <c r="E67" s="31"/>
      <c r="F67" s="31"/>
      <c r="G67" s="31"/>
      <c r="H67" s="31"/>
      <c r="I67" s="31"/>
      <c r="J67" s="31"/>
      <c r="K67" s="31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</row>
    <row r="68" spans="1:53">
      <c r="A68" s="8"/>
      <c r="B68" s="16"/>
      <c r="C68" s="16"/>
      <c r="D68" s="16"/>
      <c r="E68" s="31"/>
      <c r="F68" s="31"/>
      <c r="G68" s="31"/>
      <c r="H68" s="31"/>
      <c r="I68" s="31"/>
      <c r="J68" s="31"/>
      <c r="K68" s="31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</row>
    <row r="69" spans="1:53">
      <c r="A69" s="8"/>
      <c r="B69" s="16"/>
      <c r="C69" s="16"/>
      <c r="D69" s="16"/>
      <c r="E69" s="31"/>
      <c r="F69" s="31"/>
      <c r="G69" s="31"/>
      <c r="H69" s="31"/>
      <c r="I69" s="31"/>
      <c r="J69" s="31"/>
      <c r="K69" s="31"/>
      <c r="L69" s="31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</row>
    <row r="70" spans="1:53">
      <c r="A70" s="8"/>
      <c r="B70" s="16"/>
      <c r="C70" s="16"/>
      <c r="D70" s="16"/>
      <c r="E70" s="31"/>
      <c r="F70" s="31"/>
      <c r="G70" s="31"/>
      <c r="H70" s="31"/>
      <c r="I70" s="31"/>
      <c r="J70" s="31"/>
      <c r="K70" s="31"/>
      <c r="L70" s="31"/>
      <c r="M70" s="31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</row>
    <row r="71" spans="1:53">
      <c r="A71" s="8"/>
      <c r="B71" s="16"/>
      <c r="C71" s="16"/>
      <c r="D71" s="16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</row>
    <row r="72" spans="1:53">
      <c r="A72" s="8"/>
      <c r="B72" s="16"/>
      <c r="C72" s="16"/>
      <c r="D72" s="16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</row>
    <row r="73" spans="1:53">
      <c r="A73" s="8"/>
      <c r="B73" s="16"/>
      <c r="C73" s="16"/>
      <c r="D73" s="16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22"/>
      <c r="Q73" s="22"/>
      <c r="R73" s="22"/>
      <c r="S73" s="22"/>
      <c r="T73" s="22"/>
      <c r="U73" s="22"/>
      <c r="V73" s="22"/>
      <c r="W73" s="22"/>
      <c r="X73" s="22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</row>
    <row r="74" spans="1:53">
      <c r="A74" s="8"/>
      <c r="B74" s="16"/>
      <c r="C74" s="16"/>
      <c r="D74" s="16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22"/>
      <c r="R74" s="22"/>
      <c r="S74" s="22"/>
      <c r="T74" s="22"/>
      <c r="U74" s="22"/>
      <c r="V74" s="22"/>
      <c r="W74" s="22"/>
      <c r="X74" s="22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</row>
    <row r="75" spans="1:53">
      <c r="A75" s="8"/>
      <c r="B75" s="16"/>
      <c r="C75" s="16"/>
      <c r="D75" s="16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22"/>
      <c r="R75" s="22"/>
      <c r="S75" s="22"/>
      <c r="T75" s="22"/>
      <c r="U75" s="22"/>
      <c r="V75" s="22"/>
      <c r="W75" s="22"/>
      <c r="X75" s="22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</row>
    <row r="76" spans="1:53">
      <c r="A76" s="8"/>
      <c r="B76" s="16"/>
      <c r="C76" s="16"/>
      <c r="D76" s="16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22"/>
      <c r="R76" s="22"/>
      <c r="S76" s="22"/>
      <c r="T76" s="22"/>
      <c r="U76" s="22"/>
      <c r="V76" s="22"/>
      <c r="W76" s="22"/>
      <c r="X76" s="22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</row>
    <row r="77" spans="1:53">
      <c r="A77" s="8"/>
      <c r="B77" s="16"/>
      <c r="C77" s="16"/>
      <c r="D77" s="16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22"/>
      <c r="R77" s="22"/>
      <c r="S77" s="22"/>
      <c r="T77" s="22"/>
      <c r="U77" s="22"/>
      <c r="V77" s="22"/>
      <c r="W77" s="22"/>
      <c r="X77" s="22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</row>
    <row r="78" spans="1:53">
      <c r="A78" s="32"/>
      <c r="B78" s="16"/>
      <c r="C78" s="16"/>
      <c r="D78" s="16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22"/>
      <c r="R78" s="22"/>
      <c r="S78" s="22"/>
      <c r="T78" s="22"/>
      <c r="U78" s="22"/>
      <c r="V78" s="22"/>
      <c r="W78" s="22"/>
      <c r="X78" s="22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</row>
    <row r="79" spans="1:53">
      <c r="A79" s="8"/>
      <c r="B79" s="16"/>
      <c r="C79" s="16"/>
      <c r="D79" s="16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22"/>
      <c r="S79" s="22"/>
      <c r="T79" s="22"/>
      <c r="U79" s="22"/>
      <c r="V79" s="22"/>
      <c r="W79" s="22"/>
      <c r="X79" s="22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</row>
    <row r="80" spans="1:53">
      <c r="A80" s="8"/>
      <c r="B80" s="16"/>
      <c r="C80" s="16"/>
      <c r="D80" s="16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22"/>
      <c r="S80" s="22"/>
      <c r="T80" s="22"/>
      <c r="U80" s="22"/>
      <c r="V80" s="22"/>
      <c r="W80" s="22"/>
      <c r="X80" s="22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</row>
    <row r="81" spans="1:53">
      <c r="A81" s="8"/>
      <c r="B81" s="16"/>
      <c r="C81" s="16"/>
      <c r="D81" s="16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22"/>
      <c r="T81" s="22"/>
      <c r="U81" s="22"/>
      <c r="V81" s="22"/>
      <c r="W81" s="22"/>
      <c r="X81" s="22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</row>
    <row r="82" spans="1:53">
      <c r="A82" s="8"/>
      <c r="B82" s="16"/>
      <c r="C82" s="16"/>
      <c r="D82" s="16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22"/>
      <c r="T82" s="22"/>
      <c r="U82" s="22"/>
      <c r="V82" s="22"/>
      <c r="W82" s="22"/>
      <c r="X82" s="22"/>
      <c r="Y82" s="22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</row>
    <row r="83" spans="1:53">
      <c r="A83" s="8"/>
      <c r="B83" s="16"/>
      <c r="C83" s="16"/>
      <c r="D83" s="16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22"/>
      <c r="T83" s="22"/>
      <c r="U83" s="22"/>
      <c r="V83" s="22"/>
      <c r="W83" s="22"/>
      <c r="X83" s="22"/>
      <c r="Y83" s="22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</row>
    <row r="84" spans="1:53">
      <c r="A84" s="8"/>
      <c r="B84" s="16"/>
      <c r="C84" s="16"/>
      <c r="D84" s="16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22"/>
      <c r="U84" s="22"/>
      <c r="V84" s="22"/>
      <c r="W84" s="22"/>
      <c r="X84" s="22"/>
      <c r="Y84" s="22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</row>
    <row r="85" spans="1:53">
      <c r="A85" s="8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</row>
    <row r="86" spans="1:53">
      <c r="A86" s="8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</row>
    <row r="87" spans="1:53">
      <c r="A87" s="8"/>
      <c r="B87" s="16"/>
      <c r="C87" s="16"/>
      <c r="D87" s="16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</row>
    <row r="88" spans="1:53">
      <c r="A88" s="8"/>
      <c r="B88" s="16"/>
      <c r="C88" s="16"/>
      <c r="D88" s="16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</row>
    <row r="89" spans="1:53">
      <c r="A89" s="8"/>
      <c r="B89" s="16"/>
      <c r="C89" s="16"/>
      <c r="D89" s="16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</row>
    <row r="90" spans="1:53">
      <c r="A90" s="8"/>
      <c r="B90" s="16"/>
      <c r="C90" s="16"/>
      <c r="D90" s="16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</row>
    <row r="91" spans="1:53">
      <c r="A91" s="8"/>
      <c r="B91" s="16"/>
      <c r="C91" s="16"/>
      <c r="D91" s="16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</row>
    <row r="92" spans="1:53">
      <c r="A92" s="8"/>
      <c r="B92" s="16"/>
      <c r="C92" s="16"/>
      <c r="D92" s="16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</row>
    <row r="93" spans="1:53">
      <c r="A93" s="8"/>
      <c r="B93" s="16"/>
      <c r="C93" s="16"/>
      <c r="D93" s="16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</row>
    <row r="94" spans="1:53">
      <c r="A94" s="8"/>
      <c r="B94" s="16"/>
      <c r="C94" s="16"/>
      <c r="D94" s="16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</row>
    <row r="95" spans="1:53">
      <c r="A95" s="8"/>
      <c r="B95" s="16"/>
      <c r="C95" s="16"/>
      <c r="D95" s="16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</row>
    <row r="96" spans="1:53">
      <c r="A96" s="8"/>
      <c r="B96" s="16"/>
      <c r="C96" s="16"/>
      <c r="D96" s="16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</row>
    <row r="97" spans="1:53">
      <c r="A97" s="8"/>
      <c r="B97" s="16"/>
      <c r="C97" s="16"/>
      <c r="D97" s="16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</row>
    <row r="98" spans="1:53">
      <c r="A98" s="8"/>
      <c r="B98" s="16"/>
      <c r="C98" s="16"/>
      <c r="D98" s="16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</row>
    <row r="99" spans="1:53">
      <c r="A99" s="8"/>
      <c r="B99" s="16"/>
      <c r="C99" s="16"/>
      <c r="D99" s="16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22"/>
      <c r="AV99" s="22"/>
      <c r="AW99" s="22"/>
      <c r="AX99" s="22"/>
      <c r="AY99" s="22"/>
      <c r="AZ99" s="22"/>
      <c r="BA99" s="22"/>
    </row>
    <row r="100" spans="1:53">
      <c r="A100" s="8"/>
      <c r="B100" s="16"/>
      <c r="C100" s="16"/>
      <c r="D100" s="16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</row>
    <row r="101" spans="1:53">
      <c r="A101" s="8"/>
      <c r="B101" s="16"/>
      <c r="C101" s="16"/>
      <c r="D101" s="16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</row>
    <row r="102" spans="1:53">
      <c r="A102" s="8"/>
      <c r="B102" s="16"/>
      <c r="C102" s="16"/>
      <c r="D102" s="16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</row>
    <row r="103" spans="1:53">
      <c r="A103" s="8"/>
      <c r="B103" s="16"/>
      <c r="C103" s="16"/>
      <c r="D103" s="16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</row>
    <row r="104" spans="1:53">
      <c r="A104" s="8"/>
      <c r="B104" s="16"/>
      <c r="C104" s="16"/>
      <c r="D104" s="16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</row>
    <row r="105" spans="1:53">
      <c r="A105" s="8"/>
      <c r="B105" s="16"/>
      <c r="C105" s="16"/>
      <c r="D105" s="16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</row>
    <row r="106" spans="1:53">
      <c r="A106" s="8"/>
      <c r="B106" s="16"/>
      <c r="C106" s="16"/>
      <c r="D106" s="16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</row>
    <row r="107" spans="1:53">
      <c r="A107" s="8"/>
      <c r="B107" s="16"/>
      <c r="C107" s="16"/>
      <c r="D107" s="16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</row>
    <row r="108" spans="1:53">
      <c r="A108" s="8"/>
      <c r="B108" s="16"/>
      <c r="C108" s="16"/>
      <c r="D108" s="16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22"/>
      <c r="BA108" s="16"/>
    </row>
    <row r="109" spans="1:53">
      <c r="A109" s="8"/>
      <c r="B109" s="16"/>
      <c r="C109" s="16"/>
      <c r="D109" s="16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</row>
    <row r="110" spans="1:53">
      <c r="A110" s="32"/>
      <c r="B110" s="16"/>
      <c r="C110" s="16"/>
      <c r="D110" s="16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</row>
    <row r="111" spans="1:53">
      <c r="A111" s="8"/>
      <c r="B111" s="16"/>
      <c r="C111" s="16"/>
      <c r="D111" s="16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</row>
    <row r="112" spans="1:53">
      <c r="A112" s="8"/>
      <c r="B112" s="16"/>
      <c r="C112" s="16"/>
      <c r="D112" s="16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</row>
    <row r="113" spans="1:53">
      <c r="A113" s="8"/>
      <c r="B113" s="16"/>
      <c r="C113" s="16"/>
      <c r="D113" s="16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</row>
    <row r="114" spans="1:53">
      <c r="A114" s="8"/>
      <c r="B114" s="16"/>
      <c r="C114" s="16"/>
      <c r="D114" s="16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</row>
    <row r="115" spans="1:53">
      <c r="A115" s="8"/>
      <c r="B115" s="16"/>
      <c r="C115" s="16"/>
      <c r="D115" s="16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</row>
    <row r="116" spans="1:53">
      <c r="A116" s="8"/>
      <c r="B116" s="16"/>
      <c r="C116" s="16"/>
      <c r="D116" s="16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</row>
  </sheetData>
  <hyperlinks>
    <hyperlink ref="A4" location="Contents!A1" display="Back to contents" xr:uid="{D982B782-32D5-45DD-A443-52A43E5BE597}"/>
  </hyperlink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7D19-46B0-483C-BC5E-1E7037828D3C}">
  <dimension ref="A2:F8"/>
  <sheetViews>
    <sheetView workbookViewId="0">
      <selection activeCell="C17" sqref="C17"/>
    </sheetView>
  </sheetViews>
  <sheetFormatPr defaultRowHeight="15"/>
  <sheetData>
    <row r="2" spans="1:6">
      <c r="B2" t="s">
        <v>0</v>
      </c>
    </row>
    <row r="5" spans="1:6">
      <c r="B5" t="s">
        <v>1</v>
      </c>
      <c r="C5" t="s">
        <v>4</v>
      </c>
      <c r="D5" t="s">
        <v>9</v>
      </c>
      <c r="E5" t="s">
        <v>3</v>
      </c>
      <c r="F5" t="s">
        <v>7</v>
      </c>
    </row>
    <row r="6" spans="1:6">
      <c r="A6" t="s">
        <v>2</v>
      </c>
      <c r="B6">
        <v>88</v>
      </c>
      <c r="C6">
        <v>84</v>
      </c>
      <c r="D6">
        <v>83</v>
      </c>
      <c r="E6">
        <v>79</v>
      </c>
      <c r="F6">
        <v>71</v>
      </c>
    </row>
    <row r="7" spans="1:6">
      <c r="A7" t="s">
        <v>8</v>
      </c>
      <c r="B7">
        <v>84</v>
      </c>
      <c r="C7">
        <v>83</v>
      </c>
      <c r="D7">
        <v>84</v>
      </c>
      <c r="E7">
        <v>84</v>
      </c>
      <c r="F7">
        <v>75</v>
      </c>
    </row>
    <row r="8" spans="1:6">
      <c r="B8" t="s">
        <v>0</v>
      </c>
      <c r="C8" t="s">
        <v>5</v>
      </c>
      <c r="D8" t="s">
        <v>10</v>
      </c>
      <c r="E8" t="s">
        <v>6</v>
      </c>
      <c r="F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All adults</vt:lpstr>
      <vt:lpstr>CAPSNB</vt:lpstr>
      <vt:lpstr>votes for eu integration </vt:lpstr>
      <vt:lpstr>Chart1</vt:lpstr>
      <vt:lpstr>Chart2</vt:lpstr>
      <vt:lpstr>Chart3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Saunders</dc:creator>
  <cp:lastModifiedBy>Andrew Goodwin</cp:lastModifiedBy>
  <dcterms:created xsi:type="dcterms:W3CDTF">2026-01-23T10:15:50Z</dcterms:created>
  <dcterms:modified xsi:type="dcterms:W3CDTF">2026-02-10T10:55:01Z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2026-01-23T10:22:37Z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5bc2ccfd-ee18-4cc0-8222-a9189d6c4468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