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hartsheets/sheet7.xml" ContentType="application/vnd.openxmlformats-officedocument.spreadsheetml.chartsheet+xml"/>
  <Override PartName="/xl/chartsheets/sheet8.xml" ContentType="application/vnd.openxmlformats-officedocument.spreadsheetml.chartsheet+xml"/>
  <Override PartName="/xl/chartsheets/sheet9.xml" ContentType="application/vnd.openxmlformats-officedocument.spreadsheetml.chartsheet+xml"/>
  <Override PartName="/xl/chartsheets/sheet10.xml" ContentType="application/vnd.openxmlformats-officedocument.spreadsheetml.chartsheet+xml"/>
  <Override PartName="/xl/chartsheets/sheet11.xml" ContentType="application/vnd.openxmlformats-officedocument.spreadsheetml.chart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theme/themeOverride2.xml" ContentType="application/vnd.openxmlformats-officedocument.themeOverride+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theme/themeOverride3.xml" ContentType="application/vnd.openxmlformats-officedocument.themeOverride+xml"/>
  <Override PartName="/xl/drawings/drawing6.xml" ContentType="application/vnd.openxmlformats-officedocument.drawingml.chartshapes+xml"/>
  <Override PartName="/xl/drawings/drawing7.xml" ContentType="application/vnd.openxmlformats-officedocument.drawing+xml"/>
  <Override PartName="/xl/charts/chart4.xml" ContentType="application/vnd.openxmlformats-officedocument.drawingml.chart+xml"/>
  <Override PartName="/xl/theme/themeOverride4.xml" ContentType="application/vnd.openxmlformats-officedocument.themeOverride+xml"/>
  <Override PartName="/xl/drawings/drawing8.xml" ContentType="application/vnd.openxmlformats-officedocument.drawingml.chartshapes+xml"/>
  <Override PartName="/xl/drawings/drawing9.xml" ContentType="application/vnd.openxmlformats-officedocument.drawing+xml"/>
  <Override PartName="/xl/charts/chart5.xml" ContentType="application/vnd.openxmlformats-officedocument.drawingml.chart+xml"/>
  <Override PartName="/xl/theme/themeOverride5.xml" ContentType="application/vnd.openxmlformats-officedocument.themeOverride+xml"/>
  <Override PartName="/xl/drawings/drawing10.xml" ContentType="application/vnd.openxmlformats-officedocument.drawingml.chartshapes+xml"/>
  <Override PartName="/xl/drawings/drawing11.xml" ContentType="application/vnd.openxmlformats-officedocument.drawing+xml"/>
  <Override PartName="/xl/charts/chart6.xml" ContentType="application/vnd.openxmlformats-officedocument.drawingml.chart+xml"/>
  <Override PartName="/xl/theme/themeOverride6.xml" ContentType="application/vnd.openxmlformats-officedocument.themeOverride+xml"/>
  <Override PartName="/xl/drawings/drawing12.xml" ContentType="application/vnd.openxmlformats-officedocument.drawingml.chartshape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harts/chart7.xml" ContentType="application/vnd.openxmlformats-officedocument.drawingml.chart+xml"/>
  <Override PartName="/xl/theme/themeOverride7.xml" ContentType="application/vnd.openxmlformats-officedocument.themeOverride+xml"/>
  <Override PartName="/xl/drawings/drawing16.xml" ContentType="application/vnd.openxmlformats-officedocument.drawingml.chartshapes+xml"/>
  <Override PartName="/xl/drawings/drawing17.xml" ContentType="application/vnd.openxmlformats-officedocument.drawing+xml"/>
  <Override PartName="/xl/charts/chart8.xml" ContentType="application/vnd.openxmlformats-officedocument.drawingml.chart+xml"/>
  <Override PartName="/xl/theme/themeOverride8.xml" ContentType="application/vnd.openxmlformats-officedocument.themeOverride+xml"/>
  <Override PartName="/xl/drawings/drawing18.xml" ContentType="application/vnd.openxmlformats-officedocument.drawingml.chartshapes+xml"/>
  <Override PartName="/xl/drawings/drawing19.xml" ContentType="application/vnd.openxmlformats-officedocument.drawing+xml"/>
  <Override PartName="/xl/charts/chart9.xml" ContentType="application/vnd.openxmlformats-officedocument.drawingml.chart+xml"/>
  <Override PartName="/xl/theme/themeOverride9.xml" ContentType="application/vnd.openxmlformats-officedocument.themeOverride+xml"/>
  <Override PartName="/xl/drawings/drawing20.xml" ContentType="application/vnd.openxmlformats-officedocument.drawingml.chartshapes+xml"/>
  <Override PartName="/xl/drawings/drawing21.xml" ContentType="application/vnd.openxmlformats-officedocument.drawing+xml"/>
  <Override PartName="/xl/charts/chart10.xml" ContentType="application/vnd.openxmlformats-officedocument.drawingml.chart+xml"/>
  <Override PartName="/xl/theme/themeOverride10.xml" ContentType="application/vnd.openxmlformats-officedocument.themeOverride+xml"/>
  <Override PartName="/xl/drawings/drawing22.xml" ContentType="application/vnd.openxmlformats-officedocument.drawingml.chartshapes+xml"/>
  <Override PartName="/xl/drawings/drawing23.xml" ContentType="application/vnd.openxmlformats-officedocument.drawing+xml"/>
  <Override PartName="/xl/charts/chart11.xml" ContentType="application/vnd.openxmlformats-officedocument.drawingml.chart+xml"/>
  <Override PartName="/xl/theme/themeOverride11.xml" ContentType="application/vnd.openxmlformats-officedocument.themeOverride+xml"/>
  <Override PartName="/xl/drawings/drawing2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Z:\UK Team\UK Research Briefing\"/>
    </mc:Choice>
  </mc:AlternateContent>
  <xr:revisionPtr revIDLastSave="0" documentId="13_ncr:1_{5BE42F9D-7CCC-446A-9C7D-CFFFB2110DAA}" xr6:coauthVersionLast="47" xr6:coauthVersionMax="47" xr10:uidLastSave="{00000000-0000-0000-0000-000000000000}"/>
  <bookViews>
    <workbookView xWindow="-120" yWindow="-120" windowWidth="29040" windowHeight="15720" firstSheet="5" activeTab="8" xr2:uid="{DE36E059-9B59-48C0-AACA-10225D811EDD}"/>
  </bookViews>
  <sheets>
    <sheet name="CHARTS&gt;&gt;" sheetId="3" r:id="rId1"/>
    <sheet name="Chart - Migration assumptions" sheetId="22" r:id="rId2"/>
    <sheet name="Chart - Immigation by reason" sheetId="25" r:id="rId3"/>
    <sheet name="Chart - Emmigation by reason" sheetId="26" r:id="rId4"/>
    <sheet name="Chart - Output per hour (10yrma" sheetId="43" r:id="rId5"/>
    <sheet name="Chart - YHAT" sheetId="18" r:id="rId6"/>
    <sheet name="Chart - LT GDP OE, OBR" sheetId="54" r:id="rId7"/>
    <sheet name="DATA&gt;&gt;" sheetId="2" r:id="rId8"/>
    <sheet name="Chart Data" sheetId="1" r:id="rId9"/>
    <sheet name="OBR Nov25 ST1.15" sheetId="52" r:id="rId10"/>
    <sheet name="HAVERM" sheetId="39" r:id="rId11"/>
    <sheet name="HAVERQ" sheetId="41" r:id="rId12"/>
    <sheet name="Data" sheetId="17" r:id="rId13"/>
    <sheet name="GMW" sheetId="13" r:id="rId14"/>
    <sheet name="ONS popproj Jan25 pp" sheetId="20" r:id="rId15"/>
    <sheet name="ONS popproj by year Jan25" sheetId="40" r:id="rId16"/>
    <sheet name="ONS popproj Jan25 migcv" sheetId="21" r:id="rId17"/>
    <sheet name="HO_Monthly_Vis_01" sheetId="24" r:id="rId18"/>
    <sheet name="ONS Nov25 T1" sheetId="5" r:id="rId19"/>
    <sheet name="ONS Nov25 T4a" sheetId="6" r:id="rId20"/>
    <sheet name="ONS Nov25 T4b" sheetId="7" r:id="rId21"/>
    <sheet name="ONS Nov25 T6a" sheetId="8" r:id="rId22"/>
    <sheet name="ONS Nov25 T6b" sheetId="9" r:id="rId23"/>
    <sheet name="OBR Nov25 ST4.3" sheetId="51" r:id="rId24"/>
    <sheet name="OBR Nov25 ST1.1" sheetId="34" r:id="rId25"/>
    <sheet name="OBR Nov25 C2.8" sheetId="49" r:id="rId26"/>
    <sheet name="OBR Nov25 C2.25" sheetId="35" r:id="rId27"/>
    <sheet name="OBR LT economic determinants" sheetId="53" r:id="rId28"/>
    <sheet name="NOT USED&gt;&gt;" sheetId="4" r:id="rId29"/>
    <sheet name="Chart - Net inflows breakdown" sheetId="23" r:id="rId30"/>
    <sheet name="Chart - POPW &amp; SPA" sheetId="38" r:id="rId31"/>
    <sheet name="Chart - LT sickness" sheetId="44" r:id="rId32"/>
    <sheet name="Chart - Output per hour (5yrma)" sheetId="42" r:id="rId33"/>
    <sheet name="Chart - GDP comparison" sheetId="37" r:id="rId34"/>
  </sheets>
  <externalReferences>
    <externalReference r:id="rId35"/>
    <externalReference r:id="rId36"/>
  </externalReferences>
  <definedNames>
    <definedName name="_DLX1.INC">HAVERM!$A$1:$G$6</definedName>
    <definedName name="_DLX2.INC">HAVERQ!$A$1:$E$6</definedName>
    <definedName name="Data">[1]sheet0!$C$2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6" i="1" l="1"/>
  <c r="O66" i="1"/>
  <c r="G103" i="1"/>
  <c r="F103" i="1"/>
  <c r="D103" i="1"/>
  <c r="C103" i="1"/>
  <c r="B103" i="1"/>
  <c r="E103" i="1"/>
  <c r="HA5" i="1"/>
  <c r="HB5" i="1" s="1"/>
  <c r="HD5" i="1" s="1"/>
  <c r="HA6" i="1"/>
  <c r="HA7" i="1"/>
  <c r="HA8" i="1"/>
  <c r="HB8" i="1" s="1"/>
  <c r="HA9" i="1"/>
  <c r="HA10" i="1"/>
  <c r="HA11" i="1"/>
  <c r="HA12" i="1"/>
  <c r="HA13" i="1"/>
  <c r="HB13" i="1" s="1"/>
  <c r="HA14" i="1"/>
  <c r="HA15" i="1"/>
  <c r="HA16" i="1"/>
  <c r="HA17" i="1"/>
  <c r="HA18" i="1"/>
  <c r="HA19" i="1"/>
  <c r="HA20" i="1"/>
  <c r="HA21" i="1"/>
  <c r="HA22" i="1"/>
  <c r="HA23" i="1"/>
  <c r="HA24" i="1"/>
  <c r="HA25" i="1"/>
  <c r="HA26" i="1"/>
  <c r="HA27" i="1"/>
  <c r="HA28" i="1"/>
  <c r="HA29" i="1"/>
  <c r="HA30" i="1"/>
  <c r="HA31" i="1"/>
  <c r="HA32" i="1"/>
  <c r="HA33" i="1"/>
  <c r="HA34" i="1"/>
  <c r="HA35" i="1"/>
  <c r="HA36" i="1"/>
  <c r="HA37" i="1"/>
  <c r="HA38" i="1"/>
  <c r="HA39" i="1"/>
  <c r="HA40" i="1"/>
  <c r="HA41" i="1"/>
  <c r="HA42" i="1"/>
  <c r="HA43" i="1"/>
  <c r="HA44" i="1"/>
  <c r="HA45" i="1"/>
  <c r="HA46" i="1"/>
  <c r="HA47" i="1"/>
  <c r="HA48" i="1"/>
  <c r="HA49" i="1"/>
  <c r="HA4" i="1"/>
  <c r="HB4" i="1" s="1"/>
  <c r="HD4" i="1" s="1"/>
  <c r="HF15" i="1"/>
  <c r="HF16" i="1"/>
  <c r="HF17" i="1"/>
  <c r="HF18" i="1"/>
  <c r="HF19" i="1"/>
  <c r="HF14" i="1"/>
  <c r="HF20" i="1" a="1"/>
  <c r="HF20" i="1" s="1"/>
  <c r="HB10" i="1"/>
  <c r="HD10" i="1" s="1"/>
  <c r="HB12" i="1"/>
  <c r="HB6" i="1"/>
  <c r="HD6" i="1" s="1"/>
  <c r="HB7" i="1"/>
  <c r="HD7" i="1" s="1"/>
  <c r="HB9" i="1"/>
  <c r="HD9" i="1" s="1"/>
  <c r="HB11" i="1"/>
  <c r="HD8" i="1" l="1"/>
  <c r="HD11" i="1" l="1"/>
  <c r="HD12" i="1" l="1"/>
  <c r="HB14" i="1" l="1"/>
  <c r="HD13" i="1"/>
  <c r="HB15" i="1" l="1"/>
  <c r="HD14" i="1"/>
  <c r="HB16" i="1" l="1"/>
  <c r="HD15" i="1"/>
  <c r="HB17" i="1" l="1"/>
  <c r="HD16" i="1"/>
  <c r="HD17" i="1" l="1"/>
  <c r="HB18" i="1"/>
  <c r="HB19" i="1" l="1"/>
  <c r="HD18" i="1"/>
  <c r="HD19" i="1" l="1"/>
  <c r="HB20" i="1"/>
  <c r="HD20" i="1" l="1"/>
  <c r="HB21" i="1"/>
  <c r="HB22" i="1" l="1"/>
  <c r="HD21" i="1"/>
  <c r="HB23" i="1" l="1"/>
  <c r="HD22" i="1"/>
  <c r="HD23" i="1" l="1"/>
  <c r="HB24" i="1"/>
  <c r="HB25" i="1" l="1"/>
  <c r="HD24" i="1"/>
  <c r="HB26" i="1" l="1"/>
  <c r="HD25" i="1"/>
  <c r="HB27" i="1" l="1"/>
  <c r="HD26" i="1"/>
  <c r="HB28" i="1" l="1"/>
  <c r="HD27" i="1"/>
  <c r="HD28" i="1" l="1"/>
  <c r="HB29" i="1"/>
  <c r="HB30" i="1" l="1"/>
  <c r="HD29" i="1"/>
  <c r="HB31" i="1" l="1"/>
  <c r="HD30" i="1"/>
  <c r="HD31" i="1" l="1"/>
  <c r="HB32" i="1"/>
  <c r="HB33" i="1" l="1"/>
  <c r="HD32" i="1"/>
  <c r="HB34" i="1" l="1"/>
  <c r="HD33" i="1"/>
  <c r="HB35" i="1" l="1"/>
  <c r="HD34" i="1"/>
  <c r="HD35" i="1" l="1"/>
  <c r="HB36" i="1"/>
  <c r="HD36" i="1" l="1"/>
  <c r="HB37" i="1"/>
  <c r="HB38" i="1" l="1"/>
  <c r="HD37" i="1"/>
  <c r="HB39" i="1" l="1"/>
  <c r="HD38" i="1"/>
  <c r="HD39" i="1" l="1"/>
  <c r="HB40" i="1"/>
  <c r="HB41" i="1" l="1"/>
  <c r="HD40" i="1"/>
  <c r="HB42" i="1" l="1"/>
  <c r="HD41" i="1"/>
  <c r="HB43" i="1" l="1"/>
  <c r="HD42" i="1"/>
  <c r="HB44" i="1" l="1"/>
  <c r="HD43" i="1"/>
  <c r="HB45" i="1" l="1"/>
  <c r="HD44" i="1"/>
  <c r="HB46" i="1" l="1"/>
  <c r="HD45" i="1"/>
  <c r="HB47" i="1" l="1"/>
  <c r="HD46" i="1"/>
  <c r="HB48" i="1" l="1"/>
  <c r="HD47" i="1"/>
  <c r="HB49" i="1" l="1"/>
  <c r="HD49" i="1" s="1"/>
  <c r="HD48" i="1"/>
  <c r="GQ5" i="1" l="1"/>
  <c r="GQ6" i="1"/>
  <c r="GQ7" i="1"/>
  <c r="GQ8" i="1"/>
  <c r="GQ9" i="1"/>
  <c r="GQ10" i="1"/>
  <c r="GQ4" i="1"/>
  <c r="GW4" i="1" s="1"/>
  <c r="GM4" i="1"/>
  <c r="GN4" i="1"/>
  <c r="GP4" i="1"/>
  <c r="GT4" i="1" s="1"/>
  <c r="GL4" i="1"/>
  <c r="GR12" i="1"/>
  <c r="GQ14" i="1" l="1"/>
  <c r="GN6" i="1"/>
  <c r="GN7" i="1"/>
  <c r="GN8" i="1"/>
  <c r="GN9" i="1"/>
  <c r="GN10" i="1"/>
  <c r="GN5" i="1"/>
  <c r="GP6" i="1"/>
  <c r="GP7" i="1"/>
  <c r="GP8" i="1"/>
  <c r="GP9" i="1"/>
  <c r="GP10" i="1"/>
  <c r="GP5" i="1"/>
  <c r="GM6" i="1"/>
  <c r="GM7" i="1"/>
  <c r="GM8" i="1"/>
  <c r="GM9" i="1"/>
  <c r="GM10" i="1"/>
  <c r="GM5" i="1"/>
  <c r="GL10" i="1"/>
  <c r="GL6" i="1"/>
  <c r="GL7" i="1"/>
  <c r="GL8" i="1"/>
  <c r="GL9" i="1"/>
  <c r="GL5" i="1"/>
  <c r="GP14" i="1" l="1"/>
  <c r="W6" i="1" a="1"/>
  <c r="W6" i="1" s="1"/>
  <c r="U6" i="1" a="1"/>
  <c r="U7" i="1" s="1"/>
  <c r="T6" i="1" a="1"/>
  <c r="T6" i="1" s="1"/>
  <c r="S5" i="1"/>
  <c r="S6" i="1"/>
  <c r="V6" i="1" s="1"/>
  <c r="S7" i="1"/>
  <c r="V7" i="1" s="1"/>
  <c r="S8" i="1"/>
  <c r="V8" i="1" s="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 i="1"/>
  <c r="T47" i="1" l="1"/>
  <c r="U47" i="1"/>
  <c r="W12" i="1"/>
  <c r="W11" i="1"/>
  <c r="W9" i="1"/>
  <c r="W8" i="1"/>
  <c r="W7" i="1"/>
  <c r="W13" i="1"/>
  <c r="W10" i="1"/>
  <c r="W14" i="1"/>
  <c r="U38" i="1"/>
  <c r="U30" i="1"/>
  <c r="U22" i="1"/>
  <c r="U14" i="1"/>
  <c r="U46" i="1" s="1"/>
  <c r="U6" i="1"/>
  <c r="U37" i="1"/>
  <c r="U29" i="1"/>
  <c r="U21" i="1"/>
  <c r="U13" i="1"/>
  <c r="U44" i="1"/>
  <c r="U36" i="1"/>
  <c r="U28" i="1"/>
  <c r="U20" i="1"/>
  <c r="U12" i="1"/>
  <c r="U10" i="1"/>
  <c r="U43" i="1"/>
  <c r="U27" i="1"/>
  <c r="U11" i="1"/>
  <c r="U42" i="1"/>
  <c r="U34" i="1"/>
  <c r="U26" i="1"/>
  <c r="U18" i="1"/>
  <c r="U41" i="1"/>
  <c r="U33" i="1"/>
  <c r="U25" i="1"/>
  <c r="U17" i="1"/>
  <c r="U9" i="1"/>
  <c r="U35" i="1"/>
  <c r="U19" i="1"/>
  <c r="U40" i="1"/>
  <c r="U32" i="1"/>
  <c r="U24" i="1"/>
  <c r="U16" i="1"/>
  <c r="U8" i="1"/>
  <c r="U39" i="1"/>
  <c r="U31" i="1"/>
  <c r="U23" i="1"/>
  <c r="U15" i="1"/>
  <c r="T29" i="1"/>
  <c r="T13" i="1"/>
  <c r="T44" i="1"/>
  <c r="T36" i="1"/>
  <c r="T28" i="1"/>
  <c r="T20" i="1"/>
  <c r="T12" i="1"/>
  <c r="T43" i="1"/>
  <c r="T35" i="1"/>
  <c r="T27" i="1"/>
  <c r="T19" i="1"/>
  <c r="T11" i="1"/>
  <c r="T18" i="1"/>
  <c r="T37" i="1"/>
  <c r="T21" i="1"/>
  <c r="T42" i="1"/>
  <c r="T34" i="1"/>
  <c r="T26" i="1"/>
  <c r="T10" i="1"/>
  <c r="T41" i="1"/>
  <c r="T33" i="1"/>
  <c r="T25" i="1"/>
  <c r="T17" i="1"/>
  <c r="T9" i="1"/>
  <c r="T8" i="1"/>
  <c r="T23" i="1"/>
  <c r="T15" i="1"/>
  <c r="T7" i="1"/>
  <c r="T40" i="1"/>
  <c r="T32" i="1"/>
  <c r="T24" i="1"/>
  <c r="T16" i="1"/>
  <c r="T39" i="1"/>
  <c r="T31" i="1"/>
  <c r="T38" i="1"/>
  <c r="T30" i="1"/>
  <c r="T22" i="1"/>
  <c r="T14" i="1"/>
  <c r="T46" i="1" s="1"/>
  <c r="V9" i="1" l="1"/>
  <c r="V10" i="1"/>
  <c r="V11" i="1" s="1"/>
  <c r="V12" i="1" s="1"/>
  <c r="V13" i="1" s="1"/>
  <c r="V14" i="1" s="1"/>
  <c r="V46" i="1" s="1"/>
  <c r="P28" i="1"/>
  <c r="P29" i="1"/>
  <c r="P30" i="1"/>
  <c r="P31" i="1"/>
  <c r="P32" i="1"/>
  <c r="P33" i="1"/>
  <c r="P34" i="1"/>
  <c r="P27" i="1"/>
  <c r="GD4" i="1" l="1"/>
  <c r="FY43" i="1"/>
  <c r="FY44" i="1"/>
  <c r="FY45" i="1"/>
  <c r="FY46" i="1"/>
  <c r="FY47" i="1"/>
  <c r="FY48" i="1"/>
  <c r="FY49" i="1"/>
  <c r="FY50" i="1"/>
  <c r="FY51" i="1"/>
  <c r="FY52" i="1"/>
  <c r="FY53" i="1"/>
  <c r="FY54" i="1"/>
  <c r="FY55" i="1"/>
  <c r="FY56" i="1"/>
  <c r="FY57" i="1"/>
  <c r="FY58" i="1"/>
  <c r="FY59" i="1"/>
  <c r="FY60" i="1"/>
  <c r="FY61" i="1"/>
  <c r="FY62" i="1"/>
  <c r="FY63" i="1"/>
  <c r="FY64" i="1"/>
  <c r="FY65" i="1"/>
  <c r="FY66" i="1"/>
  <c r="FY67" i="1"/>
  <c r="FY68" i="1"/>
  <c r="FY69" i="1"/>
  <c r="FY70" i="1"/>
  <c r="FY71" i="1"/>
  <c r="FY72" i="1"/>
  <c r="FY73" i="1"/>
  <c r="FY74" i="1"/>
  <c r="FY75" i="1"/>
  <c r="FY76" i="1"/>
  <c r="FY77" i="1"/>
  <c r="FY78" i="1"/>
  <c r="FY79" i="1"/>
  <c r="FY80" i="1"/>
  <c r="FY81" i="1"/>
  <c r="FY82" i="1"/>
  <c r="FY83" i="1"/>
  <c r="FY84" i="1"/>
  <c r="FY85" i="1"/>
  <c r="FY86" i="1"/>
  <c r="FY87" i="1"/>
  <c r="FY88" i="1"/>
  <c r="FY89" i="1"/>
  <c r="FY90" i="1"/>
  <c r="FX23" i="1"/>
  <c r="FX24" i="1"/>
  <c r="FX25" i="1"/>
  <c r="FX26" i="1"/>
  <c r="FX27" i="1"/>
  <c r="FX28" i="1"/>
  <c r="FX29" i="1"/>
  <c r="FX30" i="1"/>
  <c r="FX31" i="1"/>
  <c r="FX32" i="1"/>
  <c r="FX33" i="1"/>
  <c r="FX34" i="1"/>
  <c r="FX35" i="1"/>
  <c r="FX36" i="1"/>
  <c r="FX37" i="1"/>
  <c r="FX38" i="1"/>
  <c r="FX39" i="1"/>
  <c r="FX40" i="1"/>
  <c r="FX41" i="1"/>
  <c r="FX42" i="1"/>
  <c r="FX43" i="1"/>
  <c r="FX44" i="1"/>
  <c r="FX45" i="1"/>
  <c r="FX46" i="1"/>
  <c r="FX47" i="1"/>
  <c r="FX48" i="1"/>
  <c r="FX49" i="1"/>
  <c r="FX50" i="1"/>
  <c r="FX51" i="1"/>
  <c r="FX52" i="1"/>
  <c r="FX53" i="1"/>
  <c r="FX54" i="1"/>
  <c r="FX55" i="1"/>
  <c r="FX56" i="1"/>
  <c r="FX57" i="1"/>
  <c r="FX58" i="1"/>
  <c r="FX59" i="1"/>
  <c r="FX60" i="1"/>
  <c r="FX61" i="1"/>
  <c r="FX62" i="1"/>
  <c r="FX63" i="1"/>
  <c r="FX64" i="1"/>
  <c r="FX65" i="1"/>
  <c r="FX66" i="1"/>
  <c r="FX67" i="1"/>
  <c r="FX68" i="1"/>
  <c r="FX69" i="1"/>
  <c r="FX70" i="1"/>
  <c r="GJ5" i="1"/>
  <c r="GJ4" i="1"/>
  <c r="GG5" i="1"/>
  <c r="FY92" i="1"/>
  <c r="FY93" i="1"/>
  <c r="FY94" i="1"/>
  <c r="FY95" i="1"/>
  <c r="FY96" i="1"/>
  <c r="FY97" i="1"/>
  <c r="FY98" i="1"/>
  <c r="FY99" i="1"/>
  <c r="FY100" i="1"/>
  <c r="FY101" i="1"/>
  <c r="FY102" i="1"/>
  <c r="FY103" i="1"/>
  <c r="FY104" i="1"/>
  <c r="FY105" i="1"/>
  <c r="FY106" i="1"/>
  <c r="FY107" i="1"/>
  <c r="FY108" i="1"/>
  <c r="FY109" i="1"/>
  <c r="FY110" i="1"/>
  <c r="FY111" i="1"/>
  <c r="FY112" i="1"/>
  <c r="FY113" i="1"/>
  <c r="FY114" i="1"/>
  <c r="FY115" i="1"/>
  <c r="FY116" i="1"/>
  <c r="FY117" i="1"/>
  <c r="FY118" i="1"/>
  <c r="FY119" i="1"/>
  <c r="FY120" i="1"/>
  <c r="FY121" i="1"/>
  <c r="FY122" i="1"/>
  <c r="FY123" i="1"/>
  <c r="FY124" i="1"/>
  <c r="FY125" i="1"/>
  <c r="FY126" i="1"/>
  <c r="FY127" i="1"/>
  <c r="FY128" i="1"/>
  <c r="FY129" i="1"/>
  <c r="FY130" i="1"/>
  <c r="FY131" i="1"/>
  <c r="FY132" i="1"/>
  <c r="FY133" i="1"/>
  <c r="FY134" i="1"/>
  <c r="FY135" i="1"/>
  <c r="FY136" i="1"/>
  <c r="FY137" i="1"/>
  <c r="FY138" i="1"/>
  <c r="FY139" i="1"/>
  <c r="FY140" i="1"/>
  <c r="FY141" i="1"/>
  <c r="FY142" i="1"/>
  <c r="FY143" i="1"/>
  <c r="FY144" i="1"/>
  <c r="FY145" i="1"/>
  <c r="FY146" i="1"/>
  <c r="FY147" i="1"/>
  <c r="FY148" i="1"/>
  <c r="FY149" i="1"/>
  <c r="FY150" i="1"/>
  <c r="FY151" i="1"/>
  <c r="FY152" i="1"/>
  <c r="FY153" i="1"/>
  <c r="FY154" i="1"/>
  <c r="FY155" i="1"/>
  <c r="FY156" i="1"/>
  <c r="FY157" i="1"/>
  <c r="FY158" i="1"/>
  <c r="FY159" i="1"/>
  <c r="FY160" i="1"/>
  <c r="FY161" i="1"/>
  <c r="FY162" i="1"/>
  <c r="FY163" i="1"/>
  <c r="FY164" i="1"/>
  <c r="FY165" i="1"/>
  <c r="FY166" i="1"/>
  <c r="FY167" i="1"/>
  <c r="FY168" i="1"/>
  <c r="FY169" i="1"/>
  <c r="FY170" i="1"/>
  <c r="FY171" i="1"/>
  <c r="FY172" i="1"/>
  <c r="FY173" i="1"/>
  <c r="FY174" i="1"/>
  <c r="FY175" i="1"/>
  <c r="FY176" i="1"/>
  <c r="FY177" i="1"/>
  <c r="FY178" i="1"/>
  <c r="FY179" i="1"/>
  <c r="FY180" i="1"/>
  <c r="FY181" i="1"/>
  <c r="FY182" i="1"/>
  <c r="FY183" i="1"/>
  <c r="FY184" i="1"/>
  <c r="FY185" i="1"/>
  <c r="FY186" i="1"/>
  <c r="FY187" i="1"/>
  <c r="FY188" i="1"/>
  <c r="FY189" i="1"/>
  <c r="FY190" i="1"/>
  <c r="FY191" i="1"/>
  <c r="FY192" i="1"/>
  <c r="FY193" i="1"/>
  <c r="FY194" i="1"/>
  <c r="FY195" i="1"/>
  <c r="FY196" i="1"/>
  <c r="FY197" i="1"/>
  <c r="FY198" i="1"/>
  <c r="FY199" i="1"/>
  <c r="FY200" i="1"/>
  <c r="FY201" i="1"/>
  <c r="FY202" i="1"/>
  <c r="FY203" i="1"/>
  <c r="FY204" i="1"/>
  <c r="FY205" i="1"/>
  <c r="FY206" i="1"/>
  <c r="FY207" i="1"/>
  <c r="FY208" i="1"/>
  <c r="FY209" i="1"/>
  <c r="FY210" i="1"/>
  <c r="FY211" i="1"/>
  <c r="FY212" i="1"/>
  <c r="FY213" i="1"/>
  <c r="FY214" i="1"/>
  <c r="FY215" i="1"/>
  <c r="FY216" i="1"/>
  <c r="FY217" i="1"/>
  <c r="FY218" i="1"/>
  <c r="FY219" i="1"/>
  <c r="FY220" i="1"/>
  <c r="FY221" i="1"/>
  <c r="FY222" i="1"/>
  <c r="FY223" i="1"/>
  <c r="FY224" i="1"/>
  <c r="FY225" i="1"/>
  <c r="FY226" i="1"/>
  <c r="FY227" i="1"/>
  <c r="FY228" i="1"/>
  <c r="FY229" i="1"/>
  <c r="FY230" i="1"/>
  <c r="FY231" i="1"/>
  <c r="FY232" i="1"/>
  <c r="FY233" i="1"/>
  <c r="FY234" i="1"/>
  <c r="FY235" i="1"/>
  <c r="FY236" i="1"/>
  <c r="FY237" i="1"/>
  <c r="FY238" i="1"/>
  <c r="FY239" i="1"/>
  <c r="FY240" i="1"/>
  <c r="FY241" i="1"/>
  <c r="FY242" i="1"/>
  <c r="FY243" i="1"/>
  <c r="FY244" i="1"/>
  <c r="FY245" i="1"/>
  <c r="FY246" i="1"/>
  <c r="FY247" i="1"/>
  <c r="FY248" i="1"/>
  <c r="FY249" i="1"/>
  <c r="FY250" i="1"/>
  <c r="FY251" i="1"/>
  <c r="FY252" i="1"/>
  <c r="FY253" i="1"/>
  <c r="FY254" i="1"/>
  <c r="FY255" i="1"/>
  <c r="FY256" i="1"/>
  <c r="FY257" i="1"/>
  <c r="FY258" i="1"/>
  <c r="FY259" i="1"/>
  <c r="FY260" i="1"/>
  <c r="FY261" i="1"/>
  <c r="FY262" i="1"/>
  <c r="FY263" i="1"/>
  <c r="FY264" i="1"/>
  <c r="FY265" i="1"/>
  <c r="FY266" i="1"/>
  <c r="FY91" i="1"/>
  <c r="FX259" i="1"/>
  <c r="FX260" i="1"/>
  <c r="FX261" i="1"/>
  <c r="FX262" i="1"/>
  <c r="FX263" i="1"/>
  <c r="FX264" i="1"/>
  <c r="FX265" i="1"/>
  <c r="FX266" i="1"/>
  <c r="GG4" i="1"/>
  <c r="GD5" i="1"/>
  <c r="GD6" i="1" s="1"/>
  <c r="FZ44" i="1" s="1"/>
  <c r="FX72" i="1"/>
  <c r="FX73" i="1"/>
  <c r="FX74" i="1"/>
  <c r="FX75" i="1"/>
  <c r="FX76" i="1"/>
  <c r="FX77" i="1"/>
  <c r="FX78" i="1"/>
  <c r="FX79" i="1"/>
  <c r="FX80" i="1"/>
  <c r="FX81" i="1"/>
  <c r="FX82" i="1"/>
  <c r="FX83" i="1"/>
  <c r="FX84" i="1"/>
  <c r="FX85" i="1"/>
  <c r="FX86" i="1"/>
  <c r="FX87" i="1"/>
  <c r="FX88" i="1"/>
  <c r="FX89" i="1"/>
  <c r="FX90" i="1"/>
  <c r="FX91" i="1"/>
  <c r="FX92" i="1"/>
  <c r="FX93" i="1"/>
  <c r="FX94" i="1"/>
  <c r="FX95" i="1"/>
  <c r="FX96" i="1"/>
  <c r="FX97" i="1"/>
  <c r="FX98" i="1"/>
  <c r="FX99" i="1"/>
  <c r="FX100" i="1"/>
  <c r="FX101" i="1"/>
  <c r="FX102" i="1"/>
  <c r="FX103" i="1"/>
  <c r="FX104" i="1"/>
  <c r="FX105" i="1"/>
  <c r="FX106" i="1"/>
  <c r="FX107" i="1"/>
  <c r="FX108" i="1"/>
  <c r="FX109" i="1"/>
  <c r="FX110" i="1"/>
  <c r="FX111" i="1"/>
  <c r="FX112" i="1"/>
  <c r="FX113" i="1"/>
  <c r="FX114" i="1"/>
  <c r="FX115" i="1"/>
  <c r="FX116" i="1"/>
  <c r="FX117" i="1"/>
  <c r="FX118" i="1"/>
  <c r="FX119" i="1"/>
  <c r="FX120" i="1"/>
  <c r="FX121" i="1"/>
  <c r="FX122" i="1"/>
  <c r="FX123" i="1"/>
  <c r="FX124" i="1"/>
  <c r="FX125" i="1"/>
  <c r="FX126" i="1"/>
  <c r="FX127" i="1"/>
  <c r="FX128" i="1"/>
  <c r="FX129" i="1"/>
  <c r="FX130" i="1"/>
  <c r="FX131" i="1"/>
  <c r="FX132" i="1"/>
  <c r="FX133" i="1"/>
  <c r="FX134" i="1"/>
  <c r="FX135" i="1"/>
  <c r="FX136" i="1"/>
  <c r="FX137" i="1"/>
  <c r="FX138" i="1"/>
  <c r="FX139" i="1"/>
  <c r="FX140" i="1"/>
  <c r="FX141" i="1"/>
  <c r="FX142" i="1"/>
  <c r="FX143" i="1"/>
  <c r="FX144" i="1"/>
  <c r="FX145" i="1"/>
  <c r="FX146" i="1"/>
  <c r="FX147" i="1"/>
  <c r="FX148" i="1"/>
  <c r="FX149" i="1"/>
  <c r="FX150" i="1"/>
  <c r="FX151" i="1"/>
  <c r="FX152" i="1"/>
  <c r="FX153" i="1"/>
  <c r="FX154" i="1"/>
  <c r="FX155" i="1"/>
  <c r="FX156" i="1"/>
  <c r="FX157" i="1"/>
  <c r="FX158" i="1"/>
  <c r="FX159" i="1"/>
  <c r="FX160" i="1"/>
  <c r="FX161" i="1"/>
  <c r="FX162" i="1"/>
  <c r="FX163" i="1"/>
  <c r="FX164" i="1"/>
  <c r="FX165" i="1"/>
  <c r="FX166" i="1"/>
  <c r="FX167" i="1"/>
  <c r="FX168" i="1"/>
  <c r="FX169" i="1"/>
  <c r="FX170" i="1"/>
  <c r="FX171" i="1"/>
  <c r="FX172" i="1"/>
  <c r="FX173" i="1"/>
  <c r="FX174" i="1"/>
  <c r="FX175" i="1"/>
  <c r="FX176" i="1"/>
  <c r="FX177" i="1"/>
  <c r="FX178" i="1"/>
  <c r="FX179" i="1"/>
  <c r="FX180" i="1"/>
  <c r="FX181" i="1"/>
  <c r="FX182" i="1"/>
  <c r="FX183" i="1"/>
  <c r="FX184" i="1"/>
  <c r="FX185" i="1"/>
  <c r="FX186" i="1"/>
  <c r="FX187" i="1"/>
  <c r="FX188" i="1"/>
  <c r="FX189" i="1"/>
  <c r="FX190" i="1"/>
  <c r="FX191" i="1"/>
  <c r="FX192" i="1"/>
  <c r="FX193" i="1"/>
  <c r="FX194" i="1"/>
  <c r="FX195" i="1"/>
  <c r="FX196" i="1"/>
  <c r="FX197" i="1"/>
  <c r="FX198" i="1"/>
  <c r="FX199" i="1"/>
  <c r="FX200" i="1"/>
  <c r="FX201" i="1"/>
  <c r="FX202" i="1"/>
  <c r="FX203" i="1"/>
  <c r="FX204" i="1"/>
  <c r="FX205" i="1"/>
  <c r="FX206" i="1"/>
  <c r="FX207" i="1"/>
  <c r="FX208" i="1"/>
  <c r="FX209" i="1"/>
  <c r="FX210" i="1"/>
  <c r="FX211" i="1"/>
  <c r="FX212" i="1"/>
  <c r="FX213" i="1"/>
  <c r="FX214" i="1"/>
  <c r="FX215" i="1"/>
  <c r="FX216" i="1"/>
  <c r="FX217" i="1"/>
  <c r="FX218" i="1"/>
  <c r="FX219" i="1"/>
  <c r="FX220" i="1"/>
  <c r="FX221" i="1"/>
  <c r="FX222" i="1"/>
  <c r="FX223" i="1"/>
  <c r="FX224" i="1"/>
  <c r="FX225" i="1"/>
  <c r="FX226" i="1"/>
  <c r="FX227" i="1"/>
  <c r="FX228" i="1"/>
  <c r="FX229" i="1"/>
  <c r="FX230" i="1"/>
  <c r="FX231" i="1"/>
  <c r="FX232" i="1"/>
  <c r="FX233" i="1"/>
  <c r="FX234" i="1"/>
  <c r="FX235" i="1"/>
  <c r="FX236" i="1"/>
  <c r="FX237" i="1"/>
  <c r="FX238" i="1"/>
  <c r="FX239" i="1"/>
  <c r="FX240" i="1"/>
  <c r="FX241" i="1"/>
  <c r="FX242" i="1"/>
  <c r="FX243" i="1"/>
  <c r="FX244" i="1"/>
  <c r="FX245" i="1"/>
  <c r="FX246" i="1"/>
  <c r="FX247" i="1"/>
  <c r="FX248" i="1"/>
  <c r="FX249" i="1"/>
  <c r="FX250" i="1"/>
  <c r="FX251" i="1"/>
  <c r="FX252" i="1"/>
  <c r="FX253" i="1"/>
  <c r="FX254" i="1"/>
  <c r="FX255" i="1"/>
  <c r="FX256" i="1"/>
  <c r="FX257" i="1"/>
  <c r="FX258" i="1"/>
  <c r="FX71" i="1"/>
  <c r="FZ47" i="1" l="1"/>
  <c r="FZ46" i="1"/>
  <c r="FZ45" i="1"/>
  <c r="GJ7" i="1"/>
  <c r="GJ6" i="1"/>
  <c r="GG7" i="1"/>
  <c r="GD7" i="1"/>
  <c r="GG6" i="1"/>
  <c r="GA202" i="1" l="1"/>
  <c r="GA210" i="1"/>
  <c r="GA218" i="1"/>
  <c r="GA226" i="1"/>
  <c r="GA234" i="1"/>
  <c r="GA242" i="1"/>
  <c r="GA250" i="1"/>
  <c r="GA258" i="1"/>
  <c r="GA203" i="1"/>
  <c r="GA211" i="1"/>
  <c r="GA219" i="1"/>
  <c r="GA227" i="1"/>
  <c r="GA235" i="1"/>
  <c r="GA243" i="1"/>
  <c r="GA251" i="1"/>
  <c r="GA196" i="1"/>
  <c r="GA220" i="1"/>
  <c r="GA244" i="1"/>
  <c r="GA197" i="1"/>
  <c r="GA205" i="1"/>
  <c r="GA213" i="1"/>
  <c r="GA221" i="1"/>
  <c r="GA229" i="1"/>
  <c r="GA237" i="1"/>
  <c r="GA245" i="1"/>
  <c r="GA253" i="1"/>
  <c r="GA201" i="1"/>
  <c r="GA217" i="1"/>
  <c r="GA233" i="1"/>
  <c r="GA249" i="1"/>
  <c r="GA198" i="1"/>
  <c r="GA206" i="1"/>
  <c r="GA214" i="1"/>
  <c r="GA222" i="1"/>
  <c r="GA230" i="1"/>
  <c r="GA238" i="1"/>
  <c r="GA246" i="1"/>
  <c r="GA254" i="1"/>
  <c r="GA257" i="1"/>
  <c r="GA212" i="1"/>
  <c r="GA228" i="1"/>
  <c r="GA252" i="1"/>
  <c r="GA199" i="1"/>
  <c r="GA207" i="1"/>
  <c r="GA215" i="1"/>
  <c r="GA223" i="1"/>
  <c r="GA231" i="1"/>
  <c r="GA239" i="1"/>
  <c r="GA247" i="1"/>
  <c r="GA255" i="1"/>
  <c r="GA209" i="1"/>
  <c r="GA241" i="1"/>
  <c r="GA200" i="1"/>
  <c r="GA208" i="1"/>
  <c r="GA216" i="1"/>
  <c r="GA224" i="1"/>
  <c r="GA232" i="1"/>
  <c r="GA240" i="1"/>
  <c r="GA248" i="1"/>
  <c r="GA256" i="1"/>
  <c r="GA225" i="1"/>
  <c r="GA204" i="1"/>
  <c r="GA236" i="1"/>
  <c r="FZ55" i="1"/>
  <c r="FZ63" i="1"/>
  <c r="FZ71" i="1"/>
  <c r="FZ79" i="1"/>
  <c r="FZ87" i="1"/>
  <c r="FZ95" i="1"/>
  <c r="FZ103" i="1"/>
  <c r="FZ111" i="1"/>
  <c r="FZ119" i="1"/>
  <c r="FZ127" i="1"/>
  <c r="FZ135" i="1"/>
  <c r="FZ143" i="1"/>
  <c r="FZ151" i="1"/>
  <c r="FZ159" i="1"/>
  <c r="FZ167" i="1"/>
  <c r="FZ175" i="1"/>
  <c r="FZ183" i="1"/>
  <c r="FZ191" i="1"/>
  <c r="FZ97" i="1"/>
  <c r="FZ153" i="1"/>
  <c r="FZ56" i="1"/>
  <c r="FZ64" i="1"/>
  <c r="FZ72" i="1"/>
  <c r="FZ80" i="1"/>
  <c r="FZ88" i="1"/>
  <c r="FZ96" i="1"/>
  <c r="FZ104" i="1"/>
  <c r="FZ112" i="1"/>
  <c r="FZ120" i="1"/>
  <c r="FZ128" i="1"/>
  <c r="FZ136" i="1"/>
  <c r="FZ144" i="1"/>
  <c r="FZ152" i="1"/>
  <c r="FZ160" i="1"/>
  <c r="FZ168" i="1"/>
  <c r="FZ176" i="1"/>
  <c r="FZ184" i="1"/>
  <c r="FZ192" i="1"/>
  <c r="FZ57" i="1"/>
  <c r="FZ89" i="1"/>
  <c r="FZ121" i="1"/>
  <c r="FZ169" i="1"/>
  <c r="FZ50" i="1"/>
  <c r="FZ58" i="1"/>
  <c r="FZ66" i="1"/>
  <c r="FZ74" i="1"/>
  <c r="FZ82" i="1"/>
  <c r="FZ90" i="1"/>
  <c r="FZ98" i="1"/>
  <c r="FZ106" i="1"/>
  <c r="FZ114" i="1"/>
  <c r="FZ122" i="1"/>
  <c r="FZ130" i="1"/>
  <c r="FZ138" i="1"/>
  <c r="FZ146" i="1"/>
  <c r="FZ154" i="1"/>
  <c r="FZ162" i="1"/>
  <c r="FZ170" i="1"/>
  <c r="FZ178" i="1"/>
  <c r="FZ186" i="1"/>
  <c r="FZ194" i="1"/>
  <c r="FZ62" i="1"/>
  <c r="FZ78" i="1"/>
  <c r="FZ102" i="1"/>
  <c r="FZ134" i="1"/>
  <c r="FZ166" i="1"/>
  <c r="FZ73" i="1"/>
  <c r="FZ177" i="1"/>
  <c r="FZ51" i="1"/>
  <c r="FZ59" i="1"/>
  <c r="FZ67" i="1"/>
  <c r="FZ75" i="1"/>
  <c r="FZ83" i="1"/>
  <c r="FZ91" i="1"/>
  <c r="FZ99" i="1"/>
  <c r="FZ107" i="1"/>
  <c r="FZ115" i="1"/>
  <c r="FZ123" i="1"/>
  <c r="FZ131" i="1"/>
  <c r="FZ139" i="1"/>
  <c r="FZ147" i="1"/>
  <c r="FZ155" i="1"/>
  <c r="FZ163" i="1"/>
  <c r="FZ171" i="1"/>
  <c r="FZ179" i="1"/>
  <c r="FZ187" i="1"/>
  <c r="FZ195" i="1"/>
  <c r="FZ86" i="1"/>
  <c r="FZ118" i="1"/>
  <c r="FZ150" i="1"/>
  <c r="FZ182" i="1"/>
  <c r="FZ81" i="1"/>
  <c r="FZ113" i="1"/>
  <c r="FZ137" i="1"/>
  <c r="FZ185" i="1"/>
  <c r="FZ52" i="1"/>
  <c r="FZ60" i="1"/>
  <c r="FZ68" i="1"/>
  <c r="FZ76" i="1"/>
  <c r="FZ84" i="1"/>
  <c r="FZ92" i="1"/>
  <c r="FZ100" i="1"/>
  <c r="FZ108" i="1"/>
  <c r="FZ116" i="1"/>
  <c r="FZ124" i="1"/>
  <c r="FZ132" i="1"/>
  <c r="FZ140" i="1"/>
  <c r="FZ148" i="1"/>
  <c r="FZ156" i="1"/>
  <c r="FZ164" i="1"/>
  <c r="FZ172" i="1"/>
  <c r="FZ180" i="1"/>
  <c r="FZ188" i="1"/>
  <c r="FZ48" i="1"/>
  <c r="FZ70" i="1"/>
  <c r="FZ110" i="1"/>
  <c r="FZ142" i="1"/>
  <c r="FZ174" i="1"/>
  <c r="FZ65" i="1"/>
  <c r="FZ145" i="1"/>
  <c r="FZ53" i="1"/>
  <c r="FZ61" i="1"/>
  <c r="FZ69" i="1"/>
  <c r="FZ77" i="1"/>
  <c r="FZ85" i="1"/>
  <c r="FZ93" i="1"/>
  <c r="FZ101" i="1"/>
  <c r="FZ109" i="1"/>
  <c r="FZ117" i="1"/>
  <c r="FZ125" i="1"/>
  <c r="FZ133" i="1"/>
  <c r="FZ141" i="1"/>
  <c r="FZ149" i="1"/>
  <c r="FZ157" i="1"/>
  <c r="FZ165" i="1"/>
  <c r="FZ173" i="1"/>
  <c r="FZ181" i="1"/>
  <c r="FZ189" i="1"/>
  <c r="FZ54" i="1"/>
  <c r="FZ94" i="1"/>
  <c r="FZ126" i="1"/>
  <c r="FZ158" i="1"/>
  <c r="FZ190" i="1"/>
  <c r="FZ49" i="1"/>
  <c r="FZ105" i="1"/>
  <c r="FZ129" i="1"/>
  <c r="FZ161" i="1"/>
  <c r="FZ193" i="1"/>
  <c r="EJ10" i="1" l="1"/>
  <c r="EK10" i="1"/>
  <c r="EL10" i="1"/>
  <c r="EM10" i="1"/>
  <c r="EN10" i="1"/>
  <c r="EO10" i="1"/>
  <c r="EP10" i="1"/>
  <c r="EQ10" i="1"/>
  <c r="ER10" i="1"/>
  <c r="ES10" i="1"/>
  <c r="ET10" i="1"/>
  <c r="EU10" i="1"/>
  <c r="EV10" i="1"/>
  <c r="EW10" i="1"/>
  <c r="EX10" i="1"/>
  <c r="EY10" i="1"/>
  <c r="EZ10" i="1"/>
  <c r="FA10" i="1"/>
  <c r="FB10" i="1"/>
  <c r="FC10" i="1"/>
  <c r="FD10" i="1"/>
  <c r="FE10" i="1"/>
  <c r="FF10" i="1"/>
  <c r="FG10" i="1"/>
  <c r="FH10" i="1"/>
  <c r="FI10" i="1"/>
  <c r="FJ10" i="1"/>
  <c r="FK10" i="1"/>
  <c r="FL10" i="1"/>
  <c r="FM10" i="1"/>
  <c r="FN10" i="1"/>
  <c r="FO10" i="1"/>
  <c r="FP10" i="1"/>
  <c r="FQ10" i="1"/>
  <c r="FR10" i="1"/>
  <c r="FS10" i="1"/>
  <c r="FT10" i="1"/>
  <c r="FU10" i="1"/>
  <c r="EJ11" i="1"/>
  <c r="EK11" i="1"/>
  <c r="EL11" i="1"/>
  <c r="EM11" i="1"/>
  <c r="EN11" i="1"/>
  <c r="EO11" i="1"/>
  <c r="EP11" i="1"/>
  <c r="EQ11" i="1"/>
  <c r="ER11" i="1"/>
  <c r="ES11" i="1"/>
  <c r="ET11" i="1"/>
  <c r="EU11" i="1"/>
  <c r="EV11" i="1"/>
  <c r="EW11" i="1"/>
  <c r="EX11" i="1"/>
  <c r="EY11" i="1"/>
  <c r="EZ11" i="1"/>
  <c r="FA11" i="1"/>
  <c r="FB11" i="1"/>
  <c r="FC11" i="1"/>
  <c r="FD11" i="1"/>
  <c r="FE11" i="1"/>
  <c r="FF11" i="1"/>
  <c r="FG11" i="1"/>
  <c r="FH11" i="1"/>
  <c r="FI11" i="1"/>
  <c r="FJ11" i="1"/>
  <c r="FK11" i="1"/>
  <c r="FL11" i="1"/>
  <c r="FM11" i="1"/>
  <c r="FN11" i="1"/>
  <c r="FO11" i="1"/>
  <c r="FP11" i="1"/>
  <c r="FQ11" i="1"/>
  <c r="FR11" i="1"/>
  <c r="FS11" i="1"/>
  <c r="FT11" i="1"/>
  <c r="FU11" i="1"/>
  <c r="EJ12" i="1"/>
  <c r="EK12" i="1"/>
  <c r="EL12" i="1"/>
  <c r="EM12" i="1"/>
  <c r="EN12" i="1"/>
  <c r="EO12" i="1"/>
  <c r="EP12" i="1"/>
  <c r="EQ12" i="1"/>
  <c r="ER12" i="1"/>
  <c r="ES12" i="1"/>
  <c r="ET12" i="1"/>
  <c r="EU12" i="1"/>
  <c r="EV12" i="1"/>
  <c r="EW12" i="1"/>
  <c r="EX12" i="1"/>
  <c r="EY12" i="1"/>
  <c r="EZ12" i="1"/>
  <c r="FA12" i="1"/>
  <c r="FB12" i="1"/>
  <c r="FC12" i="1"/>
  <c r="FD12" i="1"/>
  <c r="FE12" i="1"/>
  <c r="FF12" i="1"/>
  <c r="FG12" i="1"/>
  <c r="FH12" i="1"/>
  <c r="FI12" i="1"/>
  <c r="FJ12" i="1"/>
  <c r="FK12" i="1"/>
  <c r="FL12" i="1"/>
  <c r="FM12" i="1"/>
  <c r="FN12" i="1"/>
  <c r="FO12" i="1"/>
  <c r="FP12" i="1"/>
  <c r="FQ12" i="1"/>
  <c r="FR12" i="1"/>
  <c r="FS12" i="1"/>
  <c r="FT12" i="1"/>
  <c r="FU12" i="1"/>
  <c r="EJ13" i="1"/>
  <c r="EK13" i="1"/>
  <c r="EL13" i="1"/>
  <c r="EM13" i="1"/>
  <c r="EN13" i="1"/>
  <c r="EO13" i="1"/>
  <c r="EP13" i="1"/>
  <c r="EQ13" i="1"/>
  <c r="ER13" i="1"/>
  <c r="ES13" i="1"/>
  <c r="ET13" i="1"/>
  <c r="EU13" i="1"/>
  <c r="EV13" i="1"/>
  <c r="EW13" i="1"/>
  <c r="EX13" i="1"/>
  <c r="EY13" i="1"/>
  <c r="EZ13" i="1"/>
  <c r="FA13" i="1"/>
  <c r="FB13" i="1"/>
  <c r="FC13" i="1"/>
  <c r="FD13" i="1"/>
  <c r="FE13" i="1"/>
  <c r="FF13" i="1"/>
  <c r="FG13" i="1"/>
  <c r="FH13" i="1"/>
  <c r="FI13" i="1"/>
  <c r="FJ13" i="1"/>
  <c r="FK13" i="1"/>
  <c r="FL13" i="1"/>
  <c r="FM13" i="1"/>
  <c r="FN13" i="1"/>
  <c r="FO13" i="1"/>
  <c r="FP13" i="1"/>
  <c r="FQ13" i="1"/>
  <c r="FR13" i="1"/>
  <c r="FS13" i="1"/>
  <c r="FT13" i="1"/>
  <c r="FU13" i="1"/>
  <c r="EI13" i="1"/>
  <c r="EI12" i="1"/>
  <c r="EI11" i="1"/>
  <c r="EI10" i="1"/>
  <c r="EE375" i="1"/>
  <c r="EF375" i="1"/>
  <c r="EE376" i="1"/>
  <c r="EF376" i="1"/>
  <c r="EE377" i="1"/>
  <c r="EF377" i="1"/>
  <c r="EE378" i="1"/>
  <c r="EF378" i="1"/>
  <c r="EE379" i="1"/>
  <c r="EF379" i="1"/>
  <c r="EE380" i="1"/>
  <c r="EF380" i="1"/>
  <c r="EE381" i="1"/>
  <c r="EF381" i="1"/>
  <c r="EE382" i="1"/>
  <c r="EF382" i="1"/>
  <c r="EE383" i="1"/>
  <c r="EF383" i="1"/>
  <c r="EE384" i="1"/>
  <c r="EF384" i="1"/>
  <c r="EE385" i="1"/>
  <c r="EF385" i="1"/>
  <c r="EE386" i="1"/>
  <c r="EF386" i="1"/>
  <c r="EE387" i="1"/>
  <c r="EF387" i="1"/>
  <c r="EE388" i="1"/>
  <c r="EF388" i="1"/>
  <c r="EE389" i="1"/>
  <c r="EF389" i="1"/>
  <c r="EE390" i="1"/>
  <c r="EF390" i="1"/>
  <c r="EE391" i="1"/>
  <c r="EF391" i="1"/>
  <c r="EE392" i="1"/>
  <c r="EF392" i="1"/>
  <c r="EE393" i="1"/>
  <c r="EF393" i="1"/>
  <c r="EE394" i="1"/>
  <c r="EF394" i="1"/>
  <c r="EE395" i="1"/>
  <c r="EF395" i="1"/>
  <c r="EE396" i="1"/>
  <c r="EF396" i="1"/>
  <c r="EE397" i="1"/>
  <c r="EF397" i="1"/>
  <c r="EE8" i="1"/>
  <c r="EF8" i="1"/>
  <c r="EE9" i="1"/>
  <c r="EF9" i="1"/>
  <c r="EE10" i="1"/>
  <c r="EF10" i="1"/>
  <c r="EE11" i="1"/>
  <c r="EF11" i="1"/>
  <c r="EE12" i="1"/>
  <c r="EF12" i="1"/>
  <c r="EE13" i="1"/>
  <c r="EF13" i="1"/>
  <c r="EE14" i="1"/>
  <c r="EF14" i="1"/>
  <c r="EE15" i="1"/>
  <c r="EF15" i="1"/>
  <c r="EE16" i="1"/>
  <c r="EF16" i="1"/>
  <c r="EE17" i="1"/>
  <c r="EF17" i="1"/>
  <c r="EE18" i="1"/>
  <c r="EF18" i="1"/>
  <c r="EE19" i="1"/>
  <c r="EF19" i="1"/>
  <c r="EE20" i="1"/>
  <c r="EF20" i="1"/>
  <c r="EE21" i="1"/>
  <c r="EF21" i="1"/>
  <c r="EE22" i="1"/>
  <c r="EF22" i="1"/>
  <c r="EE23" i="1"/>
  <c r="EF23" i="1"/>
  <c r="EE24" i="1"/>
  <c r="EF24" i="1"/>
  <c r="EE25" i="1"/>
  <c r="EF25" i="1"/>
  <c r="EE26" i="1"/>
  <c r="EF26" i="1"/>
  <c r="EE27" i="1"/>
  <c r="EF27" i="1"/>
  <c r="EE28" i="1"/>
  <c r="EF28" i="1"/>
  <c r="EE29" i="1"/>
  <c r="EF29" i="1"/>
  <c r="EE30" i="1"/>
  <c r="EF30" i="1"/>
  <c r="EE31" i="1"/>
  <c r="EF31" i="1"/>
  <c r="EE32" i="1"/>
  <c r="EF32" i="1"/>
  <c r="EE33" i="1"/>
  <c r="EF33" i="1"/>
  <c r="EE34" i="1"/>
  <c r="EF34" i="1"/>
  <c r="EE35" i="1"/>
  <c r="EF35" i="1"/>
  <c r="EE36" i="1"/>
  <c r="EF36" i="1"/>
  <c r="EE37" i="1"/>
  <c r="EF37" i="1"/>
  <c r="EE38" i="1"/>
  <c r="EF38" i="1"/>
  <c r="EE39" i="1"/>
  <c r="EF39" i="1"/>
  <c r="EE40" i="1"/>
  <c r="EF40" i="1"/>
  <c r="EE41" i="1"/>
  <c r="EF41" i="1"/>
  <c r="EE42" i="1"/>
  <c r="EF42" i="1"/>
  <c r="EE43" i="1"/>
  <c r="EF43" i="1"/>
  <c r="EE44" i="1"/>
  <c r="EF44" i="1"/>
  <c r="EE45" i="1"/>
  <c r="EF45" i="1"/>
  <c r="EE46" i="1"/>
  <c r="EF46" i="1"/>
  <c r="EE47" i="1"/>
  <c r="EF47" i="1"/>
  <c r="EE48" i="1"/>
  <c r="EF48" i="1"/>
  <c r="EE49" i="1"/>
  <c r="EF49" i="1"/>
  <c r="EE50" i="1"/>
  <c r="EF50" i="1"/>
  <c r="EE51" i="1"/>
  <c r="EF51" i="1"/>
  <c r="EE52" i="1"/>
  <c r="EF52" i="1"/>
  <c r="EE53" i="1"/>
  <c r="EF53" i="1"/>
  <c r="EE54" i="1"/>
  <c r="EF54" i="1"/>
  <c r="EE55" i="1"/>
  <c r="EF55" i="1"/>
  <c r="EE56" i="1"/>
  <c r="EF56" i="1"/>
  <c r="EE57" i="1"/>
  <c r="EF57" i="1"/>
  <c r="EE58" i="1"/>
  <c r="EF58" i="1"/>
  <c r="EE59" i="1"/>
  <c r="EF59" i="1"/>
  <c r="EE60" i="1"/>
  <c r="EF60" i="1"/>
  <c r="EE61" i="1"/>
  <c r="EF61" i="1"/>
  <c r="EE62" i="1"/>
  <c r="EF62" i="1"/>
  <c r="EE63" i="1"/>
  <c r="EF63" i="1"/>
  <c r="EE64" i="1"/>
  <c r="EF64" i="1"/>
  <c r="EE65" i="1"/>
  <c r="EF65" i="1"/>
  <c r="EE66" i="1"/>
  <c r="EF66" i="1"/>
  <c r="EE67" i="1"/>
  <c r="EF67" i="1"/>
  <c r="EE68" i="1"/>
  <c r="EF68" i="1"/>
  <c r="EE69" i="1"/>
  <c r="EF69" i="1"/>
  <c r="EE70" i="1"/>
  <c r="EF70" i="1"/>
  <c r="EE71" i="1"/>
  <c r="EF71" i="1"/>
  <c r="EE72" i="1"/>
  <c r="EF72" i="1"/>
  <c r="EE73" i="1"/>
  <c r="EF73" i="1"/>
  <c r="EE74" i="1"/>
  <c r="EF74" i="1"/>
  <c r="EE75" i="1"/>
  <c r="EF75" i="1"/>
  <c r="EE76" i="1"/>
  <c r="EF76" i="1"/>
  <c r="EE77" i="1"/>
  <c r="EF77" i="1"/>
  <c r="EE78" i="1"/>
  <c r="EF78" i="1"/>
  <c r="EE79" i="1"/>
  <c r="EF79" i="1"/>
  <c r="EE80" i="1"/>
  <c r="EF80" i="1"/>
  <c r="EE81" i="1"/>
  <c r="EF81" i="1"/>
  <c r="EE82" i="1"/>
  <c r="EF82" i="1"/>
  <c r="EE83" i="1"/>
  <c r="EF83" i="1"/>
  <c r="EE84" i="1"/>
  <c r="EF84" i="1"/>
  <c r="EE85" i="1"/>
  <c r="EF85" i="1"/>
  <c r="EE86" i="1"/>
  <c r="EF86" i="1"/>
  <c r="EE87" i="1"/>
  <c r="EF87" i="1"/>
  <c r="EE88" i="1"/>
  <c r="EF88" i="1"/>
  <c r="EE89" i="1"/>
  <c r="EF89" i="1"/>
  <c r="EE90" i="1"/>
  <c r="EF90" i="1"/>
  <c r="EE91" i="1"/>
  <c r="EF91" i="1"/>
  <c r="EE92" i="1"/>
  <c r="EF92" i="1"/>
  <c r="EE93" i="1"/>
  <c r="EF93" i="1"/>
  <c r="EE94" i="1"/>
  <c r="EF94" i="1"/>
  <c r="EE95" i="1"/>
  <c r="EF95" i="1"/>
  <c r="EE96" i="1"/>
  <c r="EF96" i="1"/>
  <c r="EE97" i="1"/>
  <c r="EF97" i="1"/>
  <c r="EE98" i="1"/>
  <c r="EF98" i="1"/>
  <c r="EE99" i="1"/>
  <c r="EF99" i="1"/>
  <c r="EE100" i="1"/>
  <c r="EF100" i="1"/>
  <c r="EE101" i="1"/>
  <c r="EF101" i="1"/>
  <c r="EE102" i="1"/>
  <c r="EF102" i="1"/>
  <c r="EE103" i="1"/>
  <c r="EF103" i="1"/>
  <c r="EE104" i="1"/>
  <c r="EF104" i="1"/>
  <c r="EE105" i="1"/>
  <c r="EF105" i="1"/>
  <c r="EE106" i="1"/>
  <c r="EF106" i="1"/>
  <c r="EE107" i="1"/>
  <c r="EF107" i="1"/>
  <c r="EE108" i="1"/>
  <c r="EF108" i="1"/>
  <c r="EE109" i="1"/>
  <c r="EF109" i="1"/>
  <c r="EE110" i="1"/>
  <c r="EF110" i="1"/>
  <c r="EE111" i="1"/>
  <c r="EF111" i="1"/>
  <c r="EE112" i="1"/>
  <c r="EF112" i="1"/>
  <c r="EE113" i="1"/>
  <c r="EF113" i="1"/>
  <c r="EE114" i="1"/>
  <c r="EF114" i="1"/>
  <c r="EE115" i="1"/>
  <c r="EF115" i="1"/>
  <c r="EE116" i="1"/>
  <c r="EF116" i="1"/>
  <c r="EE117" i="1"/>
  <c r="EF117" i="1"/>
  <c r="EE118" i="1"/>
  <c r="EF118" i="1"/>
  <c r="EE119" i="1"/>
  <c r="EF119" i="1"/>
  <c r="EE120" i="1"/>
  <c r="EF120" i="1"/>
  <c r="EE121" i="1"/>
  <c r="EF121" i="1"/>
  <c r="EE122" i="1"/>
  <c r="EF122" i="1"/>
  <c r="EE123" i="1"/>
  <c r="EF123" i="1"/>
  <c r="EE124" i="1"/>
  <c r="EF124" i="1"/>
  <c r="EE125" i="1"/>
  <c r="EF125" i="1"/>
  <c r="EE126" i="1"/>
  <c r="EF126" i="1"/>
  <c r="EE127" i="1"/>
  <c r="EF127" i="1"/>
  <c r="EE128" i="1"/>
  <c r="EF128" i="1"/>
  <c r="EE129" i="1"/>
  <c r="EF129" i="1"/>
  <c r="EE130" i="1"/>
  <c r="EF130" i="1"/>
  <c r="EE131" i="1"/>
  <c r="EF131" i="1"/>
  <c r="EE132" i="1"/>
  <c r="EF132" i="1"/>
  <c r="EE133" i="1"/>
  <c r="EF133" i="1"/>
  <c r="EE134" i="1"/>
  <c r="EF134" i="1"/>
  <c r="EE135" i="1"/>
  <c r="EF135" i="1"/>
  <c r="EE136" i="1"/>
  <c r="EF136" i="1"/>
  <c r="EE137" i="1"/>
  <c r="EF137" i="1"/>
  <c r="EE138" i="1"/>
  <c r="EF138" i="1"/>
  <c r="EE139" i="1"/>
  <c r="EF139" i="1"/>
  <c r="EE140" i="1"/>
  <c r="EF140" i="1"/>
  <c r="EE141" i="1"/>
  <c r="EF141" i="1"/>
  <c r="EE142" i="1"/>
  <c r="EF142" i="1"/>
  <c r="EE143" i="1"/>
  <c r="EF143" i="1"/>
  <c r="EE144" i="1"/>
  <c r="EF144" i="1"/>
  <c r="EE145" i="1"/>
  <c r="EF145" i="1"/>
  <c r="EE146" i="1"/>
  <c r="EF146" i="1"/>
  <c r="EE147" i="1"/>
  <c r="EF147" i="1"/>
  <c r="EE148" i="1"/>
  <c r="EF148" i="1"/>
  <c r="EE149" i="1"/>
  <c r="EF149" i="1"/>
  <c r="EE150" i="1"/>
  <c r="EF150" i="1"/>
  <c r="EE151" i="1"/>
  <c r="EF151" i="1"/>
  <c r="EE152" i="1"/>
  <c r="EF152" i="1"/>
  <c r="EE153" i="1"/>
  <c r="EF153" i="1"/>
  <c r="EE154" i="1"/>
  <c r="EF154" i="1"/>
  <c r="EE155" i="1"/>
  <c r="EF155" i="1"/>
  <c r="EE156" i="1"/>
  <c r="EF156" i="1"/>
  <c r="EE157" i="1"/>
  <c r="EF157" i="1"/>
  <c r="EE158" i="1"/>
  <c r="EF158" i="1"/>
  <c r="EE159" i="1"/>
  <c r="EF159" i="1"/>
  <c r="EE160" i="1"/>
  <c r="EF160" i="1"/>
  <c r="EE161" i="1"/>
  <c r="EF161" i="1"/>
  <c r="EE162" i="1"/>
  <c r="EF162" i="1"/>
  <c r="EE163" i="1"/>
  <c r="EF163" i="1"/>
  <c r="EE164" i="1"/>
  <c r="EF164" i="1"/>
  <c r="EE165" i="1"/>
  <c r="EF165" i="1"/>
  <c r="EE166" i="1"/>
  <c r="EF166" i="1"/>
  <c r="EE167" i="1"/>
  <c r="EF167" i="1"/>
  <c r="EE168" i="1"/>
  <c r="EF168" i="1"/>
  <c r="EE169" i="1"/>
  <c r="EF169" i="1"/>
  <c r="EE170" i="1"/>
  <c r="EF170" i="1"/>
  <c r="EE171" i="1"/>
  <c r="EF171" i="1"/>
  <c r="EE172" i="1"/>
  <c r="EF172" i="1"/>
  <c r="EE173" i="1"/>
  <c r="EF173" i="1"/>
  <c r="EE174" i="1"/>
  <c r="EF174" i="1"/>
  <c r="EE175" i="1"/>
  <c r="EF175" i="1"/>
  <c r="EE176" i="1"/>
  <c r="EF176" i="1"/>
  <c r="EE177" i="1"/>
  <c r="EF177" i="1"/>
  <c r="EE178" i="1"/>
  <c r="EF178" i="1"/>
  <c r="EE179" i="1"/>
  <c r="EF179" i="1"/>
  <c r="EE180" i="1"/>
  <c r="EF180" i="1"/>
  <c r="EE181" i="1"/>
  <c r="EF181" i="1"/>
  <c r="EE182" i="1"/>
  <c r="EF182" i="1"/>
  <c r="EE183" i="1"/>
  <c r="EF183" i="1"/>
  <c r="EE184" i="1"/>
  <c r="EF184" i="1"/>
  <c r="EE185" i="1"/>
  <c r="EF185" i="1"/>
  <c r="EE186" i="1"/>
  <c r="EF186" i="1"/>
  <c r="EE187" i="1"/>
  <c r="EF187" i="1"/>
  <c r="EE188" i="1"/>
  <c r="EF188" i="1"/>
  <c r="EE189" i="1"/>
  <c r="EF189" i="1"/>
  <c r="EE190" i="1"/>
  <c r="EF190" i="1"/>
  <c r="EE191" i="1"/>
  <c r="EF191" i="1"/>
  <c r="EE192" i="1"/>
  <c r="EF192" i="1"/>
  <c r="EE193" i="1"/>
  <c r="EF193" i="1"/>
  <c r="EE194" i="1"/>
  <c r="EF194" i="1"/>
  <c r="EE195" i="1"/>
  <c r="EF195" i="1"/>
  <c r="EE196" i="1"/>
  <c r="EF196" i="1"/>
  <c r="EE197" i="1"/>
  <c r="EF197" i="1"/>
  <c r="EE198" i="1"/>
  <c r="EF198" i="1"/>
  <c r="EE199" i="1"/>
  <c r="EF199" i="1"/>
  <c r="EE200" i="1"/>
  <c r="EF200" i="1"/>
  <c r="EE201" i="1"/>
  <c r="EF201" i="1"/>
  <c r="EE202" i="1"/>
  <c r="EF202" i="1"/>
  <c r="EE203" i="1"/>
  <c r="EF203" i="1"/>
  <c r="EE204" i="1"/>
  <c r="EF204" i="1"/>
  <c r="EE205" i="1"/>
  <c r="EF205" i="1"/>
  <c r="EE206" i="1"/>
  <c r="EF206" i="1"/>
  <c r="EE207" i="1"/>
  <c r="EF207" i="1"/>
  <c r="EE208" i="1"/>
  <c r="EF208" i="1"/>
  <c r="EE209" i="1"/>
  <c r="EF209" i="1"/>
  <c r="EE210" i="1"/>
  <c r="EF210" i="1"/>
  <c r="EE211" i="1"/>
  <c r="EF211" i="1"/>
  <c r="EE212" i="1"/>
  <c r="EF212" i="1"/>
  <c r="EE213" i="1"/>
  <c r="EF213" i="1"/>
  <c r="EE214" i="1"/>
  <c r="EF214" i="1"/>
  <c r="EE215" i="1"/>
  <c r="EF215" i="1"/>
  <c r="EE216" i="1"/>
  <c r="EF216" i="1"/>
  <c r="EE217" i="1"/>
  <c r="EF217" i="1"/>
  <c r="EE218" i="1"/>
  <c r="EF218" i="1"/>
  <c r="EE219" i="1"/>
  <c r="EF219" i="1"/>
  <c r="EE220" i="1"/>
  <c r="EF220" i="1"/>
  <c r="EE221" i="1"/>
  <c r="EF221" i="1"/>
  <c r="EE222" i="1"/>
  <c r="EF222" i="1"/>
  <c r="EE223" i="1"/>
  <c r="EF223" i="1"/>
  <c r="EE224" i="1"/>
  <c r="EF224" i="1"/>
  <c r="EE225" i="1"/>
  <c r="EF225" i="1"/>
  <c r="EE226" i="1"/>
  <c r="EF226" i="1"/>
  <c r="EE227" i="1"/>
  <c r="EF227" i="1"/>
  <c r="EE228" i="1"/>
  <c r="EF228" i="1"/>
  <c r="EE229" i="1"/>
  <c r="EF229" i="1"/>
  <c r="EE230" i="1"/>
  <c r="EF230" i="1"/>
  <c r="EE231" i="1"/>
  <c r="EF231" i="1"/>
  <c r="EE232" i="1"/>
  <c r="EF232" i="1"/>
  <c r="EE233" i="1"/>
  <c r="EF233" i="1"/>
  <c r="EE234" i="1"/>
  <c r="EF234" i="1"/>
  <c r="EE235" i="1"/>
  <c r="EF235" i="1"/>
  <c r="EE236" i="1"/>
  <c r="EF236" i="1"/>
  <c r="EE237" i="1"/>
  <c r="EF237" i="1"/>
  <c r="EE238" i="1"/>
  <c r="EF238" i="1"/>
  <c r="EE239" i="1"/>
  <c r="EF239" i="1"/>
  <c r="EE240" i="1"/>
  <c r="EF240" i="1"/>
  <c r="EE241" i="1"/>
  <c r="EF241" i="1"/>
  <c r="EE242" i="1"/>
  <c r="EF242" i="1"/>
  <c r="EE243" i="1"/>
  <c r="EF243" i="1"/>
  <c r="EE244" i="1"/>
  <c r="EF244" i="1"/>
  <c r="EE245" i="1"/>
  <c r="EF245" i="1"/>
  <c r="EE246" i="1"/>
  <c r="EF246" i="1"/>
  <c r="EE247" i="1"/>
  <c r="EF247" i="1"/>
  <c r="EE248" i="1"/>
  <c r="EF248" i="1"/>
  <c r="EE249" i="1"/>
  <c r="EF249" i="1"/>
  <c r="EE250" i="1"/>
  <c r="EF250" i="1"/>
  <c r="EE251" i="1"/>
  <c r="EF251" i="1"/>
  <c r="EE252" i="1"/>
  <c r="EF252" i="1"/>
  <c r="EE253" i="1"/>
  <c r="EF253" i="1"/>
  <c r="EE254" i="1"/>
  <c r="EF254" i="1"/>
  <c r="EE255" i="1"/>
  <c r="EF255" i="1"/>
  <c r="EE256" i="1"/>
  <c r="EF256" i="1"/>
  <c r="EE257" i="1"/>
  <c r="EF257" i="1"/>
  <c r="EE258" i="1"/>
  <c r="EF258" i="1"/>
  <c r="EE259" i="1"/>
  <c r="EF259" i="1"/>
  <c r="EE260" i="1"/>
  <c r="EF260" i="1"/>
  <c r="EE261" i="1"/>
  <c r="EF261" i="1"/>
  <c r="EE262" i="1"/>
  <c r="EF262" i="1"/>
  <c r="EE263" i="1"/>
  <c r="EF263" i="1"/>
  <c r="EE264" i="1"/>
  <c r="EF264" i="1"/>
  <c r="EE265" i="1"/>
  <c r="EF265" i="1"/>
  <c r="EE266" i="1"/>
  <c r="EF266" i="1"/>
  <c r="EE267" i="1"/>
  <c r="EF267" i="1"/>
  <c r="EE268" i="1"/>
  <c r="EF268" i="1"/>
  <c r="EE269" i="1"/>
  <c r="EF269" i="1"/>
  <c r="EE270" i="1"/>
  <c r="EF270" i="1"/>
  <c r="EE271" i="1"/>
  <c r="EF271" i="1"/>
  <c r="EE272" i="1"/>
  <c r="EF272" i="1"/>
  <c r="EE273" i="1"/>
  <c r="EF273" i="1"/>
  <c r="EE274" i="1"/>
  <c r="EF274" i="1"/>
  <c r="EE275" i="1"/>
  <c r="EF275" i="1"/>
  <c r="EE276" i="1"/>
  <c r="EF276" i="1"/>
  <c r="EE277" i="1"/>
  <c r="EF277" i="1"/>
  <c r="EE278" i="1"/>
  <c r="EF278" i="1"/>
  <c r="EE279" i="1"/>
  <c r="EF279" i="1"/>
  <c r="EE280" i="1"/>
  <c r="EF280" i="1"/>
  <c r="EE281" i="1"/>
  <c r="EF281" i="1"/>
  <c r="EE282" i="1"/>
  <c r="EF282" i="1"/>
  <c r="EE283" i="1"/>
  <c r="EF283" i="1"/>
  <c r="EE284" i="1"/>
  <c r="EF284" i="1"/>
  <c r="EE285" i="1"/>
  <c r="EF285" i="1"/>
  <c r="EE286" i="1"/>
  <c r="EF286" i="1"/>
  <c r="EE287" i="1"/>
  <c r="EF287" i="1"/>
  <c r="EE288" i="1"/>
  <c r="EF288" i="1"/>
  <c r="EE289" i="1"/>
  <c r="EF289" i="1"/>
  <c r="EE290" i="1"/>
  <c r="EF290" i="1"/>
  <c r="EE291" i="1"/>
  <c r="EF291" i="1"/>
  <c r="EE292" i="1"/>
  <c r="EF292" i="1"/>
  <c r="EE293" i="1"/>
  <c r="EF293" i="1"/>
  <c r="EE294" i="1"/>
  <c r="EF294" i="1"/>
  <c r="EE295" i="1"/>
  <c r="EF295" i="1"/>
  <c r="EE296" i="1"/>
  <c r="EF296" i="1"/>
  <c r="EE297" i="1"/>
  <c r="EF297" i="1"/>
  <c r="EE298" i="1"/>
  <c r="EF298" i="1"/>
  <c r="EE299" i="1"/>
  <c r="EF299" i="1"/>
  <c r="EE300" i="1"/>
  <c r="EF300" i="1"/>
  <c r="EE301" i="1"/>
  <c r="EF301" i="1"/>
  <c r="EE302" i="1"/>
  <c r="EF302" i="1"/>
  <c r="EE303" i="1"/>
  <c r="EF303" i="1"/>
  <c r="EE304" i="1"/>
  <c r="EF304" i="1"/>
  <c r="EE305" i="1"/>
  <c r="EF305" i="1"/>
  <c r="EE306" i="1"/>
  <c r="EF306" i="1"/>
  <c r="EE307" i="1"/>
  <c r="EF307" i="1"/>
  <c r="EE308" i="1"/>
  <c r="EF308" i="1"/>
  <c r="EE309" i="1"/>
  <c r="EF309" i="1"/>
  <c r="EE310" i="1"/>
  <c r="EF310" i="1"/>
  <c r="EE311" i="1"/>
  <c r="EF311" i="1"/>
  <c r="EE312" i="1"/>
  <c r="EF312" i="1"/>
  <c r="EE313" i="1"/>
  <c r="EF313" i="1"/>
  <c r="EE314" i="1"/>
  <c r="EF314" i="1"/>
  <c r="EE315" i="1"/>
  <c r="EF315" i="1"/>
  <c r="EE316" i="1"/>
  <c r="EF316" i="1"/>
  <c r="EE317" i="1"/>
  <c r="EF317" i="1"/>
  <c r="EE318" i="1"/>
  <c r="EF318" i="1"/>
  <c r="EE319" i="1"/>
  <c r="EF319" i="1"/>
  <c r="EE320" i="1"/>
  <c r="EF320" i="1"/>
  <c r="EE321" i="1"/>
  <c r="EF321" i="1"/>
  <c r="EE322" i="1"/>
  <c r="EF322" i="1"/>
  <c r="EE323" i="1"/>
  <c r="EF323" i="1"/>
  <c r="EE324" i="1"/>
  <c r="EF324" i="1"/>
  <c r="EE325" i="1"/>
  <c r="EF325" i="1"/>
  <c r="EE326" i="1"/>
  <c r="EF326" i="1"/>
  <c r="EE327" i="1"/>
  <c r="EF327" i="1"/>
  <c r="EE328" i="1"/>
  <c r="EF328" i="1"/>
  <c r="EE329" i="1"/>
  <c r="EF329" i="1"/>
  <c r="EE330" i="1"/>
  <c r="EF330" i="1"/>
  <c r="EE331" i="1"/>
  <c r="EF331" i="1"/>
  <c r="EE332" i="1"/>
  <c r="EF332" i="1"/>
  <c r="EE333" i="1"/>
  <c r="EF333" i="1"/>
  <c r="EE334" i="1"/>
  <c r="EF334" i="1"/>
  <c r="EE335" i="1"/>
  <c r="EF335" i="1"/>
  <c r="EE336" i="1"/>
  <c r="EF336" i="1"/>
  <c r="EE337" i="1"/>
  <c r="EF337" i="1"/>
  <c r="EE338" i="1"/>
  <c r="EF338" i="1"/>
  <c r="EE339" i="1"/>
  <c r="EF339" i="1"/>
  <c r="EE340" i="1"/>
  <c r="EF340" i="1"/>
  <c r="EE341" i="1"/>
  <c r="EF341" i="1"/>
  <c r="EE342" i="1"/>
  <c r="EF342" i="1"/>
  <c r="EE343" i="1"/>
  <c r="EF343" i="1"/>
  <c r="EE344" i="1"/>
  <c r="EF344" i="1"/>
  <c r="EE345" i="1"/>
  <c r="EF345" i="1"/>
  <c r="EE346" i="1"/>
  <c r="EF346" i="1"/>
  <c r="EE347" i="1"/>
  <c r="EF347" i="1"/>
  <c r="EE348" i="1"/>
  <c r="EF348" i="1"/>
  <c r="EE349" i="1"/>
  <c r="EF349" i="1"/>
  <c r="EE350" i="1"/>
  <c r="EF350" i="1"/>
  <c r="EE351" i="1"/>
  <c r="EF351" i="1"/>
  <c r="EE352" i="1"/>
  <c r="EF352" i="1"/>
  <c r="EE353" i="1"/>
  <c r="EF353" i="1"/>
  <c r="EE354" i="1"/>
  <c r="EF354" i="1"/>
  <c r="EE355" i="1"/>
  <c r="EF355" i="1"/>
  <c r="EE356" i="1"/>
  <c r="EF356" i="1"/>
  <c r="EE357" i="1"/>
  <c r="EF357" i="1"/>
  <c r="EE358" i="1"/>
  <c r="EF358" i="1"/>
  <c r="EE359" i="1"/>
  <c r="EF359" i="1"/>
  <c r="EE360" i="1"/>
  <c r="EF360" i="1"/>
  <c r="EE361" i="1"/>
  <c r="EF361" i="1"/>
  <c r="EE362" i="1"/>
  <c r="EF362" i="1"/>
  <c r="EE363" i="1"/>
  <c r="EF363" i="1"/>
  <c r="EE364" i="1"/>
  <c r="EF364" i="1"/>
  <c r="EE365" i="1"/>
  <c r="EF365" i="1"/>
  <c r="EE366" i="1"/>
  <c r="EF366" i="1"/>
  <c r="EE367" i="1"/>
  <c r="EF367" i="1"/>
  <c r="EE368" i="1"/>
  <c r="EF368" i="1"/>
  <c r="EE369" i="1"/>
  <c r="EF369" i="1"/>
  <c r="EE370" i="1"/>
  <c r="EF370" i="1"/>
  <c r="EE371" i="1"/>
  <c r="EF371" i="1"/>
  <c r="EE372" i="1"/>
  <c r="EF372" i="1"/>
  <c r="EE373" i="1"/>
  <c r="EF373" i="1"/>
  <c r="EE374" i="1"/>
  <c r="EF374" i="1"/>
  <c r="EF7" i="1"/>
  <c r="EE7" i="1"/>
  <c r="EB375" i="1"/>
  <c r="EB376" i="1"/>
  <c r="EB377" i="1"/>
  <c r="EB378" i="1"/>
  <c r="EB379" i="1"/>
  <c r="EB380" i="1"/>
  <c r="EB381" i="1"/>
  <c r="EB382" i="1"/>
  <c r="EB383" i="1"/>
  <c r="EB384" i="1"/>
  <c r="EB385" i="1"/>
  <c r="EB386" i="1"/>
  <c r="EB387" i="1"/>
  <c r="EB388" i="1"/>
  <c r="EB389" i="1"/>
  <c r="EB390" i="1"/>
  <c r="EB391" i="1"/>
  <c r="EB392" i="1"/>
  <c r="EB393" i="1"/>
  <c r="EB394" i="1"/>
  <c r="EB395" i="1"/>
  <c r="EB396" i="1"/>
  <c r="EB397" i="1"/>
  <c r="EB8" i="1"/>
  <c r="EB9" i="1"/>
  <c r="EB10" i="1"/>
  <c r="EB11" i="1"/>
  <c r="EB12" i="1"/>
  <c r="EB13" i="1"/>
  <c r="EB14" i="1"/>
  <c r="EB15" i="1"/>
  <c r="EB16" i="1"/>
  <c r="EB17" i="1"/>
  <c r="EB18" i="1"/>
  <c r="EB19" i="1"/>
  <c r="EB20" i="1"/>
  <c r="EB21" i="1"/>
  <c r="EB22" i="1"/>
  <c r="EB23" i="1"/>
  <c r="EB24" i="1"/>
  <c r="EB25" i="1"/>
  <c r="EB26" i="1"/>
  <c r="EB27" i="1"/>
  <c r="EB28" i="1"/>
  <c r="EB29" i="1"/>
  <c r="EB30" i="1"/>
  <c r="EB31" i="1"/>
  <c r="EB32" i="1"/>
  <c r="EB33" i="1"/>
  <c r="EB34" i="1"/>
  <c r="EB35" i="1"/>
  <c r="EB36" i="1"/>
  <c r="EB37" i="1"/>
  <c r="EB38" i="1"/>
  <c r="EB39" i="1"/>
  <c r="EB40" i="1"/>
  <c r="EB41" i="1"/>
  <c r="EB42" i="1"/>
  <c r="EB43" i="1"/>
  <c r="EB44" i="1"/>
  <c r="EB45" i="1"/>
  <c r="EB46" i="1"/>
  <c r="EB47" i="1"/>
  <c r="EB48" i="1"/>
  <c r="EB49" i="1"/>
  <c r="EB50" i="1"/>
  <c r="EB51" i="1"/>
  <c r="EB52" i="1"/>
  <c r="EB53" i="1"/>
  <c r="EB54" i="1"/>
  <c r="EB55" i="1"/>
  <c r="EB56" i="1"/>
  <c r="EB57" i="1"/>
  <c r="EB58" i="1"/>
  <c r="EB59" i="1"/>
  <c r="EB60" i="1"/>
  <c r="EB61" i="1"/>
  <c r="EB62" i="1"/>
  <c r="EB63" i="1"/>
  <c r="EB64" i="1"/>
  <c r="EB65" i="1"/>
  <c r="EB66" i="1"/>
  <c r="EB67" i="1"/>
  <c r="EB68" i="1"/>
  <c r="EB69" i="1"/>
  <c r="EB70" i="1"/>
  <c r="EB71" i="1"/>
  <c r="EB72" i="1"/>
  <c r="EB73" i="1"/>
  <c r="EB74" i="1"/>
  <c r="EB75" i="1"/>
  <c r="EB76" i="1"/>
  <c r="EB77" i="1"/>
  <c r="EB78" i="1"/>
  <c r="EB79" i="1"/>
  <c r="EB80" i="1"/>
  <c r="EB81" i="1"/>
  <c r="EB82" i="1"/>
  <c r="EB83" i="1"/>
  <c r="EB84" i="1"/>
  <c r="EB85" i="1"/>
  <c r="EB86" i="1"/>
  <c r="EB87" i="1"/>
  <c r="EB88" i="1"/>
  <c r="EB89" i="1"/>
  <c r="EB90" i="1"/>
  <c r="EB91" i="1"/>
  <c r="EB92" i="1"/>
  <c r="EB93" i="1"/>
  <c r="EB94" i="1"/>
  <c r="EB95" i="1"/>
  <c r="EB96" i="1"/>
  <c r="EB97" i="1"/>
  <c r="EB98" i="1"/>
  <c r="EB99" i="1"/>
  <c r="EB100" i="1"/>
  <c r="EB101" i="1"/>
  <c r="EB102" i="1"/>
  <c r="EB103" i="1"/>
  <c r="EB104" i="1"/>
  <c r="EB105" i="1"/>
  <c r="EB106" i="1"/>
  <c r="EB107" i="1"/>
  <c r="EB108" i="1"/>
  <c r="EB109" i="1"/>
  <c r="EB110" i="1"/>
  <c r="EB111" i="1"/>
  <c r="EB112" i="1"/>
  <c r="EB113" i="1"/>
  <c r="EB114" i="1"/>
  <c r="EB115" i="1"/>
  <c r="EB116" i="1"/>
  <c r="EB117" i="1"/>
  <c r="EB118" i="1"/>
  <c r="EB119" i="1"/>
  <c r="EB120" i="1"/>
  <c r="EB121" i="1"/>
  <c r="EB122" i="1"/>
  <c r="EB123" i="1"/>
  <c r="EB124" i="1"/>
  <c r="EB125" i="1"/>
  <c r="EB126" i="1"/>
  <c r="EB127" i="1"/>
  <c r="EB128" i="1"/>
  <c r="EB129" i="1"/>
  <c r="EB130" i="1"/>
  <c r="EB131" i="1"/>
  <c r="EB132" i="1"/>
  <c r="EB133" i="1"/>
  <c r="EB134" i="1"/>
  <c r="EB135" i="1"/>
  <c r="EB136" i="1"/>
  <c r="EB137" i="1"/>
  <c r="EB138" i="1"/>
  <c r="EB139" i="1"/>
  <c r="EB140" i="1"/>
  <c r="EB141" i="1"/>
  <c r="EB142" i="1"/>
  <c r="EB143" i="1"/>
  <c r="EB144" i="1"/>
  <c r="EB145" i="1"/>
  <c r="EB146" i="1"/>
  <c r="EB147" i="1"/>
  <c r="EB148" i="1"/>
  <c r="EB149" i="1"/>
  <c r="EB150" i="1"/>
  <c r="EB151" i="1"/>
  <c r="EB152" i="1"/>
  <c r="EB153" i="1"/>
  <c r="EB154" i="1"/>
  <c r="EB155" i="1"/>
  <c r="EB156" i="1"/>
  <c r="EB157" i="1"/>
  <c r="EB158" i="1"/>
  <c r="EB159" i="1"/>
  <c r="EB160" i="1"/>
  <c r="EB161" i="1"/>
  <c r="EB162" i="1"/>
  <c r="EB163" i="1"/>
  <c r="EB164" i="1"/>
  <c r="EB165" i="1"/>
  <c r="EB166" i="1"/>
  <c r="EB167" i="1"/>
  <c r="EB168" i="1"/>
  <c r="EB169" i="1"/>
  <c r="EB170" i="1"/>
  <c r="EB171" i="1"/>
  <c r="EB172" i="1"/>
  <c r="EB173" i="1"/>
  <c r="EB174" i="1"/>
  <c r="EB175" i="1"/>
  <c r="EB176" i="1"/>
  <c r="EB177" i="1"/>
  <c r="EB178" i="1"/>
  <c r="EB179" i="1"/>
  <c r="EB180" i="1"/>
  <c r="EB181" i="1"/>
  <c r="EB182" i="1"/>
  <c r="EB183" i="1"/>
  <c r="EB184" i="1"/>
  <c r="EB185" i="1"/>
  <c r="EB186" i="1"/>
  <c r="EB187" i="1"/>
  <c r="EB188" i="1"/>
  <c r="EB189" i="1"/>
  <c r="EB190" i="1"/>
  <c r="EB191" i="1"/>
  <c r="EB192" i="1"/>
  <c r="EB193" i="1"/>
  <c r="EB194" i="1"/>
  <c r="EB195" i="1"/>
  <c r="EB196" i="1"/>
  <c r="EB197" i="1"/>
  <c r="EB198" i="1"/>
  <c r="EB199" i="1"/>
  <c r="EB200" i="1"/>
  <c r="EB201" i="1"/>
  <c r="EB202" i="1"/>
  <c r="EB203" i="1"/>
  <c r="EB204" i="1"/>
  <c r="EB205" i="1"/>
  <c r="EB206" i="1"/>
  <c r="EB207" i="1"/>
  <c r="EB208" i="1"/>
  <c r="EB209" i="1"/>
  <c r="EB210" i="1"/>
  <c r="EB211" i="1"/>
  <c r="EB212" i="1"/>
  <c r="EB213" i="1"/>
  <c r="EB214" i="1"/>
  <c r="EB215" i="1"/>
  <c r="EB216" i="1"/>
  <c r="EB217" i="1"/>
  <c r="EB218" i="1"/>
  <c r="EB219" i="1"/>
  <c r="EB220" i="1"/>
  <c r="EB221" i="1"/>
  <c r="EB222" i="1"/>
  <c r="EB223" i="1"/>
  <c r="EB224" i="1"/>
  <c r="EB225" i="1"/>
  <c r="EB226" i="1"/>
  <c r="EB227" i="1"/>
  <c r="EB228" i="1"/>
  <c r="EB229" i="1"/>
  <c r="EB230" i="1"/>
  <c r="EB231" i="1"/>
  <c r="EB232" i="1"/>
  <c r="EB233" i="1"/>
  <c r="EB234" i="1"/>
  <c r="EB235" i="1"/>
  <c r="EB236" i="1"/>
  <c r="EB237" i="1"/>
  <c r="EB238" i="1"/>
  <c r="EB239" i="1"/>
  <c r="EB240" i="1"/>
  <c r="EB241" i="1"/>
  <c r="EB242" i="1"/>
  <c r="EB243" i="1"/>
  <c r="EB244" i="1"/>
  <c r="EB245" i="1"/>
  <c r="EB246" i="1"/>
  <c r="EB247" i="1"/>
  <c r="EB248" i="1"/>
  <c r="EB249" i="1"/>
  <c r="EB250" i="1"/>
  <c r="EB251" i="1"/>
  <c r="EB252" i="1"/>
  <c r="EB253" i="1"/>
  <c r="EB254" i="1"/>
  <c r="EB255" i="1"/>
  <c r="EB256" i="1"/>
  <c r="EB257" i="1"/>
  <c r="EB258" i="1"/>
  <c r="EB259" i="1"/>
  <c r="EB260" i="1"/>
  <c r="EB261" i="1"/>
  <c r="EB262" i="1"/>
  <c r="EB263" i="1"/>
  <c r="EB264" i="1"/>
  <c r="EB265" i="1"/>
  <c r="EB266" i="1"/>
  <c r="EB267" i="1"/>
  <c r="EB268" i="1"/>
  <c r="EB269" i="1"/>
  <c r="EB270" i="1"/>
  <c r="EB271" i="1"/>
  <c r="EB272" i="1"/>
  <c r="EB273" i="1"/>
  <c r="EB274" i="1"/>
  <c r="EB275" i="1"/>
  <c r="EB276" i="1"/>
  <c r="EB277" i="1"/>
  <c r="EB278" i="1"/>
  <c r="EB279" i="1"/>
  <c r="EB280" i="1"/>
  <c r="EB281" i="1"/>
  <c r="EB282" i="1"/>
  <c r="EB283" i="1"/>
  <c r="EB284" i="1"/>
  <c r="EB285" i="1"/>
  <c r="EB286" i="1"/>
  <c r="EB287" i="1"/>
  <c r="EB288" i="1"/>
  <c r="EB289" i="1"/>
  <c r="EB290" i="1"/>
  <c r="EB291" i="1"/>
  <c r="EB292" i="1"/>
  <c r="EB293" i="1"/>
  <c r="EB294" i="1"/>
  <c r="EB295" i="1"/>
  <c r="EB296" i="1"/>
  <c r="EB297" i="1"/>
  <c r="EB298" i="1"/>
  <c r="EB299" i="1"/>
  <c r="EB300" i="1"/>
  <c r="EB301" i="1"/>
  <c r="EB302" i="1"/>
  <c r="EB303" i="1"/>
  <c r="EB304" i="1"/>
  <c r="EB305" i="1"/>
  <c r="EB306" i="1"/>
  <c r="EB307" i="1"/>
  <c r="EB308" i="1"/>
  <c r="EB309" i="1"/>
  <c r="EB310" i="1"/>
  <c r="EB311" i="1"/>
  <c r="EB312" i="1"/>
  <c r="EB313" i="1"/>
  <c r="EB314" i="1"/>
  <c r="EB315" i="1"/>
  <c r="EB316" i="1"/>
  <c r="EB317" i="1"/>
  <c r="EB318" i="1"/>
  <c r="EB319" i="1"/>
  <c r="EB320" i="1"/>
  <c r="EB321" i="1"/>
  <c r="EB322" i="1"/>
  <c r="EB323" i="1"/>
  <c r="EB324" i="1"/>
  <c r="EB325" i="1"/>
  <c r="EB326" i="1"/>
  <c r="EB327" i="1"/>
  <c r="EB328" i="1"/>
  <c r="EB329" i="1"/>
  <c r="EB330" i="1"/>
  <c r="EB331" i="1"/>
  <c r="EB332" i="1"/>
  <c r="EB333" i="1"/>
  <c r="EB334" i="1"/>
  <c r="EB335" i="1"/>
  <c r="EB336" i="1"/>
  <c r="EB337" i="1"/>
  <c r="EB338" i="1"/>
  <c r="EB339" i="1"/>
  <c r="EB340" i="1"/>
  <c r="EB341" i="1"/>
  <c r="EB342" i="1"/>
  <c r="EB343" i="1"/>
  <c r="EB344" i="1"/>
  <c r="EB345" i="1"/>
  <c r="EB346" i="1"/>
  <c r="EB347" i="1"/>
  <c r="EB348" i="1"/>
  <c r="EB349" i="1"/>
  <c r="EB350" i="1"/>
  <c r="EB351" i="1"/>
  <c r="EB352" i="1"/>
  <c r="EB353" i="1"/>
  <c r="EB354" i="1"/>
  <c r="EB355" i="1"/>
  <c r="EB356" i="1"/>
  <c r="EB357" i="1"/>
  <c r="EB358" i="1"/>
  <c r="EB359" i="1"/>
  <c r="EB360" i="1"/>
  <c r="EB361" i="1"/>
  <c r="EB362" i="1"/>
  <c r="EB363" i="1"/>
  <c r="EB364" i="1"/>
  <c r="EB365" i="1"/>
  <c r="EB366" i="1"/>
  <c r="EB367" i="1"/>
  <c r="EB368" i="1"/>
  <c r="EB369" i="1"/>
  <c r="EB370" i="1"/>
  <c r="EB371" i="1"/>
  <c r="EB372" i="1"/>
  <c r="EB373" i="1"/>
  <c r="EB374" i="1"/>
  <c r="EB7" i="1"/>
  <c r="DU95" i="1"/>
  <c r="DU94" i="1"/>
  <c r="DU93" i="1"/>
  <c r="DU92" i="1"/>
  <c r="DY52" i="1" a="1"/>
  <c r="DY52" i="1" s="1"/>
  <c r="DX52" i="1" a="1"/>
  <c r="DX52" i="1" s="1"/>
  <c r="DU81" i="1"/>
  <c r="DU82" i="1"/>
  <c r="DU83" i="1"/>
  <c r="DU84" i="1"/>
  <c r="DU85" i="1"/>
  <c r="DU86" i="1"/>
  <c r="DU87" i="1"/>
  <c r="DU88" i="1"/>
  <c r="DU89" i="1"/>
  <c r="DU90" i="1"/>
  <c r="DU5" i="1"/>
  <c r="DU6" i="1"/>
  <c r="DU7" i="1"/>
  <c r="DU8" i="1"/>
  <c r="DU9" i="1"/>
  <c r="DU10" i="1"/>
  <c r="DU11" i="1"/>
  <c r="DU12" i="1"/>
  <c r="DU13" i="1"/>
  <c r="DU14" i="1"/>
  <c r="DU15" i="1"/>
  <c r="DU16" i="1"/>
  <c r="DU17" i="1"/>
  <c r="DU18" i="1"/>
  <c r="DU19" i="1"/>
  <c r="DU20" i="1"/>
  <c r="DU21" i="1"/>
  <c r="DU22" i="1"/>
  <c r="DU23" i="1"/>
  <c r="DU24" i="1"/>
  <c r="DU25" i="1"/>
  <c r="DU26" i="1"/>
  <c r="DU27" i="1"/>
  <c r="DU28" i="1"/>
  <c r="DU29" i="1"/>
  <c r="DU30" i="1"/>
  <c r="DU31" i="1"/>
  <c r="DU32" i="1"/>
  <c r="DU33" i="1"/>
  <c r="DU34" i="1"/>
  <c r="DU35" i="1"/>
  <c r="DU36" i="1"/>
  <c r="DU37" i="1"/>
  <c r="DU38" i="1"/>
  <c r="DU39" i="1"/>
  <c r="DU40" i="1"/>
  <c r="DU41" i="1"/>
  <c r="DU42" i="1"/>
  <c r="DU43" i="1"/>
  <c r="DU44" i="1"/>
  <c r="DU45" i="1"/>
  <c r="DU46" i="1"/>
  <c r="DU47" i="1"/>
  <c r="DU48" i="1"/>
  <c r="DU49" i="1"/>
  <c r="DU50" i="1"/>
  <c r="DU51" i="1"/>
  <c r="DU52" i="1"/>
  <c r="DU53" i="1"/>
  <c r="DU54" i="1"/>
  <c r="DU55" i="1"/>
  <c r="DU56" i="1"/>
  <c r="DU57" i="1"/>
  <c r="DU58" i="1"/>
  <c r="DU59" i="1"/>
  <c r="DU60" i="1"/>
  <c r="DU61" i="1"/>
  <c r="DU62" i="1"/>
  <c r="DU63" i="1"/>
  <c r="DU64" i="1"/>
  <c r="DU65" i="1"/>
  <c r="DU66" i="1"/>
  <c r="DU67" i="1"/>
  <c r="DU68" i="1"/>
  <c r="DU69" i="1"/>
  <c r="DU70" i="1"/>
  <c r="DU71" i="1"/>
  <c r="DU72" i="1"/>
  <c r="DU73" i="1"/>
  <c r="DU74" i="1"/>
  <c r="DU75" i="1"/>
  <c r="DU76" i="1"/>
  <c r="DU77" i="1"/>
  <c r="DU78" i="1"/>
  <c r="DU79" i="1"/>
  <c r="DU80" i="1"/>
  <c r="DU4" i="1"/>
  <c r="DY49" i="1"/>
  <c r="DY50" i="1" s="1"/>
  <c r="DX49" i="1"/>
  <c r="DX50" i="1" s="1"/>
  <c r="DY41" i="1"/>
  <c r="DY42" i="1" s="1"/>
  <c r="DY43" i="1" s="1"/>
  <c r="DY44" i="1" s="1"/>
  <c r="DY45" i="1" s="1"/>
  <c r="DY46" i="1" s="1"/>
  <c r="DY47" i="1" s="1"/>
  <c r="EI6" i="1" l="1"/>
  <c r="EZ14" i="1"/>
  <c r="EV5" i="1"/>
  <c r="EN5" i="1"/>
  <c r="FJ4" i="1"/>
  <c r="ET4" i="1"/>
  <c r="EL4" i="1"/>
  <c r="DV86" i="1"/>
  <c r="DV50" i="1"/>
  <c r="DV24" i="1"/>
  <c r="FT5" i="1"/>
  <c r="FR4" i="1"/>
  <c r="FJ14" i="1"/>
  <c r="FB14" i="1"/>
  <c r="ET14" i="1"/>
  <c r="EL14" i="1"/>
  <c r="FP6" i="1"/>
  <c r="FH6" i="1"/>
  <c r="EZ6" i="1"/>
  <c r="ER6" i="1"/>
  <c r="EJ6" i="1"/>
  <c r="FN5" i="1"/>
  <c r="FF5" i="1"/>
  <c r="EX5" i="1"/>
  <c r="EP5" i="1"/>
  <c r="FT4" i="1"/>
  <c r="FD14" i="1"/>
  <c r="EV14" i="1"/>
  <c r="EN14" i="1"/>
  <c r="FB4" i="1"/>
  <c r="EI14" i="1"/>
  <c r="FO6" i="1"/>
  <c r="FG6" i="1"/>
  <c r="EY6" i="1"/>
  <c r="EQ6" i="1"/>
  <c r="FU5" i="1"/>
  <c r="FM5" i="1"/>
  <c r="FE5" i="1"/>
  <c r="EW5" i="1"/>
  <c r="EO5" i="1"/>
  <c r="FS4" i="1"/>
  <c r="FK4" i="1"/>
  <c r="FC4" i="1"/>
  <c r="EU4" i="1"/>
  <c r="EM4" i="1"/>
  <c r="FT14" i="1"/>
  <c r="FP14" i="1"/>
  <c r="FH14" i="1"/>
  <c r="ER14" i="1"/>
  <c r="EJ14" i="1"/>
  <c r="FN6" i="1"/>
  <c r="FF6" i="1"/>
  <c r="EX14" i="1"/>
  <c r="EP14" i="1"/>
  <c r="FR14" i="1"/>
  <c r="FU6" i="1"/>
  <c r="FM6" i="1"/>
  <c r="FE6" i="1"/>
  <c r="EW6" i="1"/>
  <c r="EO6" i="1"/>
  <c r="FS5" i="1"/>
  <c r="FK5" i="1"/>
  <c r="FC5" i="1"/>
  <c r="EU5" i="1"/>
  <c r="EM5" i="1"/>
  <c r="FQ4" i="1"/>
  <c r="FI4" i="1"/>
  <c r="FA4" i="1"/>
  <c r="ES4" i="1"/>
  <c r="EK4" i="1"/>
  <c r="FN14" i="1"/>
  <c r="FT6" i="1"/>
  <c r="FL6" i="1"/>
  <c r="FD6" i="1"/>
  <c r="EV6" i="1"/>
  <c r="EN6" i="1"/>
  <c r="FR5" i="1"/>
  <c r="FJ5" i="1"/>
  <c r="FB5" i="1"/>
  <c r="ET5" i="1"/>
  <c r="EL5" i="1"/>
  <c r="FP4" i="1"/>
  <c r="FH4" i="1"/>
  <c r="EZ4" i="1"/>
  <c r="ER4" i="1"/>
  <c r="EJ4" i="1"/>
  <c r="DV32" i="1"/>
  <c r="FS6" i="1"/>
  <c r="FK6" i="1"/>
  <c r="FC6" i="1"/>
  <c r="EU6" i="1"/>
  <c r="EM6" i="1"/>
  <c r="FQ5" i="1"/>
  <c r="FI5" i="1"/>
  <c r="FA5" i="1"/>
  <c r="ES5" i="1"/>
  <c r="EK5" i="1"/>
  <c r="FO4" i="1"/>
  <c r="FG4" i="1"/>
  <c r="EY4" i="1"/>
  <c r="EQ4" i="1"/>
  <c r="EI4" i="1"/>
  <c r="FL4" i="1"/>
  <c r="FD4" i="1"/>
  <c r="EV4" i="1"/>
  <c r="EN4" i="1"/>
  <c r="FR6" i="1"/>
  <c r="FJ6" i="1"/>
  <c r="FB6" i="1"/>
  <c r="ET6" i="1"/>
  <c r="EL6" i="1"/>
  <c r="FP5" i="1"/>
  <c r="FH5" i="1"/>
  <c r="EZ5" i="1"/>
  <c r="ER5" i="1"/>
  <c r="EJ5" i="1"/>
  <c r="FN4" i="1"/>
  <c r="FF4" i="1"/>
  <c r="EX4" i="1"/>
  <c r="EP4" i="1"/>
  <c r="EI5" i="1"/>
  <c r="FQ6" i="1"/>
  <c r="FI6" i="1"/>
  <c r="FA6" i="1"/>
  <c r="ES6" i="1"/>
  <c r="EK6" i="1"/>
  <c r="FO5" i="1"/>
  <c r="FG5" i="1"/>
  <c r="EY5" i="1"/>
  <c r="EQ5" i="1"/>
  <c r="FU4" i="1"/>
  <c r="FM4" i="1"/>
  <c r="FE4" i="1"/>
  <c r="EW4" i="1"/>
  <c r="EO4" i="1"/>
  <c r="DV82" i="1"/>
  <c r="EC386" i="1"/>
  <c r="FG14" i="1"/>
  <c r="FF14" i="1"/>
  <c r="EX6" i="1"/>
  <c r="EP6" i="1"/>
  <c r="FL5" i="1"/>
  <c r="FD5" i="1"/>
  <c r="DV81" i="1"/>
  <c r="EQ14" i="1"/>
  <c r="DV16" i="1"/>
  <c r="DV47" i="1"/>
  <c r="FO14" i="1"/>
  <c r="DV58" i="1"/>
  <c r="FL14" i="1"/>
  <c r="EY14" i="1"/>
  <c r="DV90" i="1"/>
  <c r="EC380" i="1"/>
  <c r="DV74" i="1"/>
  <c r="DX83" i="1"/>
  <c r="EC362" i="1"/>
  <c r="EC354" i="1"/>
  <c r="FU14" i="1"/>
  <c r="FM14" i="1"/>
  <c r="FE14" i="1"/>
  <c r="EW14" i="1"/>
  <c r="EO14" i="1"/>
  <c r="FS14" i="1"/>
  <c r="FK14" i="1"/>
  <c r="FC14" i="1"/>
  <c r="EU14" i="1"/>
  <c r="EM14" i="1"/>
  <c r="FQ14" i="1"/>
  <c r="FI14" i="1"/>
  <c r="FA14" i="1"/>
  <c r="ES14" i="1"/>
  <c r="EK14" i="1"/>
  <c r="EC234" i="1"/>
  <c r="DV78" i="1"/>
  <c r="DV46" i="1"/>
  <c r="EC162" i="1"/>
  <c r="EC394" i="1"/>
  <c r="EC346" i="1"/>
  <c r="EC282" i="1"/>
  <c r="EC218" i="1"/>
  <c r="EC154" i="1"/>
  <c r="EC90" i="1"/>
  <c r="EC26" i="1"/>
  <c r="EC393" i="1"/>
  <c r="EC385" i="1"/>
  <c r="EC377" i="1"/>
  <c r="EC298" i="1"/>
  <c r="EC395" i="1"/>
  <c r="DV61" i="1"/>
  <c r="DV80" i="1"/>
  <c r="DV72" i="1"/>
  <c r="DV63" i="1"/>
  <c r="DV56" i="1"/>
  <c r="DV49" i="1"/>
  <c r="DV38" i="1"/>
  <c r="DV29" i="1"/>
  <c r="DV22" i="1"/>
  <c r="DV13" i="1"/>
  <c r="EC338" i="1"/>
  <c r="EC274" i="1"/>
  <c r="EC210" i="1"/>
  <c r="EC146" i="1"/>
  <c r="EC82" i="1"/>
  <c r="EC18" i="1"/>
  <c r="EC392" i="1"/>
  <c r="EC384" i="1"/>
  <c r="EC376" i="1"/>
  <c r="EC42" i="1"/>
  <c r="EC379" i="1"/>
  <c r="EC98" i="1"/>
  <c r="EC378" i="1"/>
  <c r="DV79" i="1"/>
  <c r="DV65" i="1"/>
  <c r="DV57" i="1"/>
  <c r="DV51" i="1"/>
  <c r="DV42" i="1"/>
  <c r="DV35" i="1"/>
  <c r="DV26" i="1"/>
  <c r="EC330" i="1"/>
  <c r="EC266" i="1"/>
  <c r="EC202" i="1"/>
  <c r="EC138" i="1"/>
  <c r="EC74" i="1"/>
  <c r="EC10" i="1"/>
  <c r="EC399" i="1"/>
  <c r="EC391" i="1"/>
  <c r="EC383" i="1"/>
  <c r="EC170" i="1"/>
  <c r="DV40" i="1"/>
  <c r="DV69" i="1"/>
  <c r="EC226" i="1"/>
  <c r="DV73" i="1"/>
  <c r="DV85" i="1"/>
  <c r="EC322" i="1"/>
  <c r="EC258" i="1"/>
  <c r="EC194" i="1"/>
  <c r="EC130" i="1"/>
  <c r="EC66" i="1"/>
  <c r="EC12" i="1"/>
  <c r="EC398" i="1"/>
  <c r="EC390" i="1"/>
  <c r="EC382" i="1"/>
  <c r="EC106" i="1"/>
  <c r="EC387" i="1"/>
  <c r="DV53" i="1"/>
  <c r="EC290" i="1"/>
  <c r="EC34" i="1"/>
  <c r="EC314" i="1"/>
  <c r="EC250" i="1"/>
  <c r="EC186" i="1"/>
  <c r="EC122" i="1"/>
  <c r="EC58" i="1"/>
  <c r="EC397" i="1"/>
  <c r="EC389" i="1"/>
  <c r="EC381" i="1"/>
  <c r="EC370" i="1"/>
  <c r="EC306" i="1"/>
  <c r="EC242" i="1"/>
  <c r="EC178" i="1"/>
  <c r="EC114" i="1"/>
  <c r="EC50" i="1"/>
  <c r="EC396" i="1"/>
  <c r="EC388" i="1"/>
  <c r="EC371" i="1"/>
  <c r="EC363" i="1"/>
  <c r="EC355" i="1"/>
  <c r="EC347" i="1"/>
  <c r="EC339" i="1"/>
  <c r="EC331" i="1"/>
  <c r="EC323" i="1"/>
  <c r="EC315" i="1"/>
  <c r="EC307" i="1"/>
  <c r="EC299" i="1"/>
  <c r="EC291" i="1"/>
  <c r="EC283" i="1"/>
  <c r="EC275" i="1"/>
  <c r="EC267" i="1"/>
  <c r="EC259" i="1"/>
  <c r="EC251" i="1"/>
  <c r="EC243" i="1"/>
  <c r="EC235" i="1"/>
  <c r="EC227" i="1"/>
  <c r="EC219" i="1"/>
  <c r="EC211" i="1"/>
  <c r="EC203" i="1"/>
  <c r="EC195" i="1"/>
  <c r="EC187" i="1"/>
  <c r="EC179" i="1"/>
  <c r="EC171" i="1"/>
  <c r="EC163" i="1"/>
  <c r="EC155" i="1"/>
  <c r="EC147" i="1"/>
  <c r="EC139" i="1"/>
  <c r="EC131" i="1"/>
  <c r="EC123" i="1"/>
  <c r="EC115" i="1"/>
  <c r="EC107" i="1"/>
  <c r="EC99" i="1"/>
  <c r="EC91" i="1"/>
  <c r="EC83" i="1"/>
  <c r="EC75" i="1"/>
  <c r="EC67" i="1"/>
  <c r="EC59" i="1"/>
  <c r="EC51" i="1"/>
  <c r="EC43" i="1"/>
  <c r="EC35" i="1"/>
  <c r="EC27" i="1"/>
  <c r="EC19" i="1"/>
  <c r="EC11" i="1"/>
  <c r="EC369" i="1"/>
  <c r="EC361" i="1"/>
  <c r="EC353" i="1"/>
  <c r="EC345" i="1"/>
  <c r="EC337" i="1"/>
  <c r="EC329" i="1"/>
  <c r="EC321" i="1"/>
  <c r="EC313" i="1"/>
  <c r="EC305" i="1"/>
  <c r="EC297" i="1"/>
  <c r="EC289" i="1"/>
  <c r="EC281" i="1"/>
  <c r="EC273" i="1"/>
  <c r="EC265" i="1"/>
  <c r="EC257" i="1"/>
  <c r="EC249" i="1"/>
  <c r="EC241" i="1"/>
  <c r="EC233" i="1"/>
  <c r="EC225" i="1"/>
  <c r="EC217" i="1"/>
  <c r="EC209" i="1"/>
  <c r="EC201" i="1"/>
  <c r="EC193" i="1"/>
  <c r="EC185" i="1"/>
  <c r="EC177" i="1"/>
  <c r="EC169" i="1"/>
  <c r="EC161" i="1"/>
  <c r="EC153" i="1"/>
  <c r="EC145" i="1"/>
  <c r="EC137" i="1"/>
  <c r="EC129" i="1"/>
  <c r="EC121" i="1"/>
  <c r="EC113" i="1"/>
  <c r="EC105" i="1"/>
  <c r="EC97" i="1"/>
  <c r="EC89" i="1"/>
  <c r="EC81" i="1"/>
  <c r="EC73" i="1"/>
  <c r="EC65" i="1"/>
  <c r="EC57" i="1"/>
  <c r="EC49" i="1"/>
  <c r="EC41" i="1"/>
  <c r="EC33" i="1"/>
  <c r="EC25" i="1"/>
  <c r="EC17" i="1"/>
  <c r="EC9" i="1"/>
  <c r="EC4" i="1"/>
  <c r="EC368" i="1"/>
  <c r="EC360" i="1"/>
  <c r="EC352" i="1"/>
  <c r="EC344" i="1"/>
  <c r="EC336" i="1"/>
  <c r="EC328" i="1"/>
  <c r="EC320" i="1"/>
  <c r="EC312" i="1"/>
  <c r="EC304" i="1"/>
  <c r="EC296" i="1"/>
  <c r="EC288" i="1"/>
  <c r="EC280" i="1"/>
  <c r="EC272" i="1"/>
  <c r="EC264" i="1"/>
  <c r="EC256" i="1"/>
  <c r="EC248" i="1"/>
  <c r="EC240" i="1"/>
  <c r="EC232" i="1"/>
  <c r="EC224" i="1"/>
  <c r="EC216" i="1"/>
  <c r="EC208" i="1"/>
  <c r="EC200" i="1"/>
  <c r="EC192" i="1"/>
  <c r="EC184" i="1"/>
  <c r="EC176" i="1"/>
  <c r="EC168" i="1"/>
  <c r="EC160" i="1"/>
  <c r="EC152" i="1"/>
  <c r="EC144" i="1"/>
  <c r="EC136" i="1"/>
  <c r="EC128" i="1"/>
  <c r="EC120" i="1"/>
  <c r="EC112" i="1"/>
  <c r="EC104" i="1"/>
  <c r="EC96" i="1"/>
  <c r="EC88" i="1"/>
  <c r="EC80" i="1"/>
  <c r="EC72" i="1"/>
  <c r="EC64" i="1"/>
  <c r="EC56" i="1"/>
  <c r="EC48" i="1"/>
  <c r="EC40" i="1"/>
  <c r="EC32" i="1"/>
  <c r="EC24" i="1"/>
  <c r="EC16" i="1"/>
  <c r="EC8" i="1"/>
  <c r="EC375" i="1"/>
  <c r="EC367" i="1"/>
  <c r="EC359" i="1"/>
  <c r="EC351" i="1"/>
  <c r="EC343" i="1"/>
  <c r="EC335" i="1"/>
  <c r="EC327" i="1"/>
  <c r="EC319" i="1"/>
  <c r="EC311" i="1"/>
  <c r="EC303" i="1"/>
  <c r="EC295" i="1"/>
  <c r="EC287" i="1"/>
  <c r="EC279" i="1"/>
  <c r="EC271" i="1"/>
  <c r="EC263" i="1"/>
  <c r="EC255" i="1"/>
  <c r="EC247" i="1"/>
  <c r="EC239" i="1"/>
  <c r="EC231" i="1"/>
  <c r="EC223" i="1"/>
  <c r="EC215" i="1"/>
  <c r="EC207" i="1"/>
  <c r="EC199" i="1"/>
  <c r="EC191" i="1"/>
  <c r="EC183" i="1"/>
  <c r="EC175" i="1"/>
  <c r="EC167" i="1"/>
  <c r="EC159" i="1"/>
  <c r="EC151" i="1"/>
  <c r="EC143" i="1"/>
  <c r="EC135" i="1"/>
  <c r="EC127" i="1"/>
  <c r="EC119" i="1"/>
  <c r="EC111" i="1"/>
  <c r="EC103" i="1"/>
  <c r="EC95" i="1"/>
  <c r="EC87" i="1"/>
  <c r="EC79" i="1"/>
  <c r="EC71" i="1"/>
  <c r="EC63" i="1"/>
  <c r="EC55" i="1"/>
  <c r="EC47" i="1"/>
  <c r="EC39" i="1"/>
  <c r="EC31" i="1"/>
  <c r="EC23" i="1"/>
  <c r="EC15" i="1"/>
  <c r="EC7" i="1"/>
  <c r="EC374" i="1"/>
  <c r="EC366" i="1"/>
  <c r="EC358" i="1"/>
  <c r="EC350" i="1"/>
  <c r="EC342" i="1"/>
  <c r="EC334" i="1"/>
  <c r="EC326" i="1"/>
  <c r="EC318" i="1"/>
  <c r="EC310" i="1"/>
  <c r="EC302" i="1"/>
  <c r="EC294" i="1"/>
  <c r="EC286" i="1"/>
  <c r="EC278" i="1"/>
  <c r="EC270" i="1"/>
  <c r="EC262" i="1"/>
  <c r="EC254" i="1"/>
  <c r="EC246" i="1"/>
  <c r="EC238" i="1"/>
  <c r="EC230" i="1"/>
  <c r="EC222" i="1"/>
  <c r="EC214" i="1"/>
  <c r="EC206" i="1"/>
  <c r="EC198" i="1"/>
  <c r="EC190" i="1"/>
  <c r="EC182" i="1"/>
  <c r="EC174" i="1"/>
  <c r="EC166" i="1"/>
  <c r="EC158" i="1"/>
  <c r="EC150" i="1"/>
  <c r="EC142" i="1"/>
  <c r="EC134" i="1"/>
  <c r="EC126" i="1"/>
  <c r="EC118" i="1"/>
  <c r="EC110" i="1"/>
  <c r="EC102" i="1"/>
  <c r="EC94" i="1"/>
  <c r="EC86" i="1"/>
  <c r="EC78" i="1"/>
  <c r="EC70" i="1"/>
  <c r="EC62" i="1"/>
  <c r="EC54" i="1"/>
  <c r="EC46" i="1"/>
  <c r="EC38" i="1"/>
  <c r="EC30" i="1"/>
  <c r="EC22" i="1"/>
  <c r="EC14" i="1"/>
  <c r="EC6" i="1"/>
  <c r="EC373" i="1"/>
  <c r="EC365" i="1"/>
  <c r="EC357" i="1"/>
  <c r="EC349" i="1"/>
  <c r="EC341" i="1"/>
  <c r="EC333" i="1"/>
  <c r="EC325" i="1"/>
  <c r="EC317" i="1"/>
  <c r="EC309" i="1"/>
  <c r="EC301" i="1"/>
  <c r="EC293" i="1"/>
  <c r="EC285" i="1"/>
  <c r="EC277" i="1"/>
  <c r="EC269" i="1"/>
  <c r="EC261" i="1"/>
  <c r="EC253" i="1"/>
  <c r="EC245" i="1"/>
  <c r="EC237" i="1"/>
  <c r="EC229" i="1"/>
  <c r="EC221" i="1"/>
  <c r="EC213" i="1"/>
  <c r="EC205" i="1"/>
  <c r="EC197" i="1"/>
  <c r="EC189" i="1"/>
  <c r="EC181" i="1"/>
  <c r="EC173" i="1"/>
  <c r="EC165" i="1"/>
  <c r="EC157" i="1"/>
  <c r="EC149" i="1"/>
  <c r="EC141" i="1"/>
  <c r="EC133" i="1"/>
  <c r="EC125" i="1"/>
  <c r="EC117" i="1"/>
  <c r="EC109" i="1"/>
  <c r="EC101" i="1"/>
  <c r="EC93" i="1"/>
  <c r="EC85" i="1"/>
  <c r="EC77" i="1"/>
  <c r="EC69" i="1"/>
  <c r="EC61" i="1"/>
  <c r="EC53" i="1"/>
  <c r="EC45" i="1"/>
  <c r="EC37" i="1"/>
  <c r="EC29" i="1"/>
  <c r="EC21" i="1"/>
  <c r="EC13" i="1"/>
  <c r="EC5" i="1"/>
  <c r="EC372" i="1"/>
  <c r="EC364" i="1"/>
  <c r="EC356" i="1"/>
  <c r="EC348" i="1"/>
  <c r="EC340" i="1"/>
  <c r="EC332" i="1"/>
  <c r="EC324" i="1"/>
  <c r="EC316" i="1"/>
  <c r="EC308" i="1"/>
  <c r="EC300" i="1"/>
  <c r="EC292" i="1"/>
  <c r="EC284" i="1"/>
  <c r="EC276" i="1"/>
  <c r="EC268" i="1"/>
  <c r="EC260" i="1"/>
  <c r="EC252" i="1"/>
  <c r="EC244" i="1"/>
  <c r="EC236" i="1"/>
  <c r="EC228" i="1"/>
  <c r="EC220" i="1"/>
  <c r="EC212" i="1"/>
  <c r="EC204" i="1"/>
  <c r="EC196" i="1"/>
  <c r="EC188" i="1"/>
  <c r="EC180" i="1"/>
  <c r="EC172" i="1"/>
  <c r="EC164" i="1"/>
  <c r="EC156" i="1"/>
  <c r="EC148" i="1"/>
  <c r="EC140" i="1"/>
  <c r="EC132" i="1"/>
  <c r="EC124" i="1"/>
  <c r="EC116" i="1"/>
  <c r="EC108" i="1"/>
  <c r="EC100" i="1"/>
  <c r="EC92" i="1"/>
  <c r="EC84" i="1"/>
  <c r="EC76" i="1"/>
  <c r="EC68" i="1"/>
  <c r="EC60" i="1"/>
  <c r="EC52" i="1"/>
  <c r="EC44" i="1"/>
  <c r="EC36" i="1"/>
  <c r="EC28" i="1"/>
  <c r="EC20" i="1"/>
  <c r="DY57" i="1"/>
  <c r="DY83" i="1"/>
  <c r="DY75" i="1"/>
  <c r="DY67" i="1"/>
  <c r="DY59" i="1"/>
  <c r="DY90" i="1"/>
  <c r="DY82" i="1"/>
  <c r="DY74" i="1"/>
  <c r="DY66" i="1"/>
  <c r="DY58" i="1"/>
  <c r="DY89" i="1"/>
  <c r="DY87" i="1"/>
  <c r="DY79" i="1"/>
  <c r="DY55" i="1"/>
  <c r="DY65" i="1"/>
  <c r="DY88" i="1"/>
  <c r="DY64" i="1"/>
  <c r="DY70" i="1"/>
  <c r="DY54" i="1"/>
  <c r="DY73" i="1"/>
  <c r="DY80" i="1"/>
  <c r="DY56" i="1"/>
  <c r="DY71" i="1"/>
  <c r="DY86" i="1"/>
  <c r="DY85" i="1"/>
  <c r="DY77" i="1"/>
  <c r="DY69" i="1"/>
  <c r="DY61" i="1"/>
  <c r="DY53" i="1"/>
  <c r="DY81" i="1"/>
  <c r="DY72" i="1"/>
  <c r="DY63" i="1"/>
  <c r="DY78" i="1"/>
  <c r="DY62" i="1"/>
  <c r="DY84" i="1"/>
  <c r="DY76" i="1"/>
  <c r="DY68" i="1"/>
  <c r="DY60" i="1"/>
  <c r="DX75" i="1"/>
  <c r="DX67" i="1"/>
  <c r="DX59" i="1"/>
  <c r="DX90" i="1"/>
  <c r="DX82" i="1"/>
  <c r="DX74" i="1"/>
  <c r="DX66" i="1"/>
  <c r="DX58" i="1"/>
  <c r="DX89" i="1"/>
  <c r="DX81" i="1"/>
  <c r="DX73" i="1"/>
  <c r="DX65" i="1"/>
  <c r="DX57" i="1"/>
  <c r="DX88" i="1"/>
  <c r="DX80" i="1"/>
  <c r="DX72" i="1"/>
  <c r="DX64" i="1"/>
  <c r="DX56" i="1"/>
  <c r="DX55" i="1"/>
  <c r="DX79" i="1"/>
  <c r="DX86" i="1"/>
  <c r="DX78" i="1"/>
  <c r="DX70" i="1"/>
  <c r="DX62" i="1"/>
  <c r="DX54" i="1"/>
  <c r="DX63" i="1"/>
  <c r="DX85" i="1"/>
  <c r="DX77" i="1"/>
  <c r="DX69" i="1"/>
  <c r="DX61" i="1"/>
  <c r="DX53" i="1"/>
  <c r="DX87" i="1"/>
  <c r="DX71" i="1"/>
  <c r="DX84" i="1"/>
  <c r="DX76" i="1"/>
  <c r="DX68" i="1"/>
  <c r="DX60" i="1"/>
  <c r="DV88" i="1"/>
  <c r="DV84" i="1"/>
  <c r="DV83" i="1"/>
  <c r="DV87" i="1"/>
  <c r="DV89" i="1"/>
  <c r="DV14" i="1"/>
  <c r="DV30" i="1"/>
  <c r="DV64" i="1"/>
  <c r="DV15" i="1"/>
  <c r="DV23" i="1"/>
  <c r="DV31" i="1"/>
  <c r="DV39" i="1"/>
  <c r="DV44" i="1"/>
  <c r="DV25" i="1"/>
  <c r="DV45" i="1"/>
  <c r="DV67" i="1"/>
  <c r="DV75" i="1"/>
  <c r="DV33" i="1"/>
  <c r="DV18" i="1"/>
  <c r="DV34" i="1"/>
  <c r="DV52" i="1"/>
  <c r="DV60" i="1"/>
  <c r="DV68" i="1"/>
  <c r="DV76" i="1"/>
  <c r="DV66" i="1"/>
  <c r="DV17" i="1"/>
  <c r="DV41" i="1"/>
  <c r="DV59" i="1"/>
  <c r="DV19" i="1"/>
  <c r="DV27" i="1"/>
  <c r="DV77" i="1"/>
  <c r="DV20" i="1"/>
  <c r="DV28" i="1"/>
  <c r="DV36" i="1"/>
  <c r="DV48" i="1"/>
  <c r="DV54" i="1"/>
  <c r="DV62" i="1"/>
  <c r="DV70" i="1"/>
  <c r="DV21" i="1"/>
  <c r="DV37" i="1"/>
  <c r="DV43" i="1"/>
  <c r="DV55" i="1"/>
  <c r="DV71" i="1"/>
  <c r="EV7" i="1" l="1"/>
  <c r="EJ7" i="1"/>
  <c r="FJ7" i="1"/>
  <c r="EY7" i="1"/>
  <c r="ET7" i="1"/>
  <c r="FT7" i="1"/>
  <c r="EU7" i="1"/>
  <c r="FC7" i="1"/>
  <c r="FN7" i="1"/>
  <c r="ER7" i="1"/>
  <c r="EI7" i="1"/>
  <c r="FK7" i="1"/>
  <c r="EL7" i="1"/>
  <c r="FM7" i="1"/>
  <c r="FS7" i="1"/>
  <c r="EO7" i="1"/>
  <c r="EX7" i="1"/>
  <c r="EW7" i="1"/>
  <c r="FE7" i="1"/>
  <c r="FR7" i="1"/>
  <c r="EQ7" i="1"/>
  <c r="EZ7" i="1"/>
  <c r="EN7" i="1"/>
  <c r="FO7" i="1"/>
  <c r="FP7" i="1"/>
  <c r="FD7" i="1"/>
  <c r="FF7" i="1"/>
  <c r="FL7" i="1"/>
  <c r="EM7" i="1"/>
  <c r="EP7" i="1"/>
  <c r="FA7" i="1"/>
  <c r="FU7" i="1"/>
  <c r="FG7" i="1"/>
  <c r="FH7" i="1"/>
  <c r="FI7" i="1"/>
  <c r="FQ7" i="1"/>
  <c r="EK7" i="1"/>
  <c r="ES7" i="1"/>
  <c r="FB7" i="1"/>
  <c r="O69" i="1"/>
  <c r="N69" i="1"/>
  <c r="M69" i="1"/>
  <c r="N70" i="1" l="1"/>
  <c r="O70" i="1"/>
  <c r="DP6" i="1"/>
  <c r="DP7" i="1"/>
  <c r="DP8" i="1"/>
  <c r="DQ5" i="1"/>
  <c r="DR5" i="1" s="1"/>
  <c r="DQ8" i="1"/>
  <c r="DR8" i="1" s="1"/>
  <c r="DQ9" i="1"/>
  <c r="DR9" i="1" s="1"/>
  <c r="DQ4" i="1"/>
  <c r="DR4" i="1" s="1"/>
  <c r="DP5" i="1"/>
  <c r="DP9" i="1"/>
  <c r="DP4" i="1"/>
  <c r="DO5" i="1"/>
  <c r="DO6" i="1"/>
  <c r="DO7" i="1"/>
  <c r="DO8" i="1"/>
  <c r="DO9" i="1"/>
  <c r="DO10" i="1"/>
  <c r="DO4" i="1"/>
  <c r="DN5" i="1"/>
  <c r="DN6" i="1"/>
  <c r="DQ6" i="1" s="1"/>
  <c r="DR6" i="1" s="1"/>
  <c r="DN7" i="1"/>
  <c r="DQ7" i="1" s="1"/>
  <c r="DR7" i="1" s="1"/>
  <c r="DN8" i="1"/>
  <c r="DN9" i="1"/>
  <c r="DN10" i="1"/>
  <c r="DN4" i="1"/>
  <c r="DO12" i="1" l="1"/>
  <c r="CF14" i="1"/>
  <c r="CH14" i="1"/>
  <c r="CA14" i="1" s="1"/>
  <c r="CJ14" i="1"/>
  <c r="BW14" i="1" s="1"/>
  <c r="CK14" i="1"/>
  <c r="CL14" i="1"/>
  <c r="BX14" i="1" s="1"/>
  <c r="CM14" i="1"/>
  <c r="CN14" i="1"/>
  <c r="BZ14" i="1" s="1"/>
  <c r="CO14" i="1"/>
  <c r="CP14" i="1"/>
  <c r="CQ14" i="1"/>
  <c r="CF15" i="1"/>
  <c r="AA24" i="1" s="1"/>
  <c r="CH15" i="1"/>
  <c r="CA15" i="1" s="1"/>
  <c r="CJ15" i="1"/>
  <c r="BW15" i="1" s="1"/>
  <c r="CK15" i="1"/>
  <c r="CL15" i="1"/>
  <c r="BX15" i="1" s="1"/>
  <c r="CM15" i="1"/>
  <c r="CN15" i="1"/>
  <c r="BZ15" i="1" s="1"/>
  <c r="CO15" i="1"/>
  <c r="CP15" i="1"/>
  <c r="CQ15" i="1"/>
  <c r="AO14" i="1"/>
  <c r="Z23" i="1" s="1"/>
  <c r="AQ14" i="1"/>
  <c r="AJ14" i="1" s="1"/>
  <c r="AS14" i="1"/>
  <c r="AF14" i="1" s="1"/>
  <c r="AT14" i="1"/>
  <c r="AU14" i="1"/>
  <c r="AG14" i="1" s="1"/>
  <c r="AV14" i="1"/>
  <c r="AW14" i="1"/>
  <c r="AI14" i="1" s="1"/>
  <c r="AX14" i="1"/>
  <c r="AY14" i="1"/>
  <c r="AZ14" i="1"/>
  <c r="AO15" i="1"/>
  <c r="Z24" i="1" s="1"/>
  <c r="AQ15" i="1"/>
  <c r="AJ15" i="1" s="1"/>
  <c r="AS15" i="1"/>
  <c r="AF15" i="1" s="1"/>
  <c r="AT15" i="1"/>
  <c r="AU15" i="1"/>
  <c r="AG15" i="1" s="1"/>
  <c r="AV15" i="1"/>
  <c r="AW15" i="1"/>
  <c r="AI15" i="1" s="1"/>
  <c r="AX15" i="1"/>
  <c r="AY15" i="1"/>
  <c r="AZ15" i="1"/>
  <c r="CL9" i="1"/>
  <c r="BX9" i="1" s="1"/>
  <c r="CM9" i="1"/>
  <c r="CN9" i="1"/>
  <c r="BZ9" i="1" s="1"/>
  <c r="CO9" i="1"/>
  <c r="CP9" i="1"/>
  <c r="CQ9" i="1"/>
  <c r="CL10" i="1"/>
  <c r="BX10" i="1" s="1"/>
  <c r="CM10" i="1"/>
  <c r="CN10" i="1"/>
  <c r="BZ10" i="1" s="1"/>
  <c r="CO10" i="1"/>
  <c r="CP10" i="1"/>
  <c r="CQ10" i="1"/>
  <c r="CL11" i="1"/>
  <c r="BX11" i="1" s="1"/>
  <c r="CM11" i="1"/>
  <c r="CN11" i="1"/>
  <c r="BZ11" i="1" s="1"/>
  <c r="CO11" i="1"/>
  <c r="CP11" i="1"/>
  <c r="CQ11" i="1"/>
  <c r="CL12" i="1"/>
  <c r="BX12" i="1" s="1"/>
  <c r="CM12" i="1"/>
  <c r="CN12" i="1"/>
  <c r="BZ12" i="1" s="1"/>
  <c r="CO12" i="1"/>
  <c r="CP12" i="1"/>
  <c r="CQ12" i="1"/>
  <c r="CL13" i="1"/>
  <c r="BX13" i="1" s="1"/>
  <c r="CM13" i="1"/>
  <c r="CN13" i="1"/>
  <c r="BZ13" i="1" s="1"/>
  <c r="CO13" i="1"/>
  <c r="CP13" i="1"/>
  <c r="CQ13" i="1"/>
  <c r="CJ10" i="1"/>
  <c r="BW10" i="1" s="1"/>
  <c r="CJ11" i="1"/>
  <c r="BW11" i="1" s="1"/>
  <c r="CJ12" i="1"/>
  <c r="BW12" i="1" s="1"/>
  <c r="CJ13" i="1"/>
  <c r="BW13" i="1" s="1"/>
  <c r="CJ9" i="1"/>
  <c r="BW9" i="1" s="1"/>
  <c r="CH10" i="1"/>
  <c r="CA10" i="1" s="1"/>
  <c r="CH11" i="1"/>
  <c r="CA11" i="1" s="1"/>
  <c r="CH12" i="1"/>
  <c r="CA12" i="1" s="1"/>
  <c r="CH13" i="1"/>
  <c r="CA13" i="1" s="1"/>
  <c r="CH9" i="1"/>
  <c r="CA9" i="1" s="1"/>
  <c r="AS10" i="1"/>
  <c r="AF10" i="1" s="1"/>
  <c r="AW10" i="1"/>
  <c r="AI10" i="1" s="1"/>
  <c r="AY10" i="1"/>
  <c r="AZ10" i="1"/>
  <c r="AS11" i="1"/>
  <c r="AF11" i="1" s="1"/>
  <c r="AW11" i="1"/>
  <c r="AI11" i="1" s="1"/>
  <c r="AY11" i="1"/>
  <c r="AZ11" i="1"/>
  <c r="AS12" i="1"/>
  <c r="AF12" i="1" s="1"/>
  <c r="AW12" i="1"/>
  <c r="AI12" i="1" s="1"/>
  <c r="AX12" i="1"/>
  <c r="AY12" i="1"/>
  <c r="AZ12" i="1"/>
  <c r="AS13" i="1"/>
  <c r="AF13" i="1" s="1"/>
  <c r="AU13" i="1"/>
  <c r="AG13" i="1" s="1"/>
  <c r="AW13" i="1"/>
  <c r="AI13" i="1" s="1"/>
  <c r="AX13" i="1"/>
  <c r="AY13" i="1"/>
  <c r="AZ13" i="1"/>
  <c r="AY9" i="1"/>
  <c r="AZ9" i="1"/>
  <c r="AQ10" i="1"/>
  <c r="AJ10" i="1" s="1"/>
  <c r="AQ11" i="1"/>
  <c r="AJ11" i="1" s="1"/>
  <c r="AQ12" i="1"/>
  <c r="AJ12" i="1" s="1"/>
  <c r="AQ13" i="1"/>
  <c r="AJ13" i="1" s="1"/>
  <c r="AQ9" i="1"/>
  <c r="AJ9" i="1" s="1"/>
  <c r="BY15" i="1" l="1"/>
  <c r="AH15" i="1"/>
  <c r="BY14" i="1"/>
  <c r="AR15" i="1"/>
  <c r="AP15" i="1" s="1"/>
  <c r="AK15" i="1" s="1"/>
  <c r="AH14" i="1"/>
  <c r="AB24" i="1"/>
  <c r="CI14" i="1"/>
  <c r="CG14" i="1" s="1"/>
  <c r="CB14" i="1" s="1"/>
  <c r="CC14" i="1" s="1"/>
  <c r="CI15" i="1"/>
  <c r="CG15" i="1" s="1"/>
  <c r="CB15" i="1" s="1"/>
  <c r="AA23" i="1"/>
  <c r="AB23" i="1" s="1"/>
  <c r="AR14" i="1"/>
  <c r="AP14" i="1" s="1"/>
  <c r="AK14" i="1" s="1"/>
  <c r="AB5" i="1"/>
  <c r="M17" i="1" s="1"/>
  <c r="AB6" i="1"/>
  <c r="M18" i="1" s="1"/>
  <c r="AB7" i="1"/>
  <c r="M19" i="1" s="1"/>
  <c r="AB8" i="1"/>
  <c r="M20" i="1" s="1"/>
  <c r="AB9" i="1"/>
  <c r="M21" i="1" s="1"/>
  <c r="AB10" i="1"/>
  <c r="M22" i="1" s="1"/>
  <c r="AB11" i="1"/>
  <c r="M23" i="1" s="1"/>
  <c r="AB12" i="1"/>
  <c r="M24" i="1" s="1"/>
  <c r="AB13" i="1"/>
  <c r="M25" i="1" s="1"/>
  <c r="AB14" i="1"/>
  <c r="M26" i="1" s="1"/>
  <c r="AB15" i="1"/>
  <c r="M27" i="1" s="1"/>
  <c r="AB16" i="1"/>
  <c r="M28" i="1" s="1"/>
  <c r="AB17" i="1"/>
  <c r="M29" i="1" s="1"/>
  <c r="GR5" i="1" s="1"/>
  <c r="AB4" i="1"/>
  <c r="M16" i="1" s="1"/>
  <c r="D58" i="24"/>
  <c r="E58" i="24"/>
  <c r="F58" i="24"/>
  <c r="G58" i="24"/>
  <c r="H58" i="24"/>
  <c r="I58" i="24"/>
  <c r="J58" i="24"/>
  <c r="K58" i="24"/>
  <c r="C58" i="24"/>
  <c r="D56" i="24"/>
  <c r="E56" i="24"/>
  <c r="F56" i="24"/>
  <c r="G56" i="24"/>
  <c r="H56" i="24"/>
  <c r="I56" i="24"/>
  <c r="J56" i="24"/>
  <c r="K56" i="24"/>
  <c r="C56" i="24"/>
  <c r="D54" i="24"/>
  <c r="E54" i="24"/>
  <c r="F54" i="24"/>
  <c r="G54" i="24"/>
  <c r="H54" i="24"/>
  <c r="I54" i="24"/>
  <c r="J54" i="24"/>
  <c r="K54" i="24"/>
  <c r="C54" i="24"/>
  <c r="DJ5" i="1"/>
  <c r="CQ5" i="1" s="1"/>
  <c r="DJ6" i="1"/>
  <c r="CQ6" i="1" s="1"/>
  <c r="DJ7" i="1"/>
  <c r="CQ7" i="1" s="1"/>
  <c r="DJ8" i="1"/>
  <c r="CQ8" i="1" s="1"/>
  <c r="DJ4" i="1"/>
  <c r="CQ4" i="1" s="1"/>
  <c r="DI5" i="1"/>
  <c r="CP5" i="1" s="1"/>
  <c r="DI6" i="1"/>
  <c r="CP6" i="1" s="1"/>
  <c r="DI7" i="1"/>
  <c r="CP7" i="1" s="1"/>
  <c r="DI8" i="1"/>
  <c r="CP8" i="1" s="1"/>
  <c r="DI4" i="1"/>
  <c r="CP4" i="1" s="1"/>
  <c r="DH5" i="1"/>
  <c r="CO5" i="1" s="1"/>
  <c r="DH6" i="1"/>
  <c r="CO6" i="1" s="1"/>
  <c r="DH7" i="1"/>
  <c r="CO7" i="1" s="1"/>
  <c r="DH8" i="1"/>
  <c r="CO8" i="1" s="1"/>
  <c r="DH4" i="1"/>
  <c r="CO4" i="1" s="1"/>
  <c r="DE5" i="1"/>
  <c r="DF5" i="1"/>
  <c r="DG5" i="1"/>
  <c r="DE6" i="1"/>
  <c r="DF6" i="1"/>
  <c r="DG6" i="1"/>
  <c r="DE7" i="1"/>
  <c r="DF7" i="1"/>
  <c r="DG7" i="1"/>
  <c r="DE8" i="1"/>
  <c r="DF8" i="1"/>
  <c r="DG8" i="1"/>
  <c r="DF4" i="1"/>
  <c r="DG4" i="1"/>
  <c r="DE4" i="1"/>
  <c r="DC5" i="1"/>
  <c r="DD5" i="1"/>
  <c r="DC6" i="1"/>
  <c r="DD6" i="1"/>
  <c r="DC7" i="1"/>
  <c r="DD7" i="1"/>
  <c r="DC8" i="1"/>
  <c r="DD8" i="1"/>
  <c r="DD4" i="1"/>
  <c r="DC4" i="1"/>
  <c r="DB5" i="1"/>
  <c r="DB6" i="1"/>
  <c r="DB7" i="1"/>
  <c r="DB8" i="1"/>
  <c r="DB4" i="1"/>
  <c r="CY5" i="1"/>
  <c r="CY6" i="1"/>
  <c r="CY7" i="1"/>
  <c r="CY8" i="1"/>
  <c r="CY4" i="1"/>
  <c r="CW5" i="1"/>
  <c r="CX5" i="1"/>
  <c r="CW6" i="1"/>
  <c r="CX6" i="1"/>
  <c r="CW7" i="1"/>
  <c r="CX7" i="1"/>
  <c r="CW8" i="1"/>
  <c r="CL8" i="1" s="1"/>
  <c r="BX8" i="1" s="1"/>
  <c r="CX8" i="1"/>
  <c r="CX4" i="1"/>
  <c r="CW4" i="1"/>
  <c r="CU5" i="1"/>
  <c r="CV5" i="1"/>
  <c r="CU6" i="1"/>
  <c r="CV6" i="1"/>
  <c r="CU7" i="1"/>
  <c r="CV7" i="1"/>
  <c r="CU8" i="1"/>
  <c r="CV8" i="1"/>
  <c r="CV4" i="1"/>
  <c r="CU4" i="1"/>
  <c r="CT5" i="1"/>
  <c r="CT6" i="1"/>
  <c r="CT7" i="1"/>
  <c r="CT8" i="1"/>
  <c r="CT4" i="1"/>
  <c r="CH5" i="1"/>
  <c r="CA5" i="1" s="1"/>
  <c r="CH6" i="1"/>
  <c r="CA6" i="1" s="1"/>
  <c r="CH7" i="1"/>
  <c r="CA7" i="1" s="1"/>
  <c r="CH8" i="1"/>
  <c r="CA8" i="1" s="1"/>
  <c r="CH4" i="1"/>
  <c r="CA4" i="1" s="1"/>
  <c r="AQ5" i="1"/>
  <c r="AJ5" i="1" s="1"/>
  <c r="AQ6" i="1"/>
  <c r="AJ6" i="1" s="1"/>
  <c r="AQ7" i="1"/>
  <c r="AJ7" i="1" s="1"/>
  <c r="AQ8" i="1"/>
  <c r="AJ8" i="1" s="1"/>
  <c r="AQ4" i="1"/>
  <c r="AJ4" i="1" s="1"/>
  <c r="D61" i="24"/>
  <c r="E61" i="24"/>
  <c r="F61" i="24"/>
  <c r="G61" i="24"/>
  <c r="H61" i="24"/>
  <c r="I61" i="24"/>
  <c r="J61" i="24"/>
  <c r="K61" i="24"/>
  <c r="D62" i="24"/>
  <c r="D63" i="24" s="1"/>
  <c r="E62" i="24"/>
  <c r="F62" i="24"/>
  <c r="F63" i="24" s="1"/>
  <c r="G62" i="24"/>
  <c r="G63" i="24" s="1"/>
  <c r="H62" i="24"/>
  <c r="H63" i="24" s="1"/>
  <c r="I62" i="24"/>
  <c r="I63" i="24" s="1"/>
  <c r="J62" i="24"/>
  <c r="J63" i="24" s="1"/>
  <c r="K62" i="24"/>
  <c r="K63" i="24" s="1"/>
  <c r="E63" i="24"/>
  <c r="C62" i="24"/>
  <c r="C67" i="24" s="1"/>
  <c r="C61" i="24"/>
  <c r="C66" i="24" s="1"/>
  <c r="D55" i="24"/>
  <c r="E55" i="24"/>
  <c r="F55" i="24"/>
  <c r="G55" i="24"/>
  <c r="H55" i="24"/>
  <c r="I55" i="24"/>
  <c r="J55" i="24"/>
  <c r="K55" i="24"/>
  <c r="D57" i="24"/>
  <c r="E57" i="24"/>
  <c r="E59" i="24" s="1"/>
  <c r="F57" i="24"/>
  <c r="F59" i="24" s="1"/>
  <c r="G57" i="24"/>
  <c r="G59" i="24" s="1"/>
  <c r="H57" i="24"/>
  <c r="H59" i="24" s="1"/>
  <c r="I57" i="24"/>
  <c r="I59" i="24" s="1"/>
  <c r="J57" i="24"/>
  <c r="J59" i="24" s="1"/>
  <c r="K57" i="24"/>
  <c r="K59" i="24" s="1"/>
  <c r="C57" i="24"/>
  <c r="C55" i="24"/>
  <c r="A3" i="24"/>
  <c r="A2" i="24"/>
  <c r="GS5" i="1" l="1"/>
  <c r="GT5" i="1" s="1"/>
  <c r="GU5" i="1" s="1"/>
  <c r="GV5" i="1" s="1"/>
  <c r="GW5" i="1" s="1"/>
  <c r="AL15" i="1"/>
  <c r="CC15" i="1"/>
  <c r="CK7" i="1"/>
  <c r="AL14" i="1"/>
  <c r="CL6" i="1"/>
  <c r="BX6" i="1" s="1"/>
  <c r="CN5" i="1"/>
  <c r="BZ5" i="1" s="1"/>
  <c r="CK8" i="1"/>
  <c r="D59" i="24"/>
  <c r="C59" i="24"/>
  <c r="D66" i="24"/>
  <c r="CI6" i="1"/>
  <c r="CN8" i="1"/>
  <c r="BZ8" i="1" s="1"/>
  <c r="CK4" i="1"/>
  <c r="CN7" i="1"/>
  <c r="BZ7" i="1" s="1"/>
  <c r="CL4" i="1"/>
  <c r="BX4" i="1" s="1"/>
  <c r="CM5" i="1"/>
  <c r="CI5" i="1"/>
  <c r="CM8" i="1"/>
  <c r="CL5" i="1"/>
  <c r="BX5" i="1" s="1"/>
  <c r="CN4" i="1"/>
  <c r="BZ4" i="1" s="1"/>
  <c r="CM6" i="1"/>
  <c r="CM7" i="1"/>
  <c r="BY7" i="1" s="1"/>
  <c r="CM4" i="1"/>
  <c r="CI7" i="1"/>
  <c r="CJ6" i="1"/>
  <c r="BW6" i="1" s="1"/>
  <c r="CL7" i="1"/>
  <c r="BX7" i="1" s="1"/>
  <c r="CI4" i="1"/>
  <c r="CK5" i="1"/>
  <c r="DK6" i="1"/>
  <c r="DK4" i="1"/>
  <c r="DK8" i="1"/>
  <c r="DK7" i="1"/>
  <c r="CZ8" i="1"/>
  <c r="CJ4" i="1"/>
  <c r="BW4" i="1" s="1"/>
  <c r="CK6" i="1"/>
  <c r="CJ7" i="1"/>
  <c r="BW7" i="1" s="1"/>
  <c r="CI8" i="1"/>
  <c r="CJ8" i="1"/>
  <c r="BW8" i="1" s="1"/>
  <c r="DK5" i="1"/>
  <c r="CN6" i="1"/>
  <c r="BZ6" i="1" s="1"/>
  <c r="CZ5" i="1"/>
  <c r="CJ5" i="1"/>
  <c r="BW5" i="1" s="1"/>
  <c r="CZ7" i="1"/>
  <c r="CZ6" i="1"/>
  <c r="CZ4" i="1"/>
  <c r="C68" i="24"/>
  <c r="D67" i="24"/>
  <c r="D68" i="24" s="1"/>
  <c r="C63" i="24"/>
  <c r="BS8" i="1"/>
  <c r="AZ8" i="1" s="1"/>
  <c r="BR8" i="1"/>
  <c r="AY8" i="1" s="1"/>
  <c r="BQ8" i="1"/>
  <c r="AX8" i="1" s="1"/>
  <c r="BP8" i="1"/>
  <c r="BO8" i="1"/>
  <c r="BN8" i="1"/>
  <c r="BM8" i="1"/>
  <c r="BL8" i="1"/>
  <c r="BK8" i="1"/>
  <c r="BS7" i="1"/>
  <c r="AZ7" i="1" s="1"/>
  <c r="BR7" i="1"/>
  <c r="AY7" i="1" s="1"/>
  <c r="BQ7" i="1"/>
  <c r="AX7" i="1" s="1"/>
  <c r="BP7" i="1"/>
  <c r="BO7" i="1"/>
  <c r="BN7" i="1"/>
  <c r="BM7" i="1"/>
  <c r="BL7" i="1"/>
  <c r="BK7" i="1"/>
  <c r="BS6" i="1"/>
  <c r="AZ6" i="1" s="1"/>
  <c r="BR6" i="1"/>
  <c r="AY6" i="1" s="1"/>
  <c r="BQ6" i="1"/>
  <c r="AX6" i="1" s="1"/>
  <c r="BP6" i="1"/>
  <c r="BO6" i="1"/>
  <c r="BN6" i="1"/>
  <c r="BM6" i="1"/>
  <c r="BL6" i="1"/>
  <c r="BK6" i="1"/>
  <c r="BS5" i="1"/>
  <c r="AZ5" i="1" s="1"/>
  <c r="BR5" i="1"/>
  <c r="AY5" i="1" s="1"/>
  <c r="BQ5" i="1"/>
  <c r="AX5" i="1" s="1"/>
  <c r="BP5" i="1"/>
  <c r="BO5" i="1"/>
  <c r="BN5" i="1"/>
  <c r="BM5" i="1"/>
  <c r="BL5" i="1"/>
  <c r="BK5" i="1"/>
  <c r="BS4" i="1"/>
  <c r="AZ4" i="1" s="1"/>
  <c r="BR4" i="1"/>
  <c r="AY4" i="1" s="1"/>
  <c r="BQ4" i="1"/>
  <c r="AX4" i="1" s="1"/>
  <c r="BP4" i="1"/>
  <c r="BO4" i="1"/>
  <c r="BN4" i="1"/>
  <c r="BM4" i="1"/>
  <c r="BL4" i="1"/>
  <c r="BK4" i="1"/>
  <c r="BH8" i="1"/>
  <c r="BG8" i="1"/>
  <c r="BF8" i="1"/>
  <c r="BE8" i="1"/>
  <c r="BD8" i="1"/>
  <c r="BC8" i="1"/>
  <c r="BH7" i="1"/>
  <c r="BG7" i="1"/>
  <c r="BF7" i="1"/>
  <c r="BE7" i="1"/>
  <c r="BD7" i="1"/>
  <c r="BC7" i="1"/>
  <c r="BH6" i="1"/>
  <c r="BG6" i="1"/>
  <c r="BF6" i="1"/>
  <c r="BE6" i="1"/>
  <c r="BD6" i="1"/>
  <c r="BC6" i="1"/>
  <c r="BH5" i="1"/>
  <c r="BG5" i="1"/>
  <c r="BF5" i="1"/>
  <c r="BE5" i="1"/>
  <c r="BD5" i="1"/>
  <c r="BC5" i="1"/>
  <c r="BH4" i="1"/>
  <c r="BG4" i="1"/>
  <c r="BF4" i="1"/>
  <c r="BE4" i="1"/>
  <c r="BD4" i="1"/>
  <c r="BC4" i="1"/>
  <c r="AA5" i="1"/>
  <c r="AA6" i="1"/>
  <c r="AA7" i="1"/>
  <c r="AA8" i="1"/>
  <c r="AA9" i="1"/>
  <c r="AA10" i="1"/>
  <c r="AA11" i="1"/>
  <c r="AA12" i="1"/>
  <c r="AA13" i="1"/>
  <c r="AA14" i="1"/>
  <c r="AA15" i="1"/>
  <c r="AA16" i="1"/>
  <c r="AA17" i="1"/>
  <c r="AA4" i="1"/>
  <c r="Z5" i="1"/>
  <c r="Z6" i="1"/>
  <c r="Z7" i="1"/>
  <c r="Z8" i="1"/>
  <c r="Z9" i="1"/>
  <c r="Z10" i="1"/>
  <c r="Z11" i="1"/>
  <c r="Z12" i="1"/>
  <c r="Z13" i="1"/>
  <c r="Z14" i="1"/>
  <c r="Z15" i="1"/>
  <c r="Z16" i="1"/>
  <c r="Z17" i="1"/>
  <c r="Z4" i="1"/>
  <c r="M5" i="1"/>
  <c r="M6" i="1"/>
  <c r="M7" i="1"/>
  <c r="M8" i="1"/>
  <c r="M9" i="1"/>
  <c r="M10" i="1"/>
  <c r="M11" i="1"/>
  <c r="M12" i="1"/>
  <c r="M13" i="1"/>
  <c r="M14" i="1"/>
  <c r="M15" i="1"/>
  <c r="M4" i="1"/>
  <c r="GX5" i="1" l="1"/>
  <c r="CG7" i="1"/>
  <c r="CB7" i="1" s="1"/>
  <c r="AU5" i="1"/>
  <c r="AG5" i="1" s="1"/>
  <c r="BY6" i="1"/>
  <c r="BY4" i="1"/>
  <c r="AS7" i="1"/>
  <c r="AF7" i="1" s="1"/>
  <c r="AV4" i="1"/>
  <c r="BY8" i="1"/>
  <c r="CG5" i="1"/>
  <c r="CB5" i="1" s="1"/>
  <c r="BY5" i="1"/>
  <c r="CG4" i="1"/>
  <c r="CB4" i="1" s="1"/>
  <c r="CG6" i="1"/>
  <c r="CB6" i="1" s="1"/>
  <c r="CG8" i="1"/>
  <c r="CB8" i="1" s="1"/>
  <c r="AU8" i="1"/>
  <c r="AG8" i="1" s="1"/>
  <c r="CR7" i="1"/>
  <c r="AV6" i="1"/>
  <c r="AU7" i="1"/>
  <c r="AG7" i="1" s="1"/>
  <c r="AW6" i="1"/>
  <c r="AI6" i="1" s="1"/>
  <c r="CR6" i="1"/>
  <c r="AT8" i="1"/>
  <c r="AW5" i="1"/>
  <c r="AI5" i="1" s="1"/>
  <c r="CR5" i="1"/>
  <c r="AT6" i="1"/>
  <c r="AV7" i="1"/>
  <c r="AT5" i="1"/>
  <c r="AR8" i="1"/>
  <c r="AP8" i="1" s="1"/>
  <c r="CR8" i="1"/>
  <c r="CR4" i="1"/>
  <c r="AV8" i="1"/>
  <c r="AW7" i="1"/>
  <c r="AI7" i="1" s="1"/>
  <c r="AW8" i="1"/>
  <c r="AI8" i="1" s="1"/>
  <c r="AC7" i="1"/>
  <c r="AR4" i="1"/>
  <c r="AP4" i="1" s="1"/>
  <c r="AT4" i="1"/>
  <c r="AU4" i="1"/>
  <c r="AG4" i="1" s="1"/>
  <c r="AR7" i="1"/>
  <c r="AP7" i="1" s="1"/>
  <c r="AR6" i="1"/>
  <c r="AP6" i="1" s="1"/>
  <c r="AS6" i="1"/>
  <c r="AF6" i="1" s="1"/>
  <c r="AR5" i="1"/>
  <c r="AP5" i="1" s="1"/>
  <c r="AS5" i="1"/>
  <c r="AF5" i="1" s="1"/>
  <c r="AS4" i="1"/>
  <c r="AF4" i="1" s="1"/>
  <c r="AW4" i="1"/>
  <c r="AI4" i="1" s="1"/>
  <c r="AV5" i="1"/>
  <c r="AT7" i="1"/>
  <c r="AS8" i="1"/>
  <c r="AF8" i="1" s="1"/>
  <c r="AU6" i="1"/>
  <c r="AG6" i="1" s="1"/>
  <c r="AC11" i="1"/>
  <c r="BT7" i="1"/>
  <c r="BT6" i="1"/>
  <c r="BT4" i="1"/>
  <c r="BT8" i="1"/>
  <c r="BT5" i="1"/>
  <c r="BI5" i="1"/>
  <c r="AC16" i="1"/>
  <c r="AC8" i="1"/>
  <c r="AC5" i="1"/>
  <c r="BI7" i="1"/>
  <c r="AC9" i="1"/>
  <c r="BI6" i="1"/>
  <c r="BI8" i="1"/>
  <c r="BI4" i="1"/>
  <c r="AC13" i="1"/>
  <c r="AC10" i="1"/>
  <c r="AC15" i="1"/>
  <c r="AC14" i="1"/>
  <c r="AC6" i="1"/>
  <c r="AC12" i="1"/>
  <c r="AC17" i="1"/>
  <c r="AC4" i="1"/>
  <c r="CF7" i="1" l="1"/>
  <c r="CC7" i="1" s="1"/>
  <c r="AH4" i="1"/>
  <c r="CF5" i="1"/>
  <c r="CC5" i="1" s="1"/>
  <c r="AH5" i="1"/>
  <c r="AH6" i="1"/>
  <c r="CF8" i="1"/>
  <c r="CC8" i="1" s="1"/>
  <c r="CF6" i="1"/>
  <c r="CF4" i="1"/>
  <c r="CC4" i="1" s="1"/>
  <c r="AO8" i="1"/>
  <c r="AK8" i="1"/>
  <c r="AO5" i="1"/>
  <c r="AK5" i="1"/>
  <c r="AO6" i="1"/>
  <c r="AK6" i="1"/>
  <c r="AH8" i="1"/>
  <c r="AO4" i="1"/>
  <c r="AK4" i="1"/>
  <c r="AH7" i="1"/>
  <c r="AO7" i="1"/>
  <c r="AK7" i="1"/>
  <c r="BA5" i="1"/>
  <c r="BA8" i="1"/>
  <c r="BA7" i="1"/>
  <c r="BA4" i="1"/>
  <c r="BA6" i="1"/>
  <c r="CC6" i="1" l="1"/>
  <c r="AL5" i="1"/>
  <c r="AL4" i="1"/>
  <c r="AL7" i="1"/>
  <c r="AL6" i="1"/>
  <c r="AL8" i="1"/>
  <c r="O27" i="1" a="1"/>
  <c r="O27" i="1" s="1"/>
  <c r="N27" i="1" a="1"/>
  <c r="N28" i="1" s="1"/>
  <c r="A6" i="17"/>
  <c r="A94" i="17"/>
  <c r="A91" i="17"/>
  <c r="A92" i="17" s="1"/>
  <c r="A93" i="17" s="1"/>
  <c r="A85" i="17"/>
  <c r="A86" i="17"/>
  <c r="A87" i="17" s="1"/>
  <c r="A88" i="17" s="1"/>
  <c r="A89" i="17" s="1"/>
  <c r="A90" i="17" s="1"/>
  <c r="B1" i="17"/>
  <c r="B83" i="17" s="1" a="1"/>
  <c r="B83" i="17" s="1"/>
  <c r="G73" i="1" s="1"/>
  <c r="B79" i="17" a="1"/>
  <c r="B79" i="17" s="1"/>
  <c r="G69" i="1" s="1"/>
  <c r="B73" i="17" a="1"/>
  <c r="B73" i="17" s="1"/>
  <c r="G63" i="1" s="1"/>
  <c r="B71" i="17" a="1"/>
  <c r="B71" i="17" s="1"/>
  <c r="G61" i="1" s="1"/>
  <c r="B65" i="17" a="1"/>
  <c r="B65" i="17" s="1"/>
  <c r="G55" i="1" s="1"/>
  <c r="B63" i="17" a="1"/>
  <c r="B63" i="17" s="1"/>
  <c r="G53" i="1" s="1"/>
  <c r="B61" i="17" a="1"/>
  <c r="B61" i="17" s="1"/>
  <c r="G51" i="1" s="1"/>
  <c r="B60" i="17" a="1"/>
  <c r="B60" i="17" s="1"/>
  <c r="G50" i="1" s="1"/>
  <c r="B59" i="17" a="1"/>
  <c r="B59" i="17" s="1"/>
  <c r="G49" i="1" s="1"/>
  <c r="B58" i="17" a="1"/>
  <c r="B58" i="17" s="1"/>
  <c r="G48" i="1" s="1"/>
  <c r="B57" i="17" a="1"/>
  <c r="B57" i="17" s="1"/>
  <c r="G47" i="1" s="1"/>
  <c r="B56" i="17" a="1"/>
  <c r="B56" i="17" s="1"/>
  <c r="G46" i="1" s="1"/>
  <c r="B55" i="17" a="1"/>
  <c r="B55" i="17" s="1"/>
  <c r="G45" i="1" s="1"/>
  <c r="B54" i="17" a="1"/>
  <c r="B54" i="17" s="1"/>
  <c r="G44" i="1" s="1"/>
  <c r="B53" i="17" a="1"/>
  <c r="B53" i="17" s="1"/>
  <c r="G43" i="1" s="1"/>
  <c r="B52" i="17" a="1"/>
  <c r="B52" i="17" s="1"/>
  <c r="G42" i="1" s="1"/>
  <c r="B51" i="17" a="1"/>
  <c r="B51" i="17" s="1"/>
  <c r="G41" i="1" s="1"/>
  <c r="B50" i="17" a="1"/>
  <c r="B50" i="17" s="1"/>
  <c r="G40" i="1" s="1"/>
  <c r="B49" i="17" a="1"/>
  <c r="B49" i="17" s="1"/>
  <c r="G39" i="1" s="1"/>
  <c r="B48" i="17" a="1"/>
  <c r="B48" i="17" s="1"/>
  <c r="G38" i="1" s="1"/>
  <c r="B47" i="17" a="1"/>
  <c r="B47" i="17" s="1"/>
  <c r="G37" i="1" s="1"/>
  <c r="B46" i="17" a="1"/>
  <c r="B46" i="17" s="1"/>
  <c r="G36" i="1" s="1"/>
  <c r="B45" i="17" a="1"/>
  <c r="B45" i="17" s="1"/>
  <c r="G35" i="1" s="1"/>
  <c r="B44" i="17" a="1"/>
  <c r="B44" i="17" s="1"/>
  <c r="G34" i="1" s="1"/>
  <c r="B43" i="17" a="1"/>
  <c r="B43" i="17" s="1"/>
  <c r="G33" i="1" s="1"/>
  <c r="B42" i="17" a="1"/>
  <c r="B42" i="17" s="1"/>
  <c r="G32" i="1" s="1"/>
  <c r="B41" i="17" a="1"/>
  <c r="B41" i="17" s="1"/>
  <c r="G31" i="1" s="1"/>
  <c r="B40" i="17" a="1"/>
  <c r="B40" i="17" s="1"/>
  <c r="G30" i="1" s="1"/>
  <c r="B39" i="17" a="1"/>
  <c r="B39" i="17" s="1"/>
  <c r="G29" i="1" s="1"/>
  <c r="B38" i="17" a="1"/>
  <c r="B38" i="17" s="1"/>
  <c r="G28" i="1" s="1"/>
  <c r="B37" i="17" a="1"/>
  <c r="B37" i="17" s="1"/>
  <c r="G27" i="1" s="1"/>
  <c r="B36" i="17" a="1"/>
  <c r="B36" i="17" s="1"/>
  <c r="G26" i="1" s="1"/>
  <c r="B35" i="17" a="1"/>
  <c r="B35" i="17" s="1"/>
  <c r="G25" i="1" s="1"/>
  <c r="B34" i="17" a="1"/>
  <c r="B34" i="17" s="1"/>
  <c r="G24" i="1" s="1"/>
  <c r="B33" i="17" a="1"/>
  <c r="B33" i="17" s="1"/>
  <c r="G23" i="1" s="1"/>
  <c r="B32" i="17" a="1"/>
  <c r="B32" i="17" s="1"/>
  <c r="G22" i="1" s="1"/>
  <c r="B31" i="17" a="1"/>
  <c r="B31" i="17" s="1"/>
  <c r="G21" i="1" s="1"/>
  <c r="B30" i="17" a="1"/>
  <c r="B30" i="17" s="1"/>
  <c r="G20" i="1" s="1"/>
  <c r="B29" i="17" a="1"/>
  <c r="B29" i="17" s="1"/>
  <c r="G19" i="1" s="1"/>
  <c r="B28" i="17" a="1"/>
  <c r="B28" i="17" s="1"/>
  <c r="G18" i="1" s="1"/>
  <c r="B27" i="17" a="1"/>
  <c r="B27" i="17" s="1"/>
  <c r="G17" i="1" s="1"/>
  <c r="B26" i="17" a="1"/>
  <c r="B26" i="17" s="1"/>
  <c r="G16" i="1" s="1"/>
  <c r="B25" i="17" a="1"/>
  <c r="B25" i="17" s="1"/>
  <c r="G15" i="1" s="1"/>
  <c r="B24" i="17" a="1"/>
  <c r="B24" i="17" s="1"/>
  <c r="G14" i="1" s="1"/>
  <c r="B23" i="17" a="1"/>
  <c r="B23" i="17" s="1"/>
  <c r="G13" i="1" s="1"/>
  <c r="B22" i="17" a="1"/>
  <c r="B22" i="17" s="1"/>
  <c r="G12" i="1" s="1"/>
  <c r="B21" i="17" a="1"/>
  <c r="B21" i="17" s="1"/>
  <c r="G11" i="1" s="1"/>
  <c r="B20" i="17" a="1"/>
  <c r="B20" i="17" s="1"/>
  <c r="G10" i="1" s="1"/>
  <c r="B19" i="17" a="1"/>
  <c r="B19" i="17" s="1"/>
  <c r="G9" i="1" s="1"/>
  <c r="B18" i="17" a="1"/>
  <c r="B18" i="17" s="1"/>
  <c r="G8" i="1" s="1"/>
  <c r="B17" i="17"/>
  <c r="G7" i="1" s="1"/>
  <c r="B17" i="17" a="1"/>
  <c r="B16" i="17" a="1"/>
  <c r="B16" i="17" s="1"/>
  <c r="G6" i="1" s="1"/>
  <c r="B15" i="17" a="1"/>
  <c r="B15" i="17" s="1"/>
  <c r="G5" i="1" s="1"/>
  <c r="B14" i="17" a="1"/>
  <c r="B14" i="17" s="1"/>
  <c r="G4" i="1" s="1"/>
  <c r="B13" i="17" a="1"/>
  <c r="B13" i="17" s="1"/>
  <c r="I12" i="17" a="1"/>
  <c r="I12" i="17" s="1"/>
  <c r="B12" i="17" a="1"/>
  <c r="B12" i="17" s="1"/>
  <c r="B11" i="17" a="1"/>
  <c r="B11" i="17" s="1"/>
  <c r="B10" i="17" a="1"/>
  <c r="B10" i="17" s="1"/>
  <c r="B9" i="17" a="1"/>
  <c r="B9" i="17" s="1"/>
  <c r="I8" i="17" a="1"/>
  <c r="I8" i="17" s="1"/>
  <c r="B8" i="17" a="1"/>
  <c r="B8" i="17" s="1"/>
  <c r="B7" i="17" a="1"/>
  <c r="B7" i="17" s="1"/>
  <c r="B6" i="17" a="1"/>
  <c r="B6" i="17" s="1"/>
  <c r="A9" i="17"/>
  <c r="A10" i="17" s="1"/>
  <c r="A11" i="17" s="1"/>
  <c r="A12" i="17" s="1"/>
  <c r="A13" i="17" s="1"/>
  <c r="A14" i="17" s="1"/>
  <c r="A15" i="17" s="1"/>
  <c r="A16" i="17" s="1"/>
  <c r="A17" i="17" s="1"/>
  <c r="A18" i="17" s="1"/>
  <c r="A19" i="17" s="1"/>
  <c r="A20" i="17" s="1"/>
  <c r="A21" i="17" s="1"/>
  <c r="A22" i="17" s="1"/>
  <c r="A23" i="17" s="1"/>
  <c r="A24" i="17" s="1"/>
  <c r="A25" i="17" s="1"/>
  <c r="A26" i="17" s="1"/>
  <c r="A27" i="17" s="1"/>
  <c r="A28" i="17" s="1"/>
  <c r="A29" i="17" s="1"/>
  <c r="A30" i="17" s="1"/>
  <c r="A31" i="17" s="1"/>
  <c r="A32" i="17" s="1"/>
  <c r="A33" i="17" s="1"/>
  <c r="A34" i="17" s="1"/>
  <c r="A35" i="17" s="1"/>
  <c r="A36" i="17" s="1"/>
  <c r="A37" i="17" s="1"/>
  <c r="A38" i="17" s="1"/>
  <c r="A39" i="17" s="1"/>
  <c r="A40" i="17" s="1"/>
  <c r="A41" i="17" s="1"/>
  <c r="A42" i="17" s="1"/>
  <c r="A43" i="17" s="1"/>
  <c r="A44" i="17" s="1"/>
  <c r="A45" i="17" s="1"/>
  <c r="A46" i="17" s="1"/>
  <c r="A47" i="17" s="1"/>
  <c r="A48" i="17" s="1"/>
  <c r="A49" i="17" s="1"/>
  <c r="A50" i="17" s="1"/>
  <c r="A51" i="17" s="1"/>
  <c r="A52" i="17" s="1"/>
  <c r="A53" i="17" s="1"/>
  <c r="A54" i="17" s="1"/>
  <c r="A55" i="17" s="1"/>
  <c r="A56" i="17" s="1"/>
  <c r="A57" i="17" s="1"/>
  <c r="A58" i="17" s="1"/>
  <c r="A59" i="17" s="1"/>
  <c r="A60" i="17" s="1"/>
  <c r="A61" i="17" s="1"/>
  <c r="A62" i="17" s="1"/>
  <c r="A63" i="17" s="1"/>
  <c r="A64" i="17" s="1"/>
  <c r="A65" i="17" s="1"/>
  <c r="A66" i="17" s="1"/>
  <c r="A67" i="17" s="1"/>
  <c r="A68" i="17" s="1"/>
  <c r="A69" i="17" s="1"/>
  <c r="A70" i="17" s="1"/>
  <c r="A71" i="17" s="1"/>
  <c r="A72" i="17" s="1"/>
  <c r="A73" i="17" s="1"/>
  <c r="A74" i="17" s="1"/>
  <c r="A75" i="17" s="1"/>
  <c r="A76" i="17" s="1"/>
  <c r="A77" i="17" s="1"/>
  <c r="A78" i="17" s="1"/>
  <c r="A79" i="17" s="1"/>
  <c r="A80" i="17" s="1"/>
  <c r="A81" i="17" s="1"/>
  <c r="A82" i="17" s="1"/>
  <c r="A83" i="17" s="1"/>
  <c r="A84" i="17" s="1"/>
  <c r="A8" i="17"/>
  <c r="I1" i="17"/>
  <c r="I14" i="17" s="1" a="1"/>
  <c r="I14" i="17" s="1"/>
  <c r="B62" i="17" l="1" a="1"/>
  <c r="B62" i="17" s="1"/>
  <c r="G52" i="1" s="1"/>
  <c r="J53" i="1" s="1"/>
  <c r="B70" i="17" a="1"/>
  <c r="B70" i="17" s="1"/>
  <c r="G60" i="1" s="1"/>
  <c r="J61" i="1" s="1"/>
  <c r="B78" i="17" a="1"/>
  <c r="B78" i="17" s="1"/>
  <c r="G68" i="1" s="1"/>
  <c r="B93" i="17" a="1"/>
  <c r="B93" i="17" s="1"/>
  <c r="G83" i="1" s="1"/>
  <c r="I92" i="17" a="1"/>
  <c r="I92" i="17" s="1"/>
  <c r="B85" i="17" a="1"/>
  <c r="B85" i="17" s="1"/>
  <c r="G75" i="1" s="1"/>
  <c r="B94" i="17" a="1"/>
  <c r="B94" i="17" s="1"/>
  <c r="G84" i="1" s="1"/>
  <c r="J84" i="1" s="1"/>
  <c r="I93" i="17" a="1"/>
  <c r="I93" i="17" s="1"/>
  <c r="B86" i="17" a="1"/>
  <c r="B86" i="17" s="1"/>
  <c r="G76" i="1" s="1"/>
  <c r="I85" i="17" a="1"/>
  <c r="I85" i="17" s="1"/>
  <c r="B64" i="17" a="1"/>
  <c r="B64" i="17" s="1"/>
  <c r="G54" i="1" s="1"/>
  <c r="G104" i="1" s="1"/>
  <c r="B72" i="17" a="1"/>
  <c r="B72" i="17" s="1"/>
  <c r="G62" i="1" s="1"/>
  <c r="J62" i="1" s="1"/>
  <c r="B81" i="17" a="1"/>
  <c r="B81" i="17" s="1"/>
  <c r="G71" i="1" s="1"/>
  <c r="I94" i="17" a="1"/>
  <c r="I94" i="17" s="1"/>
  <c r="B87" i="17" a="1"/>
  <c r="B87" i="17" s="1"/>
  <c r="G77" i="1" s="1"/>
  <c r="I86" i="17" a="1"/>
  <c r="I86" i="17" s="1"/>
  <c r="I34" i="17" a="1"/>
  <c r="I34" i="17" s="1"/>
  <c r="B88" i="17" a="1"/>
  <c r="B88" i="17" s="1"/>
  <c r="G78" i="1" s="1"/>
  <c r="I87" i="17" a="1"/>
  <c r="I87" i="17" s="1"/>
  <c r="B66" i="17" a="1"/>
  <c r="B66" i="17" s="1"/>
  <c r="G56" i="1" s="1"/>
  <c r="J56" i="1" s="1"/>
  <c r="B74" i="17" a="1"/>
  <c r="B74" i="17" s="1"/>
  <c r="G64" i="1" s="1"/>
  <c r="J64" i="1" s="1"/>
  <c r="B89" i="17" a="1"/>
  <c r="B89" i="17" s="1"/>
  <c r="G79" i="1" s="1"/>
  <c r="I88" i="17" a="1"/>
  <c r="I88" i="17" s="1"/>
  <c r="B67" i="17" a="1"/>
  <c r="B67" i="17" s="1"/>
  <c r="G57" i="1" s="1"/>
  <c r="B75" i="17" a="1"/>
  <c r="B75" i="17" s="1"/>
  <c r="G65" i="1" s="1"/>
  <c r="B90" i="17" a="1"/>
  <c r="B90" i="17" s="1"/>
  <c r="G80" i="1" s="1"/>
  <c r="I89" i="17" a="1"/>
  <c r="I89" i="17" s="1"/>
  <c r="B68" i="17" a="1"/>
  <c r="B68" i="17" s="1"/>
  <c r="G58" i="1" s="1"/>
  <c r="B76" i="17" a="1"/>
  <c r="B76" i="17" s="1"/>
  <c r="G66" i="1" s="1"/>
  <c r="B91" i="17" a="1"/>
  <c r="B91" i="17" s="1"/>
  <c r="G81" i="1" s="1"/>
  <c r="I90" i="17" a="1"/>
  <c r="I90" i="17" s="1"/>
  <c r="B69" i="17" a="1"/>
  <c r="B69" i="17" s="1"/>
  <c r="G59" i="1" s="1"/>
  <c r="B77" i="17" a="1"/>
  <c r="B77" i="17" s="1"/>
  <c r="G67" i="1" s="1"/>
  <c r="B92" i="17" a="1"/>
  <c r="B92" i="17" s="1"/>
  <c r="G82" i="1" s="1"/>
  <c r="I91" i="17" a="1"/>
  <c r="I91" i="17" s="1"/>
  <c r="O56" i="1"/>
  <c r="O34" i="1"/>
  <c r="J24" i="1"/>
  <c r="N57" i="1"/>
  <c r="N58" i="1"/>
  <c r="O32" i="1"/>
  <c r="N48" i="1"/>
  <c r="G90" i="1"/>
  <c r="O58" i="1"/>
  <c r="J36" i="1"/>
  <c r="J48" i="1"/>
  <c r="O57" i="1"/>
  <c r="O64" i="1"/>
  <c r="O40" i="1"/>
  <c r="N47" i="1"/>
  <c r="O50" i="1"/>
  <c r="N38" i="1"/>
  <c r="O49" i="1"/>
  <c r="N35" i="1"/>
  <c r="O48" i="1"/>
  <c r="O42" i="1"/>
  <c r="O41" i="1"/>
  <c r="O33" i="1"/>
  <c r="O63" i="1"/>
  <c r="O55" i="1"/>
  <c r="O47" i="1"/>
  <c r="O39" i="1"/>
  <c r="O31" i="1"/>
  <c r="O62" i="1"/>
  <c r="O54" i="1"/>
  <c r="O46" i="1"/>
  <c r="O38" i="1"/>
  <c r="O30" i="1"/>
  <c r="O61" i="1"/>
  <c r="O53" i="1"/>
  <c r="O45" i="1"/>
  <c r="O37" i="1"/>
  <c r="O29" i="1"/>
  <c r="O60" i="1"/>
  <c r="O52" i="1"/>
  <c r="O44" i="1"/>
  <c r="O36" i="1"/>
  <c r="O28" i="1"/>
  <c r="O59" i="1"/>
  <c r="O51" i="1"/>
  <c r="O43" i="1"/>
  <c r="O35" i="1"/>
  <c r="N56" i="1"/>
  <c r="N46" i="1"/>
  <c r="N34" i="1"/>
  <c r="J8" i="1"/>
  <c r="J16" i="1"/>
  <c r="J20" i="1"/>
  <c r="J28" i="1"/>
  <c r="J32" i="1"/>
  <c r="J40" i="1"/>
  <c r="J44" i="1"/>
  <c r="J52" i="1"/>
  <c r="N55" i="1"/>
  <c r="N43" i="1"/>
  <c r="N33" i="1"/>
  <c r="N64" i="1"/>
  <c r="N54" i="1"/>
  <c r="N42" i="1"/>
  <c r="N32" i="1"/>
  <c r="N63" i="1"/>
  <c r="N51" i="1"/>
  <c r="N41" i="1"/>
  <c r="N31" i="1"/>
  <c r="N62" i="1"/>
  <c r="N50" i="1"/>
  <c r="N40" i="1"/>
  <c r="N30" i="1"/>
  <c r="J5" i="1"/>
  <c r="J17" i="1"/>
  <c r="J21" i="1"/>
  <c r="J29" i="1"/>
  <c r="J49" i="1"/>
  <c r="N59" i="1"/>
  <c r="N49" i="1"/>
  <c r="N39" i="1"/>
  <c r="N27" i="1"/>
  <c r="N61" i="1"/>
  <c r="N53" i="1"/>
  <c r="N45" i="1"/>
  <c r="N37" i="1"/>
  <c r="N29" i="1"/>
  <c r="N60" i="1"/>
  <c r="N52" i="1"/>
  <c r="N44" i="1"/>
  <c r="N36" i="1"/>
  <c r="J15" i="1"/>
  <c r="J27" i="1"/>
  <c r="J47" i="1"/>
  <c r="J11" i="1"/>
  <c r="J35" i="1"/>
  <c r="G94" i="1"/>
  <c r="G92" i="1"/>
  <c r="J6" i="1"/>
  <c r="J22" i="1"/>
  <c r="J30" i="1"/>
  <c r="J34" i="1"/>
  <c r="J51" i="1"/>
  <c r="J55" i="1"/>
  <c r="J12" i="1"/>
  <c r="J39" i="1"/>
  <c r="J10" i="1"/>
  <c r="J26" i="1"/>
  <c r="J38" i="1"/>
  <c r="J42" i="1"/>
  <c r="J46" i="1"/>
  <c r="J50" i="1"/>
  <c r="J54" i="1"/>
  <c r="J14" i="1"/>
  <c r="J7" i="1"/>
  <c r="J19" i="1"/>
  <c r="J31" i="1"/>
  <c r="G91" i="1"/>
  <c r="J25" i="1"/>
  <c r="G89" i="1"/>
  <c r="J18" i="1"/>
  <c r="J45" i="1"/>
  <c r="J69" i="1"/>
  <c r="G93" i="1"/>
  <c r="J13" i="1"/>
  <c r="G88" i="1"/>
  <c r="J41" i="1"/>
  <c r="J9" i="1"/>
  <c r="J37" i="1"/>
  <c r="J23" i="1"/>
  <c r="J33" i="1"/>
  <c r="J43" i="1"/>
  <c r="J63" i="1"/>
  <c r="I18" i="17" a="1"/>
  <c r="I18" i="17" s="1"/>
  <c r="B80" i="17" a="1"/>
  <c r="B80" i="17" s="1"/>
  <c r="G70" i="1" s="1"/>
  <c r="I9" i="17" a="1"/>
  <c r="I9" i="17" s="1"/>
  <c r="I19" i="17" a="1"/>
  <c r="I19" i="17" s="1"/>
  <c r="B82" i="17" a="1"/>
  <c r="B82" i="17" s="1"/>
  <c r="G72" i="1" s="1"/>
  <c r="J73" i="1" s="1"/>
  <c r="I6" i="17" a="1"/>
  <c r="I6" i="17" s="1"/>
  <c r="B84" i="17" a="1"/>
  <c r="B84" i="17" s="1"/>
  <c r="G74" i="1" s="1"/>
  <c r="J74" i="1" s="1"/>
  <c r="I11" i="17" a="1"/>
  <c r="I11" i="17" s="1"/>
  <c r="I33" i="17" a="1"/>
  <c r="I33" i="17" s="1"/>
  <c r="I7" i="17" a="1"/>
  <c r="I7" i="17" s="1"/>
  <c r="I21" i="17" a="1"/>
  <c r="I21" i="17" s="1"/>
  <c r="I84" i="17" a="1"/>
  <c r="I84" i="17" s="1"/>
  <c r="I76" i="17" a="1"/>
  <c r="I76" i="17" s="1"/>
  <c r="I52" i="17" a="1"/>
  <c r="I52" i="17" s="1"/>
  <c r="I77" i="17" a="1"/>
  <c r="I77" i="17" s="1"/>
  <c r="I60" i="17" a="1"/>
  <c r="I60" i="17" s="1"/>
  <c r="I54" i="17" a="1"/>
  <c r="I54" i="17" s="1"/>
  <c r="I49" i="17" a="1"/>
  <c r="I49" i="17" s="1"/>
  <c r="I78" i="17" a="1"/>
  <c r="I78" i="17" s="1"/>
  <c r="I59" i="17" a="1"/>
  <c r="I59" i="17" s="1"/>
  <c r="I79" i="17" a="1"/>
  <c r="I79" i="17" s="1"/>
  <c r="I71" i="17" a="1"/>
  <c r="I71" i="17" s="1"/>
  <c r="I70" i="17" a="1"/>
  <c r="I70" i="17" s="1"/>
  <c r="I56" i="17" a="1"/>
  <c r="I56" i="17" s="1"/>
  <c r="I51" i="17" a="1"/>
  <c r="I51" i="17" s="1"/>
  <c r="I46" i="17" a="1"/>
  <c r="I46" i="17" s="1"/>
  <c r="I80" i="17" a="1"/>
  <c r="I80" i="17" s="1"/>
  <c r="I72" i="17" a="1"/>
  <c r="I72" i="17" s="1"/>
  <c r="I69" i="17" a="1"/>
  <c r="I69" i="17" s="1"/>
  <c r="I68" i="17" a="1"/>
  <c r="I68" i="17" s="1"/>
  <c r="I66" i="17" a="1"/>
  <c r="I66" i="17" s="1"/>
  <c r="I58" i="17" a="1"/>
  <c r="I58" i="17" s="1"/>
  <c r="I48" i="17" a="1"/>
  <c r="I48" i="17" s="1"/>
  <c r="I81" i="17" a="1"/>
  <c r="I81" i="17" s="1"/>
  <c r="I73" i="17" a="1"/>
  <c r="I73" i="17" s="1"/>
  <c r="I67" i="17" a="1"/>
  <c r="I67" i="17" s="1"/>
  <c r="I65" i="17" a="1"/>
  <c r="I65" i="17" s="1"/>
  <c r="I64" i="17" a="1"/>
  <c r="I64" i="17" s="1"/>
  <c r="I61" i="17" a="1"/>
  <c r="I61" i="17" s="1"/>
  <c r="I53" i="17" a="1"/>
  <c r="I53" i="17" s="1"/>
  <c r="I82" i="17" a="1"/>
  <c r="I82" i="17" s="1"/>
  <c r="I74" i="17" a="1"/>
  <c r="I74" i="17" s="1"/>
  <c r="I55" i="17" a="1"/>
  <c r="I55" i="17" s="1"/>
  <c r="I50" i="17" a="1"/>
  <c r="I50" i="17" s="1"/>
  <c r="I75" i="17" a="1"/>
  <c r="I75" i="17" s="1"/>
  <c r="I62" i="17" a="1"/>
  <c r="I62" i="17" s="1"/>
  <c r="I57" i="17" a="1"/>
  <c r="I57" i="17" s="1"/>
  <c r="I41" i="17" a="1"/>
  <c r="I41" i="17" s="1"/>
  <c r="I29" i="17" a="1"/>
  <c r="I29" i="17" s="1"/>
  <c r="I28" i="17" a="1"/>
  <c r="I28" i="17" s="1"/>
  <c r="I27" i="17" a="1"/>
  <c r="I27" i="17" s="1"/>
  <c r="I26" i="17" a="1"/>
  <c r="I26" i="17" s="1"/>
  <c r="I24" i="17" a="1"/>
  <c r="I24" i="17" s="1"/>
  <c r="I22" i="17" a="1"/>
  <c r="I22" i="17" s="1"/>
  <c r="I47" i="17" a="1"/>
  <c r="I47" i="17" s="1"/>
  <c r="I20" i="17" a="1"/>
  <c r="I20" i="17" s="1"/>
  <c r="I15" i="17" a="1"/>
  <c r="I15" i="17" s="1"/>
  <c r="I13" i="17" a="1"/>
  <c r="I13" i="17" s="1"/>
  <c r="I83" i="17" a="1"/>
  <c r="I83" i="17" s="1"/>
  <c r="I40" i="17" a="1"/>
  <c r="I40" i="17" s="1"/>
  <c r="I39" i="17" a="1"/>
  <c r="I39" i="17" s="1"/>
  <c r="I25" i="17" a="1"/>
  <c r="I25" i="17" s="1"/>
  <c r="I38" i="17" a="1"/>
  <c r="I38" i="17" s="1"/>
  <c r="I37" i="17" a="1"/>
  <c r="I37" i="17" s="1"/>
  <c r="I45" i="17" a="1"/>
  <c r="I45" i="17" s="1"/>
  <c r="I44" i="17" a="1"/>
  <c r="I44" i="17" s="1"/>
  <c r="I43" i="17" a="1"/>
  <c r="I43" i="17" s="1"/>
  <c r="I36" i="17" a="1"/>
  <c r="I36" i="17" s="1"/>
  <c r="I35" i="17" a="1"/>
  <c r="I35" i="17" s="1"/>
  <c r="I63" i="17" a="1"/>
  <c r="I63" i="17" s="1"/>
  <c r="I42" i="17" a="1"/>
  <c r="I42" i="17" s="1"/>
  <c r="I10" i="17" a="1"/>
  <c r="I10" i="17" s="1"/>
  <c r="I31" i="17" a="1"/>
  <c r="I31" i="17" s="1"/>
  <c r="I16" i="17" a="1"/>
  <c r="I16" i="17" s="1"/>
  <c r="I17" i="17" a="1"/>
  <c r="I17" i="17" s="1"/>
  <c r="I23" i="17" a="1"/>
  <c r="I23" i="17" s="1"/>
  <c r="I30" i="17" a="1"/>
  <c r="I30" i="17" s="1"/>
  <c r="I32" i="17" a="1"/>
  <c r="I32" i="17" s="1"/>
  <c r="G1" i="17"/>
  <c r="P1" i="17"/>
  <c r="M1" i="17"/>
  <c r="J1" i="17"/>
  <c r="C1" i="17"/>
  <c r="K1" i="17"/>
  <c r="H1" i="17"/>
  <c r="D1" i="17"/>
  <c r="L1" i="17"/>
  <c r="E1" i="17"/>
  <c r="N1" i="17"/>
  <c r="F1" i="17"/>
  <c r="O1" i="17"/>
  <c r="J83" i="1" l="1"/>
  <c r="N67" i="1"/>
  <c r="J59" i="1"/>
  <c r="J58" i="1"/>
  <c r="J77" i="1"/>
  <c r="J82" i="1"/>
  <c r="J80" i="1"/>
  <c r="J76" i="1"/>
  <c r="J79" i="1"/>
  <c r="J71" i="1"/>
  <c r="J57" i="1"/>
  <c r="J60" i="1"/>
  <c r="O67" i="1"/>
  <c r="J78" i="1"/>
  <c r="J68" i="1"/>
  <c r="J65" i="1"/>
  <c r="J75" i="1"/>
  <c r="J81" i="1"/>
  <c r="J67" i="1"/>
  <c r="D86" i="17" a="1"/>
  <c r="D86" i="17" s="1"/>
  <c r="F76" i="1" s="1"/>
  <c r="D94" i="17" a="1"/>
  <c r="D94" i="17" s="1"/>
  <c r="F84" i="1" s="1"/>
  <c r="D85" i="17" a="1"/>
  <c r="D85" i="17" s="1"/>
  <c r="F75" i="1" s="1"/>
  <c r="D93" i="17" a="1"/>
  <c r="D93" i="17" s="1"/>
  <c r="F83" i="1" s="1"/>
  <c r="D92" i="17" a="1"/>
  <c r="D92" i="17" s="1"/>
  <c r="F82" i="1" s="1"/>
  <c r="D91" i="17" a="1"/>
  <c r="D91" i="17" s="1"/>
  <c r="F81" i="1" s="1"/>
  <c r="D90" i="17" a="1"/>
  <c r="D90" i="17" s="1"/>
  <c r="F80" i="1" s="1"/>
  <c r="D89" i="17" a="1"/>
  <c r="D89" i="17" s="1"/>
  <c r="F79" i="1" s="1"/>
  <c r="D88" i="17" a="1"/>
  <c r="D88" i="17" s="1"/>
  <c r="F78" i="1" s="1"/>
  <c r="D87" i="17" a="1"/>
  <c r="D87" i="17" s="1"/>
  <c r="F77" i="1" s="1"/>
  <c r="K85" i="17" a="1"/>
  <c r="K85" i="17" s="1"/>
  <c r="K93" i="17" a="1"/>
  <c r="K93" i="17" s="1"/>
  <c r="K92" i="17" a="1"/>
  <c r="K92" i="17" s="1"/>
  <c r="K91" i="17" a="1"/>
  <c r="K91" i="17" s="1"/>
  <c r="K90" i="17" a="1"/>
  <c r="K90" i="17" s="1"/>
  <c r="K89" i="17" a="1"/>
  <c r="K89" i="17" s="1"/>
  <c r="K88" i="17" a="1"/>
  <c r="K88" i="17" s="1"/>
  <c r="K87" i="17" a="1"/>
  <c r="K87" i="17" s="1"/>
  <c r="K86" i="17" a="1"/>
  <c r="K86" i="17" s="1"/>
  <c r="K94" i="17" a="1"/>
  <c r="K94" i="17" s="1"/>
  <c r="O89" i="17" a="1"/>
  <c r="O89" i="17" s="1"/>
  <c r="O88" i="17" a="1"/>
  <c r="O88" i="17" s="1"/>
  <c r="O87" i="17" a="1"/>
  <c r="O87" i="17" s="1"/>
  <c r="O86" i="17" a="1"/>
  <c r="O86" i="17" s="1"/>
  <c r="O94" i="17" a="1"/>
  <c r="O94" i="17" s="1"/>
  <c r="O85" i="17" a="1"/>
  <c r="O85" i="17" s="1"/>
  <c r="O93" i="17" a="1"/>
  <c r="O93" i="17" s="1"/>
  <c r="O92" i="17" a="1"/>
  <c r="O92" i="17" s="1"/>
  <c r="O91" i="17" a="1"/>
  <c r="O91" i="17" s="1"/>
  <c r="O90" i="17" a="1"/>
  <c r="O90" i="17" s="1"/>
  <c r="C85" i="17" a="1"/>
  <c r="C85" i="17" s="1"/>
  <c r="C93" i="17" a="1"/>
  <c r="C93" i="17" s="1"/>
  <c r="C92" i="17" a="1"/>
  <c r="C92" i="17" s="1"/>
  <c r="C91" i="17" a="1"/>
  <c r="C91" i="17" s="1"/>
  <c r="C90" i="17" a="1"/>
  <c r="C90" i="17" s="1"/>
  <c r="C89" i="17" a="1"/>
  <c r="C89" i="17" s="1"/>
  <c r="C88" i="17" a="1"/>
  <c r="C88" i="17" s="1"/>
  <c r="C87" i="17" a="1"/>
  <c r="C87" i="17" s="1"/>
  <c r="C86" i="17" a="1"/>
  <c r="C86" i="17" s="1"/>
  <c r="C94" i="17" a="1"/>
  <c r="C94" i="17" s="1"/>
  <c r="F88" i="17" a="1"/>
  <c r="F88" i="17" s="1"/>
  <c r="F87" i="17" a="1"/>
  <c r="F87" i="17" s="1"/>
  <c r="F86" i="17" a="1"/>
  <c r="F86" i="17" s="1"/>
  <c r="F94" i="17" a="1"/>
  <c r="F94" i="17" s="1"/>
  <c r="F85" i="17" a="1"/>
  <c r="F85" i="17" s="1"/>
  <c r="F93" i="17" a="1"/>
  <c r="F93" i="17" s="1"/>
  <c r="F92" i="17" a="1"/>
  <c r="F92" i="17" s="1"/>
  <c r="F91" i="17" a="1"/>
  <c r="F91" i="17" s="1"/>
  <c r="F90" i="17" a="1"/>
  <c r="F90" i="17" s="1"/>
  <c r="F89" i="17" a="1"/>
  <c r="F89" i="17" s="1"/>
  <c r="J92" i="17" a="1"/>
  <c r="J92" i="17" s="1"/>
  <c r="E82" i="1" s="1"/>
  <c r="J91" i="17" a="1"/>
  <c r="J91" i="17" s="1"/>
  <c r="E81" i="1" s="1"/>
  <c r="J90" i="17" a="1"/>
  <c r="J90" i="17" s="1"/>
  <c r="E80" i="1" s="1"/>
  <c r="J89" i="17" a="1"/>
  <c r="J89" i="17" s="1"/>
  <c r="E79" i="1" s="1"/>
  <c r="J88" i="17" a="1"/>
  <c r="J88" i="17" s="1"/>
  <c r="E78" i="1" s="1"/>
  <c r="J87" i="17" a="1"/>
  <c r="J87" i="17" s="1"/>
  <c r="E77" i="1" s="1"/>
  <c r="J86" i="17" a="1"/>
  <c r="J86" i="17" s="1"/>
  <c r="E76" i="1" s="1"/>
  <c r="J94" i="17" a="1"/>
  <c r="J94" i="17" s="1"/>
  <c r="E84" i="1" s="1"/>
  <c r="J85" i="17" a="1"/>
  <c r="J85" i="17" s="1"/>
  <c r="E75" i="1" s="1"/>
  <c r="J93" i="17" a="1"/>
  <c r="J93" i="17" s="1"/>
  <c r="E83" i="1" s="1"/>
  <c r="M87" i="17" a="1"/>
  <c r="M87" i="17" s="1"/>
  <c r="M86" i="17" a="1"/>
  <c r="M86" i="17" s="1"/>
  <c r="M94" i="17" a="1"/>
  <c r="M94" i="17" s="1"/>
  <c r="M85" i="17" a="1"/>
  <c r="M85" i="17" s="1"/>
  <c r="M93" i="17" a="1"/>
  <c r="M93" i="17" s="1"/>
  <c r="M92" i="17" a="1"/>
  <c r="M92" i="17" s="1"/>
  <c r="M91" i="17" a="1"/>
  <c r="M91" i="17" s="1"/>
  <c r="M90" i="17" a="1"/>
  <c r="M90" i="17" s="1"/>
  <c r="M89" i="17" a="1"/>
  <c r="M89" i="17" s="1"/>
  <c r="M88" i="17" a="1"/>
  <c r="M88" i="17" s="1"/>
  <c r="J72" i="1"/>
  <c r="H90" i="17" a="1"/>
  <c r="H90" i="17" s="1"/>
  <c r="C80" i="1" s="1"/>
  <c r="H89" i="17" a="1"/>
  <c r="H89" i="17" s="1"/>
  <c r="C79" i="1" s="1"/>
  <c r="H88" i="17" a="1"/>
  <c r="H88" i="17" s="1"/>
  <c r="C78" i="1" s="1"/>
  <c r="H87" i="17" a="1"/>
  <c r="H87" i="17" s="1"/>
  <c r="C77" i="1" s="1"/>
  <c r="H86" i="17" a="1"/>
  <c r="H86" i="17" s="1"/>
  <c r="C76" i="1" s="1"/>
  <c r="H94" i="17" a="1"/>
  <c r="H94" i="17" s="1"/>
  <c r="C84" i="1" s="1"/>
  <c r="H85" i="17" a="1"/>
  <c r="H85" i="17" s="1"/>
  <c r="C75" i="1" s="1"/>
  <c r="H93" i="17" a="1"/>
  <c r="H93" i="17" s="1"/>
  <c r="C83" i="1" s="1"/>
  <c r="H92" i="17" a="1"/>
  <c r="H92" i="17" s="1"/>
  <c r="C82" i="1" s="1"/>
  <c r="H91" i="17" a="1"/>
  <c r="H91" i="17" s="1"/>
  <c r="C81" i="1" s="1"/>
  <c r="E87" i="17" a="1"/>
  <c r="E87" i="17" s="1"/>
  <c r="D77" i="1" s="1"/>
  <c r="E86" i="17" a="1"/>
  <c r="E86" i="17" s="1"/>
  <c r="D76" i="1" s="1"/>
  <c r="E94" i="17" a="1"/>
  <c r="E94" i="17" s="1"/>
  <c r="D84" i="1" s="1"/>
  <c r="E85" i="17" a="1"/>
  <c r="E85" i="17" s="1"/>
  <c r="D75" i="1" s="1"/>
  <c r="E93" i="17" a="1"/>
  <c r="E93" i="17" s="1"/>
  <c r="D83" i="1" s="1"/>
  <c r="E92" i="17" a="1"/>
  <c r="E92" i="17" s="1"/>
  <c r="D82" i="1" s="1"/>
  <c r="E91" i="17" a="1"/>
  <c r="E91" i="17" s="1"/>
  <c r="D81" i="1" s="1"/>
  <c r="E90" i="17" a="1"/>
  <c r="E90" i="17" s="1"/>
  <c r="D80" i="1" s="1"/>
  <c r="E89" i="17" a="1"/>
  <c r="E89" i="17" s="1"/>
  <c r="D79" i="1" s="1"/>
  <c r="E88" i="17" a="1"/>
  <c r="E88" i="17" s="1"/>
  <c r="D78" i="1" s="1"/>
  <c r="P90" i="17" a="1"/>
  <c r="P90" i="17" s="1"/>
  <c r="P89" i="17" a="1"/>
  <c r="P89" i="17" s="1"/>
  <c r="P88" i="17" a="1"/>
  <c r="P88" i="17" s="1"/>
  <c r="P87" i="17" a="1"/>
  <c r="P87" i="17" s="1"/>
  <c r="P86" i="17" a="1"/>
  <c r="P86" i="17" s="1"/>
  <c r="P94" i="17" a="1"/>
  <c r="P94" i="17" s="1"/>
  <c r="P85" i="17" a="1"/>
  <c r="P85" i="17" s="1"/>
  <c r="P93" i="17" a="1"/>
  <c r="P93" i="17" s="1"/>
  <c r="P92" i="17" a="1"/>
  <c r="P92" i="17" s="1"/>
  <c r="P91" i="17" a="1"/>
  <c r="P91" i="17" s="1"/>
  <c r="J70" i="1"/>
  <c r="N88" i="17" a="1"/>
  <c r="N88" i="17" s="1"/>
  <c r="N87" i="17" a="1"/>
  <c r="N87" i="17" s="1"/>
  <c r="N86" i="17" a="1"/>
  <c r="N86" i="17" s="1"/>
  <c r="N94" i="17" a="1"/>
  <c r="N94" i="17" s="1"/>
  <c r="N85" i="17" a="1"/>
  <c r="N85" i="17" s="1"/>
  <c r="N93" i="17" a="1"/>
  <c r="N93" i="17" s="1"/>
  <c r="N92" i="17" a="1"/>
  <c r="N92" i="17" s="1"/>
  <c r="N91" i="17" a="1"/>
  <c r="N91" i="17" s="1"/>
  <c r="N90" i="17" a="1"/>
  <c r="N90" i="17" s="1"/>
  <c r="N89" i="17" a="1"/>
  <c r="N89" i="17" s="1"/>
  <c r="L86" i="17" a="1"/>
  <c r="L86" i="17" s="1"/>
  <c r="L94" i="17" a="1"/>
  <c r="L94" i="17" s="1"/>
  <c r="L85" i="17" a="1"/>
  <c r="L85" i="17" s="1"/>
  <c r="L93" i="17" a="1"/>
  <c r="L93" i="17" s="1"/>
  <c r="L92" i="17" a="1"/>
  <c r="L92" i="17" s="1"/>
  <c r="L91" i="17" a="1"/>
  <c r="L91" i="17" s="1"/>
  <c r="L90" i="17" a="1"/>
  <c r="L90" i="17" s="1"/>
  <c r="L89" i="17" a="1"/>
  <c r="L89" i="17" s="1"/>
  <c r="L88" i="17" a="1"/>
  <c r="L88" i="17" s="1"/>
  <c r="L87" i="17" a="1"/>
  <c r="L87" i="17" s="1"/>
  <c r="G89" i="17" a="1"/>
  <c r="G89" i="17" s="1"/>
  <c r="G88" i="17" a="1"/>
  <c r="G88" i="17" s="1"/>
  <c r="G87" i="17" a="1"/>
  <c r="G87" i="17" s="1"/>
  <c r="G86" i="17" a="1"/>
  <c r="G86" i="17" s="1"/>
  <c r="G94" i="17" a="1"/>
  <c r="G94" i="17" s="1"/>
  <c r="G85" i="17" a="1"/>
  <c r="G85" i="17" s="1"/>
  <c r="G93" i="17" a="1"/>
  <c r="G93" i="17" s="1"/>
  <c r="G92" i="17" a="1"/>
  <c r="G92" i="17" s="1"/>
  <c r="G91" i="17" a="1"/>
  <c r="G91" i="17" s="1"/>
  <c r="G90" i="17" a="1"/>
  <c r="G90" i="17" s="1"/>
  <c r="J66" i="1"/>
  <c r="G98" i="1"/>
  <c r="G99" i="1"/>
  <c r="G100" i="1"/>
  <c r="G97" i="1"/>
  <c r="O82" i="17" a="1"/>
  <c r="O82" i="17" s="1"/>
  <c r="O74" i="17" a="1"/>
  <c r="O74" i="17" s="1"/>
  <c r="O63" i="17" a="1"/>
  <c r="O63" i="17" s="1"/>
  <c r="O57" i="17" a="1"/>
  <c r="O57" i="17" s="1"/>
  <c r="O52" i="17" a="1"/>
  <c r="O52" i="17" s="1"/>
  <c r="O47" i="17" a="1"/>
  <c r="O47" i="17" s="1"/>
  <c r="O83" i="17" a="1"/>
  <c r="O83" i="17" s="1"/>
  <c r="O75" i="17" a="1"/>
  <c r="O75" i="17" s="1"/>
  <c r="O62" i="17" a="1"/>
  <c r="O62" i="17" s="1"/>
  <c r="O60" i="17" a="1"/>
  <c r="O60" i="17" s="1"/>
  <c r="O54" i="17" a="1"/>
  <c r="O54" i="17" s="1"/>
  <c r="O84" i="17" a="1"/>
  <c r="O84" i="17" s="1"/>
  <c r="O76" i="17" a="1"/>
  <c r="O76" i="17" s="1"/>
  <c r="O49" i="17" a="1"/>
  <c r="O49" i="17" s="1"/>
  <c r="O44" i="17" a="1"/>
  <c r="O44" i="17" s="1"/>
  <c r="O77" i="17" a="1"/>
  <c r="O77" i="17" s="1"/>
  <c r="O56" i="17" a="1"/>
  <c r="O56" i="17" s="1"/>
  <c r="O51" i="17" a="1"/>
  <c r="O51" i="17" s="1"/>
  <c r="O46" i="17" a="1"/>
  <c r="O46" i="17" s="1"/>
  <c r="O78" i="17" a="1"/>
  <c r="O78" i="17" s="1"/>
  <c r="O70" i="17" a="1"/>
  <c r="O70" i="17" s="1"/>
  <c r="O59" i="17" a="1"/>
  <c r="O59" i="17" s="1"/>
  <c r="O53" i="17" a="1"/>
  <c r="O53" i="17" s="1"/>
  <c r="O48" i="17" a="1"/>
  <c r="O48" i="17" s="1"/>
  <c r="O79" i="17" a="1"/>
  <c r="O79" i="17" s="1"/>
  <c r="O71" i="17" a="1"/>
  <c r="O71" i="17" s="1"/>
  <c r="O69" i="17" a="1"/>
  <c r="O69" i="17" s="1"/>
  <c r="O68" i="17" a="1"/>
  <c r="O68" i="17" s="1"/>
  <c r="O61" i="17" a="1"/>
  <c r="O61" i="17" s="1"/>
  <c r="O58" i="17" a="1"/>
  <c r="O58" i="17" s="1"/>
  <c r="O43" i="17" a="1"/>
  <c r="O43" i="17" s="1"/>
  <c r="O80" i="17" a="1"/>
  <c r="O80" i="17" s="1"/>
  <c r="O72" i="17" a="1"/>
  <c r="O72" i="17" s="1"/>
  <c r="O67" i="17" a="1"/>
  <c r="O67" i="17" s="1"/>
  <c r="O66" i="17" a="1"/>
  <c r="O66" i="17" s="1"/>
  <c r="O55" i="17" a="1"/>
  <c r="O55" i="17" s="1"/>
  <c r="O50" i="17" a="1"/>
  <c r="O50" i="17" s="1"/>
  <c r="O42" i="17" a="1"/>
  <c r="O42" i="17" s="1"/>
  <c r="O31" i="17" a="1"/>
  <c r="O31" i="17" s="1"/>
  <c r="O30" i="17" a="1"/>
  <c r="O30" i="17" s="1"/>
  <c r="O64" i="17" a="1"/>
  <c r="O64" i="17" s="1"/>
  <c r="O41" i="17" a="1"/>
  <c r="O41" i="17" s="1"/>
  <c r="O29" i="17" a="1"/>
  <c r="O29" i="17" s="1"/>
  <c r="O28" i="17" a="1"/>
  <c r="O28" i="17" s="1"/>
  <c r="O22" i="17" a="1"/>
  <c r="O22" i="17" s="1"/>
  <c r="O27" i="17" a="1"/>
  <c r="O27" i="17" s="1"/>
  <c r="O26" i="17" a="1"/>
  <c r="O26" i="17" s="1"/>
  <c r="O20" i="17" a="1"/>
  <c r="O20" i="17" s="1"/>
  <c r="O13" i="17" a="1"/>
  <c r="O13" i="17" s="1"/>
  <c r="O40" i="17" a="1"/>
  <c r="O40" i="17" s="1"/>
  <c r="O25" i="17" a="1"/>
  <c r="O25" i="17" s="1"/>
  <c r="O45" i="17" a="1"/>
  <c r="O45" i="17" s="1"/>
  <c r="O73" i="17" a="1"/>
  <c r="O73" i="17" s="1"/>
  <c r="O39" i="17" a="1"/>
  <c r="O39" i="17" s="1"/>
  <c r="O65" i="17" a="1"/>
  <c r="O65" i="17" s="1"/>
  <c r="O38" i="17" a="1"/>
  <c r="O38" i="17" s="1"/>
  <c r="O36" i="17" a="1"/>
  <c r="O36" i="17" s="1"/>
  <c r="O33" i="17" a="1"/>
  <c r="O33" i="17" s="1"/>
  <c r="O24" i="17" a="1"/>
  <c r="O24" i="17" s="1"/>
  <c r="O18" i="17" a="1"/>
  <c r="O18" i="17" s="1"/>
  <c r="O15" i="17" a="1"/>
  <c r="O15" i="17" s="1"/>
  <c r="O14" i="17" a="1"/>
  <c r="O14" i="17" s="1"/>
  <c r="O9" i="17" a="1"/>
  <c r="O9" i="17" s="1"/>
  <c r="O19" i="17" a="1"/>
  <c r="O19" i="17" s="1"/>
  <c r="O17" i="17" a="1"/>
  <c r="O17" i="17" s="1"/>
  <c r="O81" i="17" a="1"/>
  <c r="O81" i="17" s="1"/>
  <c r="O16" i="17" a="1"/>
  <c r="O16" i="17" s="1"/>
  <c r="O37" i="17" a="1"/>
  <c r="O37" i="17" s="1"/>
  <c r="O34" i="17" a="1"/>
  <c r="O34" i="17" s="1"/>
  <c r="O21" i="17" a="1"/>
  <c r="O21" i="17" s="1"/>
  <c r="O6" i="17" a="1"/>
  <c r="O6" i="17" s="1"/>
  <c r="O23" i="17" a="1"/>
  <c r="O23" i="17" s="1"/>
  <c r="O35" i="17" a="1"/>
  <c r="O35" i="17" s="1"/>
  <c r="O12" i="17" a="1"/>
  <c r="O12" i="17" s="1"/>
  <c r="O11" i="17" a="1"/>
  <c r="O11" i="17" s="1"/>
  <c r="O10" i="17" a="1"/>
  <c r="O10" i="17" s="1"/>
  <c r="O8" i="17" a="1"/>
  <c r="O8" i="17" s="1"/>
  <c r="O32" i="17" a="1"/>
  <c r="O32" i="17" s="1"/>
  <c r="O7" i="17" a="1"/>
  <c r="O7" i="17" s="1"/>
  <c r="C78" i="17" a="1"/>
  <c r="C78" i="17" s="1"/>
  <c r="C62" i="17" a="1"/>
  <c r="C62" i="17" s="1"/>
  <c r="C60" i="17" a="1"/>
  <c r="C60" i="17" s="1"/>
  <c r="C47" i="17" a="1"/>
  <c r="C47" i="17" s="1"/>
  <c r="C79" i="17" a="1"/>
  <c r="C79" i="17" s="1"/>
  <c r="C71" i="17" a="1"/>
  <c r="C71" i="17" s="1"/>
  <c r="C59" i="17" a="1"/>
  <c r="C59" i="17" s="1"/>
  <c r="C54" i="17" a="1"/>
  <c r="C54" i="17" s="1"/>
  <c r="C49" i="17" a="1"/>
  <c r="C49" i="17" s="1"/>
  <c r="C80" i="17" a="1"/>
  <c r="C80" i="17" s="1"/>
  <c r="C72" i="17" a="1"/>
  <c r="C72" i="17" s="1"/>
  <c r="C70" i="17" a="1"/>
  <c r="C70" i="17" s="1"/>
  <c r="C69" i="17" a="1"/>
  <c r="C69" i="17" s="1"/>
  <c r="C68" i="17" a="1"/>
  <c r="C68" i="17" s="1"/>
  <c r="C56" i="17" a="1"/>
  <c r="C56" i="17" s="1"/>
  <c r="C51" i="17" a="1"/>
  <c r="C51" i="17" s="1"/>
  <c r="C81" i="17" a="1"/>
  <c r="C81" i="17" s="1"/>
  <c r="C73" i="17" a="1"/>
  <c r="C73" i="17" s="1"/>
  <c r="C67" i="17" a="1"/>
  <c r="C67" i="17" s="1"/>
  <c r="C66" i="17" a="1"/>
  <c r="C66" i="17" s="1"/>
  <c r="C46" i="17" a="1"/>
  <c r="C46" i="17" s="1"/>
  <c r="C82" i="17" a="1"/>
  <c r="C82" i="17" s="1"/>
  <c r="C74" i="17" a="1"/>
  <c r="C74" i="17" s="1"/>
  <c r="C65" i="17" a="1"/>
  <c r="C65" i="17" s="1"/>
  <c r="C64" i="17" a="1"/>
  <c r="C64" i="17" s="1"/>
  <c r="C58" i="17" a="1"/>
  <c r="C58" i="17" s="1"/>
  <c r="C53" i="17" a="1"/>
  <c r="C53" i="17" s="1"/>
  <c r="C48" i="17" a="1"/>
  <c r="C48" i="17" s="1"/>
  <c r="C83" i="17" a="1"/>
  <c r="C83" i="17" s="1"/>
  <c r="C75" i="17" a="1"/>
  <c r="C75" i="17" s="1"/>
  <c r="C55" i="17" a="1"/>
  <c r="C55" i="17" s="1"/>
  <c r="C84" i="17" a="1"/>
  <c r="C84" i="17" s="1"/>
  <c r="C76" i="17" a="1"/>
  <c r="C76" i="17" s="1"/>
  <c r="C63" i="17" a="1"/>
  <c r="C63" i="17" s="1"/>
  <c r="C61" i="17" a="1"/>
  <c r="C61" i="17" s="1"/>
  <c r="C50" i="17" a="1"/>
  <c r="C50" i="17" s="1"/>
  <c r="C26" i="17" a="1"/>
  <c r="C26" i="17" s="1"/>
  <c r="C24" i="17" a="1"/>
  <c r="C24" i="17" s="1"/>
  <c r="C17" i="17" a="1"/>
  <c r="C17" i="17" s="1"/>
  <c r="C57" i="17" a="1"/>
  <c r="C57" i="17" s="1"/>
  <c r="C52" i="17" a="1"/>
  <c r="C52" i="17" s="1"/>
  <c r="C22" i="17" a="1"/>
  <c r="C22" i="17" s="1"/>
  <c r="C44" i="17" a="1"/>
  <c r="C44" i="17" s="1"/>
  <c r="C40" i="17" a="1"/>
  <c r="C40" i="17" s="1"/>
  <c r="C39" i="17" a="1"/>
  <c r="C39" i="17" s="1"/>
  <c r="C37" i="17" a="1"/>
  <c r="C37" i="17" s="1"/>
  <c r="C20" i="17" a="1"/>
  <c r="C20" i="17" s="1"/>
  <c r="C15" i="17" a="1"/>
  <c r="C15" i="17" s="1"/>
  <c r="C13" i="17" a="1"/>
  <c r="C13" i="17" s="1"/>
  <c r="C38" i="17" a="1"/>
  <c r="C38" i="17" s="1"/>
  <c r="C36" i="17" a="1"/>
  <c r="C36" i="17" s="1"/>
  <c r="C35" i="17" a="1"/>
  <c r="C35" i="17" s="1"/>
  <c r="C25" i="17" a="1"/>
  <c r="C25" i="17" s="1"/>
  <c r="C77" i="17" a="1"/>
  <c r="C77" i="17" s="1"/>
  <c r="C43" i="17" a="1"/>
  <c r="C43" i="17" s="1"/>
  <c r="C34" i="17" a="1"/>
  <c r="C34" i="17" s="1"/>
  <c r="C33" i="17" a="1"/>
  <c r="C33" i="17" s="1"/>
  <c r="C42" i="17" a="1"/>
  <c r="C42" i="17" s="1"/>
  <c r="C32" i="17" a="1"/>
  <c r="C32" i="17" s="1"/>
  <c r="C31" i="17" a="1"/>
  <c r="C31" i="17" s="1"/>
  <c r="C6" i="17" a="1"/>
  <c r="C6" i="17" s="1"/>
  <c r="C30" i="17" a="1"/>
  <c r="C30" i="17" s="1"/>
  <c r="C7" i="17" a="1"/>
  <c r="C7" i="17" s="1"/>
  <c r="C28" i="17" a="1"/>
  <c r="C28" i="17" s="1"/>
  <c r="C8" i="17" a="1"/>
  <c r="C8" i="17" s="1"/>
  <c r="C12" i="17" a="1"/>
  <c r="C12" i="17" s="1"/>
  <c r="C45" i="17" a="1"/>
  <c r="C45" i="17" s="1"/>
  <c r="C11" i="17" a="1"/>
  <c r="C11" i="17" s="1"/>
  <c r="C23" i="17" a="1"/>
  <c r="C23" i="17" s="1"/>
  <c r="C29" i="17" a="1"/>
  <c r="C29" i="17" s="1"/>
  <c r="C41" i="17" a="1"/>
  <c r="C41" i="17" s="1"/>
  <c r="C27" i="17" a="1"/>
  <c r="C27" i="17" s="1"/>
  <c r="C18" i="17" a="1"/>
  <c r="C18" i="17" s="1"/>
  <c r="C16" i="17" a="1"/>
  <c r="C16" i="17" s="1"/>
  <c r="C19" i="17" a="1"/>
  <c r="C19" i="17" s="1"/>
  <c r="C10" i="17" a="1"/>
  <c r="C10" i="17" s="1"/>
  <c r="C21" i="17" a="1"/>
  <c r="C21" i="17" s="1"/>
  <c r="C9" i="17" a="1"/>
  <c r="C9" i="17" s="1"/>
  <c r="C14" i="17" a="1"/>
  <c r="C14" i="17" s="1"/>
  <c r="N81" i="17" a="1"/>
  <c r="N81" i="17" s="1"/>
  <c r="N73" i="17" a="1"/>
  <c r="N73" i="17" s="1"/>
  <c r="N65" i="17" a="1"/>
  <c r="N65" i="17" s="1"/>
  <c r="N64" i="17" a="1"/>
  <c r="N64" i="17" s="1"/>
  <c r="N55" i="17" a="1"/>
  <c r="N55" i="17" s="1"/>
  <c r="N45" i="17" a="1"/>
  <c r="N45" i="17" s="1"/>
  <c r="N82" i="17" a="1"/>
  <c r="N82" i="17" s="1"/>
  <c r="N74" i="17" a="1"/>
  <c r="N74" i="17" s="1"/>
  <c r="N63" i="17" a="1"/>
  <c r="N63" i="17" s="1"/>
  <c r="N52" i="17" a="1"/>
  <c r="N52" i="17" s="1"/>
  <c r="N47" i="17" a="1"/>
  <c r="N47" i="17" s="1"/>
  <c r="N83" i="17" a="1"/>
  <c r="N83" i="17" s="1"/>
  <c r="N75" i="17" a="1"/>
  <c r="N75" i="17" s="1"/>
  <c r="N62" i="17" a="1"/>
  <c r="N62" i="17" s="1"/>
  <c r="N57" i="17" a="1"/>
  <c r="N57" i="17" s="1"/>
  <c r="N54" i="17" a="1"/>
  <c r="N54" i="17" s="1"/>
  <c r="N84" i="17" a="1"/>
  <c r="N84" i="17" s="1"/>
  <c r="N76" i="17" a="1"/>
  <c r="N76" i="17" s="1"/>
  <c r="N60" i="17" a="1"/>
  <c r="N60" i="17" s="1"/>
  <c r="N49" i="17" a="1"/>
  <c r="N49" i="17" s="1"/>
  <c r="N77" i="17" a="1"/>
  <c r="N77" i="17" s="1"/>
  <c r="N56" i="17" a="1"/>
  <c r="N56" i="17" s="1"/>
  <c r="N51" i="17" a="1"/>
  <c r="N51" i="17" s="1"/>
  <c r="N46" i="17" a="1"/>
  <c r="N46" i="17" s="1"/>
  <c r="N78" i="17" a="1"/>
  <c r="N78" i="17" s="1"/>
  <c r="N70" i="17" a="1"/>
  <c r="N70" i="17" s="1"/>
  <c r="N59" i="17" a="1"/>
  <c r="N59" i="17" s="1"/>
  <c r="N79" i="17" a="1"/>
  <c r="N79" i="17" s="1"/>
  <c r="N71" i="17" a="1"/>
  <c r="N71" i="17" s="1"/>
  <c r="N69" i="17" a="1"/>
  <c r="N69" i="17" s="1"/>
  <c r="N68" i="17" a="1"/>
  <c r="N68" i="17" s="1"/>
  <c r="N61" i="17" a="1"/>
  <c r="N61" i="17" s="1"/>
  <c r="N58" i="17" a="1"/>
  <c r="N58" i="17" s="1"/>
  <c r="N53" i="17" a="1"/>
  <c r="N53" i="17" s="1"/>
  <c r="N48" i="17" a="1"/>
  <c r="N48" i="17" s="1"/>
  <c r="N72" i="17" a="1"/>
  <c r="N72" i="17" s="1"/>
  <c r="N67" i="17" a="1"/>
  <c r="N67" i="17" s="1"/>
  <c r="N35" i="17" a="1"/>
  <c r="N35" i="17" s="1"/>
  <c r="N34" i="17" a="1"/>
  <c r="N34" i="17" s="1"/>
  <c r="N32" i="17" a="1"/>
  <c r="N32" i="17" s="1"/>
  <c r="N21" i="17" a="1"/>
  <c r="N21" i="17" s="1"/>
  <c r="N19" i="17" a="1"/>
  <c r="N19" i="17" s="1"/>
  <c r="N12" i="17" a="1"/>
  <c r="N12" i="17" s="1"/>
  <c r="N10" i="17" a="1"/>
  <c r="N10" i="17" s="1"/>
  <c r="N42" i="17" a="1"/>
  <c r="N42" i="17" s="1"/>
  <c r="N33" i="17" a="1"/>
  <c r="N33" i="17" s="1"/>
  <c r="N31" i="17" a="1"/>
  <c r="N31" i="17" s="1"/>
  <c r="N30" i="17" a="1"/>
  <c r="N30" i="17" s="1"/>
  <c r="N24" i="17" a="1"/>
  <c r="N24" i="17" s="1"/>
  <c r="N80" i="17" a="1"/>
  <c r="N80" i="17" s="1"/>
  <c r="N44" i="17" a="1"/>
  <c r="N44" i="17" s="1"/>
  <c r="N41" i="17" a="1"/>
  <c r="N41" i="17" s="1"/>
  <c r="N29" i="17" a="1"/>
  <c r="N29" i="17" s="1"/>
  <c r="N28" i="17" a="1"/>
  <c r="N28" i="17" s="1"/>
  <c r="N22" i="17" a="1"/>
  <c r="N22" i="17" s="1"/>
  <c r="N15" i="17" a="1"/>
  <c r="N15" i="17" s="1"/>
  <c r="N66" i="17" a="1"/>
  <c r="N66" i="17" s="1"/>
  <c r="N27" i="17" a="1"/>
  <c r="N27" i="17" s="1"/>
  <c r="N26" i="17" a="1"/>
  <c r="N26" i="17" s="1"/>
  <c r="N40" i="17" a="1"/>
  <c r="N40" i="17" s="1"/>
  <c r="N50" i="17" a="1"/>
  <c r="N50" i="17" s="1"/>
  <c r="N43" i="17" a="1"/>
  <c r="N43" i="17" s="1"/>
  <c r="N39" i="17" a="1"/>
  <c r="N39" i="17" s="1"/>
  <c r="N38" i="17" a="1"/>
  <c r="N38" i="17" s="1"/>
  <c r="N25" i="17" a="1"/>
  <c r="N25" i="17" s="1"/>
  <c r="N13" i="17" a="1"/>
  <c r="N13" i="17" s="1"/>
  <c r="N8" i="17" a="1"/>
  <c r="N8" i="17" s="1"/>
  <c r="N18" i="17" a="1"/>
  <c r="N18" i="17" s="1"/>
  <c r="N17" i="17" a="1"/>
  <c r="N17" i="17" s="1"/>
  <c r="N36" i="17" a="1"/>
  <c r="N36" i="17" s="1"/>
  <c r="N11" i="17" a="1"/>
  <c r="N11" i="17" s="1"/>
  <c r="N16" i="17" a="1"/>
  <c r="N16" i="17" s="1"/>
  <c r="N9" i="17" a="1"/>
  <c r="N9" i="17" s="1"/>
  <c r="N37" i="17" a="1"/>
  <c r="N37" i="17" s="1"/>
  <c r="N20" i="17" a="1"/>
  <c r="N20" i="17" s="1"/>
  <c r="N14" i="17" a="1"/>
  <c r="N14" i="17" s="1"/>
  <c r="N23" i="17" a="1"/>
  <c r="N23" i="17" s="1"/>
  <c r="N6" i="17" a="1"/>
  <c r="N6" i="17" s="1"/>
  <c r="N7" i="17" a="1"/>
  <c r="N7" i="17" s="1"/>
  <c r="M80" i="17" a="1"/>
  <c r="M80" i="17" s="1"/>
  <c r="M72" i="17" a="1"/>
  <c r="M72" i="17" s="1"/>
  <c r="M67" i="17" a="1"/>
  <c r="M67" i="17" s="1"/>
  <c r="M66" i="17" a="1"/>
  <c r="M66" i="17" s="1"/>
  <c r="M81" i="17" a="1"/>
  <c r="M81" i="17" s="1"/>
  <c r="M73" i="17" a="1"/>
  <c r="M73" i="17" s="1"/>
  <c r="M65" i="17" a="1"/>
  <c r="M65" i="17" s="1"/>
  <c r="M64" i="17" a="1"/>
  <c r="M64" i="17" s="1"/>
  <c r="M55" i="17" a="1"/>
  <c r="M55" i="17" s="1"/>
  <c r="M50" i="17" a="1"/>
  <c r="M50" i="17" s="1"/>
  <c r="M45" i="17" a="1"/>
  <c r="M45" i="17" s="1"/>
  <c r="M82" i="17" a="1"/>
  <c r="M82" i="17" s="1"/>
  <c r="M74" i="17" a="1"/>
  <c r="M74" i="17" s="1"/>
  <c r="M52" i="17" a="1"/>
  <c r="M52" i="17" s="1"/>
  <c r="M83" i="17" a="1"/>
  <c r="M83" i="17" s="1"/>
  <c r="M75" i="17" a="1"/>
  <c r="M75" i="17" s="1"/>
  <c r="M63" i="17" a="1"/>
  <c r="M63" i="17" s="1"/>
  <c r="M62" i="17" a="1"/>
  <c r="M62" i="17" s="1"/>
  <c r="M57" i="17" a="1"/>
  <c r="M57" i="17" s="1"/>
  <c r="M47" i="17" a="1"/>
  <c r="M47" i="17" s="1"/>
  <c r="M84" i="17" a="1"/>
  <c r="M84" i="17" s="1"/>
  <c r="M76" i="17" a="1"/>
  <c r="M76" i="17" s="1"/>
  <c r="M60" i="17" a="1"/>
  <c r="M60" i="17" s="1"/>
  <c r="M54" i="17" a="1"/>
  <c r="M54" i="17" s="1"/>
  <c r="M49" i="17" a="1"/>
  <c r="M49" i="17" s="1"/>
  <c r="M44" i="17" a="1"/>
  <c r="M44" i="17" s="1"/>
  <c r="M77" i="17" a="1"/>
  <c r="M77" i="17" s="1"/>
  <c r="M51" i="17" a="1"/>
  <c r="M51" i="17" s="1"/>
  <c r="M46" i="17" a="1"/>
  <c r="M46" i="17" s="1"/>
  <c r="M78" i="17" a="1"/>
  <c r="M78" i="17" s="1"/>
  <c r="M70" i="17" a="1"/>
  <c r="M70" i="17" s="1"/>
  <c r="M59" i="17" a="1"/>
  <c r="M59" i="17" s="1"/>
  <c r="M56" i="17" a="1"/>
  <c r="M56" i="17" s="1"/>
  <c r="M43" i="17" a="1"/>
  <c r="M43" i="17" s="1"/>
  <c r="M38" i="17" a="1"/>
  <c r="M38" i="17" s="1"/>
  <c r="M37" i="17" a="1"/>
  <c r="M37" i="17" s="1"/>
  <c r="M14" i="17" a="1"/>
  <c r="M14" i="17" s="1"/>
  <c r="M9" i="17" a="1"/>
  <c r="M9" i="17" s="1"/>
  <c r="M69" i="17" a="1"/>
  <c r="M69" i="17" s="1"/>
  <c r="M36" i="17" a="1"/>
  <c r="M36" i="17" s="1"/>
  <c r="M35" i="17" a="1"/>
  <c r="M35" i="17" s="1"/>
  <c r="M34" i="17" a="1"/>
  <c r="M34" i="17" s="1"/>
  <c r="M21" i="17" a="1"/>
  <c r="M21" i="17" s="1"/>
  <c r="M42" i="17" a="1"/>
  <c r="M42" i="17" s="1"/>
  <c r="M33" i="17" a="1"/>
  <c r="M33" i="17" s="1"/>
  <c r="M32" i="17" a="1"/>
  <c r="M32" i="17" s="1"/>
  <c r="M31" i="17" a="1"/>
  <c r="M31" i="17" s="1"/>
  <c r="M30" i="17" a="1"/>
  <c r="M30" i="17" s="1"/>
  <c r="M24" i="17" a="1"/>
  <c r="M24" i="17" s="1"/>
  <c r="M19" i="17" a="1"/>
  <c r="M19" i="17" s="1"/>
  <c r="M17" i="17" a="1"/>
  <c r="M17" i="17" s="1"/>
  <c r="M71" i="17" a="1"/>
  <c r="M71" i="17" s="1"/>
  <c r="M61" i="17" a="1"/>
  <c r="M61" i="17" s="1"/>
  <c r="M41" i="17" a="1"/>
  <c r="M41" i="17" s="1"/>
  <c r="M29" i="17" a="1"/>
  <c r="M29" i="17" s="1"/>
  <c r="M28" i="17" a="1"/>
  <c r="M28" i="17" s="1"/>
  <c r="M22" i="17" a="1"/>
  <c r="M22" i="17" s="1"/>
  <c r="M68" i="17" a="1"/>
  <c r="M68" i="17" s="1"/>
  <c r="M58" i="17" a="1"/>
  <c r="M58" i="17" s="1"/>
  <c r="M53" i="17" a="1"/>
  <c r="M53" i="17" s="1"/>
  <c r="M48" i="17" a="1"/>
  <c r="M48" i="17" s="1"/>
  <c r="M27" i="17" a="1"/>
  <c r="M27" i="17" s="1"/>
  <c r="M79" i="17" a="1"/>
  <c r="M79" i="17" s="1"/>
  <c r="M25" i="17" a="1"/>
  <c r="M25" i="17" s="1"/>
  <c r="M40" i="17" a="1"/>
  <c r="M40" i="17" s="1"/>
  <c r="M26" i="17" a="1"/>
  <c r="M26" i="17" s="1"/>
  <c r="M10" i="17" a="1"/>
  <c r="M10" i="17" s="1"/>
  <c r="M20" i="17" a="1"/>
  <c r="M20" i="17" s="1"/>
  <c r="M13" i="17" a="1"/>
  <c r="M13" i="17" s="1"/>
  <c r="M12" i="17" a="1"/>
  <c r="M12" i="17" s="1"/>
  <c r="M11" i="17" a="1"/>
  <c r="M11" i="17" s="1"/>
  <c r="M8" i="17" a="1"/>
  <c r="M8" i="17" s="1"/>
  <c r="M15" i="17" a="1"/>
  <c r="M15" i="17" s="1"/>
  <c r="M39" i="17" a="1"/>
  <c r="M39" i="17" s="1"/>
  <c r="M18" i="17" a="1"/>
  <c r="M18" i="17" s="1"/>
  <c r="M16" i="17" a="1"/>
  <c r="M16" i="17" s="1"/>
  <c r="M23" i="17" a="1"/>
  <c r="M23" i="17" s="1"/>
  <c r="M7" i="17" a="1"/>
  <c r="M7" i="17" s="1"/>
  <c r="M6" i="17" a="1"/>
  <c r="M6" i="17" s="1"/>
  <c r="E80" i="17" a="1"/>
  <c r="E80" i="17" s="1"/>
  <c r="D70" i="1" s="1"/>
  <c r="E72" i="17" a="1"/>
  <c r="E72" i="17" s="1"/>
  <c r="D62" i="1" s="1"/>
  <c r="E69" i="17" a="1"/>
  <c r="E69" i="17" s="1"/>
  <c r="D59" i="1" s="1"/>
  <c r="E68" i="17" a="1"/>
  <c r="E68" i="17" s="1"/>
  <c r="D58" i="1" s="1"/>
  <c r="E56" i="17" a="1"/>
  <c r="E56" i="17" s="1"/>
  <c r="D46" i="1" s="1"/>
  <c r="E51" i="17" a="1"/>
  <c r="E51" i="17" s="1"/>
  <c r="D41" i="1" s="1"/>
  <c r="E46" i="17" a="1"/>
  <c r="E46" i="17" s="1"/>
  <c r="D36" i="1" s="1"/>
  <c r="E81" i="17" a="1"/>
  <c r="E81" i="17" s="1"/>
  <c r="D71" i="1" s="1"/>
  <c r="E73" i="17" a="1"/>
  <c r="E73" i="17" s="1"/>
  <c r="D63" i="1" s="1"/>
  <c r="E67" i="17" a="1"/>
  <c r="E67" i="17" s="1"/>
  <c r="D57" i="1" s="1"/>
  <c r="E66" i="17" a="1"/>
  <c r="E66" i="17" s="1"/>
  <c r="D56" i="1" s="1"/>
  <c r="E58" i="17" a="1"/>
  <c r="E58" i="17" s="1"/>
  <c r="D48" i="1" s="1"/>
  <c r="E53" i="17" a="1"/>
  <c r="E53" i="17" s="1"/>
  <c r="D43" i="1" s="1"/>
  <c r="E82" i="17" a="1"/>
  <c r="E82" i="17" s="1"/>
  <c r="D72" i="1" s="1"/>
  <c r="E74" i="17" a="1"/>
  <c r="E74" i="17" s="1"/>
  <c r="D64" i="1" s="1"/>
  <c r="E65" i="17" a="1"/>
  <c r="E65" i="17" s="1"/>
  <c r="D55" i="1" s="1"/>
  <c r="E64" i="17" a="1"/>
  <c r="E64" i="17" s="1"/>
  <c r="D54" i="1" s="1"/>
  <c r="E48" i="17" a="1"/>
  <c r="E48" i="17" s="1"/>
  <c r="D38" i="1" s="1"/>
  <c r="E83" i="17" a="1"/>
  <c r="E83" i="17" s="1"/>
  <c r="D73" i="1" s="1"/>
  <c r="E75" i="17" a="1"/>
  <c r="E75" i="17" s="1"/>
  <c r="D65" i="1" s="1"/>
  <c r="E61" i="17" a="1"/>
  <c r="E61" i="17" s="1"/>
  <c r="D51" i="1" s="1"/>
  <c r="E55" i="17" a="1"/>
  <c r="E55" i="17" s="1"/>
  <c r="D45" i="1" s="1"/>
  <c r="E50" i="17" a="1"/>
  <c r="E50" i="17" s="1"/>
  <c r="D40" i="1" s="1"/>
  <c r="E45" i="17" a="1"/>
  <c r="E45" i="17" s="1"/>
  <c r="D35" i="1" s="1"/>
  <c r="E84" i="17" a="1"/>
  <c r="E84" i="17" s="1"/>
  <c r="D74" i="1" s="1"/>
  <c r="E76" i="17" a="1"/>
  <c r="E76" i="17" s="1"/>
  <c r="D66" i="1" s="1"/>
  <c r="E63" i="17" a="1"/>
  <c r="E63" i="17" s="1"/>
  <c r="D53" i="1" s="1"/>
  <c r="E62" i="17" a="1"/>
  <c r="E62" i="17" s="1"/>
  <c r="D52" i="1" s="1"/>
  <c r="E57" i="17" a="1"/>
  <c r="E57" i="17" s="1"/>
  <c r="D47" i="1" s="1"/>
  <c r="E77" i="17" a="1"/>
  <c r="E77" i="17" s="1"/>
  <c r="D67" i="1" s="1"/>
  <c r="E52" i="17" a="1"/>
  <c r="E52" i="17" s="1"/>
  <c r="D42" i="1" s="1"/>
  <c r="E47" i="17" a="1"/>
  <c r="E47" i="17" s="1"/>
  <c r="D37" i="1" s="1"/>
  <c r="E78" i="17" a="1"/>
  <c r="E78" i="17" s="1"/>
  <c r="D68" i="1" s="1"/>
  <c r="E60" i="17" a="1"/>
  <c r="E60" i="17" s="1"/>
  <c r="D50" i="1" s="1"/>
  <c r="E54" i="17" a="1"/>
  <c r="E54" i="17" s="1"/>
  <c r="D44" i="1" s="1"/>
  <c r="E44" i="17" a="1"/>
  <c r="E44" i="17" s="1"/>
  <c r="D34" i="1" s="1"/>
  <c r="E40" i="17" a="1"/>
  <c r="E40" i="17" s="1"/>
  <c r="D30" i="1" s="1"/>
  <c r="E38" i="17" a="1"/>
  <c r="E38" i="17" s="1"/>
  <c r="D28" i="1" s="1"/>
  <c r="E37" i="17" a="1"/>
  <c r="E37" i="17" s="1"/>
  <c r="D27" i="1" s="1"/>
  <c r="E25" i="17" a="1"/>
  <c r="E25" i="17" s="1"/>
  <c r="D15" i="1" s="1"/>
  <c r="E20" i="17" a="1"/>
  <c r="E20" i="17" s="1"/>
  <c r="D10" i="1" s="1"/>
  <c r="E13" i="17" a="1"/>
  <c r="E13" i="17" s="1"/>
  <c r="E9" i="17" a="1"/>
  <c r="E9" i="17" s="1"/>
  <c r="E43" i="17" a="1"/>
  <c r="E43" i="17" s="1"/>
  <c r="D33" i="1" s="1"/>
  <c r="E36" i="17" a="1"/>
  <c r="E36" i="17" s="1"/>
  <c r="D26" i="1" s="1"/>
  <c r="E35" i="17" a="1"/>
  <c r="E35" i="17" s="1"/>
  <c r="D25" i="1" s="1"/>
  <c r="E59" i="17" a="1"/>
  <c r="E59" i="17" s="1"/>
  <c r="D49" i="1" s="1"/>
  <c r="E49" i="17" a="1"/>
  <c r="E49" i="17" s="1"/>
  <c r="D39" i="1" s="1"/>
  <c r="E34" i="17" a="1"/>
  <c r="E34" i="17" s="1"/>
  <c r="D24" i="1" s="1"/>
  <c r="E33" i="17" a="1"/>
  <c r="E33" i="17" s="1"/>
  <c r="D23" i="1" s="1"/>
  <c r="E23" i="17" a="1"/>
  <c r="E23" i="17" s="1"/>
  <c r="D13" i="1" s="1"/>
  <c r="E11" i="17" a="1"/>
  <c r="E11" i="17" s="1"/>
  <c r="E42" i="17" a="1"/>
  <c r="E42" i="17" s="1"/>
  <c r="D32" i="1" s="1"/>
  <c r="E32" i="17" a="1"/>
  <c r="E32" i="17" s="1"/>
  <c r="D22" i="1" s="1"/>
  <c r="E31" i="17" a="1"/>
  <c r="E31" i="17" s="1"/>
  <c r="D21" i="1" s="1"/>
  <c r="E71" i="17" a="1"/>
  <c r="E71" i="17" s="1"/>
  <c r="D61" i="1" s="1"/>
  <c r="E30" i="17" a="1"/>
  <c r="E30" i="17" s="1"/>
  <c r="D20" i="1" s="1"/>
  <c r="E29" i="17" a="1"/>
  <c r="E29" i="17" s="1"/>
  <c r="D19" i="1" s="1"/>
  <c r="E41" i="17" a="1"/>
  <c r="E41" i="17" s="1"/>
  <c r="D31" i="1" s="1"/>
  <c r="E28" i="17" a="1"/>
  <c r="E28" i="17" s="1"/>
  <c r="D18" i="1" s="1"/>
  <c r="E27" i="17" a="1"/>
  <c r="E27" i="17" s="1"/>
  <c r="D17" i="1" s="1"/>
  <c r="E26" i="17" a="1"/>
  <c r="E26" i="17" s="1"/>
  <c r="D16" i="1" s="1"/>
  <c r="E79" i="17" a="1"/>
  <c r="E79" i="17" s="1"/>
  <c r="D69" i="1" s="1"/>
  <c r="E8" i="17" a="1"/>
  <c r="E8" i="17" s="1"/>
  <c r="E12" i="17" a="1"/>
  <c r="E12" i="17" s="1"/>
  <c r="E21" i="17" a="1"/>
  <c r="E21" i="17" s="1"/>
  <c r="D11" i="1" s="1"/>
  <c r="E18" i="17" a="1"/>
  <c r="E18" i="17" s="1"/>
  <c r="D8" i="1" s="1"/>
  <c r="E15" i="17" a="1"/>
  <c r="E15" i="17" s="1"/>
  <c r="D5" i="1" s="1"/>
  <c r="E14" i="17" a="1"/>
  <c r="E14" i="17" s="1"/>
  <c r="D4" i="1" s="1"/>
  <c r="E17" i="17" a="1"/>
  <c r="E17" i="17" s="1"/>
  <c r="D7" i="1" s="1"/>
  <c r="E70" i="17" a="1"/>
  <c r="E70" i="17" s="1"/>
  <c r="D60" i="1" s="1"/>
  <c r="E24" i="17" a="1"/>
  <c r="E24" i="17" s="1"/>
  <c r="D14" i="1" s="1"/>
  <c r="E10" i="17" a="1"/>
  <c r="E10" i="17" s="1"/>
  <c r="E7" i="17" a="1"/>
  <c r="E7" i="17" s="1"/>
  <c r="E19" i="17" a="1"/>
  <c r="E19" i="17" s="1"/>
  <c r="D9" i="1" s="1"/>
  <c r="E16" i="17" a="1"/>
  <c r="E16" i="17" s="1"/>
  <c r="D6" i="1" s="1"/>
  <c r="E22" i="17" a="1"/>
  <c r="E22" i="17" s="1"/>
  <c r="D12" i="1" s="1"/>
  <c r="E39" i="17" a="1"/>
  <c r="E39" i="17" s="1"/>
  <c r="D29" i="1" s="1"/>
  <c r="E6" i="17" a="1"/>
  <c r="E6" i="17" s="1"/>
  <c r="P83" i="17" a="1"/>
  <c r="P83" i="17" s="1"/>
  <c r="P75" i="17" a="1"/>
  <c r="P75" i="17" s="1"/>
  <c r="P62" i="17" a="1"/>
  <c r="P62" i="17" s="1"/>
  <c r="P60" i="17" a="1"/>
  <c r="P60" i="17" s="1"/>
  <c r="P54" i="17" a="1"/>
  <c r="P54" i="17" s="1"/>
  <c r="P49" i="17" a="1"/>
  <c r="P49" i="17" s="1"/>
  <c r="P84" i="17" a="1"/>
  <c r="P84" i="17" s="1"/>
  <c r="P76" i="17" a="1"/>
  <c r="P76" i="17" s="1"/>
  <c r="P56" i="17" a="1"/>
  <c r="P56" i="17" s="1"/>
  <c r="P44" i="17" a="1"/>
  <c r="P44" i="17" s="1"/>
  <c r="P77" i="17" a="1"/>
  <c r="P77" i="17" s="1"/>
  <c r="P51" i="17" a="1"/>
  <c r="P51" i="17" s="1"/>
  <c r="P46" i="17" a="1"/>
  <c r="P46" i="17" s="1"/>
  <c r="P78" i="17" a="1"/>
  <c r="P78" i="17" s="1"/>
  <c r="P70" i="17" a="1"/>
  <c r="P70" i="17" s="1"/>
  <c r="P61" i="17" a="1"/>
  <c r="P61" i="17" s="1"/>
  <c r="P59" i="17" a="1"/>
  <c r="P59" i="17" s="1"/>
  <c r="P53" i="17" a="1"/>
  <c r="P53" i="17" s="1"/>
  <c r="P48" i="17" a="1"/>
  <c r="P48" i="17" s="1"/>
  <c r="P79" i="17" a="1"/>
  <c r="P79" i="17" s="1"/>
  <c r="P71" i="17" a="1"/>
  <c r="P71" i="17" s="1"/>
  <c r="P69" i="17" a="1"/>
  <c r="P69" i="17" s="1"/>
  <c r="P68" i="17" a="1"/>
  <c r="P68" i="17" s="1"/>
  <c r="P58" i="17" a="1"/>
  <c r="P58" i="17" s="1"/>
  <c r="P80" i="17" a="1"/>
  <c r="P80" i="17" s="1"/>
  <c r="P72" i="17" a="1"/>
  <c r="P72" i="17" s="1"/>
  <c r="P67" i="17" a="1"/>
  <c r="P67" i="17" s="1"/>
  <c r="P66" i="17" a="1"/>
  <c r="P66" i="17" s="1"/>
  <c r="P65" i="17" a="1"/>
  <c r="P65" i="17" s="1"/>
  <c r="P55" i="17" a="1"/>
  <c r="P55" i="17" s="1"/>
  <c r="P50" i="17" a="1"/>
  <c r="P50" i="17" s="1"/>
  <c r="P45" i="17" a="1"/>
  <c r="P45" i="17" s="1"/>
  <c r="P81" i="17" a="1"/>
  <c r="P81" i="17" s="1"/>
  <c r="P73" i="17" a="1"/>
  <c r="P73" i="17" s="1"/>
  <c r="P64" i="17" a="1"/>
  <c r="P64" i="17" s="1"/>
  <c r="P52" i="17" a="1"/>
  <c r="P52" i="17" s="1"/>
  <c r="P47" i="17" a="1"/>
  <c r="P47" i="17" s="1"/>
  <c r="P41" i="17" a="1"/>
  <c r="P41" i="17" s="1"/>
  <c r="P29" i="17" a="1"/>
  <c r="P29" i="17" s="1"/>
  <c r="P28" i="17" a="1"/>
  <c r="P28" i="17" s="1"/>
  <c r="P20" i="17" a="1"/>
  <c r="P20" i="17" s="1"/>
  <c r="P15" i="17" a="1"/>
  <c r="P15" i="17" s="1"/>
  <c r="P13" i="17" a="1"/>
  <c r="P13" i="17" s="1"/>
  <c r="P27" i="17" a="1"/>
  <c r="P27" i="17" s="1"/>
  <c r="P26" i="17" a="1"/>
  <c r="P26" i="17" s="1"/>
  <c r="P74" i="17" a="1"/>
  <c r="P74" i="17" s="1"/>
  <c r="P40" i="17" a="1"/>
  <c r="P40" i="17" s="1"/>
  <c r="P25" i="17" a="1"/>
  <c r="P25" i="17" s="1"/>
  <c r="P18" i="17" a="1"/>
  <c r="P18" i="17" s="1"/>
  <c r="P11" i="17" a="1"/>
  <c r="P11" i="17" s="1"/>
  <c r="P82" i="17" a="1"/>
  <c r="P82" i="17" s="1"/>
  <c r="P39" i="17" a="1"/>
  <c r="P39" i="17" s="1"/>
  <c r="P38" i="17" a="1"/>
  <c r="P38" i="17" s="1"/>
  <c r="P63" i="17" a="1"/>
  <c r="P63" i="17" s="1"/>
  <c r="P43" i="17" a="1"/>
  <c r="P43" i="17" s="1"/>
  <c r="P37" i="17" a="1"/>
  <c r="P37" i="17" s="1"/>
  <c r="P36" i="17" a="1"/>
  <c r="P36" i="17" s="1"/>
  <c r="P34" i="17" a="1"/>
  <c r="P34" i="17" s="1"/>
  <c r="P42" i="17" a="1"/>
  <c r="P42" i="17" s="1"/>
  <c r="P33" i="17" a="1"/>
  <c r="P33" i="17" s="1"/>
  <c r="P24" i="17" a="1"/>
  <c r="P24" i="17" s="1"/>
  <c r="P57" i="17" a="1"/>
  <c r="P57" i="17" s="1"/>
  <c r="P17" i="17" a="1"/>
  <c r="P17" i="17" s="1"/>
  <c r="P16" i="17" a="1"/>
  <c r="P16" i="17" s="1"/>
  <c r="P14" i="17" a="1"/>
  <c r="P14" i="17" s="1"/>
  <c r="P31" i="17" a="1"/>
  <c r="P31" i="17" s="1"/>
  <c r="P21" i="17" a="1"/>
  <c r="P21" i="17" s="1"/>
  <c r="P9" i="17" a="1"/>
  <c r="P9" i="17" s="1"/>
  <c r="P23" i="17" a="1"/>
  <c r="P23" i="17" s="1"/>
  <c r="P19" i="17" a="1"/>
  <c r="P19" i="17" s="1"/>
  <c r="P7" i="17" a="1"/>
  <c r="P7" i="17" s="1"/>
  <c r="P32" i="17" a="1"/>
  <c r="P32" i="17" s="1"/>
  <c r="P22" i="17" a="1"/>
  <c r="P22" i="17" s="1"/>
  <c r="P12" i="17" a="1"/>
  <c r="P12" i="17" s="1"/>
  <c r="P10" i="17" a="1"/>
  <c r="P10" i="17" s="1"/>
  <c r="P8" i="17" a="1"/>
  <c r="P8" i="17" s="1"/>
  <c r="P6" i="17" a="1"/>
  <c r="P6" i="17" s="1"/>
  <c r="P35" i="17" a="1"/>
  <c r="P35" i="17" s="1"/>
  <c r="P30" i="17" a="1"/>
  <c r="P30" i="17" s="1"/>
  <c r="F81" i="17" a="1"/>
  <c r="F81" i="17" s="1"/>
  <c r="F73" i="17" a="1"/>
  <c r="F73" i="17" s="1"/>
  <c r="F67" i="17" a="1"/>
  <c r="F67" i="17" s="1"/>
  <c r="F66" i="17" a="1"/>
  <c r="F66" i="17" s="1"/>
  <c r="F58" i="17" a="1"/>
  <c r="F58" i="17" s="1"/>
  <c r="F53" i="17" a="1"/>
  <c r="F53" i="17" s="1"/>
  <c r="F48" i="17" a="1"/>
  <c r="F48" i="17" s="1"/>
  <c r="F82" i="17" a="1"/>
  <c r="F82" i="17" s="1"/>
  <c r="F74" i="17" a="1"/>
  <c r="F74" i="17" s="1"/>
  <c r="F65" i="17" a="1"/>
  <c r="F65" i="17" s="1"/>
  <c r="F64" i="17" a="1"/>
  <c r="F64" i="17" s="1"/>
  <c r="F55" i="17" a="1"/>
  <c r="F55" i="17" s="1"/>
  <c r="F83" i="17" a="1"/>
  <c r="F83" i="17" s="1"/>
  <c r="F75" i="17" a="1"/>
  <c r="F75" i="17" s="1"/>
  <c r="F63" i="17" a="1"/>
  <c r="F63" i="17" s="1"/>
  <c r="F62" i="17" a="1"/>
  <c r="F62" i="17" s="1"/>
  <c r="F61" i="17" a="1"/>
  <c r="F61" i="17" s="1"/>
  <c r="F50" i="17" a="1"/>
  <c r="F50" i="17" s="1"/>
  <c r="F45" i="17" a="1"/>
  <c r="F45" i="17" s="1"/>
  <c r="F84" i="17" a="1"/>
  <c r="F84" i="17" s="1"/>
  <c r="F76" i="17" a="1"/>
  <c r="F76" i="17" s="1"/>
  <c r="F57" i="17" a="1"/>
  <c r="F57" i="17" s="1"/>
  <c r="F77" i="17" a="1"/>
  <c r="F77" i="17" s="1"/>
  <c r="F60" i="17" a="1"/>
  <c r="F60" i="17" s="1"/>
  <c r="F52" i="17" a="1"/>
  <c r="F52" i="17" s="1"/>
  <c r="F47" i="17" a="1"/>
  <c r="F47" i="17" s="1"/>
  <c r="F78" i="17" a="1"/>
  <c r="F78" i="17" s="1"/>
  <c r="F54" i="17" a="1"/>
  <c r="F54" i="17" s="1"/>
  <c r="F44" i="17" a="1"/>
  <c r="F44" i="17" s="1"/>
  <c r="F79" i="17" a="1"/>
  <c r="F79" i="17" s="1"/>
  <c r="F71" i="17" a="1"/>
  <c r="F71" i="17" s="1"/>
  <c r="F70" i="17" a="1"/>
  <c r="F70" i="17" s="1"/>
  <c r="F59" i="17" a="1"/>
  <c r="F59" i="17" s="1"/>
  <c r="F49" i="17" a="1"/>
  <c r="F49" i="17" s="1"/>
  <c r="F46" i="17" a="1"/>
  <c r="F46" i="17" s="1"/>
  <c r="F43" i="17" a="1"/>
  <c r="F43" i="17" s="1"/>
  <c r="F36" i="17" a="1"/>
  <c r="F36" i="17" s="1"/>
  <c r="F35" i="17" a="1"/>
  <c r="F35" i="17" s="1"/>
  <c r="F10" i="17" a="1"/>
  <c r="F10" i="17" s="1"/>
  <c r="F72" i="17" a="1"/>
  <c r="F72" i="17" s="1"/>
  <c r="F42" i="17" a="1"/>
  <c r="F42" i="17" s="1"/>
  <c r="F34" i="17" a="1"/>
  <c r="F34" i="17" s="1"/>
  <c r="F33" i="17" a="1"/>
  <c r="F33" i="17" s="1"/>
  <c r="F23" i="17" a="1"/>
  <c r="F23" i="17" s="1"/>
  <c r="F69" i="17" a="1"/>
  <c r="F69" i="17" s="1"/>
  <c r="F32" i="17" a="1"/>
  <c r="F32" i="17" s="1"/>
  <c r="F31" i="17" a="1"/>
  <c r="F31" i="17" s="1"/>
  <c r="F21" i="17" a="1"/>
  <c r="F21" i="17" s="1"/>
  <c r="F19" i="17" a="1"/>
  <c r="F19" i="17" s="1"/>
  <c r="F16" i="17" a="1"/>
  <c r="F16" i="17" s="1"/>
  <c r="F12" i="17" a="1"/>
  <c r="F12" i="17" s="1"/>
  <c r="F80" i="17" a="1"/>
  <c r="F80" i="17" s="1"/>
  <c r="F30" i="17" a="1"/>
  <c r="F30" i="17" s="1"/>
  <c r="F29" i="17" a="1"/>
  <c r="F29" i="17" s="1"/>
  <c r="F28" i="17" a="1"/>
  <c r="F28" i="17" s="1"/>
  <c r="F24" i="17" a="1"/>
  <c r="F24" i="17" s="1"/>
  <c r="F56" i="17" a="1"/>
  <c r="F56" i="17" s="1"/>
  <c r="F51" i="17" a="1"/>
  <c r="F51" i="17" s="1"/>
  <c r="F41" i="17" a="1"/>
  <c r="F41" i="17" s="1"/>
  <c r="F27" i="17" a="1"/>
  <c r="F27" i="17" s="1"/>
  <c r="F68" i="17" a="1"/>
  <c r="F68" i="17" s="1"/>
  <c r="F40" i="17" a="1"/>
  <c r="F40" i="17" s="1"/>
  <c r="F39" i="17" a="1"/>
  <c r="F39" i="17" s="1"/>
  <c r="F20" i="17" a="1"/>
  <c r="F20" i="17" s="1"/>
  <c r="F14" i="17" a="1"/>
  <c r="F14" i="17" s="1"/>
  <c r="F38" i="17" a="1"/>
  <c r="F38" i="17" s="1"/>
  <c r="F26" i="17" a="1"/>
  <c r="F26" i="17" s="1"/>
  <c r="F18" i="17" a="1"/>
  <c r="F18" i="17" s="1"/>
  <c r="F15" i="17" a="1"/>
  <c r="F15" i="17" s="1"/>
  <c r="F25" i="17" a="1"/>
  <c r="F25" i="17" s="1"/>
  <c r="F37" i="17" a="1"/>
  <c r="F37" i="17" s="1"/>
  <c r="F8" i="17" a="1"/>
  <c r="F8" i="17" s="1"/>
  <c r="F17" i="17" a="1"/>
  <c r="F17" i="17" s="1"/>
  <c r="F13" i="17" a="1"/>
  <c r="F13" i="17" s="1"/>
  <c r="F11" i="17" a="1"/>
  <c r="F11" i="17" s="1"/>
  <c r="F9" i="17" a="1"/>
  <c r="F9" i="17" s="1"/>
  <c r="F22" i="17" a="1"/>
  <c r="F22" i="17" s="1"/>
  <c r="F7" i="17" a="1"/>
  <c r="F7" i="17" s="1"/>
  <c r="F6" i="17" a="1"/>
  <c r="F6" i="17" s="1"/>
  <c r="J77" i="17" a="1"/>
  <c r="J77" i="17" s="1"/>
  <c r="E67" i="1" s="1"/>
  <c r="J60" i="17" a="1"/>
  <c r="J60" i="17" s="1"/>
  <c r="E50" i="1" s="1"/>
  <c r="J54" i="17" a="1"/>
  <c r="J54" i="17" s="1"/>
  <c r="E44" i="1" s="1"/>
  <c r="J49" i="17" a="1"/>
  <c r="J49" i="17" s="1"/>
  <c r="E39" i="1" s="1"/>
  <c r="J44" i="17" a="1"/>
  <c r="J44" i="17" s="1"/>
  <c r="E34" i="1" s="1"/>
  <c r="J78" i="17" a="1"/>
  <c r="J78" i="17" s="1"/>
  <c r="E68" i="1" s="1"/>
  <c r="J59" i="17" a="1"/>
  <c r="J59" i="17" s="1"/>
  <c r="E49" i="1" s="1"/>
  <c r="J46" i="17" a="1"/>
  <c r="J46" i="17" s="1"/>
  <c r="E36" i="1" s="1"/>
  <c r="J79" i="17" a="1"/>
  <c r="J79" i="17" s="1"/>
  <c r="E69" i="1" s="1"/>
  <c r="J71" i="17" a="1"/>
  <c r="J71" i="17" s="1"/>
  <c r="E61" i="1" s="1"/>
  <c r="J70" i="17" a="1"/>
  <c r="J70" i="17" s="1"/>
  <c r="E60" i="1" s="1"/>
  <c r="J56" i="17" a="1"/>
  <c r="J56" i="17" s="1"/>
  <c r="E46" i="1" s="1"/>
  <c r="J51" i="17" a="1"/>
  <c r="J51" i="17" s="1"/>
  <c r="E41" i="1" s="1"/>
  <c r="J80" i="17" a="1"/>
  <c r="J80" i="17" s="1"/>
  <c r="E70" i="1" s="1"/>
  <c r="J72" i="17" a="1"/>
  <c r="J72" i="17" s="1"/>
  <c r="E62" i="1" s="1"/>
  <c r="J69" i="17" a="1"/>
  <c r="J69" i="17" s="1"/>
  <c r="E59" i="1" s="1"/>
  <c r="J68" i="17" a="1"/>
  <c r="J68" i="17" s="1"/>
  <c r="E58" i="1" s="1"/>
  <c r="J67" i="17" a="1"/>
  <c r="J67" i="17" s="1"/>
  <c r="E57" i="1" s="1"/>
  <c r="J66" i="17" a="1"/>
  <c r="J66" i="17" s="1"/>
  <c r="E56" i="1" s="1"/>
  <c r="J58" i="17" a="1"/>
  <c r="J58" i="17" s="1"/>
  <c r="E48" i="1" s="1"/>
  <c r="J48" i="17" a="1"/>
  <c r="J48" i="17" s="1"/>
  <c r="E38" i="1" s="1"/>
  <c r="J81" i="17" a="1"/>
  <c r="J81" i="17" s="1"/>
  <c r="E71" i="1" s="1"/>
  <c r="J73" i="17" a="1"/>
  <c r="J73" i="17" s="1"/>
  <c r="E63" i="1" s="1"/>
  <c r="J65" i="17" a="1"/>
  <c r="J65" i="17" s="1"/>
  <c r="E55" i="1" s="1"/>
  <c r="J64" i="17" a="1"/>
  <c r="J64" i="17" s="1"/>
  <c r="E54" i="1" s="1"/>
  <c r="J61" i="17" a="1"/>
  <c r="J61" i="17" s="1"/>
  <c r="E51" i="1" s="1"/>
  <c r="J53" i="17" a="1"/>
  <c r="J53" i="17" s="1"/>
  <c r="E43" i="1" s="1"/>
  <c r="J50" i="17" a="1"/>
  <c r="J50" i="17" s="1"/>
  <c r="E40" i="1" s="1"/>
  <c r="J82" i="17" a="1"/>
  <c r="J82" i="17" s="1"/>
  <c r="E72" i="1" s="1"/>
  <c r="J74" i="17" a="1"/>
  <c r="J74" i="17" s="1"/>
  <c r="E64" i="1" s="1"/>
  <c r="J55" i="17" a="1"/>
  <c r="J55" i="17" s="1"/>
  <c r="E45" i="1" s="1"/>
  <c r="J45" i="17" a="1"/>
  <c r="J45" i="17" s="1"/>
  <c r="E35" i="1" s="1"/>
  <c r="J83" i="17" a="1"/>
  <c r="J83" i="17" s="1"/>
  <c r="E73" i="1" s="1"/>
  <c r="J75" i="17" a="1"/>
  <c r="J75" i="17" s="1"/>
  <c r="E65" i="1" s="1"/>
  <c r="J63" i="17" a="1"/>
  <c r="J63" i="17" s="1"/>
  <c r="E53" i="1" s="1"/>
  <c r="J62" i="17" a="1"/>
  <c r="J62" i="17" s="1"/>
  <c r="E52" i="1" s="1"/>
  <c r="J57" i="17" a="1"/>
  <c r="J57" i="17" s="1"/>
  <c r="E47" i="1" s="1"/>
  <c r="J52" i="17" a="1"/>
  <c r="J52" i="17" s="1"/>
  <c r="E42" i="1" s="1"/>
  <c r="J17" i="17" a="1"/>
  <c r="J17" i="17" s="1"/>
  <c r="E7" i="1" s="1"/>
  <c r="J84" i="17" a="1"/>
  <c r="J84" i="17" s="1"/>
  <c r="E74" i="1" s="1"/>
  <c r="J47" i="17" a="1"/>
  <c r="J47" i="17" s="1"/>
  <c r="E37" i="1" s="1"/>
  <c r="J40" i="17" a="1"/>
  <c r="J40" i="17" s="1"/>
  <c r="E30" i="1" s="1"/>
  <c r="J20" i="17" a="1"/>
  <c r="J20" i="17" s="1"/>
  <c r="E10" i="1" s="1"/>
  <c r="J39" i="17" a="1"/>
  <c r="J39" i="17" s="1"/>
  <c r="E29" i="1" s="1"/>
  <c r="J25" i="17" a="1"/>
  <c r="J25" i="17" s="1"/>
  <c r="E15" i="1" s="1"/>
  <c r="J23" i="17" a="1"/>
  <c r="J23" i="17" s="1"/>
  <c r="E13" i="1" s="1"/>
  <c r="J18" i="17" a="1"/>
  <c r="J18" i="17" s="1"/>
  <c r="E8" i="1" s="1"/>
  <c r="J43" i="17" a="1"/>
  <c r="J43" i="17" s="1"/>
  <c r="E33" i="1" s="1"/>
  <c r="J38" i="17" a="1"/>
  <c r="J38" i="17" s="1"/>
  <c r="E28" i="1" s="1"/>
  <c r="J37" i="17" a="1"/>
  <c r="J37" i="17" s="1"/>
  <c r="E27" i="1" s="1"/>
  <c r="J36" i="17" a="1"/>
  <c r="J36" i="17" s="1"/>
  <c r="E26" i="1" s="1"/>
  <c r="J35" i="17" a="1"/>
  <c r="J35" i="17" s="1"/>
  <c r="E25" i="1" s="1"/>
  <c r="J42" i="17" a="1"/>
  <c r="J42" i="17" s="1"/>
  <c r="E32" i="1" s="1"/>
  <c r="J34" i="17" a="1"/>
  <c r="J34" i="17" s="1"/>
  <c r="E24" i="1" s="1"/>
  <c r="J33" i="17" a="1"/>
  <c r="J33" i="17" s="1"/>
  <c r="E23" i="1" s="1"/>
  <c r="J32" i="17" a="1"/>
  <c r="J32" i="17" s="1"/>
  <c r="E22" i="1" s="1"/>
  <c r="J76" i="17" a="1"/>
  <c r="J76" i="17" s="1"/>
  <c r="E66" i="1" s="1"/>
  <c r="J6" i="17" a="1"/>
  <c r="J6" i="17" s="1"/>
  <c r="J19" i="17" a="1"/>
  <c r="J19" i="17" s="1"/>
  <c r="E9" i="1" s="1"/>
  <c r="J7" i="17" a="1"/>
  <c r="J7" i="17" s="1"/>
  <c r="J31" i="17" a="1"/>
  <c r="J31" i="17" s="1"/>
  <c r="E21" i="1" s="1"/>
  <c r="J26" i="17" a="1"/>
  <c r="J26" i="17" s="1"/>
  <c r="E16" i="1" s="1"/>
  <c r="J22" i="17" a="1"/>
  <c r="J22" i="17" s="1"/>
  <c r="E12" i="1" s="1"/>
  <c r="J29" i="17" a="1"/>
  <c r="J29" i="17" s="1"/>
  <c r="E19" i="1" s="1"/>
  <c r="J8" i="17" a="1"/>
  <c r="J8" i="17" s="1"/>
  <c r="J27" i="17" a="1"/>
  <c r="J27" i="17" s="1"/>
  <c r="E17" i="1" s="1"/>
  <c r="J24" i="17" a="1"/>
  <c r="J24" i="17" s="1"/>
  <c r="E14" i="1" s="1"/>
  <c r="J30" i="17" a="1"/>
  <c r="J30" i="17" s="1"/>
  <c r="E20" i="1" s="1"/>
  <c r="J28" i="17" a="1"/>
  <c r="J28" i="17" s="1"/>
  <c r="E18" i="1" s="1"/>
  <c r="J21" i="17" a="1"/>
  <c r="J21" i="17" s="1"/>
  <c r="E11" i="1" s="1"/>
  <c r="J16" i="17" a="1"/>
  <c r="J16" i="17" s="1"/>
  <c r="E6" i="1" s="1"/>
  <c r="J9" i="17" a="1"/>
  <c r="J9" i="17" s="1"/>
  <c r="J15" i="17" a="1"/>
  <c r="J15" i="17" s="1"/>
  <c r="E5" i="1" s="1"/>
  <c r="J10" i="17" a="1"/>
  <c r="J10" i="17" s="1"/>
  <c r="J14" i="17" a="1"/>
  <c r="J14" i="17" s="1"/>
  <c r="E4" i="1" s="1"/>
  <c r="J12" i="17" a="1"/>
  <c r="J12" i="17" s="1"/>
  <c r="J13" i="17" a="1"/>
  <c r="J13" i="17" s="1"/>
  <c r="J41" i="17" a="1"/>
  <c r="J41" i="17" s="1"/>
  <c r="E31" i="1" s="1"/>
  <c r="J11" i="17" a="1"/>
  <c r="J11" i="17" s="1"/>
  <c r="L79" i="17" a="1"/>
  <c r="L79" i="17" s="1"/>
  <c r="L71" i="17" a="1"/>
  <c r="L71" i="17" s="1"/>
  <c r="L70" i="17" a="1"/>
  <c r="L70" i="17" s="1"/>
  <c r="L69" i="17" a="1"/>
  <c r="L69" i="17" s="1"/>
  <c r="L68" i="17" a="1"/>
  <c r="L68" i="17" s="1"/>
  <c r="L48" i="17" a="1"/>
  <c r="L48" i="17" s="1"/>
  <c r="L80" i="17" a="1"/>
  <c r="L80" i="17" s="1"/>
  <c r="L72" i="17" a="1"/>
  <c r="L72" i="17" s="1"/>
  <c r="L67" i="17" a="1"/>
  <c r="L67" i="17" s="1"/>
  <c r="L66" i="17" a="1"/>
  <c r="L66" i="17" s="1"/>
  <c r="L61" i="17" a="1"/>
  <c r="L61" i="17" s="1"/>
  <c r="L58" i="17" a="1"/>
  <c r="L58" i="17" s="1"/>
  <c r="L53" i="17" a="1"/>
  <c r="L53" i="17" s="1"/>
  <c r="L81" i="17" a="1"/>
  <c r="L81" i="17" s="1"/>
  <c r="L73" i="17" a="1"/>
  <c r="L73" i="17" s="1"/>
  <c r="L65" i="17" a="1"/>
  <c r="L65" i="17" s="1"/>
  <c r="L64" i="17" a="1"/>
  <c r="L64" i="17" s="1"/>
  <c r="L50" i="17" a="1"/>
  <c r="L50" i="17" s="1"/>
  <c r="L45" i="17" a="1"/>
  <c r="L45" i="17" s="1"/>
  <c r="L82" i="17" a="1"/>
  <c r="L82" i="17" s="1"/>
  <c r="L74" i="17" a="1"/>
  <c r="L74" i="17" s="1"/>
  <c r="L55" i="17" a="1"/>
  <c r="L55" i="17" s="1"/>
  <c r="L52" i="17" a="1"/>
  <c r="L52" i="17" s="1"/>
  <c r="L83" i="17" a="1"/>
  <c r="L83" i="17" s="1"/>
  <c r="L75" i="17" a="1"/>
  <c r="L75" i="17" s="1"/>
  <c r="L63" i="17" a="1"/>
  <c r="L63" i="17" s="1"/>
  <c r="L62" i="17" a="1"/>
  <c r="L62" i="17" s="1"/>
  <c r="L57" i="17" a="1"/>
  <c r="L57" i="17" s="1"/>
  <c r="L47" i="17" a="1"/>
  <c r="L47" i="17" s="1"/>
  <c r="L84" i="17" a="1"/>
  <c r="L84" i="17" s="1"/>
  <c r="L76" i="17" a="1"/>
  <c r="L76" i="17" s="1"/>
  <c r="L60" i="17" a="1"/>
  <c r="L60" i="17" s="1"/>
  <c r="L54" i="17" a="1"/>
  <c r="L54" i="17" s="1"/>
  <c r="L49" i="17" a="1"/>
  <c r="L49" i="17" s="1"/>
  <c r="L44" i="17" a="1"/>
  <c r="L44" i="17" s="1"/>
  <c r="L77" i="17" a="1"/>
  <c r="L77" i="17" s="1"/>
  <c r="L78" i="17" a="1"/>
  <c r="L78" i="17" s="1"/>
  <c r="L39" i="17" a="1"/>
  <c r="L39" i="17" s="1"/>
  <c r="L23" i="17" a="1"/>
  <c r="L23" i="17" s="1"/>
  <c r="L16" i="17" a="1"/>
  <c r="L16" i="17" s="1"/>
  <c r="L11" i="17" a="1"/>
  <c r="L11" i="17" s="1"/>
  <c r="L8" i="17" a="1"/>
  <c r="L8" i="17" s="1"/>
  <c r="L59" i="17" a="1"/>
  <c r="L59" i="17" s="1"/>
  <c r="L43" i="17" a="1"/>
  <c r="L43" i="17" s="1"/>
  <c r="L38" i="17" a="1"/>
  <c r="L38" i="17" s="1"/>
  <c r="L37" i="17" a="1"/>
  <c r="L37" i="17" s="1"/>
  <c r="L36" i="17" a="1"/>
  <c r="L36" i="17" s="1"/>
  <c r="L35" i="17" a="1"/>
  <c r="L35" i="17" s="1"/>
  <c r="L34" i="17" a="1"/>
  <c r="L34" i="17" s="1"/>
  <c r="L21" i="17" a="1"/>
  <c r="L21" i="17" s="1"/>
  <c r="L12" i="17" a="1"/>
  <c r="L12" i="17" s="1"/>
  <c r="L10" i="17" a="1"/>
  <c r="L10" i="17" s="1"/>
  <c r="L56" i="17" a="1"/>
  <c r="L56" i="17" s="1"/>
  <c r="L51" i="17" a="1"/>
  <c r="L51" i="17" s="1"/>
  <c r="L42" i="17" a="1"/>
  <c r="L42" i="17" s="1"/>
  <c r="L33" i="17" a="1"/>
  <c r="L33" i="17" s="1"/>
  <c r="L32" i="17" a="1"/>
  <c r="L32" i="17" s="1"/>
  <c r="L30" i="17" a="1"/>
  <c r="L30" i="17" s="1"/>
  <c r="L24" i="17" a="1"/>
  <c r="L24" i="17" s="1"/>
  <c r="L41" i="17" a="1"/>
  <c r="L41" i="17" s="1"/>
  <c r="L31" i="17" a="1"/>
  <c r="L31" i="17" s="1"/>
  <c r="L29" i="17" a="1"/>
  <c r="L29" i="17" s="1"/>
  <c r="L28" i="17" a="1"/>
  <c r="L28" i="17" s="1"/>
  <c r="L27" i="17" a="1"/>
  <c r="L27" i="17" s="1"/>
  <c r="L26" i="17" a="1"/>
  <c r="L26" i="17" s="1"/>
  <c r="L46" i="17" a="1"/>
  <c r="L46" i="17" s="1"/>
  <c r="L7" i="17" a="1"/>
  <c r="L7" i="17" s="1"/>
  <c r="L25" i="17" a="1"/>
  <c r="L25" i="17" s="1"/>
  <c r="L22" i="17" a="1"/>
  <c r="L22" i="17" s="1"/>
  <c r="L13" i="17" a="1"/>
  <c r="L13" i="17" s="1"/>
  <c r="L40" i="17" a="1"/>
  <c r="L40" i="17" s="1"/>
  <c r="L14" i="17" a="1"/>
  <c r="L14" i="17" s="1"/>
  <c r="L6" i="17" a="1"/>
  <c r="L6" i="17" s="1"/>
  <c r="L19" i="17" a="1"/>
  <c r="L19" i="17" s="1"/>
  <c r="L20" i="17" a="1"/>
  <c r="L20" i="17" s="1"/>
  <c r="L17" i="17" a="1"/>
  <c r="L17" i="17" s="1"/>
  <c r="L18" i="17" a="1"/>
  <c r="L18" i="17" s="1"/>
  <c r="L15" i="17" a="1"/>
  <c r="L15" i="17" s="1"/>
  <c r="L9" i="17" a="1"/>
  <c r="L9" i="17" s="1"/>
  <c r="G82" i="17" a="1"/>
  <c r="G82" i="17" s="1"/>
  <c r="G74" i="17" a="1"/>
  <c r="G74" i="17" s="1"/>
  <c r="G65" i="17" a="1"/>
  <c r="G65" i="17" s="1"/>
  <c r="G55" i="17" a="1"/>
  <c r="G55" i="17" s="1"/>
  <c r="G45" i="17" a="1"/>
  <c r="G45" i="17" s="1"/>
  <c r="G83" i="17" a="1"/>
  <c r="G83" i="17" s="1"/>
  <c r="G75" i="17" a="1"/>
  <c r="G75" i="17" s="1"/>
  <c r="G63" i="17" a="1"/>
  <c r="G63" i="17" s="1"/>
  <c r="G62" i="17" a="1"/>
  <c r="G62" i="17" s="1"/>
  <c r="G61" i="17" a="1"/>
  <c r="G61" i="17" s="1"/>
  <c r="G50" i="17" a="1"/>
  <c r="G50" i="17" s="1"/>
  <c r="G84" i="17" a="1"/>
  <c r="G84" i="17" s="1"/>
  <c r="G76" i="17" a="1"/>
  <c r="G76" i="17" s="1"/>
  <c r="G57" i="17" a="1"/>
  <c r="G57" i="17" s="1"/>
  <c r="G52" i="17" a="1"/>
  <c r="G52" i="17" s="1"/>
  <c r="G47" i="17" a="1"/>
  <c r="G47" i="17" s="1"/>
  <c r="G77" i="17" a="1"/>
  <c r="G77" i="17" s="1"/>
  <c r="G60" i="17" a="1"/>
  <c r="G60" i="17" s="1"/>
  <c r="G78" i="17" a="1"/>
  <c r="G78" i="17" s="1"/>
  <c r="G59" i="17" a="1"/>
  <c r="G59" i="17" s="1"/>
  <c r="G54" i="17" a="1"/>
  <c r="G54" i="17" s="1"/>
  <c r="G49" i="17" a="1"/>
  <c r="G49" i="17" s="1"/>
  <c r="G79" i="17" a="1"/>
  <c r="G79" i="17" s="1"/>
  <c r="G71" i="17" a="1"/>
  <c r="G71" i="17" s="1"/>
  <c r="G70" i="17" a="1"/>
  <c r="G70" i="17" s="1"/>
  <c r="G56" i="17" a="1"/>
  <c r="G56" i="17" s="1"/>
  <c r="G46" i="17" a="1"/>
  <c r="G46" i="17" s="1"/>
  <c r="G80" i="17" a="1"/>
  <c r="G80" i="17" s="1"/>
  <c r="G72" i="17" a="1"/>
  <c r="G72" i="17" s="1"/>
  <c r="G69" i="17" a="1"/>
  <c r="G69" i="17" s="1"/>
  <c r="G68" i="17" a="1"/>
  <c r="G68" i="17" s="1"/>
  <c r="G51" i="17" a="1"/>
  <c r="G51" i="17" s="1"/>
  <c r="G81" i="17" a="1"/>
  <c r="G81" i="17" s="1"/>
  <c r="G42" i="17" a="1"/>
  <c r="G42" i="17" s="1"/>
  <c r="G34" i="17" a="1"/>
  <c r="G34" i="17" s="1"/>
  <c r="G33" i="17" a="1"/>
  <c r="G33" i="17" s="1"/>
  <c r="G21" i="17" a="1"/>
  <c r="G21" i="17" s="1"/>
  <c r="G16" i="17" a="1"/>
  <c r="G16" i="17" s="1"/>
  <c r="G14" i="17" a="1"/>
  <c r="G14" i="17" s="1"/>
  <c r="G67" i="17" a="1"/>
  <c r="G67" i="17" s="1"/>
  <c r="G32" i="17" a="1"/>
  <c r="G32" i="17" s="1"/>
  <c r="G31" i="17" a="1"/>
  <c r="G31" i="17" s="1"/>
  <c r="G19" i="17" a="1"/>
  <c r="G19" i="17" s="1"/>
  <c r="G64" i="17" a="1"/>
  <c r="G64" i="17" s="1"/>
  <c r="G30" i="17" a="1"/>
  <c r="G30" i="17" s="1"/>
  <c r="G29" i="17" a="1"/>
  <c r="G29" i="17" s="1"/>
  <c r="G28" i="17" a="1"/>
  <c r="G28" i="17" s="1"/>
  <c r="G24" i="17" a="1"/>
  <c r="G24" i="17" s="1"/>
  <c r="G41" i="17" a="1"/>
  <c r="G41" i="17" s="1"/>
  <c r="G27" i="17" a="1"/>
  <c r="G27" i="17" s="1"/>
  <c r="G26" i="17" a="1"/>
  <c r="G26" i="17" s="1"/>
  <c r="G66" i="17" a="1"/>
  <c r="G66" i="17" s="1"/>
  <c r="G58" i="17" a="1"/>
  <c r="G58" i="17" s="1"/>
  <c r="G53" i="17" a="1"/>
  <c r="G53" i="17" s="1"/>
  <c r="G40" i="17" a="1"/>
  <c r="G40" i="17" s="1"/>
  <c r="G39" i="17" a="1"/>
  <c r="G39" i="17" s="1"/>
  <c r="G73" i="17" a="1"/>
  <c r="G73" i="17" s="1"/>
  <c r="G48" i="17" a="1"/>
  <c r="G48" i="17" s="1"/>
  <c r="G43" i="17" a="1"/>
  <c r="G43" i="17" s="1"/>
  <c r="G38" i="17" a="1"/>
  <c r="G38" i="17" s="1"/>
  <c r="G35" i="17" a="1"/>
  <c r="G35" i="17" s="1"/>
  <c r="G13" i="17" a="1"/>
  <c r="G13" i="17" s="1"/>
  <c r="G17" i="17" a="1"/>
  <c r="G17" i="17" s="1"/>
  <c r="G11" i="17" a="1"/>
  <c r="G11" i="17" s="1"/>
  <c r="G9" i="17" a="1"/>
  <c r="G9" i="17" s="1"/>
  <c r="G15" i="17" a="1"/>
  <c r="G15" i="17" s="1"/>
  <c r="G23" i="17" a="1"/>
  <c r="G23" i="17" s="1"/>
  <c r="G36" i="17" a="1"/>
  <c r="G36" i="17" s="1"/>
  <c r="G25" i="17" a="1"/>
  <c r="G25" i="17" s="1"/>
  <c r="G22" i="17" a="1"/>
  <c r="G22" i="17" s="1"/>
  <c r="G6" i="17" a="1"/>
  <c r="G6" i="17" s="1"/>
  <c r="G44" i="17" a="1"/>
  <c r="G44" i="17" s="1"/>
  <c r="G20" i="17" a="1"/>
  <c r="G20" i="17" s="1"/>
  <c r="G8" i="17" a="1"/>
  <c r="G8" i="17" s="1"/>
  <c r="G12" i="17" a="1"/>
  <c r="G12" i="17" s="1"/>
  <c r="G18" i="17" a="1"/>
  <c r="G18" i="17" s="1"/>
  <c r="G10" i="17" a="1"/>
  <c r="G10" i="17" s="1"/>
  <c r="G7" i="17" a="1"/>
  <c r="G7" i="17" s="1"/>
  <c r="G37" i="17" a="1"/>
  <c r="G37" i="17" s="1"/>
  <c r="D79" i="17" a="1"/>
  <c r="D79" i="17" s="1"/>
  <c r="F69" i="1" s="1"/>
  <c r="D71" i="17" a="1"/>
  <c r="D71" i="17" s="1"/>
  <c r="F61" i="1" s="1"/>
  <c r="D59" i="17" a="1"/>
  <c r="D59" i="17" s="1"/>
  <c r="F49" i="1" s="1"/>
  <c r="D54" i="17" a="1"/>
  <c r="D54" i="17" s="1"/>
  <c r="F44" i="1" s="1"/>
  <c r="D49" i="17" a="1"/>
  <c r="D49" i="17" s="1"/>
  <c r="F39" i="1" s="1"/>
  <c r="D80" i="17" a="1"/>
  <c r="D80" i="17" s="1"/>
  <c r="F70" i="1" s="1"/>
  <c r="D72" i="17" a="1"/>
  <c r="D72" i="17" s="1"/>
  <c r="F62" i="1" s="1"/>
  <c r="D70" i="17" a="1"/>
  <c r="D70" i="17" s="1"/>
  <c r="F60" i="1" s="1"/>
  <c r="D69" i="17" a="1"/>
  <c r="D69" i="17" s="1"/>
  <c r="F59" i="1" s="1"/>
  <c r="D68" i="17" a="1"/>
  <c r="D68" i="17" s="1"/>
  <c r="F58" i="1" s="1"/>
  <c r="D56" i="17" a="1"/>
  <c r="D56" i="17" s="1"/>
  <c r="F46" i="1" s="1"/>
  <c r="D51" i="17" a="1"/>
  <c r="D51" i="17" s="1"/>
  <c r="F41" i="1" s="1"/>
  <c r="D46" i="17" a="1"/>
  <c r="D46" i="17" s="1"/>
  <c r="F36" i="1" s="1"/>
  <c r="D81" i="17" a="1"/>
  <c r="D81" i="17" s="1"/>
  <c r="F71" i="1" s="1"/>
  <c r="I71" i="1" s="1"/>
  <c r="D73" i="17" a="1"/>
  <c r="D73" i="17" s="1"/>
  <c r="F63" i="1" s="1"/>
  <c r="D67" i="17" a="1"/>
  <c r="D67" i="17" s="1"/>
  <c r="F57" i="1" s="1"/>
  <c r="D66" i="17" a="1"/>
  <c r="D66" i="17" s="1"/>
  <c r="F56" i="1" s="1"/>
  <c r="D58" i="17" a="1"/>
  <c r="D58" i="17" s="1"/>
  <c r="F48" i="1" s="1"/>
  <c r="D53" i="17" a="1"/>
  <c r="D53" i="17" s="1"/>
  <c r="F43" i="1" s="1"/>
  <c r="D82" i="17" a="1"/>
  <c r="D82" i="17" s="1"/>
  <c r="F72" i="1" s="1"/>
  <c r="D74" i="17" a="1"/>
  <c r="D74" i="17" s="1"/>
  <c r="F64" i="1" s="1"/>
  <c r="I64" i="1" s="1"/>
  <c r="D65" i="17" a="1"/>
  <c r="D65" i="17" s="1"/>
  <c r="F55" i="1" s="1"/>
  <c r="I55" i="1" s="1"/>
  <c r="D64" i="17" a="1"/>
  <c r="D64" i="17" s="1"/>
  <c r="F54" i="1" s="1"/>
  <c r="D48" i="17" a="1"/>
  <c r="D48" i="17" s="1"/>
  <c r="F38" i="1" s="1"/>
  <c r="D83" i="17" a="1"/>
  <c r="D83" i="17" s="1"/>
  <c r="F73" i="1" s="1"/>
  <c r="D75" i="17" a="1"/>
  <c r="D75" i="17" s="1"/>
  <c r="F65" i="1" s="1"/>
  <c r="D55" i="17" a="1"/>
  <c r="D55" i="17" s="1"/>
  <c r="F45" i="1" s="1"/>
  <c r="D84" i="17" a="1"/>
  <c r="D84" i="17" s="1"/>
  <c r="F74" i="1" s="1"/>
  <c r="D76" i="17" a="1"/>
  <c r="D76" i="17" s="1"/>
  <c r="F66" i="1" s="1"/>
  <c r="D63" i="17" a="1"/>
  <c r="D63" i="17" s="1"/>
  <c r="F53" i="1" s="1"/>
  <c r="D61" i="17" a="1"/>
  <c r="D61" i="17" s="1"/>
  <c r="F51" i="1" s="1"/>
  <c r="D50" i="17" a="1"/>
  <c r="D50" i="17" s="1"/>
  <c r="F40" i="1" s="1"/>
  <c r="D45" i="17" a="1"/>
  <c r="D45" i="17" s="1"/>
  <c r="F35" i="1" s="1"/>
  <c r="D77" i="17" a="1"/>
  <c r="D77" i="17" s="1"/>
  <c r="F67" i="1" s="1"/>
  <c r="D62" i="17" a="1"/>
  <c r="D62" i="17" s="1"/>
  <c r="F52" i="1" s="1"/>
  <c r="D57" i="17" a="1"/>
  <c r="D57" i="17" s="1"/>
  <c r="F47" i="1" s="1"/>
  <c r="D52" i="17" a="1"/>
  <c r="D52" i="17" s="1"/>
  <c r="F42" i="1" s="1"/>
  <c r="I42" i="1" s="1"/>
  <c r="D8" i="17" a="1"/>
  <c r="D8" i="17" s="1"/>
  <c r="D78" i="17" a="1"/>
  <c r="D78" i="17" s="1"/>
  <c r="F68" i="1" s="1"/>
  <c r="D44" i="17" a="1"/>
  <c r="D44" i="17" s="1"/>
  <c r="F34" i="1" s="1"/>
  <c r="D40" i="17" a="1"/>
  <c r="D40" i="17" s="1"/>
  <c r="F30" i="1" s="1"/>
  <c r="D39" i="17" a="1"/>
  <c r="D39" i="17" s="1"/>
  <c r="F29" i="1" s="1"/>
  <c r="D38" i="17" a="1"/>
  <c r="D38" i="17" s="1"/>
  <c r="F28" i="1" s="1"/>
  <c r="D37" i="17" a="1"/>
  <c r="D37" i="17" s="1"/>
  <c r="F27" i="1" s="1"/>
  <c r="D20" i="17" a="1"/>
  <c r="D20" i="17" s="1"/>
  <c r="F10" i="1" s="1"/>
  <c r="D36" i="17" a="1"/>
  <c r="D36" i="17" s="1"/>
  <c r="F26" i="1" s="1"/>
  <c r="D35" i="17" a="1"/>
  <c r="D35" i="17" s="1"/>
  <c r="F25" i="1" s="1"/>
  <c r="D25" i="17" a="1"/>
  <c r="D25" i="17" s="1"/>
  <c r="F15" i="1" s="1"/>
  <c r="D10" i="17" a="1"/>
  <c r="D10" i="17" s="1"/>
  <c r="D43" i="17" a="1"/>
  <c r="D43" i="17" s="1"/>
  <c r="F33" i="1" s="1"/>
  <c r="D34" i="17" a="1"/>
  <c r="D34" i="17" s="1"/>
  <c r="F24" i="1" s="1"/>
  <c r="D33" i="17" a="1"/>
  <c r="D33" i="17" s="1"/>
  <c r="F23" i="1" s="1"/>
  <c r="D23" i="17" a="1"/>
  <c r="D23" i="17" s="1"/>
  <c r="F13" i="1" s="1"/>
  <c r="D47" i="17" a="1"/>
  <c r="D47" i="17" s="1"/>
  <c r="F37" i="1" s="1"/>
  <c r="D42" i="17" a="1"/>
  <c r="D42" i="17" s="1"/>
  <c r="F32" i="1" s="1"/>
  <c r="D32" i="17" a="1"/>
  <c r="D32" i="17" s="1"/>
  <c r="F22" i="1" s="1"/>
  <c r="D31" i="17" a="1"/>
  <c r="D31" i="17" s="1"/>
  <c r="F21" i="1" s="1"/>
  <c r="D30" i="17" a="1"/>
  <c r="D30" i="17" s="1"/>
  <c r="F20" i="1" s="1"/>
  <c r="D29" i="17" a="1"/>
  <c r="D29" i="17" s="1"/>
  <c r="F19" i="1" s="1"/>
  <c r="D41" i="17" a="1"/>
  <c r="D41" i="17" s="1"/>
  <c r="F31" i="1" s="1"/>
  <c r="D24" i="17" a="1"/>
  <c r="D24" i="17" s="1"/>
  <c r="F14" i="1" s="1"/>
  <c r="I14" i="1" s="1"/>
  <c r="D28" i="17" a="1"/>
  <c r="D28" i="17" s="1"/>
  <c r="F18" i="1" s="1"/>
  <c r="I18" i="1" s="1"/>
  <c r="D21" i="17" a="1"/>
  <c r="D21" i="17" s="1"/>
  <c r="F11" i="1" s="1"/>
  <c r="D17" i="17" a="1"/>
  <c r="D17" i="17" s="1"/>
  <c r="F7" i="1" s="1"/>
  <c r="D12" i="17" a="1"/>
  <c r="D12" i="17" s="1"/>
  <c r="D13" i="17" a="1"/>
  <c r="D13" i="17" s="1"/>
  <c r="D11" i="17" a="1"/>
  <c r="D11" i="17" s="1"/>
  <c r="D9" i="17" a="1"/>
  <c r="D9" i="17" s="1"/>
  <c r="D60" i="17" a="1"/>
  <c r="D60" i="17" s="1"/>
  <c r="F50" i="1" s="1"/>
  <c r="D26" i="17" a="1"/>
  <c r="D26" i="17" s="1"/>
  <c r="F16" i="1" s="1"/>
  <c r="D14" i="17" a="1"/>
  <c r="D14" i="17" s="1"/>
  <c r="F4" i="1" s="1"/>
  <c r="D22" i="17" a="1"/>
  <c r="D22" i="17" s="1"/>
  <c r="F12" i="1" s="1"/>
  <c r="D19" i="17" a="1"/>
  <c r="D19" i="17" s="1"/>
  <c r="F9" i="1" s="1"/>
  <c r="D6" i="17" a="1"/>
  <c r="D6" i="17" s="1"/>
  <c r="D7" i="17" a="1"/>
  <c r="D7" i="17" s="1"/>
  <c r="D18" i="17" a="1"/>
  <c r="D18" i="17" s="1"/>
  <c r="F8" i="1" s="1"/>
  <c r="D15" i="17" a="1"/>
  <c r="D15" i="17" s="1"/>
  <c r="F5" i="1" s="1"/>
  <c r="I5" i="1" s="1"/>
  <c r="D16" i="17" a="1"/>
  <c r="D16" i="17" s="1"/>
  <c r="F6" i="1" s="1"/>
  <c r="D27" i="17" a="1"/>
  <c r="D27" i="17" s="1"/>
  <c r="F17" i="1" s="1"/>
  <c r="H83" i="17" a="1"/>
  <c r="H83" i="17" s="1"/>
  <c r="C73" i="1" s="1"/>
  <c r="H75" i="17" a="1"/>
  <c r="H75" i="17" s="1"/>
  <c r="C65" i="1" s="1"/>
  <c r="H63" i="17" a="1"/>
  <c r="H63" i="17" s="1"/>
  <c r="C53" i="1" s="1"/>
  <c r="H62" i="17" a="1"/>
  <c r="H62" i="17" s="1"/>
  <c r="C52" i="1" s="1"/>
  <c r="H57" i="17" a="1"/>
  <c r="H57" i="17" s="1"/>
  <c r="C47" i="1" s="1"/>
  <c r="H84" i="17" a="1"/>
  <c r="H84" i="17" s="1"/>
  <c r="C74" i="1" s="1"/>
  <c r="H76" i="17" a="1"/>
  <c r="H76" i="17" s="1"/>
  <c r="C66" i="1" s="1"/>
  <c r="H52" i="17" a="1"/>
  <c r="H52" i="17" s="1"/>
  <c r="C42" i="1" s="1"/>
  <c r="H47" i="17" a="1"/>
  <c r="H47" i="17" s="1"/>
  <c r="C37" i="1" s="1"/>
  <c r="H77" i="17" a="1"/>
  <c r="H77" i="17" s="1"/>
  <c r="C67" i="1" s="1"/>
  <c r="H60" i="17" a="1"/>
  <c r="H60" i="17" s="1"/>
  <c r="C50" i="1" s="1"/>
  <c r="H44" i="17" a="1"/>
  <c r="H44" i="17" s="1"/>
  <c r="C34" i="1" s="1"/>
  <c r="H78" i="17" a="1"/>
  <c r="H78" i="17" s="1"/>
  <c r="C68" i="1" s="1"/>
  <c r="H59" i="17" a="1"/>
  <c r="H59" i="17" s="1"/>
  <c r="C49" i="1" s="1"/>
  <c r="H54" i="17" a="1"/>
  <c r="H54" i="17" s="1"/>
  <c r="C44" i="1" s="1"/>
  <c r="H49" i="17" a="1"/>
  <c r="H49" i="17" s="1"/>
  <c r="C39" i="1" s="1"/>
  <c r="H79" i="17" a="1"/>
  <c r="H79" i="17" s="1"/>
  <c r="C69" i="1" s="1"/>
  <c r="H71" i="17" a="1"/>
  <c r="H71" i="17" s="1"/>
  <c r="C61" i="1" s="1"/>
  <c r="H70" i="17" a="1"/>
  <c r="H70" i="17" s="1"/>
  <c r="C60" i="1" s="1"/>
  <c r="H56" i="17" a="1"/>
  <c r="H56" i="17" s="1"/>
  <c r="C46" i="1" s="1"/>
  <c r="H46" i="17" a="1"/>
  <c r="H46" i="17" s="1"/>
  <c r="C36" i="1" s="1"/>
  <c r="H80" i="17" a="1"/>
  <c r="H80" i="17" s="1"/>
  <c r="C70" i="1" s="1"/>
  <c r="H72" i="17" a="1"/>
  <c r="H72" i="17" s="1"/>
  <c r="C62" i="1" s="1"/>
  <c r="H69" i="17" a="1"/>
  <c r="H69" i="17" s="1"/>
  <c r="C59" i="1" s="1"/>
  <c r="H68" i="17" a="1"/>
  <c r="H68" i="17" s="1"/>
  <c r="C58" i="1" s="1"/>
  <c r="H51" i="17" a="1"/>
  <c r="H51" i="17" s="1"/>
  <c r="C41" i="1" s="1"/>
  <c r="H48" i="17" a="1"/>
  <c r="H48" i="17" s="1"/>
  <c r="C38" i="1" s="1"/>
  <c r="H81" i="17" a="1"/>
  <c r="H81" i="17" s="1"/>
  <c r="C71" i="1" s="1"/>
  <c r="H73" i="17" a="1"/>
  <c r="H73" i="17" s="1"/>
  <c r="C63" i="1" s="1"/>
  <c r="H67" i="17" a="1"/>
  <c r="H67" i="17" s="1"/>
  <c r="C57" i="1" s="1"/>
  <c r="H66" i="17" a="1"/>
  <c r="H66" i="17" s="1"/>
  <c r="C56" i="1" s="1"/>
  <c r="H65" i="17" a="1"/>
  <c r="H65" i="17" s="1"/>
  <c r="C55" i="1" s="1"/>
  <c r="H64" i="17" a="1"/>
  <c r="H64" i="17" s="1"/>
  <c r="C54" i="1" s="1"/>
  <c r="H58" i="17" a="1"/>
  <c r="H58" i="17" s="1"/>
  <c r="C48" i="1" s="1"/>
  <c r="H53" i="17" a="1"/>
  <c r="H53" i="17" s="1"/>
  <c r="C43" i="1" s="1"/>
  <c r="H32" i="17" a="1"/>
  <c r="H32" i="17" s="1"/>
  <c r="C22" i="1" s="1"/>
  <c r="H31" i="17" a="1"/>
  <c r="H31" i="17" s="1"/>
  <c r="C21" i="1" s="1"/>
  <c r="H30" i="17" a="1"/>
  <c r="H30" i="17" s="1"/>
  <c r="C20" i="1" s="1"/>
  <c r="H19" i="17" a="1"/>
  <c r="H19" i="17" s="1"/>
  <c r="C9" i="1" s="1"/>
  <c r="H41" i="17" a="1"/>
  <c r="H41" i="17" s="1"/>
  <c r="C31" i="1" s="1"/>
  <c r="H29" i="17" a="1"/>
  <c r="H29" i="17" s="1"/>
  <c r="C19" i="1" s="1"/>
  <c r="H28" i="17" a="1"/>
  <c r="H28" i="17" s="1"/>
  <c r="C18" i="1" s="1"/>
  <c r="H26" i="17" a="1"/>
  <c r="H26" i="17" s="1"/>
  <c r="C16" i="1" s="1"/>
  <c r="H24" i="17" a="1"/>
  <c r="H24" i="17" s="1"/>
  <c r="C14" i="1" s="1"/>
  <c r="H27" i="17" a="1"/>
  <c r="H27" i="17" s="1"/>
  <c r="C17" i="1" s="1"/>
  <c r="H17" i="17" a="1"/>
  <c r="H17" i="17" s="1"/>
  <c r="C7" i="1" s="1"/>
  <c r="H74" i="17" a="1"/>
  <c r="H74" i="17" s="1"/>
  <c r="C64" i="1" s="1"/>
  <c r="H22" i="17" a="1"/>
  <c r="H22" i="17" s="1"/>
  <c r="C12" i="1" s="1"/>
  <c r="H61" i="17" a="1"/>
  <c r="H61" i="17" s="1"/>
  <c r="C51" i="1" s="1"/>
  <c r="H40" i="17" a="1"/>
  <c r="H40" i="17" s="1"/>
  <c r="C30" i="1" s="1"/>
  <c r="H39" i="17" a="1"/>
  <c r="H39" i="17" s="1"/>
  <c r="C29" i="1" s="1"/>
  <c r="H82" i="17" a="1"/>
  <c r="H82" i="17" s="1"/>
  <c r="C72" i="1" s="1"/>
  <c r="H38" i="17" a="1"/>
  <c r="H38" i="17" s="1"/>
  <c r="C28" i="1" s="1"/>
  <c r="H37" i="17" a="1"/>
  <c r="H37" i="17" s="1"/>
  <c r="C27" i="1" s="1"/>
  <c r="H25" i="17" a="1"/>
  <c r="H25" i="17" s="1"/>
  <c r="C15" i="1" s="1"/>
  <c r="H45" i="17" a="1"/>
  <c r="H45" i="17" s="1"/>
  <c r="C35" i="1" s="1"/>
  <c r="H43" i="17" a="1"/>
  <c r="H43" i="17" s="1"/>
  <c r="C33" i="1" s="1"/>
  <c r="H35" i="17" a="1"/>
  <c r="H35" i="17" s="1"/>
  <c r="C25" i="1" s="1"/>
  <c r="H21" i="17" a="1"/>
  <c r="H21" i="17" s="1"/>
  <c r="C11" i="1" s="1"/>
  <c r="H11" i="17" a="1"/>
  <c r="H11" i="17" s="1"/>
  <c r="H9" i="17" a="1"/>
  <c r="H9" i="17" s="1"/>
  <c r="H23" i="17" a="1"/>
  <c r="H23" i="17" s="1"/>
  <c r="C13" i="1" s="1"/>
  <c r="H18" i="17" a="1"/>
  <c r="H18" i="17" s="1"/>
  <c r="C8" i="1" s="1"/>
  <c r="H16" i="17" a="1"/>
  <c r="H16" i="17" s="1"/>
  <c r="C6" i="1" s="1"/>
  <c r="H15" i="17" a="1"/>
  <c r="H15" i="17" s="1"/>
  <c r="C5" i="1" s="1"/>
  <c r="H6" i="17" a="1"/>
  <c r="H6" i="17" s="1"/>
  <c r="H50" i="17" a="1"/>
  <c r="H50" i="17" s="1"/>
  <c r="C40" i="1" s="1"/>
  <c r="H42" i="17" a="1"/>
  <c r="H42" i="17" s="1"/>
  <c r="C32" i="1" s="1"/>
  <c r="H36" i="17" a="1"/>
  <c r="H36" i="17" s="1"/>
  <c r="C26" i="1" s="1"/>
  <c r="H33" i="17" a="1"/>
  <c r="H33" i="17" s="1"/>
  <c r="C23" i="1" s="1"/>
  <c r="H55" i="17" a="1"/>
  <c r="H55" i="17" s="1"/>
  <c r="C45" i="1" s="1"/>
  <c r="H7" i="17" a="1"/>
  <c r="H7" i="17" s="1"/>
  <c r="H12" i="17" a="1"/>
  <c r="H12" i="17" s="1"/>
  <c r="H14" i="17" a="1"/>
  <c r="H14" i="17" s="1"/>
  <c r="C4" i="1" s="1"/>
  <c r="H13" i="17" a="1"/>
  <c r="H13" i="17" s="1"/>
  <c r="H20" i="17" a="1"/>
  <c r="H20" i="17" s="1"/>
  <c r="C10" i="1" s="1"/>
  <c r="H8" i="17" a="1"/>
  <c r="H8" i="17" s="1"/>
  <c r="H10" i="17" a="1"/>
  <c r="H10" i="17" s="1"/>
  <c r="H34" i="17" a="1"/>
  <c r="H34" i="17" s="1"/>
  <c r="C24" i="1" s="1"/>
  <c r="K78" i="17" a="1"/>
  <c r="K78" i="17" s="1"/>
  <c r="K59" i="17" a="1"/>
  <c r="K59" i="17" s="1"/>
  <c r="K56" i="17" a="1"/>
  <c r="K56" i="17" s="1"/>
  <c r="K51" i="17" a="1"/>
  <c r="K51" i="17" s="1"/>
  <c r="K46" i="17" a="1"/>
  <c r="K46" i="17" s="1"/>
  <c r="K79" i="17" a="1"/>
  <c r="K79" i="17" s="1"/>
  <c r="K71" i="17" a="1"/>
  <c r="K71" i="17" s="1"/>
  <c r="K70" i="17" a="1"/>
  <c r="K70" i="17" s="1"/>
  <c r="K68" i="17" a="1"/>
  <c r="K68" i="17" s="1"/>
  <c r="K80" i="17" a="1"/>
  <c r="K80" i="17" s="1"/>
  <c r="K72" i="17" a="1"/>
  <c r="K72" i="17" s="1"/>
  <c r="K69" i="17" a="1"/>
  <c r="K69" i="17" s="1"/>
  <c r="K67" i="17" a="1"/>
  <c r="K67" i="17" s="1"/>
  <c r="K66" i="17" a="1"/>
  <c r="K66" i="17" s="1"/>
  <c r="K58" i="17" a="1"/>
  <c r="K58" i="17" s="1"/>
  <c r="K53" i="17" a="1"/>
  <c r="K53" i="17" s="1"/>
  <c r="K48" i="17" a="1"/>
  <c r="K48" i="17" s="1"/>
  <c r="K81" i="17" a="1"/>
  <c r="K81" i="17" s="1"/>
  <c r="K73" i="17" a="1"/>
  <c r="K73" i="17" s="1"/>
  <c r="K65" i="17" a="1"/>
  <c r="K65" i="17" s="1"/>
  <c r="K64" i="17" a="1"/>
  <c r="K64" i="17" s="1"/>
  <c r="K61" i="17" a="1"/>
  <c r="K61" i="17" s="1"/>
  <c r="K50" i="17" a="1"/>
  <c r="K50" i="17" s="1"/>
  <c r="K82" i="17" a="1"/>
  <c r="K82" i="17" s="1"/>
  <c r="K74" i="17" a="1"/>
  <c r="K74" i="17" s="1"/>
  <c r="K55" i="17" a="1"/>
  <c r="K55" i="17" s="1"/>
  <c r="K45" i="17" a="1"/>
  <c r="K45" i="17" s="1"/>
  <c r="K83" i="17" a="1"/>
  <c r="K83" i="17" s="1"/>
  <c r="K75" i="17" a="1"/>
  <c r="K75" i="17" s="1"/>
  <c r="K63" i="17" a="1"/>
  <c r="K63" i="17" s="1"/>
  <c r="K62" i="17" a="1"/>
  <c r="K62" i="17" s="1"/>
  <c r="K57" i="17" a="1"/>
  <c r="K57" i="17" s="1"/>
  <c r="K52" i="17" a="1"/>
  <c r="K52" i="17" s="1"/>
  <c r="K47" i="17" a="1"/>
  <c r="K47" i="17" s="1"/>
  <c r="K84" i="17" a="1"/>
  <c r="K84" i="17" s="1"/>
  <c r="K76" i="17" a="1"/>
  <c r="K76" i="17" s="1"/>
  <c r="K60" i="17" a="1"/>
  <c r="K60" i="17" s="1"/>
  <c r="K49" i="17" a="1"/>
  <c r="K49" i="17" s="1"/>
  <c r="K40" i="17" a="1"/>
  <c r="K40" i="17" s="1"/>
  <c r="K25" i="17" a="1"/>
  <c r="K25" i="17" s="1"/>
  <c r="K54" i="17" a="1"/>
  <c r="K54" i="17" s="1"/>
  <c r="K39" i="17" a="1"/>
  <c r="K39" i="17" s="1"/>
  <c r="K23" i="17" a="1"/>
  <c r="K23" i="17" s="1"/>
  <c r="K43" i="17" a="1"/>
  <c r="K43" i="17" s="1"/>
  <c r="K38" i="17" a="1"/>
  <c r="K38" i="17" s="1"/>
  <c r="K37" i="17" a="1"/>
  <c r="K37" i="17" s="1"/>
  <c r="K16" i="17" a="1"/>
  <c r="K16" i="17" s="1"/>
  <c r="K14" i="17" a="1"/>
  <c r="K14" i="17" s="1"/>
  <c r="K77" i="17" a="1"/>
  <c r="K77" i="17" s="1"/>
  <c r="K44" i="17" a="1"/>
  <c r="K44" i="17" s="1"/>
  <c r="K36" i="17" a="1"/>
  <c r="K36" i="17" s="1"/>
  <c r="K35" i="17" a="1"/>
  <c r="K35" i="17" s="1"/>
  <c r="K42" i="17" a="1"/>
  <c r="K42" i="17" s="1"/>
  <c r="K34" i="17" a="1"/>
  <c r="K34" i="17" s="1"/>
  <c r="K33" i="17" a="1"/>
  <c r="K33" i="17" s="1"/>
  <c r="K32" i="17" a="1"/>
  <c r="K32" i="17" s="1"/>
  <c r="K31" i="17" a="1"/>
  <c r="K31" i="17" s="1"/>
  <c r="K30" i="17" a="1"/>
  <c r="K30" i="17" s="1"/>
  <c r="K29" i="17" a="1"/>
  <c r="K29" i="17" s="1"/>
  <c r="K28" i="17" a="1"/>
  <c r="K28" i="17" s="1"/>
  <c r="K41" i="17" a="1"/>
  <c r="K41" i="17" s="1"/>
  <c r="K19" i="17" a="1"/>
  <c r="K19" i="17" s="1"/>
  <c r="K7" i="17" a="1"/>
  <c r="K7" i="17" s="1"/>
  <c r="K26" i="17" a="1"/>
  <c r="K26" i="17" s="1"/>
  <c r="K22" i="17" a="1"/>
  <c r="K22" i="17" s="1"/>
  <c r="K10" i="17" a="1"/>
  <c r="K10" i="17" s="1"/>
  <c r="K8" i="17" a="1"/>
  <c r="K8" i="17" s="1"/>
  <c r="K13" i="17" a="1"/>
  <c r="K13" i="17" s="1"/>
  <c r="K24" i="17" a="1"/>
  <c r="K24" i="17" s="1"/>
  <c r="K27" i="17" a="1"/>
  <c r="K27" i="17" s="1"/>
  <c r="K20" i="17" a="1"/>
  <c r="K20" i="17" s="1"/>
  <c r="K12" i="17" a="1"/>
  <c r="K12" i="17" s="1"/>
  <c r="K11" i="17" a="1"/>
  <c r="K11" i="17" s="1"/>
  <c r="K18" i="17" a="1"/>
  <c r="K18" i="17" s="1"/>
  <c r="K17" i="17" a="1"/>
  <c r="K17" i="17" s="1"/>
  <c r="K15" i="17" a="1"/>
  <c r="K15" i="17" s="1"/>
  <c r="K6" i="17" a="1"/>
  <c r="K6" i="17" s="1"/>
  <c r="K9" i="17" a="1"/>
  <c r="K9" i="17" s="1"/>
  <c r="K21" i="17" a="1"/>
  <c r="K21" i="17" s="1"/>
  <c r="C88" i="1" l="1"/>
  <c r="I50" i="1"/>
  <c r="F104" i="1"/>
  <c r="I26" i="1"/>
  <c r="I66" i="1"/>
  <c r="C104" i="1"/>
  <c r="D104" i="1"/>
  <c r="I37" i="1"/>
  <c r="I24" i="1"/>
  <c r="I28" i="1"/>
  <c r="I45" i="1"/>
  <c r="I48" i="1"/>
  <c r="I9" i="1"/>
  <c r="I52" i="1"/>
  <c r="I78" i="1"/>
  <c r="D91" i="1"/>
  <c r="D93" i="1"/>
  <c r="I12" i="1"/>
  <c r="I58" i="1"/>
  <c r="I61" i="1"/>
  <c r="D89" i="1"/>
  <c r="I22" i="1"/>
  <c r="I57" i="1"/>
  <c r="I60" i="1"/>
  <c r="I80" i="1"/>
  <c r="I16" i="1"/>
  <c r="I70" i="1"/>
  <c r="I82" i="1"/>
  <c r="I13" i="1"/>
  <c r="I10" i="1"/>
  <c r="I36" i="1"/>
  <c r="I39" i="1"/>
  <c r="I31" i="1"/>
  <c r="I49" i="1"/>
  <c r="I77" i="1"/>
  <c r="I17" i="1"/>
  <c r="I11" i="1"/>
  <c r="I32" i="1"/>
  <c r="I25" i="1"/>
  <c r="I68" i="1"/>
  <c r="I51" i="1"/>
  <c r="I54" i="1"/>
  <c r="I63" i="1"/>
  <c r="F92" i="1"/>
  <c r="I62" i="1"/>
  <c r="B16" i="1"/>
  <c r="B31" i="1"/>
  <c r="B23" i="1"/>
  <c r="B36" i="1"/>
  <c r="B68" i="1"/>
  <c r="B35" i="1"/>
  <c r="B54" i="1"/>
  <c r="B57" i="1"/>
  <c r="D92" i="1"/>
  <c r="B75" i="1"/>
  <c r="I6" i="1"/>
  <c r="F91" i="1"/>
  <c r="I53" i="1"/>
  <c r="B28" i="1"/>
  <c r="B41" i="1"/>
  <c r="B6" i="1"/>
  <c r="B24" i="1"/>
  <c r="B39" i="1"/>
  <c r="B37" i="1"/>
  <c r="B40" i="1"/>
  <c r="B55" i="1"/>
  <c r="B63" i="1"/>
  <c r="B84" i="1"/>
  <c r="F94" i="1"/>
  <c r="I83" i="1"/>
  <c r="B7" i="1"/>
  <c r="B4" i="1"/>
  <c r="B46" i="1"/>
  <c r="B9" i="1"/>
  <c r="B32" i="1"/>
  <c r="B49" i="1"/>
  <c r="B42" i="1"/>
  <c r="B51" i="1"/>
  <c r="B64" i="1"/>
  <c r="B71" i="1"/>
  <c r="B76" i="1"/>
  <c r="I75" i="1"/>
  <c r="C92" i="1"/>
  <c r="I8" i="1"/>
  <c r="I23" i="1"/>
  <c r="F88" i="1"/>
  <c r="I27" i="1"/>
  <c r="I47" i="1"/>
  <c r="I74" i="1"/>
  <c r="I72" i="1"/>
  <c r="I41" i="1"/>
  <c r="I44" i="1"/>
  <c r="B10" i="1"/>
  <c r="B14" i="1"/>
  <c r="B11" i="1"/>
  <c r="B62" i="1"/>
  <c r="B60" i="1"/>
  <c r="B50" i="1"/>
  <c r="B52" i="1"/>
  <c r="B72" i="1"/>
  <c r="B79" i="1"/>
  <c r="B77" i="1"/>
  <c r="I84" i="1"/>
  <c r="I19" i="1"/>
  <c r="F90" i="1"/>
  <c r="I43" i="1"/>
  <c r="I46" i="1"/>
  <c r="B27" i="1"/>
  <c r="B29" i="1"/>
  <c r="B18" i="1"/>
  <c r="B21" i="1"/>
  <c r="B61" i="1"/>
  <c r="B67" i="1"/>
  <c r="B53" i="1"/>
  <c r="B38" i="1"/>
  <c r="D90" i="1"/>
  <c r="B80" i="1"/>
  <c r="B78" i="1"/>
  <c r="I76" i="1"/>
  <c r="C90" i="1"/>
  <c r="C91" i="1"/>
  <c r="I20" i="1"/>
  <c r="F89" i="1"/>
  <c r="I33" i="1"/>
  <c r="I29" i="1"/>
  <c r="I67" i="1"/>
  <c r="I65" i="1"/>
  <c r="B15" i="1"/>
  <c r="B30" i="1"/>
  <c r="B19" i="1"/>
  <c r="B22" i="1"/>
  <c r="B25" i="1"/>
  <c r="B69" i="1"/>
  <c r="B47" i="1"/>
  <c r="B65" i="1"/>
  <c r="B43" i="1"/>
  <c r="B81" i="1"/>
  <c r="I79" i="1"/>
  <c r="I21" i="1"/>
  <c r="I30" i="1"/>
  <c r="I35" i="1"/>
  <c r="I73" i="1"/>
  <c r="F93" i="1"/>
  <c r="I56" i="1"/>
  <c r="I59" i="1"/>
  <c r="I69" i="1"/>
  <c r="B12" i="1"/>
  <c r="B5" i="1"/>
  <c r="B58" i="1"/>
  <c r="B20" i="1"/>
  <c r="B59" i="1"/>
  <c r="B26" i="1"/>
  <c r="B34" i="1"/>
  <c r="B66" i="1"/>
  <c r="B73" i="1"/>
  <c r="B93" i="1" s="1"/>
  <c r="B48" i="1"/>
  <c r="C94" i="1"/>
  <c r="B82" i="1"/>
  <c r="C89" i="1"/>
  <c r="C93" i="1"/>
  <c r="I7" i="1"/>
  <c r="I15" i="1"/>
  <c r="I34" i="1"/>
  <c r="I40" i="1"/>
  <c r="I38" i="1"/>
  <c r="B8" i="1"/>
  <c r="B17" i="1"/>
  <c r="B70" i="1"/>
  <c r="B13" i="1"/>
  <c r="B33" i="1"/>
  <c r="B44" i="1"/>
  <c r="B74" i="1"/>
  <c r="B45" i="1"/>
  <c r="B56" i="1"/>
  <c r="D88" i="1"/>
  <c r="D94" i="1"/>
  <c r="B83" i="1"/>
  <c r="I81" i="1"/>
  <c r="AT11" i="1"/>
  <c r="AT12" i="1"/>
  <c r="AT10" i="1"/>
  <c r="AT9" i="1"/>
  <c r="AS9" i="1"/>
  <c r="CK13" i="1"/>
  <c r="B89" i="1" l="1"/>
  <c r="D100" i="1"/>
  <c r="B104" i="1"/>
  <c r="E104" i="1" s="1"/>
  <c r="C99" i="1"/>
  <c r="D97" i="1"/>
  <c r="B94" i="1"/>
  <c r="B100" i="1" s="1"/>
  <c r="B90" i="1"/>
  <c r="E90" i="1" s="1"/>
  <c r="D98" i="1"/>
  <c r="C100" i="1"/>
  <c r="C97" i="1"/>
  <c r="D99" i="1"/>
  <c r="B99" i="1"/>
  <c r="E89" i="1"/>
  <c r="C98" i="1"/>
  <c r="B92" i="1"/>
  <c r="B98" i="1" s="1"/>
  <c r="F98" i="1"/>
  <c r="B91" i="1"/>
  <c r="B97" i="1" s="1"/>
  <c r="F100" i="1"/>
  <c r="F97" i="1"/>
  <c r="E93" i="1"/>
  <c r="F99" i="1"/>
  <c r="B88" i="1"/>
  <c r="E88" i="1" s="1"/>
  <c r="CK9" i="1"/>
  <c r="BY13" i="1"/>
  <c r="CI13" i="1"/>
  <c r="AT13" i="1"/>
  <c r="CK12" i="1"/>
  <c r="CK11" i="1"/>
  <c r="AF9" i="1"/>
  <c r="CK10" i="1"/>
  <c r="AW9" i="1"/>
  <c r="AI9" i="1" s="1"/>
  <c r="E94" i="1" l="1"/>
  <c r="E100" i="1" s="1"/>
  <c r="E91" i="1"/>
  <c r="E97" i="1" s="1"/>
  <c r="E92" i="1"/>
  <c r="E98" i="1" s="1"/>
  <c r="E99" i="1"/>
  <c r="CF10" i="1"/>
  <c r="AA19" i="1" s="1"/>
  <c r="CF9" i="1"/>
  <c r="AA18" i="1" s="1"/>
  <c r="BY10" i="1"/>
  <c r="CI10" i="1"/>
  <c r="BY12" i="1"/>
  <c r="CI12" i="1"/>
  <c r="AU9" i="1"/>
  <c r="BY9" i="1"/>
  <c r="CI9" i="1"/>
  <c r="AV9" i="1"/>
  <c r="AH9" i="1" s="1"/>
  <c r="AX9" i="1"/>
  <c r="BY11" i="1"/>
  <c r="CI11" i="1"/>
  <c r="CG10" i="1" l="1"/>
  <c r="CB10" i="1" s="1"/>
  <c r="CC10" i="1" s="1"/>
  <c r="CG9" i="1"/>
  <c r="CB9" i="1" s="1"/>
  <c r="CC9" i="1" s="1"/>
  <c r="CF11" i="1"/>
  <c r="AA20" i="1" s="1"/>
  <c r="AX11" i="1"/>
  <c r="AX10" i="1"/>
  <c r="AU10" i="1"/>
  <c r="AV10" i="1"/>
  <c r="AH10" i="1" s="1"/>
  <c r="AG9" i="1"/>
  <c r="AR9" i="1"/>
  <c r="CF12" i="1" l="1"/>
  <c r="CG12" i="1" s="1"/>
  <c r="CB12" i="1" s="1"/>
  <c r="CC12" i="1" s="1"/>
  <c r="CG11" i="1"/>
  <c r="CB11" i="1" s="1"/>
  <c r="CC11" i="1" s="1"/>
  <c r="AU11" i="1"/>
  <c r="AO9" i="1"/>
  <c r="Z18" i="1" s="1"/>
  <c r="AB18" i="1" s="1"/>
  <c r="AV11" i="1"/>
  <c r="AH11" i="1" s="1"/>
  <c r="AG10" i="1"/>
  <c r="AR10" i="1"/>
  <c r="AP9" i="1" l="1"/>
  <c r="AK9" i="1" s="1"/>
  <c r="AL9" i="1" s="1"/>
  <c r="M30" i="1"/>
  <c r="AA21" i="1"/>
  <c r="AO10" i="1"/>
  <c r="Z19" i="1" s="1"/>
  <c r="AB19" i="1" s="1"/>
  <c r="AU12" i="1"/>
  <c r="AG11" i="1"/>
  <c r="AR11" i="1"/>
  <c r="AV12" i="1"/>
  <c r="AH12" i="1" s="1"/>
  <c r="CF13" i="1"/>
  <c r="GR6" i="1" l="1"/>
  <c r="GS6" i="1" s="1"/>
  <c r="GT6" i="1" s="1"/>
  <c r="GU6" i="1" s="1"/>
  <c r="GV6" i="1" s="1"/>
  <c r="GW6" i="1" s="1"/>
  <c r="M31" i="1"/>
  <c r="GR7" i="1" s="1"/>
  <c r="AO11" i="1"/>
  <c r="Z20" i="1" s="1"/>
  <c r="AB20" i="1" s="1"/>
  <c r="AA22" i="1"/>
  <c r="CG13" i="1"/>
  <c r="CB13" i="1" s="1"/>
  <c r="CC13" i="1" s="1"/>
  <c r="AG12" i="1"/>
  <c r="AR12" i="1"/>
  <c r="AV13" i="1"/>
  <c r="AP10" i="1"/>
  <c r="AK10" i="1" s="1"/>
  <c r="AL10" i="1" s="1"/>
  <c r="GX6" i="1" l="1"/>
  <c r="GS7" i="1"/>
  <c r="GT7" i="1" s="1"/>
  <c r="GU7" i="1" s="1"/>
  <c r="GV7" i="1" s="1"/>
  <c r="GW7" i="1" s="1"/>
  <c r="AP11" i="1"/>
  <c r="AK11" i="1" s="1"/>
  <c r="AL11" i="1" s="1"/>
  <c r="M32" i="1"/>
  <c r="AO12" i="1"/>
  <c r="Z21" i="1" s="1"/>
  <c r="AB21" i="1" s="1"/>
  <c r="AH13" i="1"/>
  <c r="AR13" i="1"/>
  <c r="GR8" i="1" l="1"/>
  <c r="GX7" i="1"/>
  <c r="GS8" i="1"/>
  <c r="GT8" i="1" s="1"/>
  <c r="GU8" i="1" s="1"/>
  <c r="GV8" i="1" s="1"/>
  <c r="GW8" i="1" s="1"/>
  <c r="AP12" i="1"/>
  <c r="AK12" i="1" s="1"/>
  <c r="AL12" i="1" s="1"/>
  <c r="M33" i="1"/>
  <c r="GR9" i="1" s="1"/>
  <c r="AO13" i="1"/>
  <c r="Z22" i="1" s="1"/>
  <c r="AB22" i="1" s="1"/>
  <c r="GX8" i="1" l="1"/>
  <c r="GS9" i="1"/>
  <c r="GT9" i="1" s="1"/>
  <c r="GU9" i="1" s="1"/>
  <c r="GV9" i="1" s="1"/>
  <c r="GW9" i="1" s="1"/>
  <c r="AP13" i="1"/>
  <c r="AK13" i="1" s="1"/>
  <c r="AL13" i="1" s="1"/>
  <c r="GX9" i="1" l="1"/>
  <c r="M34" i="1"/>
  <c r="M66" i="1" s="1"/>
  <c r="M67" i="1" l="1"/>
  <c r="GR10" i="1"/>
  <c r="GS10" i="1" s="1"/>
  <c r="GT10" i="1" s="1"/>
  <c r="M36" i="1"/>
  <c r="M35" i="1"/>
  <c r="GU10" i="1" l="1"/>
  <c r="GV10" i="1" s="1"/>
  <c r="GW10" i="1" s="1"/>
  <c r="GT14" i="1"/>
  <c r="M38" i="1"/>
  <c r="M37" i="1"/>
  <c r="GX10" i="1" l="1"/>
  <c r="GW16" i="1"/>
  <c r="GW14" i="1"/>
  <c r="GW15" i="1" s="1"/>
  <c r="M39" i="1"/>
  <c r="M40" i="1" l="1"/>
  <c r="M41" i="1" l="1"/>
  <c r="M42" i="1" l="1"/>
  <c r="M43" i="1" l="1"/>
  <c r="M44" i="1" l="1"/>
  <c r="M45" i="1" l="1"/>
  <c r="M46" i="1" l="1"/>
  <c r="M47" i="1" l="1"/>
  <c r="M48" i="1" l="1"/>
  <c r="M49" i="1" l="1"/>
  <c r="M50" i="1" l="1"/>
  <c r="M51" i="1" l="1"/>
  <c r="M52" i="1" l="1"/>
  <c r="M53" i="1" l="1"/>
  <c r="M54" i="1" l="1"/>
  <c r="M55" i="1" l="1"/>
  <c r="M56" i="1" l="1"/>
  <c r="M57" i="1" l="1"/>
  <c r="M58" i="1" l="1"/>
  <c r="M59" i="1" l="1"/>
  <c r="M60" i="1" l="1"/>
  <c r="M61" i="1" l="1"/>
  <c r="M62" i="1" l="1"/>
  <c r="M63" i="1" l="1"/>
  <c r="M64"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<sst xmlns="http://schemas.openxmlformats.org/spreadsheetml/2006/main" count="4158" uniqueCount="1568">
  <si>
    <t>Table 1: Long-term international migration into and out of the United Kingdom by nationality,</t>
  </si>
  <si>
    <t>using new approach to producing migration estimates [notes 16, 17 and 19]</t>
  </si>
  <si>
    <t>This worksheet contains one table.</t>
  </si>
  <si>
    <t>Notes and definitions are referred to in this table. The text for these can be found in the corresponding worksheets.</t>
  </si>
  <si>
    <t>Some shorthand is used in this table, P = provisional, R = revised, YE = Year Ending and EU = European Union.</t>
  </si>
  <si>
    <t>Flow
[note 2]</t>
  </si>
  <si>
    <t>Period
[note 10]</t>
  </si>
  <si>
    <t>All Nationalities
[note 1]</t>
  </si>
  <si>
    <t>British
[definition 2]</t>
  </si>
  <si>
    <t>EU+
[definition 3]</t>
  </si>
  <si>
    <t>Non-EU+
[definition 4]</t>
  </si>
  <si>
    <t>Immigration</t>
  </si>
  <si>
    <t>YE Jun 12</t>
  </si>
  <si>
    <t>YE Sep 12</t>
  </si>
  <si>
    <t>YE Dec 12</t>
  </si>
  <si>
    <t>YE Mar 13</t>
  </si>
  <si>
    <t>YE Jun 13</t>
  </si>
  <si>
    <t>YE Sep 13</t>
  </si>
  <si>
    <t>YE Dec 13</t>
  </si>
  <si>
    <t>YE Mar 14</t>
  </si>
  <si>
    <t>YE Jun 14</t>
  </si>
  <si>
    <t>YE Sep 14</t>
  </si>
  <si>
    <t>YE Dec 14</t>
  </si>
  <si>
    <t>YE Mar 15</t>
  </si>
  <si>
    <t>YE Jun 15</t>
  </si>
  <si>
    <t>YE Sep 15</t>
  </si>
  <si>
    <t>YE Dec 15</t>
  </si>
  <si>
    <t>YE Mar 16</t>
  </si>
  <si>
    <t>YE Jun 16</t>
  </si>
  <si>
    <t>YE Sep 16</t>
  </si>
  <si>
    <t>YE Dec 16</t>
  </si>
  <si>
    <t>YE Mar 17</t>
  </si>
  <si>
    <t>YE Jun 17</t>
  </si>
  <si>
    <t>YE Sep 17</t>
  </si>
  <si>
    <t>YE Dec 17</t>
  </si>
  <si>
    <t>YE Mar 18</t>
  </si>
  <si>
    <t>YE Jun 18</t>
  </si>
  <si>
    <t>YE Sep 18</t>
  </si>
  <si>
    <t>YE Dec 18</t>
  </si>
  <si>
    <t>YE Mar 19</t>
  </si>
  <si>
    <t>YE Jun 19</t>
  </si>
  <si>
    <t>YE Sep 19</t>
  </si>
  <si>
    <t>YE Dec 19</t>
  </si>
  <si>
    <t>YE Mar 20</t>
  </si>
  <si>
    <t>YE Jun 20</t>
  </si>
  <si>
    <t>YE Sep 20</t>
  </si>
  <si>
    <t>YE Dec 20</t>
  </si>
  <si>
    <t>YE Mar 21</t>
  </si>
  <si>
    <t>YE Jun 21 R</t>
  </si>
  <si>
    <t>YE Sep 21 R</t>
  </si>
  <si>
    <t>YE Dec 21 R</t>
  </si>
  <si>
    <t>YE Mar 22 R</t>
  </si>
  <si>
    <t>YE Jun 22 R</t>
  </si>
  <si>
    <t>YE Sep 22 R</t>
  </si>
  <si>
    <t>YE Dec 22 R</t>
  </si>
  <si>
    <t>YE Mar 23 R</t>
  </si>
  <si>
    <t>YE Jun 23 R</t>
  </si>
  <si>
    <t>YE Sep 23 R</t>
  </si>
  <si>
    <t>YE Dec 23 R</t>
  </si>
  <si>
    <t>YE Mar 24 R</t>
  </si>
  <si>
    <t>YE Jun 24 R</t>
  </si>
  <si>
    <t>YE Sep 24 P R</t>
  </si>
  <si>
    <t>YE Dec 24 P R</t>
  </si>
  <si>
    <t>YE Mar 25 P</t>
  </si>
  <si>
    <t>YE Jun 25 P</t>
  </si>
  <si>
    <t>Emigration</t>
  </si>
  <si>
    <t>Net migration</t>
  </si>
  <si>
    <r>
      <rPr>
        <b/>
        <sz val="14"/>
        <color rgb="FF000000"/>
        <rFont val="Arial"/>
        <family val="2"/>
      </rPr>
      <t>Table 4a: Long-term international immigration, emigration and net migration of</t>
    </r>
    <r>
      <rPr>
        <b/>
        <sz val="14"/>
        <rFont val="Arial"/>
        <family val="2"/>
      </rPr>
      <t xml:space="preserve"> EU+</t>
    </r>
    <r>
      <rPr>
        <b/>
        <sz val="14"/>
        <color rgb="FF000000"/>
        <rFont val="Arial"/>
        <family val="2"/>
      </rPr>
      <t xml:space="preserve"> visa holder nationals by reason,</t>
    </r>
  </si>
  <si>
    <t>using new approach to producing migration estimates [definition 3] [notes 7, 8]</t>
  </si>
  <si>
    <t>This worksheet contains one table</t>
  </si>
  <si>
    <t>Some shorthand is used in this table, P = provisional, YE = Year Ending</t>
  </si>
  <si>
    <t>All reasons
[note 5]</t>
  </si>
  <si>
    <t>All Work Related</t>
  </si>
  <si>
    <t>Work: Main applicant</t>
  </si>
  <si>
    <t>Work: Dependant</t>
  </si>
  <si>
    <t>All Study Related</t>
  </si>
  <si>
    <t>Study: Main applicant</t>
  </si>
  <si>
    <t>Study: Dependant</t>
  </si>
  <si>
    <t>Family</t>
  </si>
  <si>
    <t>Other
[definition 12]</t>
  </si>
  <si>
    <t>Asylum</t>
  </si>
  <si>
    <t>YE Jun 21</t>
  </si>
  <si>
    <t>YE Sep 21</t>
  </si>
  <si>
    <t>YE Dec 21</t>
  </si>
  <si>
    <t>YE Mar 22</t>
  </si>
  <si>
    <t>YE Jun 22</t>
  </si>
  <si>
    <t>YE Sep 22</t>
  </si>
  <si>
    <t>YE Dec 22</t>
  </si>
  <si>
    <t>YE Mar 23</t>
  </si>
  <si>
    <t>YE Jun 23</t>
  </si>
  <si>
    <t>YE Sep 23</t>
  </si>
  <si>
    <t>YE Dec 23</t>
  </si>
  <si>
    <t>YE Mar 24</t>
  </si>
  <si>
    <t>YE Jun 24</t>
  </si>
  <si>
    <t>YE Sep 24 P</t>
  </si>
  <si>
    <t>YE Dec 24 P</t>
  </si>
  <si>
    <r>
      <rPr>
        <b/>
        <sz val="14"/>
        <color rgb="FF000000"/>
        <rFont val="Arial"/>
        <family val="2"/>
      </rPr>
      <t>Table 4b: Long-term international immigration, emigration and net migration of</t>
    </r>
    <r>
      <rPr>
        <b/>
        <sz val="14"/>
        <rFont val="Arial"/>
        <family val="2"/>
      </rPr>
      <t xml:space="preserve"> non-EU+</t>
    </r>
    <r>
      <rPr>
        <b/>
        <sz val="14"/>
        <color rgb="FF000000"/>
        <rFont val="Arial"/>
        <family val="2"/>
      </rPr>
      <t xml:space="preserve"> nationals by reason,</t>
    </r>
  </si>
  <si>
    <t>using new approach to producing migration estimates [definition 4] [notes 7, 8 and 17]</t>
  </si>
  <si>
    <t>Some shorthand is used in this table, P = provisional, R = revised, YE = Year Ending, BNO = British National (Overseas)</t>
  </si>
  <si>
    <t>All Humanitarian</t>
  </si>
  <si>
    <t>Humanitarian: BNO
[definition 8]</t>
  </si>
  <si>
    <t xml:space="preserve">Humanitarian:
Resettlement
[definition 9] </t>
  </si>
  <si>
    <t>Humanitarian:
Ukraine
[definition 10]</t>
  </si>
  <si>
    <t>Asylum
[definition 11]</t>
  </si>
  <si>
    <t xml:space="preserve">Other
[definition 13] </t>
  </si>
  <si>
    <t>Table 6a: Alternative sources of EU+ visa holding and All EU+ immigration estimates. [definition 3] [notes 11, 12 and 15]</t>
  </si>
  <si>
    <t>Some shorthand is used in this table, P = provisional, R = revised, YE = Year Ending. P and R refer only to the Office for National Statistics estimates.</t>
  </si>
  <si>
    <t>Period</t>
  </si>
  <si>
    <t>EU+ visa holder
immigration estimates from
Office for National Statistics</t>
  </si>
  <si>
    <t xml:space="preserve">EU+ visas granted
(Home Office) </t>
  </si>
  <si>
    <t xml:space="preserve">All EU+ estimates from Registration and Population Interaction Database (RAPID) </t>
  </si>
  <si>
    <t>All EU+
National Insurance number
allocations (DWP)</t>
  </si>
  <si>
    <t>All EU+
immigration estimates from 
Office for National Statistics</t>
  </si>
  <si>
    <t>YE Jun 21  R</t>
  </si>
  <si>
    <t>Not available</t>
  </si>
  <si>
    <t>Table 6b: Alternative sources of non-EU+ immigration estimates. [definition 4] [notes 11, 13, 15 and 17]</t>
  </si>
  <si>
    <t>Long-term immigration estimates from 
Office for National Statistics</t>
  </si>
  <si>
    <t xml:space="preserve">Number of 
visas granted (Home Office) </t>
  </si>
  <si>
    <t>Census 2021</t>
  </si>
  <si>
    <t xml:space="preserve">Estimates from Registration and Population Interaction Database (RAPID) </t>
  </si>
  <si>
    <t xml:space="preserve">
 National Insurance number allocations (DWP)</t>
  </si>
  <si>
    <t>Location</t>
  </si>
  <si>
    <t>Indicator</t>
  </si>
  <si>
    <t>Scenario</t>
  </si>
  <si>
    <t>Units</t>
  </si>
  <si>
    <t>Scale</t>
  </si>
  <si>
    <t>Measurement</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</si>
  <si>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</si>
  <si>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</si>
  <si>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</si>
  <si>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</si>
  <si>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</si>
  <si>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</si>
  <si>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</si>
  <si>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</si>
  <si>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</si>
  <si>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</si>
  <si>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</si>
  <si>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</si>
  <si>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</si>
  <si>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</si>
  <si>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</si>
  <si>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</si>
  <si>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</si>
  <si>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</si>
  <si>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</si>
  <si>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</si>
  <si>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</si>
  <si>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</si>
  <si>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</si>
  <si>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</si>
  <si>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</si>
  <si>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</si>
  <si>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</si>
  <si>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</si>
  <si>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</si>
  <si>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</si>
  <si>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</si>
  <si>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</si>
  <si>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</si>
  <si>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</si>
  <si>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</si>
  <si>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</si>
  <si>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</si>
  <si>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</si>
  <si>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</si>
  <si>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</si>
  <si>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</si>
  <si>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</si>
  <si>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</si>
  <si>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</si>
  <si>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</si>
  <si>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</si>
  <si>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</si>
  <si>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</si>
  <si>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</si>
  <si>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</si>
  <si>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</si>
  <si>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</si>
  <si>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</si>
  <si>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</si>
  <si>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</si>
  <si>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</si>
  <si>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</si>
  <si>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</si>
  <si>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</si>
  <si>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</si>
  <si>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</si>
  <si>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</si>
  <si>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</si>
  <si>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</si>
  <si>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</si>
  <si>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</si>
  <si>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</si>
  <si>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</si>
  <si>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</si>
  <si>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</si>
  <si>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</si>
  <si>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</si>
  <si>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</si>
  <si>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</si>
  <si>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</si>
  <si>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</si>
  <si>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</si>
  <si>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</si>
  <si>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</si>
  <si>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</si>
  <si>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</si>
  <si>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</si>
  <si>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</si>
  <si>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</si>
  <si>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</si>
  <si>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</si>
  <si>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</si>
  <si>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</si>
  <si>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Source</t>
  </si>
  <si>
    <t>Seasonally adjusted</t>
  </si>
  <si>
    <t>Base year price</t>
  </si>
  <si>
    <t>Base year index</t>
  </si>
  <si>
    <t>Historical end year</t>
  </si>
  <si>
    <t>Historical end quarter</t>
  </si>
  <si>
    <t>Date of last update</t>
  </si>
  <si>
    <t>Source details</t>
  </si>
  <si>
    <t>Additional source details</t>
  </si>
  <si>
    <t>Location code</t>
  </si>
  <si>
    <t>Indicator code</t>
  </si>
  <si>
    <t>Databank code</t>
  </si>
  <si>
    <t>United Kingdom</t>
  </si>
  <si>
    <t>Average hours of work per week</t>
  </si>
  <si>
    <t>Hours per Week</t>
  </si>
  <si>
    <t>NA</t>
  </si>
  <si>
    <t>Level</t>
  </si>
  <si>
    <t>ONS\Haver Analytics</t>
  </si>
  <si>
    <t>YBUVQ@UK</t>
  </si>
  <si>
    <t>UK: LFS: Average Actual Weekly Hours Worked: All Workers (SA, Number)</t>
  </si>
  <si>
    <t>GBR</t>
  </si>
  <si>
    <t>AVHR</t>
  </si>
  <si>
    <t>Desktop</t>
  </si>
  <si>
    <t>Capital stock, real, LCU</t>
  </si>
  <si>
    <t>Pound</t>
  </si>
  <si>
    <t>Millions: chained 2023 prices</t>
  </si>
  <si>
    <t>Office for National Statistics\Haver Analytics</t>
  </si>
  <si>
    <t>chained 2023</t>
  </si>
  <si>
    <t>(MLR3A@UK-MLO9A@UK)*1000, interpolated</t>
  </si>
  <si>
    <t>(UK: Net Capital Stock: Assets (Bil.Chn.2023.GBP)  - UK: Net Capital Stock: Dwellings excluding Land (Bil.Chn.2023.GBP)) *1000, interpolated</t>
  </si>
  <si>
    <t>K</t>
  </si>
  <si>
    <t>Employment at the Nairu</t>
  </si>
  <si>
    <t>Person</t>
  </si>
  <si>
    <t>Thousands</t>
  </si>
  <si>
    <t>Oxford Economics estimate</t>
  </si>
  <si>
    <t>ESTAR</t>
  </si>
  <si>
    <t>Employment, aged 16 and over, ILO definition</t>
  </si>
  <si>
    <t>MGRZQ@UK</t>
  </si>
  <si>
    <t xml:space="preserve">UK: LFS: Employment: Aged 16 and Over (SA, Thous) </t>
  </si>
  <si>
    <t>ETILO</t>
  </si>
  <si>
    <t>GDP, nominal, LCU</t>
  </si>
  <si>
    <t>Millions</t>
  </si>
  <si>
    <t>YBHAQ@UK</t>
  </si>
  <si>
    <t xml:space="preserve">U.K.: Gross Domestic Product (SA, Mil.Pounds) </t>
  </si>
  <si>
    <t>GDP!</t>
  </si>
  <si>
    <t>GDP, real, LCU</t>
  </si>
  <si>
    <t>ABMIQ@UK</t>
  </si>
  <si>
    <t>U.K.: Real Gross Domestic Product (SA, Mil.Chn.2023.GBP)</t>
  </si>
  <si>
    <t>GDP</t>
  </si>
  <si>
    <t>Government debt, net, LCU</t>
  </si>
  <si>
    <t>HF6WQ@UK * 1000</t>
  </si>
  <si>
    <t>UK: Public Sector: Net Debt excluding Financial Interventions (NSA, Bil.GBP) * 1000</t>
  </si>
  <si>
    <t>GNDBT</t>
  </si>
  <si>
    <t>Nairu</t>
  </si>
  <si>
    <t>%</t>
  </si>
  <si>
    <t>The NAIRU</t>
  </si>
  <si>
    <t>NAIRU</t>
  </si>
  <si>
    <t>Output gap</t>
  </si>
  <si>
    <t>Oxford Economics calculation</t>
  </si>
  <si>
    <t>CUMOD</t>
  </si>
  <si>
    <t>Population of working age</t>
  </si>
  <si>
    <t>Office for National Statistics Population Estimates</t>
  </si>
  <si>
    <t>Calculated by Oxford Economics using ONS single-year population estimates. Allows for changing state pension age</t>
  </si>
  <si>
    <t>POPW</t>
  </si>
  <si>
    <t>Population, 15-64</t>
  </si>
  <si>
    <t>Office for National Statistics Mid-Year Population Estimates</t>
  </si>
  <si>
    <t>Population aged 15-64 aggregated from ONS mid-year population estimates</t>
  </si>
  <si>
    <t>POP15_64</t>
  </si>
  <si>
    <t>Population, total</t>
  </si>
  <si>
    <t>DYAYA@UK</t>
  </si>
  <si>
    <t xml:space="preserve">U.K.: Population: Midyear Estimates (Thous.Persons)  </t>
  </si>
  <si>
    <t>POP</t>
  </si>
  <si>
    <t>Potential output, LCU</t>
  </si>
  <si>
    <t>Potential output</t>
  </si>
  <si>
    <t>YHAT</t>
  </si>
  <si>
    <t>J5IIQ@UK</t>
  </si>
  <si>
    <t>UK: Public Sector Net Borrowing excluding Financial Interventions(NSA, Mil.GBP)</t>
  </si>
  <si>
    <t>Total factor productivity trend</t>
  </si>
  <si>
    <t>Number</t>
  </si>
  <si>
    <t>Ln(Potential output, LCU) - 0.65 * Ln(Labour supply * Average hours of work per week) - 0.3 * Ln( Years of schooling in population / Population, total) - 0.35 * Ln(Capital stock, real, LCU(-1))</t>
  </si>
  <si>
    <t>TREND</t>
  </si>
  <si>
    <t>Unemployment rate, ILO definition</t>
  </si>
  <si>
    <t>MGSXQ@UK</t>
  </si>
  <si>
    <t xml:space="preserve">UK: LFS: Unemployment Rate: Aged 16 and Over (SA, %) </t>
  </si>
  <si>
    <t>UPILO</t>
  </si>
  <si>
    <t>Total Years of Schooling in Population</t>
  </si>
  <si>
    <t>Years</t>
  </si>
  <si>
    <t>Barro R. &amp; J.W. Lee\Office for National Statistics Mid-Year Population Estimates</t>
  </si>
  <si>
    <t>EDUCAVE * POP15_64</t>
  </si>
  <si>
    <t>EDUC</t>
  </si>
  <si>
    <t>Public sector net borrowing</t>
  </si>
  <si>
    <t>PSNB</t>
  </si>
  <si>
    <t>UK</t>
  </si>
  <si>
    <t>L</t>
  </si>
  <si>
    <t>ESTAR * AVHR</t>
  </si>
  <si>
    <t>EDUC / POP15_64</t>
  </si>
  <si>
    <t>Contributions to growth</t>
  </si>
  <si>
    <t>Labour supply</t>
  </si>
  <si>
    <t>Human capital</t>
  </si>
  <si>
    <t>Capital stock</t>
  </si>
  <si>
    <t>Total factor productivity</t>
  </si>
  <si>
    <t>1990s</t>
  </si>
  <si>
    <t>2000s</t>
  </si>
  <si>
    <t>2010s</t>
  </si>
  <si>
    <t>2020s</t>
  </si>
  <si>
    <t>2030s</t>
  </si>
  <si>
    <t>2040s</t>
  </si>
  <si>
    <t>diff vs 10-19</t>
  </si>
  <si>
    <t>2020-30</t>
  </si>
  <si>
    <t>2030-40</t>
  </si>
  <si>
    <t>2040-50</t>
  </si>
  <si>
    <t>diff</t>
  </si>
  <si>
    <t>2050s</t>
  </si>
  <si>
    <t>2050-60</t>
  </si>
  <si>
    <t>Net inward migration</t>
  </si>
  <si>
    <t>OE (Feb26)</t>
  </si>
  <si>
    <t xml:space="preserve">Persons, thousands - population by broad age group, components of change and summary statistics [note 1] </t>
  </si>
  <si>
    <t>United Kingdom (UK)</t>
  </si>
  <si>
    <t>Principal projection</t>
  </si>
  <si>
    <t>This worksheet contains three tables presented vertically with one blank row between each table. Some cells refer to notes which can be found on the notes worksheet.</t>
  </si>
  <si>
    <t>Shorthand is used, z = not applicable</t>
  </si>
  <si>
    <t>Table 1: Projected population, components of change (to mid-year ending), Total Fertility Rate (TFR) and Expectation Of Life At Birth (EOLB) based on the mortality rates for the year</t>
  </si>
  <si>
    <t>Components</t>
  </si>
  <si>
    <t>2022 [note 2]</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</si>
  <si>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</si>
  <si>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</si>
  <si>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</si>
  <si>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</si>
  <si>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</si>
  <si>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</si>
  <si>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</si>
  <si>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</si>
  <si>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</si>
  <si>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</si>
  <si>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</si>
  <si>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</si>
  <si>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</si>
  <si>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</si>
  <si>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</si>
  <si>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</si>
  <si>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</si>
  <si>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</si>
  <si>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</si>
  <si>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</si>
  <si>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</si>
  <si>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</si>
  <si>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</si>
  <si>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</si>
  <si>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</si>
  <si>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</si>
  <si>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</si>
  <si>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</si>
  <si>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</si>
  <si>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</si>
  <si>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</si>
  <si>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</si>
  <si>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</si>
  <si>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</si>
  <si>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</si>
  <si>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</si>
  <si>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</si>
  <si>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</si>
  <si>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</si>
  <si>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</si>
  <si>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</si>
  <si>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</si>
  <si>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</si>
  <si>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</si>
  <si>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</si>
  <si>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</si>
  <si>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</si>
  <si>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</si>
  <si>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</si>
  <si>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</si>
  <si>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</si>
  <si>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</si>
  <si>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</si>
  <si>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</si>
  <si>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</si>
  <si>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</si>
  <si>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</si>
  <si>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</si>
  <si>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</si>
  <si>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</si>
  <si>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</si>
  <si>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</si>
  <si>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Population at start</t>
  </si>
  <si>
    <t>[z]</t>
  </si>
  <si>
    <t>Births</t>
  </si>
  <si>
    <t>Deaths</t>
  </si>
  <si>
    <t>Natural Change</t>
  </si>
  <si>
    <t>International migration inflows</t>
  </si>
  <si>
    <t>Cross border migration inflows [note 3]</t>
  </si>
  <si>
    <t>International migration outflows</t>
  </si>
  <si>
    <t>Cross border migration outflows [note 3]</t>
  </si>
  <si>
    <t>Net international migration</t>
  </si>
  <si>
    <t>Net cross border migration [note 3]</t>
  </si>
  <si>
    <t>Total change</t>
  </si>
  <si>
    <t>Population at end</t>
  </si>
  <si>
    <t>Annual growth value</t>
  </si>
  <si>
    <t>Total Fertility Rate (TFR)</t>
  </si>
  <si>
    <t>EOLB males</t>
  </si>
  <si>
    <t>EOLB females</t>
  </si>
  <si>
    <t>Table 2: Projected populations at mid-years by age last birthday</t>
  </si>
  <si>
    <t>Ages</t>
  </si>
  <si>
    <t>Ages 0 to 14</t>
  </si>
  <si>
    <t>Ages 15 to 29</t>
  </si>
  <si>
    <t>Ages 30 to 44</t>
  </si>
  <si>
    <t>Ages 45 to 59</t>
  </si>
  <si>
    <t>Ages 60 to 74</t>
  </si>
  <si>
    <t>Ages 75 and over</t>
  </si>
  <si>
    <t>All ages</t>
  </si>
  <si>
    <t>Mean age</t>
  </si>
  <si>
    <t>Median age</t>
  </si>
  <si>
    <t>Table 3: Children, working age population, pensionable age population and dependency ratios [note 4]</t>
  </si>
  <si>
    <t>Age groups</t>
  </si>
  <si>
    <t>Children</t>
  </si>
  <si>
    <t>Working age</t>
  </si>
  <si>
    <t>Pension age</t>
  </si>
  <si>
    <t>16 to 64 [note 5]</t>
  </si>
  <si>
    <t>65 and over [note 5]</t>
  </si>
  <si>
    <t>Children per 1,000 persons of working age</t>
  </si>
  <si>
    <t>Pension age per 1,000 persons of working age</t>
  </si>
  <si>
    <t>Total children and pension age per 1,000 persons of working age</t>
  </si>
  <si>
    <t>ONS migration category variant (Jan25)</t>
  </si>
  <si>
    <t>ONS principal projection (Jan25)</t>
  </si>
  <si>
    <t>Migration category variant</t>
  </si>
  <si>
    <t>Components of net inflows</t>
  </si>
  <si>
    <t>Inflows</t>
  </si>
  <si>
    <t>Outflows</t>
  </si>
  <si>
    <t>Net inflows</t>
  </si>
  <si>
    <t>Dates - inflows</t>
  </si>
  <si>
    <t>Dates - outflows</t>
  </si>
  <si>
    <t>EU+</t>
  </si>
  <si>
    <t>All reasons</t>
  </si>
  <si>
    <t>check</t>
  </si>
  <si>
    <t>Non-EU+</t>
  </si>
  <si>
    <t>Humanitarian</t>
  </si>
  <si>
    <t>Other</t>
  </si>
  <si>
    <t>Total</t>
  </si>
  <si>
    <t>Monthly applications for 'Skilled Worker', 'Health and Care Worker', 'Sponsored study', 'Seasonal Worker', 'Youth Mobility Scheme' and 'Family' visas, from January 2022 to December 2025 [Notes 1, 2, 3, 4, 5]</t>
  </si>
  <si>
    <t>Year</t>
  </si>
  <si>
    <t>Month</t>
  </si>
  <si>
    <t>Skilled Worker - Main applicants</t>
  </si>
  <si>
    <t>Skilled Worker - Dependants</t>
  </si>
  <si>
    <t>Health and Care Worker - Main applicants</t>
  </si>
  <si>
    <t>Health and Care Worker - Dependants</t>
  </si>
  <si>
    <t>Sponsored Study - Main applicants</t>
  </si>
  <si>
    <t>Sponsored Study - Dependants</t>
  </si>
  <si>
    <t>Seasonal Worker - Main applicants</t>
  </si>
  <si>
    <t>Youth Mobility Scheme - Main applicants</t>
  </si>
  <si>
    <t>Family - All applicants</t>
  </si>
  <si>
    <t>January</t>
  </si>
  <si>
    <t>February</t>
  </si>
  <si>
    <t>March</t>
  </si>
  <si>
    <t>April</t>
  </si>
  <si>
    <t>May</t>
  </si>
  <si>
    <t>June</t>
  </si>
  <si>
    <t>July</t>
  </si>
  <si>
    <t>August</t>
  </si>
  <si>
    <t>September</t>
  </si>
  <si>
    <t>October</t>
  </si>
  <si>
    <t>November</t>
  </si>
  <si>
    <t>December</t>
  </si>
  <si>
    <t>https://www.gov.uk/government/statistics/monthly-entry-clearance-visa-applications-december-2025</t>
  </si>
  <si>
    <t>q4</t>
  </si>
  <si>
    <t>h2</t>
  </si>
  <si>
    <t>q2</t>
  </si>
  <si>
    <t>total worker</t>
  </si>
  <si>
    <t>worker dependent</t>
  </si>
  <si>
    <t>British</t>
  </si>
  <si>
    <t>Outfflows</t>
  </si>
  <si>
    <t>Brit+EU++Non-eu+</t>
  </si>
  <si>
    <t>h1</t>
  </si>
  <si>
    <t>h2 25 vs h2 24</t>
  </si>
  <si>
    <t>h1 25 vs h1 24</t>
  </si>
  <si>
    <t>Net inflows check</t>
  </si>
  <si>
    <t>Dates - net</t>
  </si>
  <si>
    <t>Inflows aggregated</t>
  </si>
  <si>
    <t>Work</t>
  </si>
  <si>
    <t>Study</t>
  </si>
  <si>
    <t>Dependents</t>
  </si>
  <si>
    <t>Outflows aggregated</t>
  </si>
  <si>
    <t>FEB004G</t>
  </si>
  <si>
    <t>Back to contents</t>
  </si>
  <si>
    <t>1.1 GDP expenditure components (£ billion chain-linked volumes, seasonally adjusted)</t>
  </si>
  <si>
    <t xml:space="preserve"> </t>
  </si>
  <si>
    <t>Private consumption</t>
  </si>
  <si>
    <t>Government consumption</t>
  </si>
  <si>
    <t>Fixed investment</t>
  </si>
  <si>
    <t>Net acquisition of valuables</t>
  </si>
  <si>
    <t>Final domestic demand</t>
  </si>
  <si>
    <t>Change in inventories</t>
  </si>
  <si>
    <t>Total domestic demand</t>
  </si>
  <si>
    <t>Exports</t>
  </si>
  <si>
    <t>Total final expenditure</t>
  </si>
  <si>
    <t>Imports</t>
  </si>
  <si>
    <t>Statistical discrepancy</t>
  </si>
  <si>
    <t>Real GDP</t>
  </si>
  <si>
    <t>Non-oil GVA</t>
  </si>
  <si>
    <t>of which:</t>
  </si>
  <si>
    <t>Business investment</t>
  </si>
  <si>
    <t>Private dwellings</t>
  </si>
  <si>
    <t>General government</t>
  </si>
  <si>
    <t>Public corps dwellings</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</si>
  <si>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</si>
  <si>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</si>
  <si>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</si>
  <si>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</si>
  <si>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</si>
  <si>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</si>
  <si>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</si>
  <si>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</si>
  <si>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</si>
  <si>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</si>
  <si>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</si>
  <si>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</si>
  <si>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</si>
  <si>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</si>
  <si>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</si>
  <si>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</si>
  <si>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</si>
  <si>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</si>
  <si>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</si>
  <si>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</si>
  <si>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</si>
  <si>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</si>
  <si>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</si>
  <si>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</si>
  <si>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</si>
  <si>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</si>
  <si>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</si>
  <si>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</si>
  <si>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</si>
  <si>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</si>
  <si>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</si>
  <si>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</si>
  <si>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</si>
  <si>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</si>
  <si>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</si>
  <si>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</si>
  <si>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</si>
  <si>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</si>
  <si>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</si>
  <si>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</si>
  <si>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</si>
  <si>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</si>
  <si>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</si>
  <si>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</si>
  <si>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</si>
  <si>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</si>
  <si>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</si>
  <si>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</si>
  <si>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</si>
  <si>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</si>
  <si>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</si>
  <si>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</si>
  <si>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</si>
  <si>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</si>
  <si>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</si>
  <si>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</si>
  <si>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</si>
  <si>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</si>
  <si>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</si>
  <si>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</si>
  <si>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</si>
  <si>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</si>
  <si>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</si>
  <si>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</si>
  <si>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</si>
  <si>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</si>
  <si>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</si>
  <si>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</si>
  <si>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</si>
  <si>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</si>
  <si>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</si>
  <si>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</si>
  <si>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</si>
  <si>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</si>
  <si>
    <t>2026Q3</t>
  </si>
  <si>
    <t>2026Q4</t>
  </si>
  <si>
    <t>2027Q1</t>
  </si>
  <si>
    <t>2027Q2</t>
  </si>
  <si>
    <t>2027Q3</t>
  </si>
  <si>
    <t>2027Q4</t>
  </si>
  <si>
    <t>2028Q1</t>
  </si>
  <si>
    <t>2028Q2</t>
  </si>
  <si>
    <t>2028Q3</t>
  </si>
  <si>
    <t>2028Q4</t>
  </si>
  <si>
    <t>2029Q1</t>
  </si>
  <si>
    <t>2029Q2</t>
  </si>
  <si>
    <t>2029Q3</t>
  </si>
  <si>
    <t>2029Q4</t>
  </si>
  <si>
    <t>2030Q1</t>
  </si>
  <si>
    <t>2030Q2</t>
  </si>
  <si>
    <t>2030Q3</t>
  </si>
  <si>
    <t>2030Q4</t>
  </si>
  <si>
    <t>2031Q1</t>
  </si>
  <si>
    <t>2008-09</t>
  </si>
  <si>
    <t>2009-10</t>
  </si>
  <si>
    <t>2010-11</t>
  </si>
  <si>
    <t>2011-12</t>
  </si>
  <si>
    <t>2012-13</t>
  </si>
  <si>
    <t>2013-14</t>
  </si>
  <si>
    <t>2014-15</t>
  </si>
  <si>
    <t>2015-16</t>
  </si>
  <si>
    <t>2016-17</t>
  </si>
  <si>
    <t>2017-18</t>
  </si>
  <si>
    <t>2018-19</t>
  </si>
  <si>
    <t>2019-20</t>
  </si>
  <si>
    <t>2020-21</t>
  </si>
  <si>
    <t>2021-22</t>
  </si>
  <si>
    <t>2022-23</t>
  </si>
  <si>
    <t>2023-24</t>
  </si>
  <si>
    <t>2024-25</t>
  </si>
  <si>
    <t>2025-26</t>
  </si>
  <si>
    <t>2026-27</t>
  </si>
  <si>
    <t>2027-28</t>
  </si>
  <si>
    <t>2028-29</t>
  </si>
  <si>
    <t>2029-30</t>
  </si>
  <si>
    <t>2030-31</t>
  </si>
  <si>
    <t>Definitions:</t>
  </si>
  <si>
    <t>Household and non-profit institutions serving households final consumption expenditure (ONS Economic Accounts Table 1.1.2, identifier: ABJR + HAYO)</t>
  </si>
  <si>
    <t>General government final consumption (ONS Economic Accounts Table 1.1.2, identifier: NMRY)</t>
  </si>
  <si>
    <t>Total gross fixed capital formation (ONS Economic Accounts Table 1.1.2, identifier: NPQT)</t>
  </si>
  <si>
    <t>Business investment (ONS Economic Accounts Table 1.1.8, identifier: NPEL)</t>
  </si>
  <si>
    <t>Private sector investment in dwellings, including transfer costs (ONS Economic Accounts Table 1.1.8, identifier: L636 + L637)</t>
  </si>
  <si>
    <t>General government gross fixed capital formation (ONS Economic Accounts Table 1.1.8, identifier: DLWF)</t>
  </si>
  <si>
    <t>Public corporations investment in dwellings, including transfer costs (ONS Economic Accounts Table 1.1.8, identifier: L634 + L635)</t>
  </si>
  <si>
    <t>Net acquisitions of valuables (ONS Economic Accounts Table 1.1.2, identifier: NPJR)</t>
  </si>
  <si>
    <t>Final domestic demand is the sum of private consumption, government consumption, fixed investment and net acquisition of valuables</t>
  </si>
  <si>
    <t>Change in inventories (ONS Economic Accounts Table 1.1.2, identifier: CAFU)</t>
  </si>
  <si>
    <t>Total domestic demand is the sum of final domestic demand and change in inventories</t>
  </si>
  <si>
    <t>Total exports (ONS Economic Accounts Table 1.1.2, identifier: IKBK)</t>
  </si>
  <si>
    <t>Total final expenditure (ONS Economic Accounts Table 1.1.2, identifier: ABMG)</t>
  </si>
  <si>
    <t>Total imports (ONS Economic Accounts Table 1.1.2, identifier: IKBL)</t>
  </si>
  <si>
    <t>Statistical discrepancy GDP(E) (ONS Economic Accounts Table 1.1.2, identifier: GIXS)</t>
  </si>
  <si>
    <t>Gross domestic product at market prices (ONS Economic Accounts Table 1.1.2, identifier: ABMI)</t>
  </si>
  <si>
    <t>GDP forecast comparison</t>
  </si>
  <si>
    <t>Chart 2.25: Comparison of forecasts for real GDP</t>
  </si>
  <si>
    <t>Growth</t>
  </si>
  <si>
    <t>November 2025 forecast</t>
  </si>
  <si>
    <t>Bank of England</t>
  </si>
  <si>
    <t>External average</t>
  </si>
  <si>
    <t>Lowest in range of external forecasts</t>
  </si>
  <si>
    <t>Highest in range of external forecasts</t>
  </si>
  <si>
    <t>March 2025 forecast</t>
  </si>
  <si>
    <t>November external average</t>
  </si>
  <si>
    <t>Consensus</t>
  </si>
  <si>
    <t>OE</t>
  </si>
  <si>
    <t>OBR</t>
  </si>
  <si>
    <t>Consensus range</t>
  </si>
  <si>
    <t>Consensus low</t>
  </si>
  <si>
    <t>2026-2030</t>
  </si>
  <si>
    <t>pop in 2030</t>
  </si>
  <si>
    <t>Working age population</t>
  </si>
  <si>
    <t>Working age population (LHS)</t>
  </si>
  <si>
    <t>State pension age - males (RHS)</t>
  </si>
  <si>
    <t>State pension age - females (RHS)</t>
  </si>
  <si>
    <t>Rolling 10 year average</t>
  </si>
  <si>
    <t>ZERO LINE</t>
  </si>
  <si>
    <t>State pension age - males</t>
  </si>
  <si>
    <t>State pension age - females</t>
  </si>
  <si>
    <t>2015-2025</t>
  </si>
  <si>
    <t>2025-2035</t>
  </si>
  <si>
    <t>2035-2045</t>
  </si>
  <si>
    <t>2045-2055</t>
  </si>
  <si>
    <t>Inactivity</t>
  </si>
  <si>
    <t>Levels</t>
  </si>
  <si>
    <t>% of inactive</t>
  </si>
  <si>
    <t>LT sick</t>
  </si>
  <si>
    <t>LF2M@UK</t>
  </si>
  <si>
    <t>LF69@UK</t>
  </si>
  <si>
    <t>LF2S@UK</t>
  </si>
  <si>
    <t>199001 !M</t>
  </si>
  <si>
    <t>199001</t>
  </si>
  <si>
    <t>.DTLM</t>
  </si>
  <si>
    <t>.LSOURCE</t>
  </si>
  <si>
    <t>.TN</t>
  </si>
  <si>
    <t>.T1</t>
  </si>
  <si>
    <t>.DESC</t>
  </si>
  <si>
    <t>Jan-20-2026 07:05</t>
  </si>
  <si>
    <t>Office for National Statistics</t>
  </si>
  <si>
    <t>Oct-2025</t>
  </si>
  <si>
    <t>Feb-1971</t>
  </si>
  <si>
    <t>UK: LFS: Economically Inactive: Aged 16 to 64 (SA, Thous)</t>
  </si>
  <si>
    <t>Apr-1993</t>
  </si>
  <si>
    <t>UK: LFS: Economically Inactive: Long Term Sick (SA, Thous)</t>
  </si>
  <si>
    <t>UK: LFS: Economic Inactivity Rate: Aged 16 to 64 (SA, %)</t>
  </si>
  <si>
    <t>199002</t>
  </si>
  <si>
    <t>199003</t>
  </si>
  <si>
    <t>199004</t>
  </si>
  <si>
    <t>199005</t>
  </si>
  <si>
    <t>199006</t>
  </si>
  <si>
    <t>199007</t>
  </si>
  <si>
    <t>199008</t>
  </si>
  <si>
    <t>199009</t>
  </si>
  <si>
    <t>199010</t>
  </si>
  <si>
    <t>199011</t>
  </si>
  <si>
    <t>199012</t>
  </si>
  <si>
    <t>199101</t>
  </si>
  <si>
    <t>199102</t>
  </si>
  <si>
    <t>199103</t>
  </si>
  <si>
    <t>199104</t>
  </si>
  <si>
    <t>199105</t>
  </si>
  <si>
    <t>199106</t>
  </si>
  <si>
    <t>199107</t>
  </si>
  <si>
    <t>199108</t>
  </si>
  <si>
    <t>199109</t>
  </si>
  <si>
    <t>199110</t>
  </si>
  <si>
    <t>199111</t>
  </si>
  <si>
    <t>199112</t>
  </si>
  <si>
    <t>199201</t>
  </si>
  <si>
    <t>199202</t>
  </si>
  <si>
    <t>199203</t>
  </si>
  <si>
    <t>199204</t>
  </si>
  <si>
    <t>199205</t>
  </si>
  <si>
    <t>199206</t>
  </si>
  <si>
    <t>199207</t>
  </si>
  <si>
    <t>199208</t>
  </si>
  <si>
    <t>199209</t>
  </si>
  <si>
    <t>199210</t>
  </si>
  <si>
    <t>199211</t>
  </si>
  <si>
    <t>199212</t>
  </si>
  <si>
    <t>199301</t>
  </si>
  <si>
    <t>199302</t>
  </si>
  <si>
    <t>199303</t>
  </si>
  <si>
    <t>199304</t>
  </si>
  <si>
    <t>199305</t>
  </si>
  <si>
    <t>199306</t>
  </si>
  <si>
    <t>199307</t>
  </si>
  <si>
    <t>199308</t>
  </si>
  <si>
    <t>199309</t>
  </si>
  <si>
    <t>199310</t>
  </si>
  <si>
    <t>199311</t>
  </si>
  <si>
    <t>199312</t>
  </si>
  <si>
    <t>199401</t>
  </si>
  <si>
    <t>199402</t>
  </si>
  <si>
    <t>199403</t>
  </si>
  <si>
    <t>199404</t>
  </si>
  <si>
    <t>199405</t>
  </si>
  <si>
    <t>199406</t>
  </si>
  <si>
    <t>199407</t>
  </si>
  <si>
    <t>199408</t>
  </si>
  <si>
    <t>199409</t>
  </si>
  <si>
    <t>199410</t>
  </si>
  <si>
    <t>199411</t>
  </si>
  <si>
    <t>199412</t>
  </si>
  <si>
    <t>199501</t>
  </si>
  <si>
    <t>199502</t>
  </si>
  <si>
    <t>199503</t>
  </si>
  <si>
    <t>199504</t>
  </si>
  <si>
    <t>199505</t>
  </si>
  <si>
    <t>199506</t>
  </si>
  <si>
    <t>199507</t>
  </si>
  <si>
    <t>199508</t>
  </si>
  <si>
    <t>199509</t>
  </si>
  <si>
    <t>199510</t>
  </si>
  <si>
    <t>199511</t>
  </si>
  <si>
    <t>199512</t>
  </si>
  <si>
    <t>199601</t>
  </si>
  <si>
    <t>199602</t>
  </si>
  <si>
    <t>199603</t>
  </si>
  <si>
    <t>199604</t>
  </si>
  <si>
    <t>199605</t>
  </si>
  <si>
    <t>199606</t>
  </si>
  <si>
    <t>199607</t>
  </si>
  <si>
    <t>199608</t>
  </si>
  <si>
    <t>199609</t>
  </si>
  <si>
    <t>199610</t>
  </si>
  <si>
    <t>199611</t>
  </si>
  <si>
    <t>199612</t>
  </si>
  <si>
    <t>199701</t>
  </si>
  <si>
    <t>199702</t>
  </si>
  <si>
    <t>199703</t>
  </si>
  <si>
    <t>199704</t>
  </si>
  <si>
    <t>199705</t>
  </si>
  <si>
    <t>199706</t>
  </si>
  <si>
    <t>199707</t>
  </si>
  <si>
    <t>199708</t>
  </si>
  <si>
    <t>199709</t>
  </si>
  <si>
    <t>199710</t>
  </si>
  <si>
    <t>199711</t>
  </si>
  <si>
    <t>199712</t>
  </si>
  <si>
    <t>199801</t>
  </si>
  <si>
    <t>199802</t>
  </si>
  <si>
    <t>199803</t>
  </si>
  <si>
    <t>199804</t>
  </si>
  <si>
    <t>199805</t>
  </si>
  <si>
    <t>199806</t>
  </si>
  <si>
    <t>199807</t>
  </si>
  <si>
    <t>199808</t>
  </si>
  <si>
    <t>199809</t>
  </si>
  <si>
    <t>199810</t>
  </si>
  <si>
    <t>199811</t>
  </si>
  <si>
    <t>199812</t>
  </si>
  <si>
    <t>199901</t>
  </si>
  <si>
    <t>199902</t>
  </si>
  <si>
    <t>199903</t>
  </si>
  <si>
    <t>199904</t>
  </si>
  <si>
    <t>199905</t>
  </si>
  <si>
    <t>199906</t>
  </si>
  <si>
    <t>199907</t>
  </si>
  <si>
    <t>199908</t>
  </si>
  <si>
    <t>199909</t>
  </si>
  <si>
    <t>199910</t>
  </si>
  <si>
    <t>199911</t>
  </si>
  <si>
    <t>199912</t>
  </si>
  <si>
    <t>200001</t>
  </si>
  <si>
    <t>200002</t>
  </si>
  <si>
    <t>200003</t>
  </si>
  <si>
    <t>200004</t>
  </si>
  <si>
    <t>200005</t>
  </si>
  <si>
    <t>200006</t>
  </si>
  <si>
    <t>200007</t>
  </si>
  <si>
    <t>200008</t>
  </si>
  <si>
    <t>200009</t>
  </si>
  <si>
    <t>200010</t>
  </si>
  <si>
    <t>200011</t>
  </si>
  <si>
    <t>200012</t>
  </si>
  <si>
    <t>200101</t>
  </si>
  <si>
    <t>200102</t>
  </si>
  <si>
    <t>200103</t>
  </si>
  <si>
    <t>200104</t>
  </si>
  <si>
    <t>200105</t>
  </si>
  <si>
    <t>200106</t>
  </si>
  <si>
    <t>200107</t>
  </si>
  <si>
    <t>200108</t>
  </si>
  <si>
    <t>200109</t>
  </si>
  <si>
    <t>200110</t>
  </si>
  <si>
    <t>200111</t>
  </si>
  <si>
    <t>200112</t>
  </si>
  <si>
    <t>200201</t>
  </si>
  <si>
    <t>200202</t>
  </si>
  <si>
    <t>200203</t>
  </si>
  <si>
    <t>200204</t>
  </si>
  <si>
    <t>200205</t>
  </si>
  <si>
    <t>200206</t>
  </si>
  <si>
    <t>200207</t>
  </si>
  <si>
    <t>200208</t>
  </si>
  <si>
    <t>200209</t>
  </si>
  <si>
    <t>200210</t>
  </si>
  <si>
    <t>200211</t>
  </si>
  <si>
    <t>200212</t>
  </si>
  <si>
    <t>200301</t>
  </si>
  <si>
    <t>200302</t>
  </si>
  <si>
    <t>200303</t>
  </si>
  <si>
    <t>200304</t>
  </si>
  <si>
    <t>200305</t>
  </si>
  <si>
    <t>200306</t>
  </si>
  <si>
    <t>200307</t>
  </si>
  <si>
    <t>200308</t>
  </si>
  <si>
    <t>200309</t>
  </si>
  <si>
    <t>200310</t>
  </si>
  <si>
    <t>200311</t>
  </si>
  <si>
    <t>200312</t>
  </si>
  <si>
    <t>200401</t>
  </si>
  <si>
    <t>200402</t>
  </si>
  <si>
    <t>200403</t>
  </si>
  <si>
    <t>200404</t>
  </si>
  <si>
    <t>200405</t>
  </si>
  <si>
    <t>200406</t>
  </si>
  <si>
    <t>200407</t>
  </si>
  <si>
    <t>200408</t>
  </si>
  <si>
    <t>200409</t>
  </si>
  <si>
    <t>200410</t>
  </si>
  <si>
    <t>200411</t>
  </si>
  <si>
    <t>200412</t>
  </si>
  <si>
    <t>200501</t>
  </si>
  <si>
    <t>200502</t>
  </si>
  <si>
    <t>200503</t>
  </si>
  <si>
    <t>200504</t>
  </si>
  <si>
    <t>200505</t>
  </si>
  <si>
    <t>200506</t>
  </si>
  <si>
    <t>200507</t>
  </si>
  <si>
    <t>200508</t>
  </si>
  <si>
    <t>200509</t>
  </si>
  <si>
    <t>200510</t>
  </si>
  <si>
    <t>200511</t>
  </si>
  <si>
    <t>200512</t>
  </si>
  <si>
    <t>200601</t>
  </si>
  <si>
    <t>200602</t>
  </si>
  <si>
    <t>200603</t>
  </si>
  <si>
    <t>200604</t>
  </si>
  <si>
    <t>200605</t>
  </si>
  <si>
    <t>200606</t>
  </si>
  <si>
    <t>200607</t>
  </si>
  <si>
    <t>200608</t>
  </si>
  <si>
    <t>200609</t>
  </si>
  <si>
    <t>200610</t>
  </si>
  <si>
    <t>200611</t>
  </si>
  <si>
    <t>200612</t>
  </si>
  <si>
    <t>200701</t>
  </si>
  <si>
    <t>200702</t>
  </si>
  <si>
    <t>200703</t>
  </si>
  <si>
    <t>200704</t>
  </si>
  <si>
    <t>200705</t>
  </si>
  <si>
    <t>200706</t>
  </si>
  <si>
    <t>200707</t>
  </si>
  <si>
    <t>200708</t>
  </si>
  <si>
    <t>200709</t>
  </si>
  <si>
    <t>200710</t>
  </si>
  <si>
    <t>200711</t>
  </si>
  <si>
    <t>200712</t>
  </si>
  <si>
    <t>200801</t>
  </si>
  <si>
    <t>200802</t>
  </si>
  <si>
    <t>200803</t>
  </si>
  <si>
    <t>200804</t>
  </si>
  <si>
    <t>200805</t>
  </si>
  <si>
    <t>200806</t>
  </si>
  <si>
    <t>200807</t>
  </si>
  <si>
    <t>200808</t>
  </si>
  <si>
    <t>200809</t>
  </si>
  <si>
    <t>200810</t>
  </si>
  <si>
    <t>200811</t>
  </si>
  <si>
    <t>200812</t>
  </si>
  <si>
    <t>200901</t>
  </si>
  <si>
    <t>200902</t>
  </si>
  <si>
    <t>200903</t>
  </si>
  <si>
    <t>200904</t>
  </si>
  <si>
    <t>200905</t>
  </si>
  <si>
    <t>200906</t>
  </si>
  <si>
    <t>200907</t>
  </si>
  <si>
    <t>200908</t>
  </si>
  <si>
    <t>200909</t>
  </si>
  <si>
    <t>200910</t>
  </si>
  <si>
    <t>200911</t>
  </si>
  <si>
    <t>200912</t>
  </si>
  <si>
    <t>201001</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</si>
  <si>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</si>
  <si>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</si>
  <si>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</si>
  <si>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</si>
  <si>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</si>
  <si>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</si>
  <si>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</si>
  <si>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</si>
  <si>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</si>
  <si>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</si>
  <si>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</si>
  <si>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</si>
  <si>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</si>
  <si>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</si>
  <si>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</si>
  <si>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</si>
  <si>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</si>
  <si>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</si>
  <si>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</si>
  <si>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</si>
  <si>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</si>
  <si>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</si>
  <si>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</si>
  <si>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201201</t>
  </si>
  <si>
    <t>201202</t>
  </si>
  <si>
    <t>201203</t>
  </si>
  <si>
    <t>201204</t>
  </si>
  <si>
    <t>201205</t>
  </si>
  <si>
    <t>201206</t>
  </si>
  <si>
    <t>201207</t>
  </si>
  <si>
    <t>201208</t>
  </si>
  <si>
    <t>201209</t>
  </si>
  <si>
    <t>201210</t>
  </si>
  <si>
    <t>201211</t>
  </si>
  <si>
    <t>201212</t>
  </si>
  <si>
    <t>201301</t>
  </si>
  <si>
    <t>201302</t>
  </si>
  <si>
    <t>201303</t>
  </si>
  <si>
    <t>201304</t>
  </si>
  <si>
    <t>201305</t>
  </si>
  <si>
    <t>201306</t>
  </si>
  <si>
    <t>201307</t>
  </si>
  <si>
    <t>201308</t>
  </si>
  <si>
    <t>201309</t>
  </si>
  <si>
    <t>201310</t>
  </si>
  <si>
    <t>201311</t>
  </si>
  <si>
    <t>201312</t>
  </si>
  <si>
    <t>201401</t>
  </si>
  <si>
    <t>201402</t>
  </si>
  <si>
    <t>201403</t>
  </si>
  <si>
    <t>201404</t>
  </si>
  <si>
    <t>201405</t>
  </si>
  <si>
    <t>201406</t>
  </si>
  <si>
    <t>201407</t>
  </si>
  <si>
    <t>201408</t>
  </si>
  <si>
    <t>201409</t>
  </si>
  <si>
    <t>201410</t>
  </si>
  <si>
    <t>201411</t>
  </si>
  <si>
    <t>201412</t>
  </si>
  <si>
    <t>201501</t>
  </si>
  <si>
    <t>201502</t>
  </si>
  <si>
    <t>201503</t>
  </si>
  <si>
    <t>201504</t>
  </si>
  <si>
    <t>201505</t>
  </si>
  <si>
    <t>201506</t>
  </si>
  <si>
    <t>201507</t>
  </si>
  <si>
    <t>201508</t>
  </si>
  <si>
    <t>201509</t>
  </si>
  <si>
    <t>201510</t>
  </si>
  <si>
    <t>201511</t>
  </si>
  <si>
    <t>201512</t>
  </si>
  <si>
    <t>201601</t>
  </si>
  <si>
    <t>201602</t>
  </si>
  <si>
    <t>201603</t>
  </si>
  <si>
    <t>201604</t>
  </si>
  <si>
    <t>201605</t>
  </si>
  <si>
    <t>201606</t>
  </si>
  <si>
    <t>201607</t>
  </si>
  <si>
    <t>201608</t>
  </si>
  <si>
    <t>201609</t>
  </si>
  <si>
    <t>201610</t>
  </si>
  <si>
    <t>201611</t>
  </si>
  <si>
    <t>201612</t>
  </si>
  <si>
    <t>201701</t>
  </si>
  <si>
    <t>201702</t>
  </si>
  <si>
    <t>201703</t>
  </si>
  <si>
    <t>201704</t>
  </si>
  <si>
    <t>201705</t>
  </si>
  <si>
    <t>201706</t>
  </si>
  <si>
    <t>201707</t>
  </si>
  <si>
    <t>201708</t>
  </si>
  <si>
    <t>201709</t>
  </si>
  <si>
    <t>201710</t>
  </si>
  <si>
    <t>201711</t>
  </si>
  <si>
    <t>201712</t>
  </si>
  <si>
    <t>201801</t>
  </si>
  <si>
    <t>201802</t>
  </si>
  <si>
    <t>201803</t>
  </si>
  <si>
    <t>201804</t>
  </si>
  <si>
    <t>201805</t>
  </si>
  <si>
    <t>201806</t>
  </si>
  <si>
    <t>201807</t>
  </si>
  <si>
    <t>201808</t>
  </si>
  <si>
    <t>201809</t>
  </si>
  <si>
    <t>201810</t>
  </si>
  <si>
    <t>201811</t>
  </si>
  <si>
    <t>201812</t>
  </si>
  <si>
    <t>201901</t>
  </si>
  <si>
    <t>201902</t>
  </si>
  <si>
    <t>201903</t>
  </si>
  <si>
    <t>201904</t>
  </si>
  <si>
    <t>201905</t>
  </si>
  <si>
    <t>201906</t>
  </si>
  <si>
    <t>201907</t>
  </si>
  <si>
    <t>201908</t>
  </si>
  <si>
    <t>201909</t>
  </si>
  <si>
    <t>201910</t>
  </si>
  <si>
    <t>201911</t>
  </si>
  <si>
    <t>201912</t>
  </si>
  <si>
    <t>202001</t>
  </si>
  <si>
    <t>202002</t>
  </si>
  <si>
    <t>202003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</si>
  <si>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</si>
  <si>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</si>
  <si>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</si>
  <si>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</si>
  <si>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</si>
  <si>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</si>
  <si>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</si>
  <si>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</si>
  <si>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</si>
  <si>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</si>
  <si>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</si>
  <si>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</si>
  <si>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</si>
  <si>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</si>
  <si>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</si>
  <si>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</si>
  <si>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</si>
  <si>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</si>
  <si>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</si>
  <si>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</si>
  <si>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</si>
  <si>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</si>
  <si>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</si>
  <si>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</si>
  <si>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202204</t>
  </si>
  <si>
    <t>202205</t>
  </si>
  <si>
    <t>202206</t>
  </si>
  <si>
    <t>202207</t>
  </si>
  <si>
    <t>202208</t>
  </si>
  <si>
    <t>202209</t>
  </si>
  <si>
    <t>202210</t>
  </si>
  <si>
    <t>202211</t>
  </si>
  <si>
    <t>202212</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</si>
  <si>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</si>
  <si>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</si>
  <si>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</si>
  <si>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</si>
  <si>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</si>
  <si>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</si>
  <si>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</si>
  <si>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</si>
  <si>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</si>
  <si>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</si>
  <si>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</si>
  <si>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</si>
  <si>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</si>
  <si>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</si>
  <si>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</si>
  <si>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</si>
  <si>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</si>
  <si>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</si>
  <si>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</si>
  <si>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</si>
  <si>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</si>
  <si>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</si>
  <si>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</si>
  <si>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</si>
  <si>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</si>
  <si>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</si>
  <si>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</si>
  <si>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</si>
  <si>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</si>
  <si>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</si>
  <si>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</si>
  <si>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</si>
  <si>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</si>
  <si>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</si>
  <si>
    <t>Average 1993-2025</t>
  </si>
  <si>
    <t>Sex</t>
  </si>
  <si>
    <t>Age</t>
  </si>
  <si>
    <t>Females</t>
  </si>
  <si>
    <t>105 - 109</t>
  </si>
  <si>
    <t>110 and over</t>
  </si>
  <si>
    <t>Males</t>
  </si>
  <si>
    <t>Age profile of population</t>
  </si>
  <si>
    <t>0-15</t>
  </si>
  <si>
    <t>16-64</t>
  </si>
  <si>
    <t>65+</t>
  </si>
  <si>
    <t>A4YMQ@UK</t>
  </si>
  <si>
    <t>19701</t>
  </si>
  <si>
    <t>Nov-13-2025 11:32</t>
  </si>
  <si>
    <t>Q2-2025</t>
  </si>
  <si>
    <t>Q3-1959</t>
  </si>
  <si>
    <t>UK: Output per Worker: Whole Economy (SA, 2023=100)</t>
  </si>
  <si>
    <t>19702</t>
  </si>
  <si>
    <t>19703</t>
  </si>
  <si>
    <t>19704</t>
  </si>
  <si>
    <t>19711</t>
  </si>
  <si>
    <t>19712</t>
  </si>
  <si>
    <t>19713</t>
  </si>
  <si>
    <t>19714</t>
  </si>
  <si>
    <t>19721</t>
  </si>
  <si>
    <t>19722</t>
  </si>
  <si>
    <t>19723</t>
  </si>
  <si>
    <t>19724</t>
  </si>
  <si>
    <t>19731</t>
  </si>
  <si>
    <t>19732</t>
  </si>
  <si>
    <t>19733</t>
  </si>
  <si>
    <t>19734</t>
  </si>
  <si>
    <t>19741</t>
  </si>
  <si>
    <t>19742</t>
  </si>
  <si>
    <t>19743</t>
  </si>
  <si>
    <t>19744</t>
  </si>
  <si>
    <t>19751</t>
  </si>
  <si>
    <t>19752</t>
  </si>
  <si>
    <t>19753</t>
  </si>
  <si>
    <t>19754</t>
  </si>
  <si>
    <t>19761</t>
  </si>
  <si>
    <t>19762</t>
  </si>
  <si>
    <t>19763</t>
  </si>
  <si>
    <t>19764</t>
  </si>
  <si>
    <t>19771</t>
  </si>
  <si>
    <t>19772</t>
  </si>
  <si>
    <t>19773</t>
  </si>
  <si>
    <t>19774</t>
  </si>
  <si>
    <t>19781</t>
  </si>
  <si>
    <t>19782</t>
  </si>
  <si>
    <t>19783</t>
  </si>
  <si>
    <t>19784</t>
  </si>
  <si>
    <t>19791</t>
  </si>
  <si>
    <t>19792</t>
  </si>
  <si>
    <t>19793</t>
  </si>
  <si>
    <t>19794</t>
  </si>
  <si>
    <t>19801</t>
  </si>
  <si>
    <t>19802</t>
  </si>
  <si>
    <t>19803</t>
  </si>
  <si>
    <t>19804</t>
  </si>
  <si>
    <t>19811</t>
  </si>
  <si>
    <t>19812</t>
  </si>
  <si>
    <t>19813</t>
  </si>
  <si>
    <t>19814</t>
  </si>
  <si>
    <t>19821</t>
  </si>
  <si>
    <t>19822</t>
  </si>
  <si>
    <t>19823</t>
  </si>
  <si>
    <t>19824</t>
  </si>
  <si>
    <t>19831</t>
  </si>
  <si>
    <t>19832</t>
  </si>
  <si>
    <t>19833</t>
  </si>
  <si>
    <t>19834</t>
  </si>
  <si>
    <t>19841</t>
  </si>
  <si>
    <t>19842</t>
  </si>
  <si>
    <t>19843</t>
  </si>
  <si>
    <t>19844</t>
  </si>
  <si>
    <t>19851</t>
  </si>
  <si>
    <t>19852</t>
  </si>
  <si>
    <t>19853</t>
  </si>
  <si>
    <t>19854</t>
  </si>
  <si>
    <t>19861</t>
  </si>
  <si>
    <t>19862</t>
  </si>
  <si>
    <t>19863</t>
  </si>
  <si>
    <t>19864</t>
  </si>
  <si>
    <t>19871</t>
  </si>
  <si>
    <t>19872</t>
  </si>
  <si>
    <t>19873</t>
  </si>
  <si>
    <t>19874</t>
  </si>
  <si>
    <t>19881</t>
  </si>
  <si>
    <t>19882</t>
  </si>
  <si>
    <t>19883</t>
  </si>
  <si>
    <t>19884</t>
  </si>
  <si>
    <t>19891</t>
  </si>
  <si>
    <t>19892</t>
  </si>
  <si>
    <t>19893</t>
  </si>
  <si>
    <t>19894</t>
  </si>
  <si>
    <t>19901</t>
  </si>
  <si>
    <t>19902</t>
  </si>
  <si>
    <t>19903</t>
  </si>
  <si>
    <t>19904</t>
  </si>
  <si>
    <t>19911</t>
  </si>
  <si>
    <t>19912</t>
  </si>
  <si>
    <t>19913</t>
  </si>
  <si>
    <t>19914</t>
  </si>
  <si>
    <t>19921</t>
  </si>
  <si>
    <t>19922</t>
  </si>
  <si>
    <t>19923</t>
  </si>
  <si>
    <t>19924</t>
  </si>
  <si>
    <t>19931</t>
  </si>
  <si>
    <t>19932</t>
  </si>
  <si>
    <t>19933</t>
  </si>
  <si>
    <t>19934</t>
  </si>
  <si>
    <t>19941</t>
  </si>
  <si>
    <t>19942</t>
  </si>
  <si>
    <t>19943</t>
  </si>
  <si>
    <t>19944</t>
  </si>
  <si>
    <t>19951</t>
  </si>
  <si>
    <t>19952</t>
  </si>
  <si>
    <t>19953</t>
  </si>
  <si>
    <t>19954</t>
  </si>
  <si>
    <t>19961</t>
  </si>
  <si>
    <t>19962</t>
  </si>
  <si>
    <t>19963</t>
  </si>
  <si>
    <t>19964</t>
  </si>
  <si>
    <t>19971</t>
  </si>
  <si>
    <t>19972</t>
  </si>
  <si>
    <t>19973</t>
  </si>
  <si>
    <t>19974</t>
  </si>
  <si>
    <t>19981</t>
  </si>
  <si>
    <t>19982</t>
  </si>
  <si>
    <t>19983</t>
  </si>
  <si>
    <t>19984</t>
  </si>
  <si>
    <t>19991</t>
  </si>
  <si>
    <t>19992</t>
  </si>
  <si>
    <t>19993</t>
  </si>
  <si>
    <t>19994</t>
  </si>
  <si>
    <t>20001</t>
  </si>
  <si>
    <t>20002</t>
  </si>
  <si>
    <t>20003</t>
  </si>
  <si>
    <t>20004</t>
  </si>
  <si>
    <t>20011</t>
  </si>
  <si>
    <t>20012</t>
  </si>
  <si>
    <t>20013</t>
  </si>
  <si>
    <t>20014</t>
  </si>
  <si>
    <t>20021</t>
  </si>
  <si>
    <t>20022</t>
  </si>
  <si>
    <t>20023</t>
  </si>
  <si>
    <t>20024</t>
  </si>
  <si>
    <t>20031</t>
  </si>
  <si>
    <t>20032</t>
  </si>
  <si>
    <t>20033</t>
  </si>
  <si>
    <t>20034</t>
  </si>
  <si>
    <t>20041</t>
  </si>
  <si>
    <t>20042</t>
  </si>
  <si>
    <t>20043</t>
  </si>
  <si>
    <t>20044</t>
  </si>
  <si>
    <t>20051</t>
  </si>
  <si>
    <t>20052</t>
  </si>
  <si>
    <t>20053</t>
  </si>
  <si>
    <t>20054</t>
  </si>
  <si>
    <t>20061</t>
  </si>
  <si>
    <t>20062</t>
  </si>
  <si>
    <t>20063</t>
  </si>
  <si>
    <t>20064</t>
  </si>
  <si>
    <t>20071</t>
  </si>
  <si>
    <t>20072</t>
  </si>
  <si>
    <t>20073</t>
  </si>
  <si>
    <t>20074</t>
  </si>
  <si>
    <t>20081</t>
  </si>
  <si>
    <t>20082</t>
  </si>
  <si>
    <t>20083</t>
  </si>
  <si>
    <t>20084</t>
  </si>
  <si>
    <t>20091</t>
  </si>
  <si>
    <t>20092</t>
  </si>
  <si>
    <t>20093</t>
  </si>
  <si>
    <t>20094</t>
  </si>
  <si>
    <t>20101</t>
  </si>
  <si>
    <t>20102</t>
  </si>
  <si>
    <t>20103</t>
  </si>
  <si>
    <t>20104</t>
  </si>
  <si>
    <t>20111</t>
  </si>
  <si>
    <t>20112</t>
  </si>
  <si>
    <t>20113</t>
  </si>
  <si>
    <t>20114</t>
  </si>
  <si>
    <t>20121</t>
  </si>
  <si>
    <t>20122</t>
  </si>
  <si>
    <t>20123</t>
  </si>
  <si>
    <t>20124</t>
  </si>
  <si>
    <t>20131</t>
  </si>
  <si>
    <t>20132</t>
  </si>
  <si>
    <t>20133</t>
  </si>
  <si>
    <t>20134</t>
  </si>
  <si>
    <t>20141</t>
  </si>
  <si>
    <t>20142</t>
  </si>
  <si>
    <t>20143</t>
  </si>
  <si>
    <t>20144</t>
  </si>
  <si>
    <t>20151</t>
  </si>
  <si>
    <t>20152</t>
  </si>
  <si>
    <t>20153</t>
  </si>
  <si>
    <t>20154</t>
  </si>
  <si>
    <t>20161</t>
  </si>
  <si>
    <t>20162</t>
  </si>
  <si>
    <t>20163</t>
  </si>
  <si>
    <t>20164</t>
  </si>
  <si>
    <t>20171</t>
  </si>
  <si>
    <t>20172</t>
  </si>
  <si>
    <t>20173</t>
  </si>
  <si>
    <t>20174</t>
  </si>
  <si>
    <t>20181</t>
  </si>
  <si>
    <t>20182</t>
  </si>
  <si>
    <t>20183</t>
  </si>
  <si>
    <t>20184</t>
  </si>
  <si>
    <t>20191</t>
  </si>
  <si>
    <t>20192</t>
  </si>
  <si>
    <t>20193</t>
  </si>
  <si>
    <t>20194</t>
  </si>
  <si>
    <t>20201</t>
  </si>
  <si>
    <t>20202</t>
  </si>
  <si>
    <t>20203</t>
  </si>
  <si>
    <t>20204</t>
  </si>
  <si>
    <t>20211</t>
  </si>
  <si>
    <t>20212</t>
  </si>
  <si>
    <t>20213</t>
  </si>
  <si>
    <t>20214</t>
  </si>
  <si>
    <t>20221</t>
  </si>
  <si>
    <t>20222</t>
  </si>
  <si>
    <t>20223</t>
  </si>
  <si>
    <t>20224</t>
  </si>
  <si>
    <t>20231</t>
  </si>
  <si>
    <t>20232</t>
  </si>
  <si>
    <t>20233</t>
  </si>
  <si>
    <t>20234</t>
  </si>
  <si>
    <t>20241</t>
  </si>
  <si>
    <t>20242</t>
  </si>
  <si>
    <t>20243</t>
  </si>
  <si>
    <t>20244</t>
  </si>
  <si>
    <t>20251</t>
  </si>
  <si>
    <t>20252</t>
  </si>
  <si>
    <t>Output per worker long-term (5yr ma)</t>
  </si>
  <si>
    <t>2008-2019 average</t>
  </si>
  <si>
    <t>Pre-GFC trend calc</t>
  </si>
  <si>
    <t>GFC-pandemic</t>
  </si>
  <si>
    <t>y/y</t>
  </si>
  <si>
    <t>q/q</t>
  </si>
  <si>
    <t>Pandemic-now</t>
  </si>
  <si>
    <t>19601 !Q</t>
  </si>
  <si>
    <t>19601</t>
  </si>
  <si>
    <t>19602</t>
  </si>
  <si>
    <t>19603</t>
  </si>
  <si>
    <t>19604</t>
  </si>
  <si>
    <t>19611</t>
  </si>
  <si>
    <t>19612</t>
  </si>
  <si>
    <t>19613</t>
  </si>
  <si>
    <t>19614</t>
  </si>
  <si>
    <t>19621</t>
  </si>
  <si>
    <t>19622</t>
  </si>
  <si>
    <t>19623</t>
  </si>
  <si>
    <t>19624</t>
  </si>
  <si>
    <t>19631</t>
  </si>
  <si>
    <t>19632</t>
  </si>
  <si>
    <t>19633</t>
  </si>
  <si>
    <t>19634</t>
  </si>
  <si>
    <t>19641</t>
  </si>
  <si>
    <t>19642</t>
  </si>
  <si>
    <t>19643</t>
  </si>
  <si>
    <t>19644</t>
  </si>
  <si>
    <t>19651</t>
  </si>
  <si>
    <t>19652</t>
  </si>
  <si>
    <t>19653</t>
  </si>
  <si>
    <t>19654</t>
  </si>
  <si>
    <t>19661</t>
  </si>
  <si>
    <t>19662</t>
  </si>
  <si>
    <t>19663</t>
  </si>
  <si>
    <t>19664</t>
  </si>
  <si>
    <t>19671</t>
  </si>
  <si>
    <t>19672</t>
  </si>
  <si>
    <t>19673</t>
  </si>
  <si>
    <t>19674</t>
  </si>
  <si>
    <t>19681</t>
  </si>
  <si>
    <t>19682</t>
  </si>
  <si>
    <t>19683</t>
  </si>
  <si>
    <t>19684</t>
  </si>
  <si>
    <t>19691</t>
  </si>
  <si>
    <t>19692</t>
  </si>
  <si>
    <t>19693</t>
  </si>
  <si>
    <t>19694</t>
  </si>
  <si>
    <t>1970-2007 average</t>
  </si>
  <si>
    <t>10-year moving average</t>
  </si>
  <si>
    <t>5-year moving average</t>
  </si>
  <si>
    <t>OBR (Nov25)</t>
  </si>
  <si>
    <t>Chart 2.8: Net migration</t>
  </si>
  <si>
    <t xml:space="preserve">Revised Outturn </t>
  </si>
  <si>
    <t>4.3 Consistent historical RDEL and CDEL series</t>
  </si>
  <si>
    <t>Outturn</t>
  </si>
  <si>
    <t>Forecast</t>
  </si>
  <si>
    <t>2007-08</t>
  </si>
  <si>
    <t>PSCE in RDEL adjusted to remove historical discontinuities</t>
  </si>
  <si>
    <t>PSCE in RDEL (£ billion)</t>
  </si>
  <si>
    <t>PSCE in RDEL (£ billion, 2025-26 prices)</t>
  </si>
  <si>
    <t>Real PSCE in RDEL growth rate (per cent)</t>
  </si>
  <si>
    <t>PSCE in RDEL (per cent of GDP)</t>
  </si>
  <si>
    <t>Real PSCE in RDEL per capita</t>
  </si>
  <si>
    <t>PSGI in CDEL adjusted to remove historical discontinuities</t>
  </si>
  <si>
    <t>PSGI in CDEL (£ billion)</t>
  </si>
  <si>
    <t>PSGI in CDEL (£ billion, 2025-26 prices)</t>
  </si>
  <si>
    <t>Real PSGI in CDEL growth rate (per cent)</t>
  </si>
  <si>
    <t>PSGI in CDEL (per cent of GDP)</t>
  </si>
  <si>
    <t>Real PSGI in CDEL per capita</t>
  </si>
  <si>
    <t>Unadjusted aggregate spending series (£ billion)</t>
  </si>
  <si>
    <t>PSCE in RDEL</t>
  </si>
  <si>
    <t>PSGI in CDEL</t>
  </si>
  <si>
    <t>TME in DEL</t>
  </si>
  <si>
    <t>PSCE in AME</t>
  </si>
  <si>
    <r>
      <t>PSGI in AME</t>
    </r>
    <r>
      <rPr>
        <vertAlign val="superscript"/>
        <sz val="10"/>
        <color indexed="8"/>
        <rFont val="Calibri"/>
        <family val="2"/>
      </rPr>
      <t>1</t>
    </r>
  </si>
  <si>
    <r>
      <t>TME in AME</t>
    </r>
    <r>
      <rPr>
        <vertAlign val="superscript"/>
        <sz val="10"/>
        <color indexed="8"/>
        <rFont val="Calibri"/>
        <family val="2"/>
      </rPr>
      <t>1</t>
    </r>
  </si>
  <si>
    <t>PSCE</t>
  </si>
  <si>
    <r>
      <t>PSGI</t>
    </r>
    <r>
      <rPr>
        <vertAlign val="superscript"/>
        <sz val="10"/>
        <color indexed="8"/>
        <rFont val="Calibri"/>
        <family val="2"/>
      </rPr>
      <t>1</t>
    </r>
  </si>
  <si>
    <r>
      <t>TME</t>
    </r>
    <r>
      <rPr>
        <vertAlign val="superscript"/>
        <sz val="10"/>
        <color indexed="8"/>
        <rFont val="Calibri"/>
        <family val="2"/>
      </rPr>
      <t>1</t>
    </r>
  </si>
  <si>
    <t>Nominal GDP, GDP deflator and population figures</t>
  </si>
  <si>
    <t>Nominal GDP (£ billion)</t>
  </si>
  <si>
    <t>GDP deflator</t>
  </si>
  <si>
    <t>Estimates</t>
  </si>
  <si>
    <t>Projections</t>
  </si>
  <si>
    <t>Population (thousand)</t>
  </si>
  <si>
    <t>Note: This table removes series discontinuities, where possible, so that the adjusted historical series are consistent with the latest forecast. This includes the major ONS classification changes and Treasury policy decisions to switch spending between DEL and AME.</t>
  </si>
  <si>
    <r>
      <rPr>
        <vertAlign val="superscript"/>
        <sz val="8"/>
        <color indexed="8"/>
        <rFont val="Calibri"/>
        <family val="2"/>
      </rPr>
      <t>1</t>
    </r>
    <r>
      <rPr>
        <sz val="8"/>
        <color indexed="8"/>
        <rFont val="Calibri"/>
        <family val="2"/>
      </rPr>
      <t xml:space="preserve"> Excluding the one-off adjustment for Royal Mail transfers in 2012-13.</t>
    </r>
  </si>
  <si>
    <t>Population</t>
  </si>
  <si>
    <t>Diff 2030</t>
  </si>
  <si>
    <t>OBR Fys</t>
  </si>
  <si>
    <t>1.15 Potential output forecast</t>
  </si>
  <si>
    <t>Growth rates</t>
  </si>
  <si>
    <r>
      <t>Potential output</t>
    </r>
    <r>
      <rPr>
        <vertAlign val="superscript"/>
        <sz val="12"/>
        <color indexed="8"/>
        <rFont val="Calibri"/>
        <family val="2"/>
      </rPr>
      <t xml:space="preserve">1 </t>
    </r>
    <r>
      <rPr>
        <sz val="12"/>
        <color indexed="8"/>
        <rFont val="Calibri"/>
        <family val="2"/>
      </rPr>
      <t>(£m)</t>
    </r>
  </si>
  <si>
    <t>Population (16+)</t>
  </si>
  <si>
    <r>
      <t xml:space="preserve"> Potential employment rate</t>
    </r>
    <r>
      <rPr>
        <vertAlign val="superscript"/>
        <sz val="12"/>
        <color indexed="8"/>
        <rFont val="Calibri"/>
        <family val="2"/>
      </rPr>
      <t>2</t>
    </r>
    <r>
      <rPr>
        <sz val="12"/>
        <color indexed="8"/>
        <rFont val="Calibri"/>
        <family val="2"/>
      </rPr>
      <t xml:space="preserve"> (16+)</t>
    </r>
  </si>
  <si>
    <t>of which: potential participation rate</t>
  </si>
  <si>
    <t>of which: equilibrium unemployment rate</t>
  </si>
  <si>
    <t xml:space="preserve">Potential average hours </t>
  </si>
  <si>
    <t xml:space="preserve">Potential productivity per hour </t>
  </si>
  <si>
    <r>
      <t>Potential output</t>
    </r>
    <r>
      <rPr>
        <vertAlign val="superscript"/>
        <sz val="12"/>
        <color indexed="8"/>
        <rFont val="Calibri"/>
        <family val="2"/>
      </rPr>
      <t xml:space="preserve">3 </t>
    </r>
  </si>
  <si>
    <t xml:space="preserve">Potential employment rate </t>
  </si>
  <si>
    <t xml:space="preserve">OBR estimate of potential population, based on LFS household population, all aged 16 and over (ONS identifier: MGSL) and is based on the ‘migration category variant’ of the latest ONS population projections (published in January 2025) for net migration and natural change. </t>
  </si>
  <si>
    <t>OBR estimate of the potential participation rate, on the same basis as the LFS participation rate, all aged 16 and over (ONS identifier: MGWG)</t>
  </si>
  <si>
    <t>OBR estimate of the equilibirum unemployment rate, on the same basis as the ILO unemployment rate, all aged 16 and over (ONS identifier: MGSX)</t>
  </si>
  <si>
    <t>OBR estimate of the potential employment rate, on the same basis as the LFS employment rate, all aged 16 and over (ONS identifier: MGSR)</t>
  </si>
  <si>
    <t>OBR estimate of potential average hours, on the same basis as LFS average (mean) actual weekly hours worked, all workers (ONS identifier: YBUV)</t>
  </si>
  <si>
    <t>OBR estimate of potential output per hour, on the same basis as GDP (ONS identifier: ABMI) divided by total weekly hours worked (ONS identifier: YBUS)</t>
  </si>
  <si>
    <t>Notes:</t>
  </si>
  <si>
    <r>
      <rPr>
        <vertAlign val="superscript"/>
        <sz val="8"/>
        <rFont val="Calibri"/>
        <family val="2"/>
      </rPr>
      <t>1</t>
    </r>
    <r>
      <rPr>
        <sz val="8"/>
        <color indexed="8"/>
        <rFont val="Calibri"/>
        <family val="2"/>
      </rPr>
      <t xml:space="preserve"> Potential output can be calculated by multiplying potential population,  productivity, average hours and the employment rate divided by 100. </t>
    </r>
  </si>
  <si>
    <r>
      <rPr>
        <vertAlign val="superscript"/>
        <sz val="8"/>
        <color indexed="8"/>
        <rFont val="Calibri"/>
        <family val="2"/>
      </rPr>
      <t>2</t>
    </r>
    <r>
      <rPr>
        <sz val="8"/>
        <color indexed="8"/>
        <rFont val="Calibri"/>
        <family val="2"/>
      </rPr>
      <t xml:space="preserve"> The potential employment rate is determined by multiplying the potential participation rate by 1 minus the equilibrium unemployment rate divided by 100. </t>
    </r>
  </si>
  <si>
    <r>
      <rPr>
        <vertAlign val="superscript"/>
        <sz val="8"/>
        <color indexed="8"/>
        <rFont val="Calibri"/>
        <family val="2"/>
      </rPr>
      <t>3</t>
    </r>
    <r>
      <rPr>
        <sz val="8"/>
        <color indexed="8"/>
        <rFont val="Calibri"/>
        <family val="2"/>
      </rPr>
      <t xml:space="preserve"> Potential output growth is approximately equal to the sum of the growth rates of potential population, the employment rate, average hours and productivity.</t>
    </r>
  </si>
  <si>
    <t>OBR YHAT calculations</t>
  </si>
  <si>
    <t>Potential pop</t>
  </si>
  <si>
    <t>potential output</t>
  </si>
  <si>
    <t>Baseline - growth</t>
  </si>
  <si>
    <t>Baseline - levels</t>
  </si>
  <si>
    <t>16+ share of migrants</t>
  </si>
  <si>
    <t>Migrants diff</t>
  </si>
  <si>
    <t>16+ pop diff</t>
  </si>
  <si>
    <t>New OBR</t>
  </si>
  <si>
    <t>5yr growth</t>
  </si>
  <si>
    <t>YHAT diff</t>
  </si>
  <si>
    <t>Long-term economic determinants</t>
  </si>
  <si>
    <t>19 June 2025</t>
  </si>
  <si>
    <t>2031-32</t>
  </si>
  <si>
    <t>2032-33</t>
  </si>
  <si>
    <t>2033-34</t>
  </si>
  <si>
    <t>2034-35</t>
  </si>
  <si>
    <t>2035-36</t>
  </si>
  <si>
    <t>2036-37</t>
  </si>
  <si>
    <t>2037-38</t>
  </si>
  <si>
    <t>2038-39</t>
  </si>
  <si>
    <t>2039-40</t>
  </si>
  <si>
    <t>2040-41</t>
  </si>
  <si>
    <t>2041-42</t>
  </si>
  <si>
    <t>2042-43</t>
  </si>
  <si>
    <t>2043-44</t>
  </si>
  <si>
    <t>2044-45</t>
  </si>
  <si>
    <t>2045-46</t>
  </si>
  <si>
    <t>2046-47</t>
  </si>
  <si>
    <t>2047-48</t>
  </si>
  <si>
    <t>2048-49</t>
  </si>
  <si>
    <t>2049-50</t>
  </si>
  <si>
    <t>2050-51</t>
  </si>
  <si>
    <t>2051-52</t>
  </si>
  <si>
    <t>2052-53</t>
  </si>
  <si>
    <t>2053-54</t>
  </si>
  <si>
    <t>2054-55</t>
  </si>
  <si>
    <t>2055-56</t>
  </si>
  <si>
    <t>2056-57</t>
  </si>
  <si>
    <t>2057-58</t>
  </si>
  <si>
    <t>2058-59</t>
  </si>
  <si>
    <t>2059-60</t>
  </si>
  <si>
    <t>2060-61</t>
  </si>
  <si>
    <t>2061-62</t>
  </si>
  <si>
    <t>2062-63</t>
  </si>
  <si>
    <t>2063-64</t>
  </si>
  <si>
    <t>2064-65</t>
  </si>
  <si>
    <t>2065-66</t>
  </si>
  <si>
    <t>2066-67</t>
  </si>
  <si>
    <t>2067-68</t>
  </si>
  <si>
    <t>2068-69</t>
  </si>
  <si>
    <t>2069-70</t>
  </si>
  <si>
    <t>2070-71</t>
  </si>
  <si>
    <t>2071-72</t>
  </si>
  <si>
    <t>2072-73</t>
  </si>
  <si>
    <t>2073-74</t>
  </si>
  <si>
    <t>Population and economy</t>
  </si>
  <si>
    <t>Real GDP growth</t>
  </si>
  <si>
    <t>Nominal GDP growth</t>
  </si>
  <si>
    <r>
      <t>Labour productivity</t>
    </r>
    <r>
      <rPr>
        <vertAlign val="superscript"/>
        <sz val="10"/>
        <rFont val="Futura Bk BT"/>
        <family val="2"/>
      </rPr>
      <t>1</t>
    </r>
  </si>
  <si>
    <r>
      <t>Population growth</t>
    </r>
    <r>
      <rPr>
        <vertAlign val="superscript"/>
        <sz val="10"/>
        <rFont val="Futura Bk BT"/>
        <family val="2"/>
      </rPr>
      <t>2</t>
    </r>
  </si>
  <si>
    <t>Real GDP per capita growth</t>
  </si>
  <si>
    <t>Prices and earnings</t>
  </si>
  <si>
    <t>Average earnings</t>
  </si>
  <si>
    <t>Public sector earnings</t>
  </si>
  <si>
    <t>CPI</t>
  </si>
  <si>
    <r>
      <t>RPI</t>
    </r>
    <r>
      <rPr>
        <vertAlign val="superscript"/>
        <sz val="10"/>
        <rFont val="Futura Bk BT"/>
        <family val="2"/>
      </rPr>
      <t>3</t>
    </r>
  </si>
  <si>
    <r>
      <t>CPIH</t>
    </r>
    <r>
      <rPr>
        <vertAlign val="superscript"/>
        <sz val="10"/>
        <rFont val="Futura Bk BT"/>
        <family val="2"/>
      </rPr>
      <t>3</t>
    </r>
  </si>
  <si>
    <t>'Triple Lock'</t>
  </si>
  <si>
    <t>Interest rates (per cent)</t>
  </si>
  <si>
    <t>Gilt rate</t>
  </si>
  <si>
    <t>Bank rate</t>
  </si>
  <si>
    <t>Employment growth</t>
  </si>
  <si>
    <r>
      <t>Public sector workforce growth</t>
    </r>
    <r>
      <rPr>
        <vertAlign val="superscript"/>
        <sz val="10"/>
        <rFont val="Futura Bk BT"/>
        <family val="2"/>
      </rPr>
      <t>4</t>
    </r>
  </si>
  <si>
    <r>
      <t>Note: Medium term forecast from the</t>
    </r>
    <r>
      <rPr>
        <i/>
        <sz val="8"/>
        <rFont val="Calibri"/>
        <family val="2"/>
      </rPr>
      <t xml:space="preserve"> March 2025 Economic and fiscal outlook (shaded cells).</t>
    </r>
  </si>
  <si>
    <r>
      <rPr>
        <vertAlign val="superscript"/>
        <sz val="8"/>
        <rFont val="Calibri"/>
        <family val="2"/>
      </rPr>
      <t>1</t>
    </r>
    <r>
      <rPr>
        <sz val="8"/>
        <rFont val="Calibri"/>
        <family val="2"/>
      </rPr>
      <t xml:space="preserve"> Potential labour productivity.</t>
    </r>
  </si>
  <si>
    <r>
      <t xml:space="preserve">2 </t>
    </r>
    <r>
      <rPr>
        <sz val="8"/>
        <rFont val="Calibri"/>
        <family val="2"/>
      </rPr>
      <t xml:space="preserve">Forecast readings based on start of fiscal year (Q2) or mid-year estimate for calendar year. Beyond 2029-30, population growth is based on the migration category variant of the ONS 2022-based population projections. </t>
    </r>
  </si>
  <si>
    <r>
      <t xml:space="preserve">3 </t>
    </r>
    <r>
      <rPr>
        <sz val="8"/>
        <rFont val="Calibri"/>
        <family val="2"/>
      </rPr>
      <t xml:space="preserve">In November 2020 the ONS announced its intention to bring the methods and data sources from the CPIH into the RPI in February 2030. Hence, from Q1 2030 onwards our forecast assumes the RPI grows in line with CPIH, as described in Box 2.3 of our October 2024 Economic and Fiscal Outlook. Annual growth rates in RPI and CPIH will fully align after the transition year, in February 2031. For simplicity the change is assumed to occur at the start of the fiscal year. </t>
    </r>
  </si>
  <si>
    <r>
      <rPr>
        <vertAlign val="superscript"/>
        <sz val="8"/>
        <rFont val="Calibri"/>
        <family val="2"/>
      </rPr>
      <t>4</t>
    </r>
    <r>
      <rPr>
        <sz val="8"/>
        <rFont val="Calibri"/>
        <family val="2"/>
      </rPr>
      <t xml:space="preserve"> General government employment growth forecast up to 2029-30.</t>
    </r>
  </si>
  <si>
    <t>growth rates</t>
  </si>
  <si>
    <t>Difference</t>
  </si>
  <si>
    <t>GDP forecasts - LT (2023=100)</t>
  </si>
  <si>
    <t>2019-2025</t>
  </si>
  <si>
    <t>% diff 2030</t>
  </si>
  <si>
    <t>2025-2030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</si>
</sst>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 #,##0.00_-;_-* &quot;-&quot;??_-;_-@_-"/>
    <numFmt numFmtId="164" formatCode="#,##0;[Red]#,##0"/>
    <numFmt numFmtId="165" formatCode="###0.0;\-###0.0;0.0;@"/>
    <numFmt numFmtId="166" formatCode="0.00000"/>
    <numFmt numFmtId="167" formatCode="0.0"/>
    <numFmt numFmtId="168" formatCode="0_)"/>
    <numFmt numFmtId="169" formatCode="_-* #,##0_-;\-* #,##0_-;_-* &quot;-&quot;??_-;_-@_-"/>
    <numFmt numFmtId="170" formatCode="0.0%"/>
    <numFmt numFmtId="171" formatCode="0.000000"/>
    <numFmt numFmtId="172" formatCode="#,##0.0"/>
    <numFmt numFmtId="173" formatCode="#,##0.000"/>
    <numFmt numFmtId="174" formatCode="0.000"/>
    <numFmt numFmtId="175" formatCode="0.0000000"/>
  </numFmts>
  <fonts count="80">
    <font>
      <sz val="11"/>
      <color theme="1"/>
      <name val="Aptos Narrow"/>
      <family val="2"/>
      <scheme val="minor"/>
    </font>
    <font>
      <b/>
      <sz val="14"/>
      <name val="Arial"/>
      <family val="2"/>
    </font>
    <font>
      <b/>
      <sz val="12"/>
      <name val="Arial"/>
      <family val="2"/>
    </font>
    <font>
      <sz val="12"/>
      <color theme="1"/>
      <name val="Arial"/>
      <family val="2"/>
    </font>
    <font>
      <sz val="12"/>
      <name val="Arial"/>
      <family val="2"/>
    </font>
    <font>
      <b/>
      <sz val="12"/>
      <color theme="1"/>
      <name val="Arial"/>
      <family val="2"/>
    </font>
    <font>
      <sz val="12"/>
      <color rgb="FF000000"/>
      <name val="Arial"/>
      <family val="2"/>
    </font>
    <font>
      <b/>
      <sz val="14"/>
      <color rgb="FF000000"/>
      <name val="Arial"/>
      <family val="2"/>
    </font>
    <font>
      <b/>
      <sz val="14"/>
      <color theme="1"/>
      <name val="Arial"/>
      <family val="2"/>
    </font>
    <font>
      <b/>
      <sz val="12"/>
      <color rgb="FF000000"/>
      <name val="Arial"/>
      <family val="2"/>
    </font>
    <font>
      <u/>
      <sz val="11"/>
      <color theme="10"/>
      <name val="Aptos Narrow"/>
      <family val="2"/>
      <scheme val="minor"/>
    </font>
    <font>
      <sz val="11"/>
      <color theme="1"/>
      <name val="Aptos Narrow"/>
      <family val="2"/>
      <scheme val="minor"/>
    </font>
    <font>
      <sz val="11"/>
      <color rgb="FF000000"/>
      <name val="Calibri"/>
      <family val="2"/>
    </font>
    <font>
      <sz val="11"/>
      <color indexed="16"/>
      <name val="Aptos Narrow"/>
      <family val="2"/>
      <scheme val="minor"/>
    </font>
    <font>
      <sz val="11"/>
      <color rgb="FF000000"/>
      <name val="Calibri"/>
      <family val="2"/>
    </font>
    <font>
      <b/>
      <sz val="11"/>
      <name val="Aptos Narrow"/>
      <family val="2"/>
      <scheme val="minor"/>
    </font>
    <font>
      <sz val="11"/>
      <name val="Aptos Narrow"/>
      <family val="2"/>
      <scheme val="minor"/>
    </font>
    <font>
      <b/>
      <sz val="11"/>
      <color theme="1"/>
      <name val="Aptos Narrow"/>
      <family val="2"/>
      <scheme val="minor"/>
    </font>
    <font>
      <sz val="10"/>
      <name val="Arial"/>
      <family val="2"/>
    </font>
    <font>
      <b/>
      <sz val="16"/>
      <name val="Arial"/>
      <family val="2"/>
    </font>
    <font>
      <u/>
      <sz val="10"/>
      <color theme="10"/>
      <name val="Arial"/>
      <family val="2"/>
    </font>
    <font>
      <b/>
      <sz val="15"/>
      <color theme="3"/>
      <name val="Arial"/>
      <family val="2"/>
    </font>
    <font>
      <sz val="11"/>
      <name val="Arial"/>
      <family val="2"/>
    </font>
    <font>
      <b/>
      <sz val="11"/>
      <color theme="3"/>
      <name val="Arial"/>
      <family val="2"/>
    </font>
    <font>
      <b/>
      <sz val="11"/>
      <name val="Arial"/>
      <family val="2"/>
    </font>
    <font>
      <sz val="10"/>
      <name val="Courier"/>
      <family val="3"/>
    </font>
    <font>
      <sz val="10"/>
      <name val="MS Sans Serif"/>
      <family val="2"/>
    </font>
    <font>
      <sz val="11"/>
      <name val="MS Sans Serif"/>
      <family val="2"/>
    </font>
    <font>
      <i/>
      <sz val="11"/>
      <color theme="1"/>
      <name val="Aptos Narrow"/>
      <family val="2"/>
      <scheme val="minor"/>
    </font>
    <font>
      <b/>
      <sz val="15"/>
      <color rgb="FF0E2841"/>
      <name val="Aptos Narrow"/>
      <family val="2"/>
    </font>
    <font>
      <u/>
      <sz val="11"/>
      <color rgb="FF0563C1"/>
      <name val="Calibri"/>
      <family val="2"/>
    </font>
    <font>
      <sz val="12"/>
      <color rgb="FF0000FF"/>
      <name val="Arial"/>
      <family val="2"/>
    </font>
    <font>
      <sz val="11"/>
      <color rgb="FFFF0000"/>
      <name val="Aptos Narrow"/>
      <family val="2"/>
      <scheme val="minor"/>
    </font>
    <font>
      <sz val="11"/>
      <color rgb="FF000000"/>
      <name val="Calibri"/>
      <family val="2"/>
    </font>
    <font>
      <b/>
      <sz val="11"/>
      <color rgb="FFFFFFFF"/>
      <name val="Calibri"/>
      <family val="2"/>
    </font>
    <font>
      <u/>
      <sz val="11"/>
      <color theme="10"/>
      <name val="Calibri"/>
      <family val="2"/>
    </font>
    <font>
      <u/>
      <sz val="10"/>
      <color theme="10"/>
      <name val="Calibri"/>
      <family val="2"/>
    </font>
    <font>
      <sz val="8"/>
      <color indexed="8"/>
      <name val="Calibri"/>
      <family val="2"/>
    </font>
    <font>
      <sz val="12"/>
      <color indexed="8"/>
      <name val="Calibri"/>
      <family val="2"/>
    </font>
    <font>
      <sz val="12"/>
      <color indexed="8"/>
      <name val="Futura Bk BT"/>
      <family val="2"/>
    </font>
    <font>
      <b/>
      <sz val="12"/>
      <color indexed="8"/>
      <name val="Calibri"/>
      <family val="2"/>
    </font>
    <font>
      <sz val="14"/>
      <color indexed="8"/>
      <name val="Calibri"/>
      <family val="2"/>
    </font>
    <font>
      <sz val="14"/>
      <color theme="1"/>
      <name val="Calibri"/>
      <family val="2"/>
    </font>
    <font>
      <b/>
      <sz val="12"/>
      <color indexed="8"/>
      <name val="Futura Bk BT"/>
      <family val="2"/>
    </font>
    <font>
      <sz val="10"/>
      <color indexed="8"/>
      <name val="Calibri"/>
      <family val="2"/>
    </font>
    <font>
      <sz val="12"/>
      <name val="Calibri"/>
      <family val="2"/>
    </font>
    <font>
      <i/>
      <sz val="12"/>
      <name val="Calibri"/>
      <family val="2"/>
    </font>
    <font>
      <sz val="7"/>
      <color indexed="8"/>
      <name val="Calibri"/>
      <family val="2"/>
    </font>
    <font>
      <sz val="12"/>
      <color rgb="FFFF0000"/>
      <name val="Calibri"/>
      <family val="2"/>
    </font>
    <font>
      <u/>
      <sz val="10"/>
      <color theme="8"/>
      <name val="Calibri"/>
      <family val="2"/>
    </font>
    <font>
      <sz val="10"/>
      <color theme="1"/>
      <name val="Calibri"/>
      <family val="2"/>
    </font>
    <font>
      <sz val="13"/>
      <color theme="8"/>
      <name val="Calibri"/>
      <family val="2"/>
    </font>
    <font>
      <sz val="10"/>
      <name val="Calibri"/>
      <family val="2"/>
    </font>
    <font>
      <sz val="10"/>
      <color theme="8"/>
      <name val="Calibri"/>
      <family val="2"/>
    </font>
    <font>
      <sz val="10"/>
      <name val="MS Sans Serif"/>
    </font>
    <font>
      <u/>
      <sz val="11"/>
      <color indexed="12"/>
      <name val="Calibri"/>
      <family val="2"/>
    </font>
    <font>
      <u/>
      <sz val="9"/>
      <color theme="7"/>
      <name val="Calibri"/>
      <family val="2"/>
    </font>
    <font>
      <sz val="10"/>
      <color rgb="FFFF0000"/>
      <name val="Calibri"/>
      <family val="2"/>
    </font>
    <font>
      <sz val="14"/>
      <name val="Calibri"/>
      <family val="2"/>
    </font>
    <font>
      <vertAlign val="superscript"/>
      <sz val="10"/>
      <color indexed="8"/>
      <name val="Calibri"/>
      <family val="2"/>
    </font>
    <font>
      <sz val="8"/>
      <name val="Calibri"/>
      <family val="2"/>
    </font>
    <font>
      <vertAlign val="superscript"/>
      <sz val="8"/>
      <color indexed="8"/>
      <name val="Calibri"/>
      <family val="2"/>
    </font>
    <font>
      <b/>
      <sz val="8"/>
      <color rgb="FFFF0000"/>
      <name val="Calibri"/>
      <family val="2"/>
    </font>
    <font>
      <sz val="12"/>
      <color rgb="FF000000"/>
      <name val="Calibri"/>
      <family val="2"/>
    </font>
    <font>
      <vertAlign val="superscript"/>
      <sz val="12"/>
      <color indexed="8"/>
      <name val="Calibri"/>
      <family val="2"/>
    </font>
    <font>
      <i/>
      <sz val="12"/>
      <color indexed="8"/>
      <name val="Calibri"/>
      <family val="2"/>
    </font>
    <font>
      <sz val="11"/>
      <color theme="1"/>
      <name val="Calibri"/>
      <family val="2"/>
    </font>
    <font>
      <sz val="12"/>
      <name val="Futura Bk BT"/>
      <family val="2"/>
    </font>
    <font>
      <vertAlign val="superscript"/>
      <sz val="8"/>
      <name val="Calibri"/>
      <family val="2"/>
    </font>
    <font>
      <vertAlign val="superscript"/>
      <sz val="12"/>
      <color indexed="8"/>
      <name val="Futura Bk BT"/>
      <family val="2"/>
    </font>
    <font>
      <sz val="8"/>
      <color indexed="8"/>
      <name val="Futura Bk BT"/>
      <family val="2"/>
    </font>
    <font>
      <sz val="10"/>
      <color theme="1"/>
      <name val="Arial"/>
      <family val="2"/>
    </font>
    <font>
      <b/>
      <sz val="18"/>
      <color theme="8"/>
      <name val="Calibri"/>
      <family val="2"/>
    </font>
    <font>
      <sz val="10"/>
      <name val="Futura Bk BT"/>
      <family val="2"/>
    </font>
    <font>
      <b/>
      <sz val="10"/>
      <color theme="8"/>
      <name val="Calibri"/>
      <family val="2"/>
    </font>
    <font>
      <sz val="10"/>
      <name val="Futura Md BT"/>
      <family val="2"/>
    </font>
    <font>
      <vertAlign val="superscript"/>
      <sz val="10"/>
      <name val="Futura Bk BT"/>
      <family val="2"/>
    </font>
    <font>
      <i/>
      <sz val="8"/>
      <name val="Calibri"/>
      <family val="2"/>
    </font>
    <font>
      <b/>
      <sz val="10"/>
      <name val="Futura Bk BT"/>
      <family val="2"/>
    </font>
    <font>
      <sz val="10"/>
      <color theme="0"/>
      <name val="Futura Bk BT"/>
      <family val="2"/>
    </font>
  </fonts>
  <fills count="15">
    <fill>
      <patternFill patternType="none"/>
    </fill>
    <fill>
      <patternFill patternType="gray125"/>
    </fill>
    <fill>
      <patternFill patternType="solid">
        <fgColor rgb="FF004A80"/>
      </patternFill>
    </fill>
    <fill>
      <patternFill patternType="solid">
        <fgColor theme="6" tint="0.79998168889431442"/>
        <bgColor theme="6" tint="0.79998168889431442"/>
      </patternFill>
    </fill>
    <fill>
      <patternFill patternType="solid">
        <fgColor indexed="65"/>
        <bgColor indexed="64"/>
      </patternFill>
    </fill>
    <fill>
      <patternFill patternType="solid">
        <fgColor indexed="42"/>
        <bgColor indexed="64"/>
      </patternFill>
    </fill>
    <fill>
      <patternFill patternType="solid">
        <fgColor theme="5"/>
        <bgColor indexed="64"/>
      </patternFill>
    </fill>
    <fill>
      <patternFill patternType="solid">
        <fgColor indexed="9"/>
        <bgColor indexed="64"/>
      </patternFill>
    </fill>
    <fill>
      <patternFill patternType="solid">
        <fgColor theme="0"/>
        <bgColor indexed="64"/>
      </patternFill>
    </fill>
    <fill>
      <patternFill patternType="solid">
        <fgColor theme="5"/>
        <bgColor indexed="22"/>
      </patternFill>
    </fill>
    <fill>
      <patternFill patternType="solid">
        <fgColor theme="0"/>
        <bgColor indexed="22"/>
      </patternFill>
    </fill>
    <fill>
      <patternFill patternType="solid">
        <fgColor rgb="FFB5C7D4"/>
        <bgColor indexed="64"/>
      </patternFill>
    </fill>
    <fill>
      <patternFill patternType="solid">
        <fgColor theme="9"/>
        <bgColor indexed="64"/>
      </patternFill>
    </fill>
    <fill>
      <patternFill patternType="solid">
        <fgColor theme="2"/>
        <bgColor indexed="64"/>
      </patternFill>
    </fill>
    <fill>
      <patternFill patternType="solid">
        <fgColor theme="4"/>
        <bgColor indexed="64"/>
      </patternFill>
    </fill>
  </fills>
  <borders count="67">
    <border>
      <left/>
      <right/>
      <top/>
      <bottom/>
      <diagonal/>
    </border>
    <border>
      <left style="thin">
        <color rgb="FF363636"/>
      </left>
      <right style="thin">
        <color rgb="FF363636"/>
      </right>
      <top style="thin">
        <color rgb="FF363636"/>
      </top>
      <bottom style="thin">
        <color rgb="FF363636"/>
      </bottom>
      <diagonal/>
    </border>
    <border>
      <left/>
      <right/>
      <top/>
      <bottom style="thick">
        <color theme="4"/>
      </bottom>
      <diagonal/>
    </border>
    <border>
      <left/>
      <right/>
      <top/>
      <bottom style="thin">
        <color theme="6"/>
      </bottom>
      <diagonal/>
    </border>
    <border>
      <left/>
      <right/>
      <top/>
      <bottom style="thick">
        <color rgb="FF156082"/>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bottom style="thin">
        <color indexed="64"/>
      </bottom>
      <diagonal/>
    </border>
    <border>
      <left/>
      <right/>
      <top style="medium">
        <color indexed="45"/>
      </top>
      <bottom/>
      <diagonal/>
    </border>
    <border>
      <left style="medium">
        <color indexed="45"/>
      </left>
      <right/>
      <top style="medium">
        <color indexed="45"/>
      </top>
      <bottom style="medium">
        <color indexed="45"/>
      </bottom>
      <diagonal/>
    </border>
    <border>
      <left/>
      <right/>
      <top style="medium">
        <color indexed="45"/>
      </top>
      <bottom style="medium">
        <color indexed="45"/>
      </bottom>
      <diagonal/>
    </border>
    <border>
      <left/>
      <right style="medium">
        <color theme="8"/>
      </right>
      <top style="medium">
        <color indexed="45"/>
      </top>
      <bottom style="medium">
        <color indexed="45"/>
      </bottom>
      <diagonal/>
    </border>
    <border>
      <left style="medium">
        <color indexed="45"/>
      </left>
      <right/>
      <top/>
      <bottom/>
      <diagonal/>
    </border>
    <border>
      <left/>
      <right style="medium">
        <color theme="8"/>
      </right>
      <top style="medium">
        <color indexed="45"/>
      </top>
      <bottom/>
      <diagonal/>
    </border>
    <border>
      <left/>
      <right style="medium">
        <color theme="8"/>
      </right>
      <top/>
      <bottom/>
      <diagonal/>
    </border>
    <border>
      <left/>
      <right style="medium">
        <color indexed="45"/>
      </right>
      <top/>
      <bottom/>
      <diagonal/>
    </border>
    <border>
      <left style="medium">
        <color indexed="45"/>
      </left>
      <right/>
      <top/>
      <bottom style="thin">
        <color indexed="45"/>
      </bottom>
      <diagonal/>
    </border>
    <border>
      <left/>
      <right/>
      <top/>
      <bottom style="thin">
        <color indexed="45"/>
      </bottom>
      <diagonal/>
    </border>
    <border>
      <left/>
      <right style="medium">
        <color theme="8"/>
      </right>
      <top/>
      <bottom style="thin">
        <color indexed="45"/>
      </bottom>
      <diagonal/>
    </border>
    <border>
      <left style="medium">
        <color theme="8"/>
      </left>
      <right/>
      <top/>
      <bottom/>
      <diagonal/>
    </border>
    <border>
      <left style="medium">
        <color indexed="45"/>
      </left>
      <right/>
      <top/>
      <bottom style="medium">
        <color theme="8"/>
      </bottom>
      <diagonal/>
    </border>
    <border>
      <left style="medium">
        <color indexed="45"/>
      </left>
      <right/>
      <top style="medium">
        <color theme="8"/>
      </top>
      <bottom/>
      <diagonal/>
    </border>
    <border>
      <left/>
      <right/>
      <top style="medium">
        <color theme="8"/>
      </top>
      <bottom/>
      <diagonal/>
    </border>
    <border>
      <left/>
      <right style="medium">
        <color theme="8"/>
      </right>
      <top style="medium">
        <color theme="8"/>
      </top>
      <bottom/>
      <diagonal/>
    </border>
    <border>
      <left style="medium">
        <color indexed="45"/>
      </left>
      <right/>
      <top/>
      <bottom style="medium">
        <color indexed="45"/>
      </bottom>
      <diagonal/>
    </border>
    <border>
      <left/>
      <right/>
      <top/>
      <bottom style="medium">
        <color indexed="45"/>
      </bottom>
      <diagonal/>
    </border>
    <border>
      <left/>
      <right style="medium">
        <color theme="8"/>
      </right>
      <top/>
      <bottom style="medium">
        <color indexed="45"/>
      </bottom>
      <diagonal/>
    </border>
    <border>
      <left style="medium">
        <color theme="8"/>
      </left>
      <right/>
      <top style="medium">
        <color theme="8"/>
      </top>
      <bottom style="medium">
        <color theme="8"/>
      </bottom>
      <diagonal/>
    </border>
    <border>
      <left/>
      <right/>
      <top style="medium">
        <color theme="8"/>
      </top>
      <bottom style="medium">
        <color theme="8"/>
      </bottom>
      <diagonal/>
    </border>
    <border>
      <left/>
      <right style="medium">
        <color theme="8"/>
      </right>
      <top style="medium">
        <color theme="8"/>
      </top>
      <bottom style="medium">
        <color theme="8"/>
      </bottom>
      <diagonal/>
    </border>
    <border>
      <left style="medium">
        <color theme="8"/>
      </left>
      <right style="medium">
        <color theme="8"/>
      </right>
      <top style="medium">
        <color theme="8"/>
      </top>
      <bottom/>
      <diagonal/>
    </border>
    <border>
      <left style="medium">
        <color theme="8"/>
      </left>
      <right style="medium">
        <color theme="8"/>
      </right>
      <top/>
      <bottom/>
      <diagonal/>
    </border>
    <border>
      <left style="medium">
        <color theme="8"/>
      </left>
      <right style="medium">
        <color theme="8"/>
      </right>
      <top/>
      <bottom style="medium">
        <color theme="8"/>
      </bottom>
      <diagonal/>
    </border>
    <border>
      <left/>
      <right/>
      <top/>
      <bottom style="medium">
        <color theme="8"/>
      </bottom>
      <diagonal/>
    </border>
    <border>
      <left/>
      <right style="medium">
        <color theme="8"/>
      </right>
      <top/>
      <bottom style="medium">
        <color theme="8"/>
      </bottom>
      <diagonal/>
    </border>
    <border>
      <left/>
      <right/>
      <top style="thin">
        <color theme="8"/>
      </top>
      <bottom/>
      <diagonal/>
    </border>
    <border>
      <left style="medium">
        <color theme="8"/>
      </left>
      <right/>
      <top style="medium">
        <color theme="8"/>
      </top>
      <bottom/>
      <diagonal/>
    </border>
    <border>
      <left style="thin">
        <color theme="8"/>
      </left>
      <right/>
      <top style="thin">
        <color theme="8"/>
      </top>
      <bottom style="thin">
        <color theme="8"/>
      </bottom>
      <diagonal/>
    </border>
    <border>
      <left/>
      <right/>
      <top style="thin">
        <color theme="8"/>
      </top>
      <bottom style="thin">
        <color theme="8"/>
      </bottom>
      <diagonal/>
    </border>
    <border>
      <left/>
      <right style="thin">
        <color theme="8"/>
      </right>
      <top style="thin">
        <color theme="8"/>
      </top>
      <bottom style="thin">
        <color theme="8"/>
      </bottom>
      <diagonal/>
    </border>
    <border>
      <left style="thin">
        <color theme="8"/>
      </left>
      <right/>
      <top/>
      <bottom style="thin">
        <color theme="8"/>
      </bottom>
      <diagonal/>
    </border>
    <border>
      <left/>
      <right/>
      <top/>
      <bottom style="thin">
        <color theme="8"/>
      </bottom>
      <diagonal/>
    </border>
    <border>
      <left/>
      <right style="medium">
        <color theme="8"/>
      </right>
      <top/>
      <bottom style="thin">
        <color theme="8"/>
      </bottom>
      <diagonal/>
    </border>
    <border>
      <left/>
      <right style="medium">
        <color theme="8"/>
      </right>
      <top style="thin">
        <color theme="8"/>
      </top>
      <bottom/>
      <diagonal/>
    </border>
    <border>
      <left/>
      <right style="medium">
        <color theme="8"/>
      </right>
      <top style="thin">
        <color theme="8"/>
      </top>
      <bottom style="thin">
        <color theme="8"/>
      </bottom>
      <diagonal/>
    </border>
    <border>
      <left style="medium">
        <color theme="8"/>
      </left>
      <right/>
      <top style="thin">
        <color theme="8"/>
      </top>
      <bottom/>
      <diagonal/>
    </border>
    <border>
      <left style="medium">
        <color theme="8"/>
      </left>
      <right/>
      <top style="medium">
        <color theme="9"/>
      </top>
      <bottom style="thin">
        <color theme="8"/>
      </bottom>
      <diagonal/>
    </border>
    <border>
      <left/>
      <right/>
      <top style="medium">
        <color theme="9"/>
      </top>
      <bottom style="thin">
        <color theme="8"/>
      </bottom>
      <diagonal/>
    </border>
    <border>
      <left style="medium">
        <color theme="8"/>
      </left>
      <right/>
      <top/>
      <bottom style="medium">
        <color theme="8"/>
      </bottom>
      <diagonal/>
    </border>
    <border>
      <left style="medium">
        <color theme="8"/>
      </left>
      <right/>
      <top style="medium">
        <color theme="8"/>
      </top>
      <bottom style="thin">
        <color theme="8"/>
      </bottom>
      <diagonal/>
    </border>
    <border>
      <left/>
      <right/>
      <top style="medium">
        <color theme="8"/>
      </top>
      <bottom style="thin">
        <color theme="8"/>
      </bottom>
      <diagonal/>
    </border>
    <border>
      <left/>
      <right style="medium">
        <color theme="8"/>
      </right>
      <top style="medium">
        <color theme="8"/>
      </top>
      <bottom style="thin">
        <color theme="8"/>
      </bottom>
      <diagonal/>
    </border>
    <border>
      <left style="medium">
        <color theme="8"/>
      </left>
      <right style="medium">
        <color theme="8"/>
      </right>
      <top style="thin">
        <color theme="8"/>
      </top>
      <bottom/>
      <diagonal/>
    </border>
    <border>
      <left/>
      <right/>
      <top style="thin">
        <color indexed="45"/>
      </top>
      <bottom/>
      <diagonal/>
    </border>
    <border>
      <left style="medium">
        <color indexed="45"/>
      </left>
      <right/>
      <top style="thin">
        <color indexed="45"/>
      </top>
      <bottom/>
      <diagonal/>
    </border>
    <border>
      <left style="medium">
        <color theme="8"/>
      </left>
      <right style="medium">
        <color theme="8"/>
      </right>
      <top style="thin">
        <color indexed="45"/>
      </top>
      <bottom/>
      <diagonal/>
    </border>
    <border>
      <left/>
      <right style="medium">
        <color theme="8"/>
      </right>
      <top style="thin">
        <color indexed="45"/>
      </top>
      <bottom/>
      <diagonal/>
    </border>
    <border>
      <left style="medium">
        <color indexed="45"/>
      </left>
      <right style="medium">
        <color theme="8"/>
      </right>
      <top/>
      <bottom/>
      <diagonal/>
    </border>
    <border>
      <left style="medium">
        <color indexed="45"/>
      </left>
      <right style="medium">
        <color indexed="45"/>
      </right>
      <top/>
      <bottom/>
      <diagonal/>
    </border>
    <border>
      <left style="medium">
        <color indexed="45"/>
      </left>
      <right/>
      <top style="medium">
        <color indexed="45"/>
      </top>
      <bottom/>
      <diagonal/>
    </border>
  </borders>
  <cellStyleXfs count="28">
    <xf numFmtId="0" fontId="0" fillId="0" borderId="0"/>
    <xf numFmtId="49" fontId="1" fillId="0" borderId="0" applyFill="0" applyProtection="0">
      <alignment vertical="top"/>
    </xf>
    <xf numFmtId="0" fontId="10" fillId="0" borderId="0" applyNumberFormat="0" applyFill="0" applyBorder="0" applyAlignment="0" applyProtection="0"/>
    <xf numFmtId="0" fontId="12" fillId="0" borderId="0"/>
    <xf numFmtId="0" fontId="14" fillId="0" borderId="0"/>
    <xf numFmtId="0" fontId="11" fillId="0" borderId="0"/>
    <xf numFmtId="0" fontId="18" fillId="0" borderId="0"/>
    <xf numFmtId="0" fontId="20" fillId="0" borderId="0" applyNumberFormat="0" applyFill="0" applyBorder="0" applyAlignment="0" applyProtection="0"/>
    <xf numFmtId="0" fontId="21" fillId="0" borderId="2"/>
    <xf numFmtId="0" fontId="3" fillId="0" borderId="0"/>
    <xf numFmtId="0" fontId="23" fillId="0" borderId="0"/>
    <xf numFmtId="168" fontId="25" fillId="0" borderId="0"/>
    <xf numFmtId="43" fontId="3" fillId="0" borderId="0"/>
    <xf numFmtId="9" fontId="3" fillId="0" borderId="0"/>
    <xf numFmtId="0" fontId="29" fillId="0" borderId="4" applyNumberFormat="0" applyFill="0" applyAlignment="0" applyProtection="0"/>
    <xf numFmtId="0" fontId="12" fillId="0" borderId="0"/>
    <xf numFmtId="0" fontId="30" fillId="0" borderId="0" applyNumberFormat="0" applyFill="0" applyBorder="0" applyAlignment="0" applyProtection="0"/>
    <xf numFmtId="0" fontId="33" fillId="0" borderId="0"/>
    <xf numFmtId="0" fontId="35" fillId="0" borderId="0" applyNumberFormat="0" applyFill="0" applyBorder="0" applyAlignment="0" applyProtection="0">
      <alignment vertical="top"/>
      <protection locked="0"/>
    </xf>
    <xf numFmtId="9" fontId="11" fillId="0" borderId="0" applyFont="0" applyFill="0" applyBorder="0" applyAlignment="0" applyProtection="0"/>
    <xf numFmtId="0" fontId="54" fillId="0" borderId="0"/>
    <xf numFmtId="0" fontId="55" fillId="0" borderId="0" applyNumberFormat="0" applyFill="0" applyBorder="0" applyAlignment="0" applyProtection="0">
      <alignment vertical="top"/>
      <protection locked="0"/>
    </xf>
    <xf numFmtId="0" fontId="18" fillId="0" borderId="0"/>
    <xf numFmtId="0" fontId="18" fillId="0" borderId="0"/>
    <xf numFmtId="0" fontId="18" fillId="0" borderId="0"/>
    <xf numFmtId="0" fontId="18" fillId="0" borderId="0"/>
    <xf numFmtId="0" fontId="18" fillId="0" borderId="0"/>
    <xf numFmtId="0" fontId="18" fillId="0" borderId="0"/>
  </cellStyleXfs>
  <cellXfs count="353">
    <xf numFmtId="0" fontId="0" fillId="0" borderId="0" xfId="0"/>
    <xf numFmtId="49" fontId="1" fillId="0" borderId="0" xfId="1" applyFill="1">
      <alignment vertical="top"/>
    </xf>
    <xf numFmtId="49" fontId="2" fillId="0" borderId="0" xfId="1" applyFont="1" applyFill="1">
      <alignment vertical="top"/>
    </xf>
    <xf numFmtId="0" fontId="3" fillId="0" borderId="0" xfId="0" applyFont="1" applyAlignment="1">
      <alignment vertical="top"/>
    </xf>
    <xf numFmtId="0" fontId="3" fillId="0" borderId="0" xfId="0" applyFont="1" applyAlignment="1">
      <alignment horizontal="right" vertical="top"/>
    </xf>
    <xf numFmtId="49" fontId="4" fillId="0" borderId="0" xfId="1" applyFont="1" applyFill="1">
      <alignment vertical="top"/>
    </xf>
    <xf numFmtId="0" fontId="5" fillId="0" borderId="0" xfId="0" applyFont="1" applyAlignment="1">
      <alignment vertical="top" wrapText="1"/>
    </xf>
    <xf numFmtId="0" fontId="2" fillId="0" borderId="0" xfId="0" applyFont="1" applyAlignment="1">
      <alignment horizontal="right" vertical="top" wrapText="1"/>
    </xf>
    <xf numFmtId="0" fontId="4" fillId="0" borderId="0" xfId="0" applyFont="1" applyAlignment="1">
      <alignment vertical="top"/>
    </xf>
    <xf numFmtId="0" fontId="6" fillId="0" borderId="0" xfId="0" applyFont="1" applyAlignment="1">
      <alignment vertical="top"/>
    </xf>
    <xf numFmtId="3" fontId="4" fillId="0" borderId="0" xfId="0" applyNumberFormat="1" applyFont="1" applyAlignment="1">
      <alignment horizontal="right" vertical="top"/>
    </xf>
    <xf numFmtId="0" fontId="0" fillId="0" borderId="0" xfId="0" applyAlignment="1">
      <alignment vertical="top"/>
    </xf>
    <xf numFmtId="49" fontId="2" fillId="0" borderId="0" xfId="1" applyFont="1" applyFill="1" applyAlignment="1">
      <alignment horizontal="left" vertical="top"/>
    </xf>
    <xf numFmtId="164" fontId="0" fillId="0" borderId="0" xfId="0" applyNumberFormat="1" applyAlignment="1">
      <alignment vertical="top"/>
    </xf>
    <xf numFmtId="0" fontId="3" fillId="0" borderId="0" xfId="0" applyFont="1" applyAlignment="1">
      <alignment horizontal="left" vertical="top"/>
    </xf>
    <xf numFmtId="0" fontId="5" fillId="0" borderId="0" xfId="0" applyFont="1" applyAlignment="1">
      <alignment wrapText="1"/>
    </xf>
    <xf numFmtId="0" fontId="2" fillId="0" borderId="0" xfId="0" applyFont="1" applyAlignment="1">
      <alignment horizontal="right" wrapText="1"/>
    </xf>
    <xf numFmtId="3" fontId="4" fillId="0" borderId="0" xfId="0" applyNumberFormat="1" applyFont="1" applyAlignment="1">
      <alignment vertical="top"/>
    </xf>
    <xf numFmtId="0" fontId="8" fillId="0" borderId="0" xfId="0" applyFont="1" applyAlignment="1">
      <alignment vertical="top"/>
    </xf>
    <xf numFmtId="0" fontId="9" fillId="0" borderId="0" xfId="0" applyFont="1" applyAlignment="1">
      <alignment wrapText="1"/>
    </xf>
    <xf numFmtId="0" fontId="9" fillId="0" borderId="0" xfId="0" applyFont="1" applyAlignment="1">
      <alignment horizontal="right" wrapText="1"/>
    </xf>
    <xf numFmtId="0" fontId="10" fillId="0" borderId="0" xfId="2" applyFill="1" applyAlignment="1">
      <alignment vertical="top"/>
    </xf>
    <xf numFmtId="0" fontId="0" fillId="0" borderId="0" xfId="0" quotePrefix="1"/>
    <xf numFmtId="15" fontId="0" fillId="0" borderId="0" xfId="0" applyNumberFormat="1"/>
    <xf numFmtId="165" fontId="0" fillId="0" borderId="0" xfId="0" applyNumberFormat="1"/>
    <xf numFmtId="165" fontId="13" fillId="0" borderId="0" xfId="0" applyNumberFormat="1" applyFont="1"/>
    <xf numFmtId="0" fontId="11" fillId="0" borderId="0" xfId="5"/>
    <xf numFmtId="0" fontId="0" fillId="0" borderId="0" xfId="5" applyFont="1"/>
    <xf numFmtId="0" fontId="11" fillId="0" borderId="0" xfId="5" applyAlignment="1">
      <alignment horizontal="right"/>
    </xf>
    <xf numFmtId="0" fontId="15" fillId="0" borderId="0" xfId="0" applyFont="1"/>
    <xf numFmtId="0" fontId="0" fillId="0" borderId="0" xfId="0" applyAlignment="1">
      <alignment horizontal="left"/>
    </xf>
    <xf numFmtId="0" fontId="0" fillId="0" borderId="0" xfId="0" applyAlignment="1">
      <alignment horizontal="right"/>
    </xf>
    <xf numFmtId="1" fontId="0" fillId="0" borderId="0" xfId="0" applyNumberFormat="1"/>
    <xf numFmtId="166" fontId="0" fillId="0" borderId="0" xfId="0" applyNumberFormat="1"/>
    <xf numFmtId="167" fontId="0" fillId="0" borderId="0" xfId="0" applyNumberFormat="1"/>
    <xf numFmtId="2" fontId="0" fillId="0" borderId="0" xfId="0" applyNumberFormat="1"/>
    <xf numFmtId="0" fontId="16" fillId="0" borderId="0" xfId="0" applyFont="1"/>
    <xf numFmtId="0" fontId="17" fillId="0" borderId="0" xfId="0" applyFont="1"/>
    <xf numFmtId="0" fontId="19" fillId="0" borderId="0" xfId="8" applyFont="1" applyBorder="1" applyAlignment="1">
      <alignment horizontal="left"/>
    </xf>
    <xf numFmtId="0" fontId="22" fillId="0" borderId="0" xfId="9" applyFont="1"/>
    <xf numFmtId="0" fontId="2" fillId="0" borderId="0" xfId="8" applyFont="1" applyBorder="1" applyAlignment="1">
      <alignment horizontal="left" vertical="top"/>
    </xf>
    <xf numFmtId="0" fontId="22" fillId="0" borderId="0" xfId="9" applyFont="1" applyAlignment="1">
      <alignment horizontal="left" vertical="top"/>
    </xf>
    <xf numFmtId="0" fontId="1" fillId="0" borderId="0" xfId="10" applyFont="1"/>
    <xf numFmtId="0" fontId="24" fillId="0" borderId="0" xfId="9" applyFont="1" applyAlignment="1">
      <alignment horizontal="left"/>
    </xf>
    <xf numFmtId="0" fontId="24" fillId="0" borderId="0" xfId="9" applyFont="1" applyAlignment="1">
      <alignment horizontal="right"/>
    </xf>
    <xf numFmtId="0" fontId="24" fillId="0" borderId="0" xfId="9" applyFont="1" applyAlignment="1">
      <alignment horizontal="right" vertical="center"/>
    </xf>
    <xf numFmtId="0" fontId="22" fillId="3" borderId="0" xfId="9" applyFont="1" applyFill="1" applyAlignment="1">
      <alignment horizontal="left" vertical="top" wrapText="1"/>
    </xf>
    <xf numFmtId="3" fontId="22" fillId="0" borderId="0" xfId="11" applyNumberFormat="1" applyFont="1" applyAlignment="1" applyProtection="1">
      <alignment horizontal="right"/>
      <protection locked="0"/>
    </xf>
    <xf numFmtId="3" fontId="22" fillId="0" borderId="0" xfId="12" applyNumberFormat="1" applyFont="1" applyAlignment="1" applyProtection="1">
      <alignment horizontal="right"/>
      <protection locked="0"/>
    </xf>
    <xf numFmtId="0" fontId="22" fillId="0" borderId="0" xfId="9" applyFont="1" applyAlignment="1">
      <alignment vertical="top"/>
    </xf>
    <xf numFmtId="0" fontId="22" fillId="3" borderId="0" xfId="9" applyFont="1" applyFill="1" applyAlignment="1">
      <alignment vertical="top"/>
    </xf>
    <xf numFmtId="0" fontId="22" fillId="0" borderId="0" xfId="9" applyFont="1" applyAlignment="1">
      <alignment horizontal="left" vertical="top" wrapText="1"/>
    </xf>
    <xf numFmtId="0" fontId="3" fillId="0" borderId="0" xfId="9"/>
    <xf numFmtId="10" fontId="22" fillId="0" borderId="0" xfId="13" applyNumberFormat="1" applyFont="1" applyAlignment="1" applyProtection="1">
      <alignment horizontal="right"/>
      <protection locked="0"/>
    </xf>
    <xf numFmtId="2" fontId="22" fillId="0" borderId="0" xfId="11" applyNumberFormat="1" applyFont="1" applyAlignment="1" applyProtection="1">
      <alignment horizontal="right"/>
      <protection locked="0"/>
    </xf>
    <xf numFmtId="167" fontId="22" fillId="0" borderId="0" xfId="11" applyNumberFormat="1" applyFont="1" applyAlignment="1" applyProtection="1">
      <alignment horizontal="right"/>
      <protection locked="0"/>
    </xf>
    <xf numFmtId="0" fontId="22" fillId="3" borderId="3" xfId="9" applyFont="1" applyFill="1" applyBorder="1" applyAlignment="1">
      <alignment horizontal="left" vertical="top" wrapText="1"/>
    </xf>
    <xf numFmtId="0" fontId="26" fillId="0" borderId="0" xfId="9" applyFont="1"/>
    <xf numFmtId="0" fontId="22" fillId="0" borderId="0" xfId="9" applyFont="1" applyAlignment="1">
      <alignment horizontal="left"/>
    </xf>
    <xf numFmtId="0" fontId="22" fillId="0" borderId="0" xfId="9" applyFont="1" applyAlignment="1">
      <alignment horizontal="right"/>
    </xf>
    <xf numFmtId="0" fontId="27" fillId="0" borderId="0" xfId="9" applyFont="1" applyAlignment="1">
      <alignment horizontal="right"/>
    </xf>
    <xf numFmtId="169" fontId="22" fillId="0" borderId="0" xfId="12" applyNumberFormat="1" applyFont="1"/>
    <xf numFmtId="0" fontId="27" fillId="0" borderId="0" xfId="9" applyFont="1"/>
    <xf numFmtId="170" fontId="22" fillId="0" borderId="0" xfId="13" applyNumberFormat="1" applyFont="1"/>
    <xf numFmtId="167" fontId="22" fillId="0" borderId="0" xfId="9" applyNumberFormat="1" applyFont="1"/>
    <xf numFmtId="0" fontId="26" fillId="0" borderId="0" xfId="9" applyFont="1" applyAlignment="1">
      <alignment horizontal="right"/>
    </xf>
    <xf numFmtId="169" fontId="22" fillId="0" borderId="0" xfId="12" applyNumberFormat="1" applyFont="1" applyAlignment="1" applyProtection="1">
      <alignment horizontal="right"/>
      <protection locked="0"/>
    </xf>
    <xf numFmtId="1" fontId="22" fillId="0" borderId="0" xfId="9" applyNumberFormat="1" applyFont="1"/>
    <xf numFmtId="0" fontId="22" fillId="0" borderId="0" xfId="9" applyFont="1" applyAlignment="1">
      <alignment wrapText="1"/>
    </xf>
    <xf numFmtId="3" fontId="0" fillId="0" borderId="0" xfId="0" applyNumberFormat="1"/>
    <xf numFmtId="0" fontId="28" fillId="0" borderId="0" xfId="0" applyFont="1"/>
    <xf numFmtId="0" fontId="9" fillId="0" borderId="0" xfId="14" applyFont="1" applyBorder="1"/>
    <xf numFmtId="0" fontId="12" fillId="0" borderId="0" xfId="15"/>
    <xf numFmtId="0" fontId="31" fillId="0" borderId="0" xfId="16" applyFont="1"/>
    <xf numFmtId="0" fontId="9" fillId="0" borderId="5" xfId="15" applyFont="1" applyBorder="1" applyAlignment="1">
      <alignment wrapText="1"/>
    </xf>
    <xf numFmtId="0" fontId="9" fillId="0" borderId="6" xfId="15" applyFont="1" applyBorder="1" applyAlignment="1">
      <alignment wrapText="1"/>
    </xf>
    <xf numFmtId="0" fontId="9" fillId="0" borderId="7" xfId="15" applyFont="1" applyBorder="1" applyAlignment="1">
      <alignment wrapText="1"/>
    </xf>
    <xf numFmtId="0" fontId="6" fillId="0" borderId="8" xfId="15" applyFont="1" applyBorder="1" applyAlignment="1">
      <alignment horizontal="left"/>
    </xf>
    <xf numFmtId="0" fontId="6" fillId="0" borderId="9" xfId="15" applyFont="1" applyBorder="1"/>
    <xf numFmtId="3" fontId="6" fillId="0" borderId="9" xfId="15" applyNumberFormat="1" applyFont="1" applyBorder="1"/>
    <xf numFmtId="3" fontId="6" fillId="0" borderId="10" xfId="15" applyNumberFormat="1" applyFont="1" applyBorder="1"/>
    <xf numFmtId="0" fontId="6" fillId="0" borderId="11" xfId="15" applyFont="1" applyBorder="1" applyAlignment="1">
      <alignment horizontal="left"/>
    </xf>
    <xf numFmtId="0" fontId="6" fillId="0" borderId="12" xfId="15" applyFont="1" applyBorder="1"/>
    <xf numFmtId="3" fontId="6" fillId="0" borderId="12" xfId="15" applyNumberFormat="1" applyFont="1" applyBorder="1"/>
    <xf numFmtId="3" fontId="6" fillId="0" borderId="13" xfId="15" applyNumberFormat="1" applyFont="1" applyBorder="1"/>
    <xf numFmtId="3" fontId="12" fillId="0" borderId="0" xfId="15" applyNumberFormat="1"/>
    <xf numFmtId="167" fontId="12" fillId="0" borderId="0" xfId="15" applyNumberFormat="1"/>
    <xf numFmtId="1" fontId="32" fillId="0" borderId="0" xfId="0" applyNumberFormat="1" applyFont="1"/>
    <xf numFmtId="1" fontId="28" fillId="0" borderId="0" xfId="0" applyNumberFormat="1" applyFont="1"/>
    <xf numFmtId="3" fontId="28" fillId="0" borderId="0" xfId="0" applyNumberFormat="1" applyFont="1"/>
    <xf numFmtId="3" fontId="32" fillId="0" borderId="0" xfId="0" applyNumberFormat="1" applyFont="1"/>
    <xf numFmtId="0" fontId="34" fillId="2" borderId="1" xfId="17" applyFont="1" applyFill="1" applyBorder="1" applyAlignment="1">
      <alignment horizontal="left" wrapText="1"/>
    </xf>
    <xf numFmtId="1" fontId="0" fillId="0" borderId="14" xfId="0" applyNumberFormat="1" applyBorder="1"/>
    <xf numFmtId="0" fontId="36" fillId="4" borderId="0" xfId="18" applyFont="1" applyFill="1" applyBorder="1" applyAlignment="1" applyProtection="1">
      <alignment horizontal="center" vertical="center" wrapText="1"/>
    </xf>
    <xf numFmtId="0" fontId="37" fillId="4" borderId="15" xfId="0" applyFont="1" applyFill="1" applyBorder="1"/>
    <xf numFmtId="0" fontId="38" fillId="4" borderId="0" xfId="0" applyFont="1" applyFill="1"/>
    <xf numFmtId="0" fontId="39" fillId="4" borderId="0" xfId="0" applyFont="1" applyFill="1"/>
    <xf numFmtId="0" fontId="40" fillId="4" borderId="0" xfId="0" applyFont="1" applyFill="1"/>
    <xf numFmtId="0" fontId="43" fillId="4" borderId="0" xfId="0" applyFont="1" applyFill="1"/>
    <xf numFmtId="0" fontId="40" fillId="4" borderId="0" xfId="0" applyFont="1" applyFill="1" applyAlignment="1">
      <alignment wrapText="1"/>
    </xf>
    <xf numFmtId="0" fontId="44" fillId="5" borderId="19" xfId="0" applyFont="1" applyFill="1" applyBorder="1" applyAlignment="1">
      <alignment wrapText="1"/>
    </xf>
    <xf numFmtId="0" fontId="45" fillId="5" borderId="0" xfId="0" applyFont="1" applyFill="1" applyAlignment="1">
      <alignment horizontal="center" vertical="top" wrapText="1"/>
    </xf>
    <xf numFmtId="0" fontId="45" fillId="5" borderId="0" xfId="0" applyFont="1" applyFill="1" applyAlignment="1">
      <alignment horizontal="center" wrapText="1"/>
    </xf>
    <xf numFmtId="0" fontId="43" fillId="4" borderId="0" xfId="0" applyFont="1" applyFill="1" applyAlignment="1">
      <alignment wrapText="1"/>
    </xf>
    <xf numFmtId="0" fontId="46" fillId="5" borderId="0" xfId="0" applyFont="1" applyFill="1" applyAlignment="1">
      <alignment horizontal="center" wrapText="1"/>
    </xf>
    <xf numFmtId="2" fontId="47" fillId="7" borderId="0" xfId="0" applyNumberFormat="1" applyFont="1" applyFill="1" applyAlignment="1">
      <alignment horizontal="center" wrapText="1"/>
    </xf>
    <xf numFmtId="0" fontId="44" fillId="8" borderId="19" xfId="0" applyFont="1" applyFill="1" applyBorder="1" applyProtection="1">
      <protection locked="0"/>
    </xf>
    <xf numFmtId="167" fontId="44" fillId="8" borderId="0" xfId="0" applyNumberFormat="1" applyFont="1" applyFill="1" applyAlignment="1">
      <alignment horizontal="center"/>
    </xf>
    <xf numFmtId="167" fontId="44" fillId="8" borderId="21" xfId="0" applyNumberFormat="1" applyFont="1" applyFill="1" applyBorder="1" applyAlignment="1">
      <alignment horizontal="center"/>
    </xf>
    <xf numFmtId="167" fontId="39" fillId="4" borderId="0" xfId="0" applyNumberFormat="1" applyFont="1" applyFill="1"/>
    <xf numFmtId="171" fontId="39" fillId="4" borderId="0" xfId="0" applyNumberFormat="1" applyFont="1" applyFill="1"/>
    <xf numFmtId="0" fontId="44" fillId="8" borderId="19" xfId="0" applyFont="1" applyFill="1" applyBorder="1"/>
    <xf numFmtId="0" fontId="48" fillId="4" borderId="22" xfId="0" applyFont="1" applyFill="1" applyBorder="1" applyAlignment="1">
      <alignment wrapText="1"/>
    </xf>
    <xf numFmtId="0" fontId="44" fillId="8" borderId="19" xfId="0" applyFont="1" applyFill="1" applyBorder="1" applyAlignment="1">
      <alignment horizontal="left"/>
    </xf>
    <xf numFmtId="0" fontId="44" fillId="8" borderId="23" xfId="0" applyFont="1" applyFill="1" applyBorder="1" applyAlignment="1">
      <alignment horizontal="left"/>
    </xf>
    <xf numFmtId="167" fontId="44" fillId="8" borderId="24" xfId="0" applyNumberFormat="1" applyFont="1" applyFill="1" applyBorder="1" applyAlignment="1">
      <alignment horizontal="center"/>
    </xf>
    <xf numFmtId="167" fontId="44" fillId="8" borderId="25" xfId="0" applyNumberFormat="1" applyFont="1" applyFill="1" applyBorder="1" applyAlignment="1">
      <alignment horizontal="center"/>
    </xf>
    <xf numFmtId="0" fontId="39" fillId="4" borderId="26" xfId="0" applyFont="1" applyFill="1" applyBorder="1"/>
    <xf numFmtId="0" fontId="44" fillId="8" borderId="27" xfId="0" applyFont="1" applyFill="1" applyBorder="1"/>
    <xf numFmtId="0" fontId="37" fillId="8" borderId="28" xfId="0" applyFont="1" applyFill="1" applyBorder="1" applyProtection="1">
      <protection locked="0"/>
    </xf>
    <xf numFmtId="0" fontId="37" fillId="8" borderId="29" xfId="0" applyFont="1" applyFill="1" applyBorder="1" applyProtection="1">
      <protection locked="0"/>
    </xf>
    <xf numFmtId="0" fontId="37" fillId="8" borderId="30" xfId="0" applyFont="1" applyFill="1" applyBorder="1" applyProtection="1">
      <protection locked="0"/>
    </xf>
    <xf numFmtId="0" fontId="37" fillId="8" borderId="19" xfId="0" applyFont="1" applyFill="1" applyBorder="1" applyProtection="1">
      <protection locked="0"/>
    </xf>
    <xf numFmtId="0" fontId="37" fillId="8" borderId="0" xfId="0" applyFont="1" applyFill="1" applyProtection="1">
      <protection locked="0"/>
    </xf>
    <xf numFmtId="0" fontId="37" fillId="8" borderId="21" xfId="0" applyFont="1" applyFill="1" applyBorder="1" applyProtection="1">
      <protection locked="0"/>
    </xf>
    <xf numFmtId="0" fontId="37" fillId="8" borderId="19" xfId="0" applyFont="1" applyFill="1" applyBorder="1"/>
    <xf numFmtId="0" fontId="37" fillId="8" borderId="0" xfId="0" applyFont="1" applyFill="1"/>
    <xf numFmtId="0" fontId="37" fillId="8" borderId="21" xfId="0" applyFont="1" applyFill="1" applyBorder="1"/>
    <xf numFmtId="0" fontId="37" fillId="8" borderId="31" xfId="0" applyFont="1" applyFill="1" applyBorder="1"/>
    <xf numFmtId="0" fontId="37" fillId="8" borderId="32" xfId="0" applyFont="1" applyFill="1" applyBorder="1"/>
    <xf numFmtId="0" fontId="37" fillId="8" borderId="33" xfId="0" applyFont="1" applyFill="1" applyBorder="1"/>
    <xf numFmtId="0" fontId="39" fillId="4" borderId="0" xfId="0" applyFont="1" applyFill="1" applyProtection="1">
      <protection locked="0"/>
    </xf>
    <xf numFmtId="167" fontId="39" fillId="4" borderId="0" xfId="0" applyNumberFormat="1" applyFont="1" applyFill="1" applyAlignment="1">
      <alignment horizontal="center"/>
    </xf>
    <xf numFmtId="0" fontId="49" fillId="0" borderId="0" xfId="2" applyFont="1" applyAlignment="1">
      <alignment horizontal="center" vertical="center" wrapText="1"/>
    </xf>
    <xf numFmtId="0" fontId="50" fillId="0" borderId="0" xfId="0" applyFont="1"/>
    <xf numFmtId="2" fontId="50" fillId="0" borderId="0" xfId="0" applyNumberFormat="1" applyFont="1"/>
    <xf numFmtId="0" fontId="51" fillId="0" borderId="0" xfId="0" applyFont="1"/>
    <xf numFmtId="0" fontId="52" fillId="6" borderId="34" xfId="0" applyFont="1" applyFill="1" applyBorder="1" applyAlignment="1">
      <alignment horizontal="right" vertical="center" wrapText="1"/>
    </xf>
    <xf numFmtId="167" fontId="52" fillId="6" borderId="35" xfId="0" applyNumberFormat="1" applyFont="1" applyFill="1" applyBorder="1" applyAlignment="1">
      <alignment horizontal="right" vertical="center" wrapText="1"/>
    </xf>
    <xf numFmtId="0" fontId="52" fillId="6" borderId="35" xfId="0" applyFont="1" applyFill="1" applyBorder="1" applyAlignment="1">
      <alignment horizontal="right" vertical="center" wrapText="1"/>
    </xf>
    <xf numFmtId="0" fontId="52" fillId="6" borderId="36" xfId="0" applyFont="1" applyFill="1" applyBorder="1" applyAlignment="1">
      <alignment horizontal="right" vertical="center" wrapText="1"/>
    </xf>
    <xf numFmtId="0" fontId="52" fillId="6" borderId="37" xfId="0" applyFont="1" applyFill="1" applyBorder="1" applyAlignment="1">
      <alignment horizontal="right" vertical="center" wrapText="1"/>
    </xf>
    <xf numFmtId="167" fontId="52" fillId="0" borderId="0" xfId="0" applyNumberFormat="1" applyFont="1" applyAlignment="1">
      <alignment horizontal="right" vertical="center" wrapText="1"/>
    </xf>
    <xf numFmtId="167" fontId="52" fillId="0" borderId="21" xfId="0" applyNumberFormat="1" applyFont="1" applyBorder="1" applyAlignment="1">
      <alignment horizontal="right" vertical="center" wrapText="1"/>
    </xf>
    <xf numFmtId="0" fontId="52" fillId="6" borderId="38" xfId="0" applyFont="1" applyFill="1" applyBorder="1" applyAlignment="1">
      <alignment horizontal="right" vertical="center" wrapText="1"/>
    </xf>
    <xf numFmtId="167" fontId="53" fillId="0" borderId="0" xfId="0" applyNumberFormat="1" applyFont="1" applyAlignment="1">
      <alignment horizontal="right" vertical="center" wrapText="1"/>
    </xf>
    <xf numFmtId="167" fontId="50" fillId="0" borderId="0" xfId="0" applyNumberFormat="1" applyFont="1"/>
    <xf numFmtId="0" fontId="52" fillId="6" borderId="39" xfId="0" applyFont="1" applyFill="1" applyBorder="1" applyAlignment="1">
      <alignment horizontal="right" vertical="center" wrapText="1"/>
    </xf>
    <xf numFmtId="167" fontId="53" fillId="0" borderId="40" xfId="0" applyNumberFormat="1" applyFont="1" applyBorder="1" applyAlignment="1">
      <alignment horizontal="right" vertical="center" wrapText="1"/>
    </xf>
    <xf numFmtId="167" fontId="52" fillId="0" borderId="40" xfId="0" applyNumberFormat="1" applyFont="1" applyBorder="1" applyAlignment="1">
      <alignment horizontal="right" vertical="center" wrapText="1"/>
    </xf>
    <xf numFmtId="167" fontId="52" fillId="0" borderId="41" xfId="0" applyNumberFormat="1" applyFont="1" applyBorder="1" applyAlignment="1">
      <alignment horizontal="right" vertical="center" wrapText="1"/>
    </xf>
    <xf numFmtId="167" fontId="32" fillId="0" borderId="0" xfId="0" applyNumberFormat="1" applyFont="1"/>
    <xf numFmtId="14" fontId="0" fillId="0" borderId="0" xfId="0" applyNumberFormat="1"/>
    <xf numFmtId="0" fontId="0" fillId="0" borderId="0" xfId="0" applyAlignment="1">
      <alignment wrapText="1"/>
    </xf>
    <xf numFmtId="0" fontId="54" fillId="0" borderId="0" xfId="20" applyAlignment="1">
      <alignment horizontal="right"/>
    </xf>
    <xf numFmtId="0" fontId="54" fillId="0" borderId="0" xfId="20"/>
    <xf numFmtId="0" fontId="18" fillId="0" borderId="0" xfId="20" applyFont="1" applyAlignment="1">
      <alignment horizontal="right"/>
    </xf>
    <xf numFmtId="0" fontId="52" fillId="6" borderId="34" xfId="0" applyFont="1" applyFill="1" applyBorder="1" applyAlignment="1">
      <alignment horizontal="center" vertical="center" wrapText="1"/>
    </xf>
    <xf numFmtId="0" fontId="52" fillId="0" borderId="0" xfId="0" applyFont="1" applyAlignment="1">
      <alignment horizontal="right" vertical="center" wrapText="1"/>
    </xf>
    <xf numFmtId="1" fontId="52" fillId="0" borderId="0" xfId="0" applyNumberFormat="1" applyFont="1" applyAlignment="1">
      <alignment horizontal="right" vertical="center" wrapText="1"/>
    </xf>
    <xf numFmtId="1" fontId="52" fillId="0" borderId="21" xfId="0" applyNumberFormat="1" applyFont="1" applyBorder="1" applyAlignment="1">
      <alignment horizontal="right" vertical="center" wrapText="1"/>
    </xf>
    <xf numFmtId="1" fontId="53" fillId="0" borderId="0" xfId="0" applyNumberFormat="1" applyFont="1" applyAlignment="1">
      <alignment horizontal="right" vertical="center" wrapText="1"/>
    </xf>
    <xf numFmtId="1" fontId="53" fillId="0" borderId="40" xfId="0" applyNumberFormat="1" applyFont="1" applyBorder="1" applyAlignment="1">
      <alignment horizontal="right" vertical="center" wrapText="1"/>
    </xf>
    <xf numFmtId="1" fontId="52" fillId="0" borderId="41" xfId="0" applyNumberFormat="1" applyFont="1" applyBorder="1" applyAlignment="1">
      <alignment horizontal="right" vertical="center" wrapText="1"/>
    </xf>
    <xf numFmtId="0" fontId="56" fillId="8" borderId="0" xfId="21" applyFont="1" applyFill="1" applyAlignment="1" applyProtection="1">
      <alignment horizontal="center" vertical="center" wrapText="1"/>
    </xf>
    <xf numFmtId="0" fontId="57" fillId="4" borderId="42" xfId="22" applyFont="1" applyFill="1" applyBorder="1"/>
    <xf numFmtId="0" fontId="44" fillId="4" borderId="42" xfId="22" applyFont="1" applyFill="1" applyBorder="1"/>
    <xf numFmtId="0" fontId="52" fillId="7" borderId="0" xfId="23" applyFont="1" applyFill="1"/>
    <xf numFmtId="0" fontId="41" fillId="4" borderId="0" xfId="22" applyFont="1" applyFill="1" applyAlignment="1">
      <alignment vertical="center"/>
    </xf>
    <xf numFmtId="0" fontId="58" fillId="7" borderId="0" xfId="23" applyFont="1" applyFill="1"/>
    <xf numFmtId="0" fontId="44" fillId="4" borderId="0" xfId="22" applyFont="1" applyFill="1" applyAlignment="1">
      <alignment vertical="center"/>
    </xf>
    <xf numFmtId="0" fontId="44" fillId="6" borderId="26" xfId="25" quotePrefix="1" applyFont="1" applyFill="1" applyBorder="1" applyAlignment="1">
      <alignment horizontal="left"/>
    </xf>
    <xf numFmtId="0" fontId="44" fillId="6" borderId="0" xfId="25" quotePrefix="1" applyFont="1" applyFill="1" applyAlignment="1">
      <alignment horizontal="left"/>
    </xf>
    <xf numFmtId="0" fontId="44" fillId="6" borderId="26" xfId="25" quotePrefix="1" applyFont="1" applyFill="1" applyBorder="1" applyAlignment="1">
      <alignment horizontal="left" vertical="center"/>
    </xf>
    <xf numFmtId="0" fontId="44" fillId="6" borderId="0" xfId="25" quotePrefix="1" applyFont="1" applyFill="1" applyAlignment="1">
      <alignment horizontal="left" vertical="center"/>
    </xf>
    <xf numFmtId="2" fontId="44" fillId="9" borderId="0" xfId="24" applyNumberFormat="1" applyFont="1" applyFill="1" applyAlignment="1">
      <alignment horizontal="right" vertical="center"/>
    </xf>
    <xf numFmtId="0" fontId="44" fillId="6" borderId="0" xfId="22" applyFont="1" applyFill="1" applyAlignment="1">
      <alignment horizontal="right" vertical="center"/>
    </xf>
    <xf numFmtId="0" fontId="44" fillId="6" borderId="42" xfId="22" applyFont="1" applyFill="1" applyBorder="1" applyAlignment="1">
      <alignment horizontal="right" vertical="center"/>
    </xf>
    <xf numFmtId="0" fontId="44" fillId="6" borderId="50" xfId="22" applyFont="1" applyFill="1" applyBorder="1" applyAlignment="1">
      <alignment horizontal="right" vertical="center"/>
    </xf>
    <xf numFmtId="0" fontId="44" fillId="8" borderId="26" xfId="25" quotePrefix="1" applyFont="1" applyFill="1" applyBorder="1" applyAlignment="1">
      <alignment horizontal="left" vertical="center"/>
    </xf>
    <xf numFmtId="0" fontId="44" fillId="8" borderId="0" xfId="25" quotePrefix="1" applyFont="1" applyFill="1" applyAlignment="1">
      <alignment horizontal="left" vertical="center"/>
    </xf>
    <xf numFmtId="2" fontId="44" fillId="10" borderId="0" xfId="24" applyNumberFormat="1" applyFont="1" applyFill="1" applyAlignment="1">
      <alignment horizontal="right" vertical="center"/>
    </xf>
    <xf numFmtId="0" fontId="44" fillId="8" borderId="0" xfId="22" applyFont="1" applyFill="1" applyAlignment="1">
      <alignment horizontal="right" vertical="center"/>
    </xf>
    <xf numFmtId="0" fontId="52" fillId="7" borderId="21" xfId="23" applyFont="1" applyFill="1" applyBorder="1"/>
    <xf numFmtId="0" fontId="44" fillId="4" borderId="0" xfId="22" applyFont="1" applyFill="1"/>
    <xf numFmtId="0" fontId="52" fillId="7" borderId="26" xfId="23" applyFont="1" applyFill="1" applyBorder="1"/>
    <xf numFmtId="0" fontId="44" fillId="7" borderId="0" xfId="25" applyFont="1" applyFill="1" applyAlignment="1">
      <alignment horizontal="left" vertical="center"/>
    </xf>
    <xf numFmtId="172" fontId="44" fillId="8" borderId="0" xfId="26" applyNumberFormat="1" applyFont="1" applyFill="1" applyAlignment="1">
      <alignment horizontal="right" vertical="center"/>
    </xf>
    <xf numFmtId="172" fontId="44" fillId="8" borderId="21" xfId="26" applyNumberFormat="1" applyFont="1" applyFill="1" applyBorder="1" applyAlignment="1">
      <alignment horizontal="right" vertical="center"/>
    </xf>
    <xf numFmtId="3" fontId="52" fillId="7" borderId="0" xfId="23" applyNumberFormat="1" applyFont="1" applyFill="1"/>
    <xf numFmtId="173" fontId="52" fillId="7" borderId="0" xfId="23" applyNumberFormat="1" applyFont="1" applyFill="1"/>
    <xf numFmtId="0" fontId="44" fillId="8" borderId="0" xfId="25" applyFont="1" applyFill="1" applyAlignment="1">
      <alignment horizontal="left" vertical="center"/>
    </xf>
    <xf numFmtId="0" fontId="44" fillId="8" borderId="0" xfId="22" applyFont="1" applyFill="1" applyAlignment="1">
      <alignment vertical="center"/>
    </xf>
    <xf numFmtId="0" fontId="52" fillId="8" borderId="26" xfId="23" applyFont="1" applyFill="1" applyBorder="1"/>
    <xf numFmtId="0" fontId="44" fillId="8" borderId="0" xfId="22" applyFont="1" applyFill="1"/>
    <xf numFmtId="3" fontId="44" fillId="8" borderId="0" xfId="26" applyNumberFormat="1" applyFont="1" applyFill="1" applyAlignment="1">
      <alignment horizontal="right" vertical="center"/>
    </xf>
    <xf numFmtId="172" fontId="44" fillId="8" borderId="0" xfId="25" applyNumberFormat="1" applyFont="1" applyFill="1" applyAlignment="1">
      <alignment horizontal="right" vertical="center"/>
    </xf>
    <xf numFmtId="0" fontId="44" fillId="7" borderId="26" xfId="25" applyFont="1" applyFill="1" applyBorder="1"/>
    <xf numFmtId="0" fontId="44" fillId="4" borderId="26" xfId="22" applyFont="1" applyFill="1" applyBorder="1"/>
    <xf numFmtId="0" fontId="37" fillId="8" borderId="0" xfId="22" applyFont="1" applyFill="1"/>
    <xf numFmtId="0" fontId="52" fillId="7" borderId="26" xfId="23" applyFont="1" applyFill="1" applyBorder="1" applyAlignment="1">
      <alignment horizontal="left" vertical="center"/>
    </xf>
    <xf numFmtId="0" fontId="44" fillId="4" borderId="0" xfId="22" applyFont="1" applyFill="1" applyAlignment="1">
      <alignment horizontal="left" vertical="center"/>
    </xf>
    <xf numFmtId="0" fontId="52" fillId="7" borderId="0" xfId="23" applyFont="1" applyFill="1" applyAlignment="1">
      <alignment horizontal="left" vertical="center"/>
    </xf>
    <xf numFmtId="1" fontId="44" fillId="8" borderId="0" xfId="26" applyNumberFormat="1" applyFont="1" applyFill="1" applyAlignment="1">
      <alignment horizontal="right" vertical="center"/>
    </xf>
    <xf numFmtId="1" fontId="44" fillId="8" borderId="21" xfId="26" applyNumberFormat="1" applyFont="1" applyFill="1" applyBorder="1" applyAlignment="1">
      <alignment horizontal="right" vertical="center"/>
    </xf>
    <xf numFmtId="0" fontId="52" fillId="6" borderId="52" xfId="23" applyFont="1" applyFill="1" applyBorder="1" applyAlignment="1">
      <alignment horizontal="left" vertical="center"/>
    </xf>
    <xf numFmtId="0" fontId="44" fillId="6" borderId="42" xfId="22" applyFont="1" applyFill="1" applyBorder="1" applyAlignment="1">
      <alignment horizontal="left" vertical="center"/>
    </xf>
    <xf numFmtId="0" fontId="52" fillId="6" borderId="42" xfId="23" applyFont="1" applyFill="1" applyBorder="1" applyAlignment="1">
      <alignment horizontal="left" vertical="center"/>
    </xf>
    <xf numFmtId="0" fontId="52" fillId="7" borderId="53" xfId="23" applyFont="1" applyFill="1" applyBorder="1" applyAlignment="1">
      <alignment horizontal="left"/>
    </xf>
    <xf numFmtId="0" fontId="44" fillId="4" borderId="54" xfId="22" applyFont="1" applyFill="1" applyBorder="1" applyAlignment="1">
      <alignment horizontal="left"/>
    </xf>
    <xf numFmtId="0" fontId="52" fillId="7" borderId="54" xfId="23" applyFont="1" applyFill="1" applyBorder="1" applyAlignment="1">
      <alignment horizontal="left" vertical="center"/>
    </xf>
    <xf numFmtId="3" fontId="52" fillId="8" borderId="48" xfId="26" applyNumberFormat="1" applyFont="1" applyFill="1" applyBorder="1" applyAlignment="1">
      <alignment horizontal="right" vertical="center"/>
    </xf>
    <xf numFmtId="3" fontId="52" fillId="8" borderId="3" xfId="26" applyNumberFormat="1" applyFont="1" applyFill="1" applyBorder="1" applyAlignment="1">
      <alignment horizontal="right" vertical="center"/>
    </xf>
    <xf numFmtId="3" fontId="52" fillId="8" borderId="49" xfId="26" applyNumberFormat="1" applyFont="1" applyFill="1" applyBorder="1" applyAlignment="1">
      <alignment horizontal="right" vertical="center"/>
    </xf>
    <xf numFmtId="0" fontId="44" fillId="8" borderId="55" xfId="25" quotePrefix="1" applyFont="1" applyFill="1" applyBorder="1" applyAlignment="1">
      <alignment horizontal="left" vertical="center"/>
    </xf>
    <xf numFmtId="0" fontId="44" fillId="8" borderId="40" xfId="25" quotePrefix="1" applyFont="1" applyFill="1" applyBorder="1" applyAlignment="1">
      <alignment horizontal="left" vertical="center"/>
    </xf>
    <xf numFmtId="2" fontId="44" fillId="10" borderId="40" xfId="24" applyNumberFormat="1" applyFont="1" applyFill="1" applyBorder="1" applyAlignment="1">
      <alignment horizontal="right" vertical="center"/>
    </xf>
    <xf numFmtId="0" fontId="44" fillId="8" borderId="40" xfId="22" applyFont="1" applyFill="1" applyBorder="1" applyAlignment="1">
      <alignment horizontal="right" vertical="center"/>
    </xf>
    <xf numFmtId="0" fontId="52" fillId="7" borderId="40" xfId="23" applyFont="1" applyFill="1" applyBorder="1"/>
    <xf numFmtId="0" fontId="52" fillId="7" borderId="41" xfId="23" applyFont="1" applyFill="1" applyBorder="1"/>
    <xf numFmtId="0" fontId="37" fillId="4" borderId="0" xfId="22" applyFont="1" applyFill="1" applyAlignment="1">
      <alignment horizontal="left" vertical="center" wrapText="1"/>
    </xf>
    <xf numFmtId="0" fontId="17" fillId="0" borderId="0" xfId="0" applyFont="1" applyAlignment="1">
      <alignment horizontal="left"/>
    </xf>
    <xf numFmtId="0" fontId="62" fillId="0" borderId="0" xfId="0" applyFont="1"/>
    <xf numFmtId="0" fontId="37" fillId="4" borderId="0" xfId="0" applyFont="1" applyFill="1"/>
    <xf numFmtId="0" fontId="38" fillId="8" borderId="0" xfId="0" applyFont="1" applyFill="1"/>
    <xf numFmtId="0" fontId="38" fillId="8" borderId="40" xfId="0" applyFont="1" applyFill="1" applyBorder="1"/>
    <xf numFmtId="0" fontId="39" fillId="8" borderId="0" xfId="0" applyFont="1" applyFill="1"/>
    <xf numFmtId="0" fontId="39" fillId="7" borderId="0" xfId="0" applyFont="1" applyFill="1"/>
    <xf numFmtId="0" fontId="38" fillId="5" borderId="19" xfId="0" applyFont="1" applyFill="1" applyBorder="1"/>
    <xf numFmtId="0" fontId="38" fillId="5" borderId="59" xfId="0" applyFont="1" applyFill="1" applyBorder="1" applyAlignment="1">
      <alignment horizontal="center" vertical="center" wrapText="1"/>
    </xf>
    <xf numFmtId="0" fontId="38" fillId="5" borderId="60" xfId="0" applyFont="1" applyFill="1" applyBorder="1" applyAlignment="1">
      <alignment horizontal="center" vertical="center" wrapText="1"/>
    </xf>
    <xf numFmtId="0" fontId="65" fillId="5" borderId="42" xfId="0" applyFont="1" applyFill="1" applyBorder="1" applyAlignment="1">
      <alignment horizontal="center" vertical="center" wrapText="1"/>
    </xf>
    <xf numFmtId="0" fontId="38" fillId="5" borderId="42" xfId="0" applyFont="1" applyFill="1" applyBorder="1" applyAlignment="1">
      <alignment horizontal="center" vertical="center" wrapText="1"/>
    </xf>
    <xf numFmtId="0" fontId="46" fillId="5" borderId="42" xfId="0" applyFont="1" applyFill="1" applyBorder="1" applyAlignment="1">
      <alignment horizontal="center" vertical="center" wrapText="1"/>
    </xf>
    <xf numFmtId="0" fontId="66" fillId="12" borderId="0" xfId="0" applyFont="1" applyFill="1"/>
    <xf numFmtId="0" fontId="38" fillId="0" borderId="0" xfId="0" applyFont="1"/>
    <xf numFmtId="0" fontId="44" fillId="7" borderId="19" xfId="0" applyFont="1" applyFill="1" applyBorder="1" applyAlignment="1">
      <alignment horizontal="left"/>
    </xf>
    <xf numFmtId="0" fontId="38" fillId="0" borderId="38" xfId="0" applyFont="1" applyBorder="1" applyAlignment="1">
      <alignment horizontal="center" vertical="center" wrapText="1"/>
    </xf>
    <xf numFmtId="3" fontId="44" fillId="8" borderId="0" xfId="0" applyNumberFormat="1" applyFont="1" applyFill="1" applyAlignment="1">
      <alignment horizontal="center" vertical="center"/>
    </xf>
    <xf numFmtId="167" fontId="44" fillId="8" borderId="38" xfId="0" applyNumberFormat="1" applyFont="1" applyFill="1" applyBorder="1" applyAlignment="1">
      <alignment horizontal="center" vertical="center"/>
    </xf>
    <xf numFmtId="172" fontId="44" fillId="8" borderId="0" xfId="0" applyNumberFormat="1" applyFont="1" applyFill="1" applyAlignment="1">
      <alignment horizontal="center" vertical="center"/>
    </xf>
    <xf numFmtId="167" fontId="44" fillId="0" borderId="0" xfId="0" applyNumberFormat="1" applyFont="1" applyAlignment="1">
      <alignment horizontal="center" vertical="center"/>
    </xf>
    <xf numFmtId="0" fontId="39" fillId="0" borderId="0" xfId="0" applyFont="1"/>
    <xf numFmtId="0" fontId="66" fillId="0" borderId="0" xfId="0" applyFont="1"/>
    <xf numFmtId="167" fontId="38" fillId="4" borderId="0" xfId="0" applyNumberFormat="1" applyFont="1" applyFill="1"/>
    <xf numFmtId="167" fontId="44" fillId="7" borderId="38" xfId="0" applyNumberFormat="1" applyFont="1" applyFill="1" applyBorder="1" applyAlignment="1">
      <alignment horizontal="center" vertical="center"/>
    </xf>
    <xf numFmtId="167" fontId="39" fillId="7" borderId="0" xfId="0" applyNumberFormat="1" applyFont="1" applyFill="1"/>
    <xf numFmtId="167" fontId="44" fillId="8" borderId="0" xfId="0" applyNumberFormat="1" applyFont="1" applyFill="1" applyAlignment="1">
      <alignment horizontal="center" vertical="center"/>
    </xf>
    <xf numFmtId="172" fontId="0" fillId="0" borderId="0" xfId="0" applyNumberFormat="1"/>
    <xf numFmtId="3" fontId="44" fillId="8" borderId="26" xfId="0" applyNumberFormat="1" applyFont="1" applyFill="1" applyBorder="1" applyAlignment="1">
      <alignment horizontal="center" vertical="center"/>
    </xf>
    <xf numFmtId="0" fontId="44" fillId="8" borderId="61" xfId="0" applyFont="1" applyFill="1" applyBorder="1" applyAlignment="1">
      <alignment horizontal="left"/>
    </xf>
    <xf numFmtId="167" fontId="44" fillId="8" borderId="62" xfId="0" applyNumberFormat="1" applyFont="1" applyFill="1" applyBorder="1" applyAlignment="1">
      <alignment horizontal="center" vertical="center"/>
    </xf>
    <xf numFmtId="3" fontId="44" fillId="8" borderId="60" xfId="0" applyNumberFormat="1" applyFont="1" applyFill="1" applyBorder="1" applyAlignment="1">
      <alignment horizontal="center" vertical="center"/>
    </xf>
    <xf numFmtId="167" fontId="44" fillId="8" borderId="60" xfId="0" applyNumberFormat="1" applyFont="1" applyFill="1" applyBorder="1" applyAlignment="1">
      <alignment horizontal="center" vertical="center"/>
    </xf>
    <xf numFmtId="172" fontId="44" fillId="8" borderId="60" xfId="0" applyNumberFormat="1" applyFont="1" applyFill="1" applyBorder="1" applyAlignment="1">
      <alignment horizontal="center" vertical="center"/>
    </xf>
    <xf numFmtId="167" fontId="52" fillId="8" borderId="60" xfId="0" applyNumberFormat="1" applyFont="1" applyFill="1" applyBorder="1" applyAlignment="1">
      <alignment horizontal="center" vertical="center"/>
    </xf>
    <xf numFmtId="167" fontId="44" fillId="8" borderId="63" xfId="0" applyNumberFormat="1" applyFont="1" applyFill="1" applyBorder="1" applyAlignment="1">
      <alignment horizontal="center" vertical="center"/>
    </xf>
    <xf numFmtId="167" fontId="52" fillId="8" borderId="0" xfId="0" applyNumberFormat="1" applyFont="1" applyFill="1" applyAlignment="1">
      <alignment horizontal="center" vertical="center"/>
    </xf>
    <xf numFmtId="167" fontId="44" fillId="8" borderId="21" xfId="0" applyNumberFormat="1" applyFont="1" applyFill="1" applyBorder="1" applyAlignment="1">
      <alignment horizontal="center" vertical="center"/>
    </xf>
    <xf numFmtId="170" fontId="39" fillId="7" borderId="0" xfId="19" applyNumberFormat="1" applyFont="1" applyFill="1"/>
    <xf numFmtId="0" fontId="44" fillId="8" borderId="64" xfId="0" applyFont="1" applyFill="1" applyBorder="1" applyAlignment="1">
      <alignment horizontal="left"/>
    </xf>
    <xf numFmtId="2" fontId="39" fillId="7" borderId="0" xfId="0" applyNumberFormat="1" applyFont="1" applyFill="1"/>
    <xf numFmtId="174" fontId="39" fillId="7" borderId="0" xfId="0" applyNumberFormat="1" applyFont="1" applyFill="1"/>
    <xf numFmtId="0" fontId="44" fillId="8" borderId="65" xfId="0" applyFont="1" applyFill="1" applyBorder="1" applyAlignment="1">
      <alignment horizontal="left"/>
    </xf>
    <xf numFmtId="167" fontId="44" fillId="8" borderId="65" xfId="0" applyNumberFormat="1" applyFont="1" applyFill="1" applyBorder="1" applyAlignment="1">
      <alignment horizontal="center" vertical="center"/>
    </xf>
    <xf numFmtId="167" fontId="44" fillId="8" borderId="19" xfId="0" applyNumberFormat="1" applyFont="1" applyFill="1" applyBorder="1" applyAlignment="1">
      <alignment horizontal="center" vertical="center"/>
    </xf>
    <xf numFmtId="167" fontId="44" fillId="8" borderId="64" xfId="0" applyNumberFormat="1" applyFont="1" applyFill="1" applyBorder="1" applyAlignment="1">
      <alignment horizontal="center" vertical="center"/>
    </xf>
    <xf numFmtId="0" fontId="37" fillId="0" borderId="66" xfId="0" applyFont="1" applyBorder="1" applyAlignment="1">
      <alignment vertical="center"/>
    </xf>
    <xf numFmtId="0" fontId="37" fillId="0" borderId="15" xfId="0" applyFont="1" applyBorder="1" applyAlignment="1">
      <alignment vertical="center"/>
    </xf>
    <xf numFmtId="0" fontId="60" fillId="0" borderId="15" xfId="0" applyFont="1" applyBorder="1" applyAlignment="1">
      <alignment vertical="center"/>
    </xf>
    <xf numFmtId="0" fontId="37" fillId="0" borderId="20" xfId="0" applyFont="1" applyBorder="1" applyAlignment="1">
      <alignment vertical="center"/>
    </xf>
    <xf numFmtId="0" fontId="60" fillId="0" borderId="19" xfId="0" applyFont="1" applyBorder="1"/>
    <xf numFmtId="0" fontId="37" fillId="0" borderId="0" xfId="0" applyFont="1"/>
    <xf numFmtId="0" fontId="60" fillId="0" borderId="0" xfId="0" applyFont="1"/>
    <xf numFmtId="0" fontId="37" fillId="8" borderId="19" xfId="0" applyFont="1" applyFill="1" applyBorder="1" applyAlignment="1">
      <alignment vertical="center"/>
    </xf>
    <xf numFmtId="0" fontId="67" fillId="4" borderId="0" xfId="0" applyFont="1" applyFill="1"/>
    <xf numFmtId="0" fontId="39" fillId="4" borderId="21" xfId="0" applyFont="1" applyFill="1" applyBorder="1"/>
    <xf numFmtId="0" fontId="37" fillId="8" borderId="0" xfId="0" applyFont="1" applyFill="1" applyAlignment="1">
      <alignment vertical="center"/>
    </xf>
    <xf numFmtId="0" fontId="60" fillId="8" borderId="0" xfId="0" applyFont="1" applyFill="1"/>
    <xf numFmtId="0" fontId="60" fillId="8" borderId="0" xfId="0" applyFont="1" applyFill="1" applyAlignment="1">
      <alignment vertical="center"/>
    </xf>
    <xf numFmtId="0" fontId="37" fillId="8" borderId="21" xfId="0" applyFont="1" applyFill="1" applyBorder="1" applyAlignment="1">
      <alignment vertical="center"/>
    </xf>
    <xf numFmtId="0" fontId="37" fillId="8" borderId="19" xfId="0" applyFont="1" applyFill="1" applyBorder="1" applyAlignment="1">
      <alignment horizontal="left" vertical="center"/>
    </xf>
    <xf numFmtId="0" fontId="37" fillId="8" borderId="0" xfId="0" applyFont="1" applyFill="1" applyAlignment="1">
      <alignment horizontal="left" vertical="center"/>
    </xf>
    <xf numFmtId="0" fontId="60" fillId="8" borderId="0" xfId="0" applyFont="1" applyFill="1" applyAlignment="1">
      <alignment horizontal="left" vertical="center"/>
    </xf>
    <xf numFmtId="0" fontId="37" fillId="8" borderId="21" xfId="0" applyFont="1" applyFill="1" applyBorder="1" applyAlignment="1">
      <alignment horizontal="left" vertical="center"/>
    </xf>
    <xf numFmtId="0" fontId="37" fillId="8" borderId="27" xfId="0" applyFont="1" applyFill="1" applyBorder="1" applyAlignment="1">
      <alignment vertical="center"/>
    </xf>
    <xf numFmtId="0" fontId="37" fillId="8" borderId="40" xfId="0" applyFont="1" applyFill="1" applyBorder="1" applyAlignment="1">
      <alignment vertical="center"/>
    </xf>
    <xf numFmtId="0" fontId="60" fillId="8" borderId="40" xfId="0" applyFont="1" applyFill="1" applyBorder="1" applyAlignment="1">
      <alignment vertical="center"/>
    </xf>
    <xf numFmtId="0" fontId="37" fillId="8" borderId="41" xfId="0" applyFont="1" applyFill="1" applyBorder="1" applyAlignment="1">
      <alignment vertical="center"/>
    </xf>
    <xf numFmtId="0" fontId="69" fillId="7" borderId="0" xfId="0" applyFont="1" applyFill="1"/>
    <xf numFmtId="0" fontId="70" fillId="7" borderId="0" xfId="0" applyFont="1" applyFill="1" applyAlignment="1">
      <alignment wrapText="1"/>
    </xf>
    <xf numFmtId="0" fontId="70" fillId="7" borderId="0" xfId="0" applyFont="1" applyFill="1"/>
    <xf numFmtId="0" fontId="71" fillId="0" borderId="0" xfId="0" applyFont="1" applyAlignment="1">
      <alignment vertical="center"/>
    </xf>
    <xf numFmtId="0" fontId="72" fillId="13" borderId="0" xfId="27" applyFont="1" applyFill="1"/>
    <xf numFmtId="0" fontId="73" fillId="7" borderId="0" xfId="27" applyFont="1" applyFill="1" applyAlignment="1">
      <alignment horizontal="center"/>
    </xf>
    <xf numFmtId="0" fontId="73" fillId="13" borderId="0" xfId="27" applyFont="1" applyFill="1"/>
    <xf numFmtId="15" fontId="74" fillId="13" borderId="0" xfId="27" quotePrefix="1" applyNumberFormat="1" applyFont="1" applyFill="1"/>
    <xf numFmtId="0" fontId="74" fillId="13" borderId="0" xfId="27" applyFont="1" applyFill="1"/>
    <xf numFmtId="0" fontId="73" fillId="7" borderId="0" xfId="27" applyFont="1" applyFill="1"/>
    <xf numFmtId="0" fontId="75" fillId="13" borderId="0" xfId="27" applyFont="1" applyFill="1" applyAlignment="1">
      <alignment vertical="center"/>
    </xf>
    <xf numFmtId="167" fontId="73" fillId="13" borderId="0" xfId="27" applyNumberFormat="1" applyFont="1" applyFill="1" applyAlignment="1">
      <alignment horizontal="center" vertical="center"/>
    </xf>
    <xf numFmtId="0" fontId="73" fillId="13" borderId="0" xfId="27" applyFont="1" applyFill="1" applyAlignment="1">
      <alignment vertical="center"/>
    </xf>
    <xf numFmtId="2" fontId="73" fillId="7" borderId="0" xfId="27" applyNumberFormat="1" applyFont="1" applyFill="1" applyAlignment="1">
      <alignment horizontal="center"/>
    </xf>
    <xf numFmtId="2" fontId="73" fillId="14" borderId="0" xfId="27" applyNumberFormat="1" applyFont="1" applyFill="1" applyAlignment="1">
      <alignment horizontal="center"/>
    </xf>
    <xf numFmtId="3" fontId="73" fillId="13" borderId="0" xfId="27" applyNumberFormat="1" applyFont="1" applyFill="1" applyAlignment="1">
      <alignment vertical="center"/>
    </xf>
    <xf numFmtId="3" fontId="75" fillId="13" borderId="0" xfId="27" applyNumberFormat="1" applyFont="1" applyFill="1" applyAlignment="1">
      <alignment vertical="center"/>
    </xf>
    <xf numFmtId="2" fontId="73" fillId="13" borderId="0" xfId="27" applyNumberFormat="1" applyFont="1" applyFill="1" applyAlignment="1">
      <alignment horizontal="center"/>
    </xf>
    <xf numFmtId="3" fontId="73" fillId="13" borderId="48" xfId="27" applyNumberFormat="1" applyFont="1" applyFill="1" applyBorder="1" applyAlignment="1">
      <alignment vertical="center"/>
    </xf>
    <xf numFmtId="3" fontId="60" fillId="13" borderId="42" xfId="27" applyNumberFormat="1" applyFont="1" applyFill="1" applyBorder="1" applyAlignment="1">
      <alignment vertical="center"/>
    </xf>
    <xf numFmtId="167" fontId="73" fillId="13" borderId="42" xfId="27" applyNumberFormat="1" applyFont="1" applyFill="1" applyBorder="1" applyAlignment="1">
      <alignment horizontal="center" vertical="center"/>
    </xf>
    <xf numFmtId="3" fontId="60" fillId="13" borderId="0" xfId="27" applyNumberFormat="1" applyFont="1" applyFill="1" applyAlignment="1">
      <alignment vertical="center"/>
    </xf>
    <xf numFmtId="3" fontId="68" fillId="13" borderId="0" xfId="27" applyNumberFormat="1" applyFont="1" applyFill="1" applyAlignment="1">
      <alignment vertical="center"/>
    </xf>
    <xf numFmtId="0" fontId="68" fillId="7" borderId="0" xfId="27" applyFont="1" applyFill="1" applyAlignment="1">
      <alignment vertical="center"/>
    </xf>
    <xf numFmtId="0" fontId="60" fillId="7" borderId="40" xfId="27" applyFont="1" applyFill="1" applyBorder="1" applyAlignment="1">
      <alignment vertical="center"/>
    </xf>
    <xf numFmtId="0" fontId="73" fillId="7" borderId="40" xfId="27" applyFont="1" applyFill="1" applyBorder="1" applyAlignment="1">
      <alignment horizontal="center"/>
    </xf>
    <xf numFmtId="10" fontId="73" fillId="13" borderId="0" xfId="19" applyNumberFormat="1" applyFont="1" applyFill="1" applyBorder="1"/>
    <xf numFmtId="0" fontId="78" fillId="7" borderId="0" xfId="27" applyFont="1" applyFill="1"/>
    <xf numFmtId="175" fontId="73" fillId="7" borderId="0" xfId="27" applyNumberFormat="1" applyFont="1" applyFill="1" applyAlignment="1">
      <alignment horizontal="center"/>
    </xf>
    <xf numFmtId="174" fontId="73" fillId="7" borderId="0" xfId="27" applyNumberFormat="1" applyFont="1" applyFill="1" applyAlignment="1">
      <alignment horizontal="center"/>
    </xf>
    <xf numFmtId="0" fontId="79" fillId="6" borderId="29" xfId="27" applyFont="1" applyFill="1" applyBorder="1" applyAlignment="1">
      <alignment vertical="center"/>
    </xf>
    <xf numFmtId="0" fontId="79" fillId="6" borderId="29" xfId="27" applyFont="1" applyFill="1" applyBorder="1" applyAlignment="1">
      <alignment horizontal="center" vertical="center"/>
    </xf>
    <xf numFmtId="0" fontId="79" fillId="13" borderId="0" xfId="27" applyFont="1" applyFill="1"/>
    <xf numFmtId="0" fontId="41" fillId="5" borderId="34" xfId="0" applyFont="1" applyFill="1" applyBorder="1" applyAlignment="1">
      <alignment horizontal="center"/>
    </xf>
    <xf numFmtId="0" fontId="41" fillId="5" borderId="35" xfId="0" applyFont="1" applyFill="1" applyBorder="1" applyAlignment="1">
      <alignment horizontal="center"/>
    </xf>
    <xf numFmtId="0" fontId="41" fillId="5" borderId="36" xfId="0" applyFont="1" applyFill="1" applyBorder="1" applyAlignment="1">
      <alignment horizontal="center"/>
    </xf>
    <xf numFmtId="0" fontId="63" fillId="11" borderId="29" xfId="0" applyFont="1" applyFill="1" applyBorder="1" applyAlignment="1">
      <alignment horizontal="center" vertical="center"/>
    </xf>
    <xf numFmtId="0" fontId="63" fillId="11" borderId="30" xfId="0" applyFont="1" applyFill="1" applyBorder="1" applyAlignment="1">
      <alignment horizontal="center" vertical="center"/>
    </xf>
    <xf numFmtId="0" fontId="63" fillId="11" borderId="56" xfId="0" applyFont="1" applyFill="1" applyBorder="1" applyAlignment="1">
      <alignment horizontal="center" vertical="center"/>
    </xf>
    <xf numFmtId="0" fontId="63" fillId="11" borderId="57" xfId="0" applyFont="1" applyFill="1" applyBorder="1" applyAlignment="1">
      <alignment horizontal="center" vertical="center"/>
    </xf>
    <xf numFmtId="0" fontId="63" fillId="11" borderId="58" xfId="0" applyFont="1" applyFill="1" applyBorder="1" applyAlignment="1">
      <alignment horizontal="center" vertical="center"/>
    </xf>
    <xf numFmtId="49" fontId="1" fillId="0" borderId="0" xfId="1" applyFill="1" applyAlignment="1">
      <alignment vertical="top" wrapText="1"/>
    </xf>
    <xf numFmtId="0" fontId="0" fillId="0" borderId="0" xfId="0" applyAlignment="1">
      <alignment vertical="top" wrapText="1"/>
    </xf>
    <xf numFmtId="0" fontId="60" fillId="8" borderId="26" xfId="23" applyFont="1" applyFill="1" applyBorder="1" applyAlignment="1">
      <alignment horizontal="left" vertical="center" wrapText="1"/>
    </xf>
    <xf numFmtId="0" fontId="60" fillId="8" borderId="0" xfId="23" applyFont="1" applyFill="1" applyAlignment="1">
      <alignment horizontal="left" vertical="center" wrapText="1"/>
    </xf>
    <xf numFmtId="0" fontId="60" fillId="8" borderId="21" xfId="23" applyFont="1" applyFill="1" applyBorder="1" applyAlignment="1">
      <alignment horizontal="left" vertical="center" wrapText="1"/>
    </xf>
    <xf numFmtId="2" fontId="58" fillId="6" borderId="43" xfId="24" applyNumberFormat="1" applyFont="1" applyFill="1" applyBorder="1" applyAlignment="1">
      <alignment horizontal="center" vertical="center" wrapText="1"/>
    </xf>
    <xf numFmtId="2" fontId="58" fillId="6" borderId="29" xfId="24" applyNumberFormat="1" applyFont="1" applyFill="1" applyBorder="1" applyAlignment="1">
      <alignment horizontal="center" vertical="center" wrapText="1"/>
    </xf>
    <xf numFmtId="2" fontId="58" fillId="6" borderId="30" xfId="24" applyNumberFormat="1" applyFont="1" applyFill="1" applyBorder="1" applyAlignment="1">
      <alignment horizontal="center" vertical="center" wrapText="1"/>
    </xf>
    <xf numFmtId="167" fontId="38" fillId="6" borderId="44" xfId="25" applyNumberFormat="1" applyFont="1" applyFill="1" applyBorder="1" applyAlignment="1">
      <alignment horizontal="center" vertical="center" wrapText="1"/>
    </xf>
    <xf numFmtId="167" fontId="38" fillId="6" borderId="45" xfId="25" applyNumberFormat="1" applyFont="1" applyFill="1" applyBorder="1" applyAlignment="1">
      <alignment horizontal="center" vertical="center" wrapText="1"/>
    </xf>
    <xf numFmtId="167" fontId="38" fillId="6" borderId="46" xfId="25" applyNumberFormat="1" applyFont="1" applyFill="1" applyBorder="1" applyAlignment="1">
      <alignment horizontal="center" vertical="center" wrapText="1"/>
    </xf>
    <xf numFmtId="167" fontId="38" fillId="6" borderId="47" xfId="25" applyNumberFormat="1" applyFont="1" applyFill="1" applyBorder="1" applyAlignment="1">
      <alignment horizontal="center" vertical="center" wrapText="1"/>
    </xf>
    <xf numFmtId="167" fontId="38" fillId="6" borderId="48" xfId="25" applyNumberFormat="1" applyFont="1" applyFill="1" applyBorder="1" applyAlignment="1">
      <alignment horizontal="center" vertical="center" wrapText="1"/>
    </xf>
    <xf numFmtId="167" fontId="38" fillId="6" borderId="49" xfId="25" applyNumberFormat="1" applyFont="1" applyFill="1" applyBorder="1" applyAlignment="1">
      <alignment horizontal="center" vertical="center" wrapText="1"/>
    </xf>
    <xf numFmtId="167" fontId="38" fillId="6" borderId="51" xfId="25" applyNumberFormat="1" applyFont="1" applyFill="1" applyBorder="1" applyAlignment="1">
      <alignment horizontal="center" vertical="center" wrapText="1"/>
    </xf>
    <xf numFmtId="0" fontId="38" fillId="6" borderId="0" xfId="0" applyFont="1" applyFill="1" applyAlignment="1">
      <alignment horizontal="center" vertical="center" wrapText="1"/>
    </xf>
    <xf numFmtId="0" fontId="38" fillId="5" borderId="20" xfId="0" applyFont="1" applyFill="1" applyBorder="1" applyAlignment="1">
      <alignment horizontal="center" vertical="center" wrapText="1"/>
    </xf>
    <xf numFmtId="0" fontId="38" fillId="5" borderId="21" xfId="0" applyFont="1" applyFill="1" applyBorder="1" applyAlignment="1">
      <alignment horizontal="center" vertical="center" wrapText="1"/>
    </xf>
    <xf numFmtId="0" fontId="48" fillId="4" borderId="22" xfId="0" applyFont="1" applyFill="1" applyBorder="1" applyAlignment="1">
      <alignment horizontal="center" wrapText="1"/>
    </xf>
    <xf numFmtId="0" fontId="41" fillId="5" borderId="16" xfId="0" applyFont="1" applyFill="1" applyBorder="1" applyAlignment="1">
      <alignment horizontal="center" vertical="center"/>
    </xf>
    <xf numFmtId="0" fontId="41" fillId="5" borderId="17" xfId="0" applyFont="1" applyFill="1" applyBorder="1" applyAlignment="1">
      <alignment horizontal="center" vertical="center"/>
    </xf>
    <xf numFmtId="0" fontId="42" fillId="0" borderId="18" xfId="0" applyFont="1" applyBorder="1" applyAlignment="1">
      <alignment vertical="center"/>
    </xf>
    <xf numFmtId="0" fontId="45" fillId="6" borderId="0" xfId="0" applyFont="1" applyFill="1" applyAlignment="1">
      <alignment horizontal="center" vertical="center" wrapText="1"/>
    </xf>
  </cellXfs>
  <cellStyles count="28">
    <cellStyle name="% 2 2" xfId="25" xr:uid="{1647DB60-10E3-441A-880F-20747A8CAE06}"/>
    <cellStyle name="%_PEF FSBR2011 2" xfId="26" xr:uid="{8CB16E4D-0849-4939-9C2E-1A56904F691A}"/>
    <cellStyle name="Comma 2" xfId="12" xr:uid="{5D71DDF9-1BEB-4E42-B514-C1BB241D37D9}"/>
    <cellStyle name="Heading 1 2" xfId="1" xr:uid="{ECE164F6-254D-438B-A341-21A12566DCDA}"/>
    <cellStyle name="Heading 1 3" xfId="8" xr:uid="{DFA6E249-3287-4B2E-BA9C-9015FC56CFD1}"/>
    <cellStyle name="Heading 1 4" xfId="14" xr:uid="{AC88CEE2-C01F-40AA-B1E6-EE35A433C125}"/>
    <cellStyle name="Heading 4 2" xfId="10" xr:uid="{6630E92E-7441-496A-8F96-6B3FED378D45}"/>
    <cellStyle name="Hyperlink" xfId="2" builtinId="8"/>
    <cellStyle name="Hyperlink 2" xfId="7" xr:uid="{A7401CD4-5DA5-4AE2-A03A-E7E9C8ECE479}"/>
    <cellStyle name="Hyperlink 3" xfId="16" xr:uid="{FF85B2DC-61AC-4E0F-BC1A-62DD60110E61}"/>
    <cellStyle name="Hyperlink 4" xfId="18" xr:uid="{BAA24DBC-64EE-4651-AB60-5A6294675502}"/>
    <cellStyle name="Hyperlink 5" xfId="21" xr:uid="{157E32F1-C8B4-4B2D-9C0D-481F930AB2F2}"/>
    <cellStyle name="Normal" xfId="0" builtinId="0"/>
    <cellStyle name="Normal 102 2" xfId="23" xr:uid="{C26C69BB-5509-496A-AA50-8AAEA699CC33}"/>
    <cellStyle name="Normal 2" xfId="3" xr:uid="{2AA22377-1B48-40AF-B834-B8414279E01E}"/>
    <cellStyle name="Normal 2 2 2" xfId="24" xr:uid="{376A1A3A-8329-4750-97BE-B02A2C9CE575}"/>
    <cellStyle name="Normal 2 5" xfId="5" xr:uid="{F415BF3B-F751-4DD3-A524-AD9710FF2BD4}"/>
    <cellStyle name="Normal 3" xfId="4" xr:uid="{ACF22BCE-7551-4B17-A915-E3024246EE24}"/>
    <cellStyle name="Normal 4" xfId="6" xr:uid="{B2F05C7D-16B6-4D66-A990-6ABFE4763515}"/>
    <cellStyle name="Normal 4 2" xfId="20" xr:uid="{355C6D4A-C685-4F47-AB52-8BAE6EA32DE1}"/>
    <cellStyle name="Normal 5" xfId="9" xr:uid="{EE8FAF2C-D1FA-45E0-8854-B658F326100F}"/>
    <cellStyle name="Normal 6" xfId="15" xr:uid="{AB4A7F77-1417-4277-941A-E9393E718CDC}"/>
    <cellStyle name="Normal 7" xfId="17" xr:uid="{11535243-DD94-45B2-91DA-DF5294D2614F}"/>
    <cellStyle name="Normal_Fiscal Tables" xfId="22" xr:uid="{97D3FDE8-4D5E-4922-8E45-2704C83A565B}"/>
    <cellStyle name="Normal_Supplementary table information" xfId="27" xr:uid="{B73037F6-A42E-4489-9018-52452DD576F9}"/>
    <cellStyle name="Normal_WebframesCC" xfId="11" xr:uid="{C61AD7FB-9D36-4D18-9D10-27E0C3C58A9D}"/>
    <cellStyle name="Percent" xfId="19" builtinId="5"/>
    <cellStyle name="Percent 2" xfId="13" xr:uid="{514D87C6-1EA6-494B-9DF7-88B1D89B9362}"/>
  </cellStyles>
  <dxfs count="680">
    <dxf>
      <font>
        <b val="0"/>
        <i val="0"/>
        <strike val="0"/>
        <condense val="0"/>
        <extend val="0"/>
        <outline val="0"/>
        <shadow val="0"/>
        <u val="none"/>
        <vertAlign val="baseline"/>
        <sz val="12"/>
        <color auto="1"/>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top" textRotation="0" wrapText="0" indent="0" justifyLastLine="0" shrinkToFit="0" readingOrder="0"/>
    </dxf>
    <dxf>
      <font>
        <b/>
        <i val="0"/>
        <strike val="0"/>
        <condense val="0"/>
        <extend val="0"/>
        <outline val="0"/>
        <shadow val="0"/>
        <u val="none"/>
        <vertAlign val="baseline"/>
        <sz val="12"/>
        <color rgb="FF000000"/>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top" textRotation="0" wrapText="0" indent="0" justifyLastLine="0" shrinkToFit="0" readingOrder="0"/>
    </dxf>
    <dxf>
      <font>
        <b/>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top" textRotation="0" wrapText="1" indent="0" justifyLastLine="0" shrinkToFit="0" readingOrder="0"/>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name val="Arial"/>
        <family val="2"/>
      </font>
    </dxf>
    <dxf>
      <font>
        <strike val="0"/>
        <outline val="0"/>
        <shadow val="0"/>
        <vertAlign val="baseline"/>
        <sz val="11"/>
        <color auto="1"/>
      </font>
    </dxf>
    <dxf>
      <font>
        <strike val="0"/>
        <condense val="0"/>
        <extend val="0"/>
        <outline val="0"/>
        <shadow val="0"/>
        <vertAlign val="baseline"/>
        <sz val="11"/>
        <color auto="1"/>
        <name val="Arial"/>
        <family val="2"/>
      </font>
      <numFmt numFmtId="170" formatCode="0.0%"/>
      <alignment horizontal="right" vertical="bottom"/>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alignment horizontal="right" vertical="bottom"/>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3" formatCode="#,##0"/>
      <alignment horizontal="right" vertical="bottom"/>
      <protection locked="0" hidden="0"/>
    </dxf>
    <dxf>
      <font>
        <strike val="0"/>
        <condense val="0"/>
        <extend val="0"/>
        <outline val="0"/>
        <shadow val="0"/>
        <vertAlign val="baseline"/>
        <sz val="11"/>
        <color auto="1"/>
        <name val="Arial"/>
        <family val="2"/>
      </font>
      <fill>
        <patternFill patternType="solid">
          <fgColor theme="6" tint="0.79998168889431442"/>
          <bgColor theme="6" tint="0.79998168889431442"/>
        </patternFill>
      </fill>
      <alignment horizontal="left" vertical="top" wrapText="1"/>
    </dxf>
    <dxf>
      <font>
        <strike val="0"/>
        <condense val="0"/>
        <extend val="0"/>
        <outline val="0"/>
        <shadow val="0"/>
        <vertAlign val="baseline"/>
        <sz val="11"/>
        <color auto="1"/>
        <name val="Arial"/>
        <family val="2"/>
      </font>
      <alignment horizontal="right" vertical="bottom"/>
      <protection locked="0" hidden="0"/>
    </dxf>
    <dxf>
      <font>
        <b/>
        <strike val="0"/>
        <condense val="0"/>
        <extend val="0"/>
        <outline val="0"/>
        <shadow val="0"/>
        <vertAlign val="baseline"/>
        <sz val="11"/>
        <color auto="1"/>
        <name val="Arial"/>
        <family val="2"/>
      </font>
      <alignment horizontal="right" vertical="bottom"/>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font>
    </dxf>
    <dxf>
      <font>
        <strike val="0"/>
        <outline val="0"/>
        <shadow val="0"/>
        <vertAlign val="baseline"/>
        <sz val="11"/>
        <color auto="1"/>
        <name val="Arial"/>
        <family val="2"/>
      </font>
    </dxf>
    <dxf>
      <font>
        <strike val="0"/>
        <outline val="0"/>
        <shadow val="0"/>
        <vertAlign val="baseline"/>
        <sz val="11"/>
        <color auto="1"/>
      </font>
    </dxf>
    <dxf>
      <font>
        <strike val="0"/>
        <condense val="0"/>
        <extend val="0"/>
        <outline val="0"/>
        <shadow val="0"/>
        <vertAlign val="baseline"/>
        <sz val="11"/>
        <color auto="1"/>
        <name val="Arial"/>
        <family val="2"/>
      </font>
      <numFmt numFmtId="170" formatCode="0.0%"/>
      <alignment horizontal="right" vertical="bottom"/>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dxf>
    <dxf>
      <font>
        <strike val="0"/>
        <outline val="0"/>
        <shadow val="0"/>
        <vertAlign val="baseline"/>
        <sz val="11"/>
        <color auto="1"/>
        <name val="Arial"/>
        <family val="2"/>
      </font>
      <alignment horizontal="right" vertical="bottom"/>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0" formatCode="General"/>
      <alignment horizontal="right" vertical="bottom"/>
      <protection locked="0" hidden="0"/>
    </dxf>
    <dxf>
      <font>
        <strike val="0"/>
        <condense val="0"/>
        <extend val="0"/>
        <outline val="0"/>
        <shadow val="0"/>
        <vertAlign val="baseline"/>
        <sz val="11"/>
        <color auto="1"/>
        <name val="Arial"/>
        <family val="2"/>
      </font>
      <numFmt numFmtId="3" formatCode="#,##0"/>
      <alignment horizontal="right" vertical="bottom"/>
      <protection locked="0" hidden="0"/>
    </dxf>
    <dxf>
      <font>
        <strike val="0"/>
        <condense val="0"/>
        <extend val="0"/>
        <outline val="0"/>
        <shadow val="0"/>
        <vertAlign val="baseline"/>
        <sz val="11"/>
        <color auto="1"/>
        <name val="Arial"/>
        <family val="2"/>
      </font>
      <fill>
        <patternFill patternType="solid">
          <fgColor theme="6" tint="0.79998168889431442"/>
          <bgColor theme="6" tint="0.79998168889431442"/>
        </patternFill>
      </fill>
      <alignment horizontal="left" vertical="top" wrapText="1"/>
    </dxf>
    <dxf>
      <font>
        <strike val="0"/>
        <condense val="0"/>
        <extend val="0"/>
        <outline val="0"/>
        <shadow val="0"/>
        <vertAlign val="baseline"/>
        <sz val="11"/>
        <color auto="1"/>
        <name val="Arial"/>
        <family val="2"/>
      </font>
      <alignment horizontal="right" vertical="bottom"/>
      <protection locked="0" hidden="0"/>
    </dxf>
    <dxf>
      <font>
        <b/>
        <strike val="0"/>
        <condense val="0"/>
        <extend val="0"/>
        <outline val="0"/>
        <shadow val="0"/>
        <vertAlign val="baseline"/>
        <sz val="11"/>
        <color auto="1"/>
        <name val="Arial"/>
        <family val="2"/>
      </font>
      <alignment horizontal="right" vertical="bottom"/>
    </dxf>
  </dxfs>
  <tableStyles count="0" defaultTableStyle="TableStyleMedium2" defaultPivotStyle="PivotStyleLight16"/>
  <colors>
    <mruColors>
      <color rgb="FF4950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7.xml"/><Relationship Id="rId18" Type="http://schemas.openxmlformats.org/officeDocument/2006/relationships/worksheet" Target="worksheets/sheet12.xml"/><Relationship Id="rId26" Type="http://schemas.openxmlformats.org/officeDocument/2006/relationships/worksheet" Target="worksheets/sheet20.xml"/><Relationship Id="rId39" Type="http://schemas.openxmlformats.org/officeDocument/2006/relationships/sharedStrings" Target="sharedStrings.xml"/><Relationship Id="rId21" Type="http://schemas.openxmlformats.org/officeDocument/2006/relationships/worksheet" Target="worksheets/sheet15.xml"/><Relationship Id="rId34" Type="http://schemas.openxmlformats.org/officeDocument/2006/relationships/chartsheet" Target="chartsheets/sheet11.xml"/><Relationship Id="rId7" Type="http://schemas.openxmlformats.org/officeDocument/2006/relationships/chartsheet" Target="chartsheets/sheet6.xml"/><Relationship Id="rId2" Type="http://schemas.openxmlformats.org/officeDocument/2006/relationships/chartsheet" Target="chartsheets/sheet1.xml"/><Relationship Id="rId16" Type="http://schemas.openxmlformats.org/officeDocument/2006/relationships/worksheet" Target="worksheets/sheet10.xml"/><Relationship Id="rId20" Type="http://schemas.openxmlformats.org/officeDocument/2006/relationships/worksheet" Target="worksheets/sheet14.xml"/><Relationship Id="rId29" Type="http://schemas.openxmlformats.org/officeDocument/2006/relationships/worksheet" Target="worksheets/sheet23.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chartsheet" Target="chartsheets/sheet5.xml"/><Relationship Id="rId11" Type="http://schemas.openxmlformats.org/officeDocument/2006/relationships/worksheet" Target="worksheets/sheet5.xml"/><Relationship Id="rId24" Type="http://schemas.openxmlformats.org/officeDocument/2006/relationships/worksheet" Target="worksheets/sheet18.xml"/><Relationship Id="rId32" Type="http://schemas.openxmlformats.org/officeDocument/2006/relationships/chartsheet" Target="chartsheets/sheet9.xml"/><Relationship Id="rId37" Type="http://schemas.openxmlformats.org/officeDocument/2006/relationships/theme" Target="theme/theme1.xml"/><Relationship Id="rId40" Type="http://schemas.openxmlformats.org/officeDocument/2006/relationships/sheetMetadata" Target="metadata.xml"/><Relationship Id="rId5" Type="http://schemas.openxmlformats.org/officeDocument/2006/relationships/chartsheet" Target="chartsheets/sheet4.xml"/><Relationship Id="rId15" Type="http://schemas.openxmlformats.org/officeDocument/2006/relationships/worksheet" Target="worksheets/sheet9.xml"/><Relationship Id="rId23" Type="http://schemas.openxmlformats.org/officeDocument/2006/relationships/worksheet" Target="worksheets/sheet17.xml"/><Relationship Id="rId28" Type="http://schemas.openxmlformats.org/officeDocument/2006/relationships/worksheet" Target="worksheets/sheet22.xml"/><Relationship Id="rId36" Type="http://schemas.openxmlformats.org/officeDocument/2006/relationships/externalLink" Target="externalLinks/externalLink2.xml"/><Relationship Id="rId10" Type="http://schemas.openxmlformats.org/officeDocument/2006/relationships/worksheet" Target="worksheets/sheet4.xml"/><Relationship Id="rId19" Type="http://schemas.openxmlformats.org/officeDocument/2006/relationships/worksheet" Target="worksheets/sheet13.xml"/><Relationship Id="rId31" Type="http://schemas.openxmlformats.org/officeDocument/2006/relationships/chartsheet" Target="chartsheets/sheet8.xml"/><Relationship Id="rId4" Type="http://schemas.openxmlformats.org/officeDocument/2006/relationships/chartsheet" Target="chartsheets/sheet3.xml"/><Relationship Id="rId9" Type="http://schemas.openxmlformats.org/officeDocument/2006/relationships/worksheet" Target="worksheets/sheet3.xml"/><Relationship Id="rId14" Type="http://schemas.openxmlformats.org/officeDocument/2006/relationships/worksheet" Target="worksheets/sheet8.xml"/><Relationship Id="rId22" Type="http://schemas.openxmlformats.org/officeDocument/2006/relationships/worksheet" Target="worksheets/sheet16.xml"/><Relationship Id="rId27" Type="http://schemas.openxmlformats.org/officeDocument/2006/relationships/worksheet" Target="worksheets/sheet21.xml"/><Relationship Id="rId30" Type="http://schemas.openxmlformats.org/officeDocument/2006/relationships/chartsheet" Target="chartsheets/sheet7.xml"/><Relationship Id="rId35" Type="http://schemas.openxmlformats.org/officeDocument/2006/relationships/externalLink" Target="externalLinks/externalLink1.xml"/><Relationship Id="rId8" Type="http://schemas.openxmlformats.org/officeDocument/2006/relationships/worksheet" Target="worksheets/sheet2.xml"/><Relationship Id="rId3" Type="http://schemas.openxmlformats.org/officeDocument/2006/relationships/chartsheet" Target="chartsheets/sheet2.xml"/><Relationship Id="rId12" Type="http://schemas.openxmlformats.org/officeDocument/2006/relationships/worksheet" Target="worksheets/sheet6.xml"/><Relationship Id="rId17" Type="http://schemas.openxmlformats.org/officeDocument/2006/relationships/worksheet" Target="worksheets/sheet11.xml"/><Relationship Id="rId25" Type="http://schemas.openxmlformats.org/officeDocument/2006/relationships/worksheet" Target="worksheets/sheet19.xml"/><Relationship Id="rId33" Type="http://schemas.openxmlformats.org/officeDocument/2006/relationships/chartsheet" Target="chartsheets/sheet10.xml"/><Relationship Id="rId38"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openxmlformats.org/officeDocument/2006/relationships/chartUserShapes" Target="../drawings/drawing2.xml"/><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openxmlformats.org/officeDocument/2006/relationships/chartUserShapes" Target="../drawings/drawing4.xml"/><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2" Type="http://schemas.openxmlformats.org/officeDocument/2006/relationships/chartUserShapes" Target="../drawings/drawing6.xml"/><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2" Type="http://schemas.openxmlformats.org/officeDocument/2006/relationships/chartUserShapes" Target="../drawings/drawing8.xml"/><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2" Type="http://schemas.openxmlformats.org/officeDocument/2006/relationships/chartUserShapes" Target="../drawings/drawing10.xml"/><Relationship Id="rId1" Type="http://schemas.openxmlformats.org/officeDocument/2006/relationships/themeOverride" Target="../theme/themeOverride5.xml"/></Relationships>
</file>

<file path=xl/charts/_rels/chart6.xml.rels><?xml version="1.0" encoding="UTF-8" standalone="yes"?>
<Relationships xmlns="http://schemas.openxmlformats.org/package/2006/relationships"><Relationship Id="rId2" Type="http://schemas.openxmlformats.org/officeDocument/2006/relationships/chartUserShapes" Target="../drawings/drawing12.xml"/><Relationship Id="rId1" Type="http://schemas.openxmlformats.org/officeDocument/2006/relationships/themeOverride" Target="../theme/themeOverride6.xml"/></Relationships>
</file>

<file path=xl/charts/_rels/chart7.xml.rels><?xml version="1.0" encoding="UTF-8" standalone="yes"?>
<Relationships xmlns="http://schemas.openxmlformats.org/package/2006/relationships"><Relationship Id="rId2" Type="http://schemas.openxmlformats.org/officeDocument/2006/relationships/chartUserShapes" Target="../drawings/drawing16.xml"/><Relationship Id="rId1" Type="http://schemas.openxmlformats.org/officeDocument/2006/relationships/themeOverride" Target="../theme/themeOverride7.xml"/></Relationships>
</file>

<file path=xl/charts/_rels/chart8.xml.rels><?xml version="1.0" encoding="UTF-8" standalone="yes"?>
<Relationships xmlns="http://schemas.openxmlformats.org/package/2006/relationships"><Relationship Id="rId2" Type="http://schemas.openxmlformats.org/officeDocument/2006/relationships/chartUserShapes" Target="../drawings/drawing18.xml"/><Relationship Id="rId1" Type="http://schemas.openxmlformats.org/officeDocument/2006/relationships/themeOverride" Target="../theme/themeOverride8.xml"/></Relationships>
</file>

<file path=xl/charts/_rels/chart9.xml.rels><?xml version="1.0" encoding="UTF-8" standalone="yes"?>
<Relationships xmlns="http://schemas.openxmlformats.org/package/2006/relationships"><Relationship Id="rId2" Type="http://schemas.openxmlformats.org/officeDocument/2006/relationships/chartUserShapes" Target="../drawings/drawing20.xml"/><Relationship Id="rId1" Type="http://schemas.openxmlformats.org/officeDocument/2006/relationships/themeOverride" Target="../theme/themeOverride9.xml"/></Relationships>
</file>

<file path=xl/charts/_rels/chart10.xml.rels><?xml version="1.0" encoding="UTF-8" standalone="yes"?>
<Relationships xmlns="http://schemas.openxmlformats.org/package/2006/relationships"><Relationship Id="rId2" Type="http://schemas.openxmlformats.org/officeDocument/2006/relationships/chartUserShapes" Target="../drawings/drawing22.xml"/><Relationship Id="rId1" Type="http://schemas.openxmlformats.org/officeDocument/2006/relationships/themeOverride" Target="../theme/themeOverride10.xml"/></Relationships>
</file>

<file path=xl/charts/_rels/chart11.xml.rels><?xml version="1.0" encoding="UTF-8" standalone="yes"?>
<Relationships xmlns="http://schemas.openxmlformats.org/package/2006/relationships"><Relationship Id="rId2" Type="http://schemas.openxmlformats.org/officeDocument/2006/relationships/chartUserShapes" Target="../drawings/drawing24.xml"/><Relationship Id="rId1" Type="http://schemas.openxmlformats.org/officeDocument/2006/relationships/themeOverride" Target="../theme/themeOverrid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4565179352580922E-2"/>
          <c:y val="0.14725688325786473"/>
          <c:w val="0.86715221614247373"/>
          <c:h val="0.71318700601518292"/>
        </c:manualLayout>
      </c:layout>
      <c:lineChart>
        <c:grouping val="standard"/>
        <c:varyColors val="0"/>
        <c:ser>
          <c:idx val="0"/>
          <c:order val="0"/>
          <c:tx>
            <c:strRef>
              <c:f>'Chart Data'!$M$3</c:f>
              <c:strCache>
                <c:ptCount val="1"/>
                <c:pt idx="0">
                  <c:v>OE (Feb26)</c:v>
                </c:pt>
              </c:strCache>
            </c:strRef>
          </c:tx>
          <c:spPr>
            <a:ln w="38100">
              <a:solidFill>
                <a:srgbClr val="BD1B21"/>
              </a:solidFill>
            </a:ln>
          </c:spPr>
          <c:marker>
            <c:symbol val="none"/>
          </c:marker>
          <c:cat>
            <c:numRef>
              <c:f>'Chart Data'!$L$4:$L$39</c:f>
              <c:numCache>
                <c:formatCode>General</c:formatCode>
                <c:ptCount val="36"/>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numCache>
            </c:numRef>
          </c:cat>
          <c:val>
            <c:numRef>
              <c:f>'Chart Data'!$M$4:$M$39</c:f>
              <c:numCache>
                <c:formatCode>0</c:formatCode>
                <c:ptCount val="36"/>
                <c:pt idx="0">
                  <c:v>139.30000000000001</c:v>
                </c:pt>
                <c:pt idx="1">
                  <c:v>153.19999999999999</c:v>
                </c:pt>
                <c:pt idx="2">
                  <c:v>190.9</c:v>
                </c:pt>
                <c:pt idx="3">
                  <c:v>194.3</c:v>
                </c:pt>
                <c:pt idx="4">
                  <c:v>209.5</c:v>
                </c:pt>
                <c:pt idx="5">
                  <c:v>335.6</c:v>
                </c:pt>
                <c:pt idx="6">
                  <c:v>254.5</c:v>
                </c:pt>
                <c:pt idx="7">
                  <c:v>304.60000000000002</c:v>
                </c:pt>
                <c:pt idx="8">
                  <c:v>283.60000000000002</c:v>
                </c:pt>
                <c:pt idx="9">
                  <c:v>219.8</c:v>
                </c:pt>
                <c:pt idx="10">
                  <c:v>255.4</c:v>
                </c:pt>
                <c:pt idx="11">
                  <c:v>270.3</c:v>
                </c:pt>
                <c:pt idx="12">
                  <c:v>162</c:v>
                </c:pt>
                <c:pt idx="13">
                  <c:v>215</c:v>
                </c:pt>
                <c:pt idx="14">
                  <c:v>248</c:v>
                </c:pt>
                <c:pt idx="15">
                  <c:v>296</c:v>
                </c:pt>
                <c:pt idx="16">
                  <c:v>321</c:v>
                </c:pt>
                <c:pt idx="17">
                  <c:v>200</c:v>
                </c:pt>
                <c:pt idx="18">
                  <c:v>216</c:v>
                </c:pt>
                <c:pt idx="19">
                  <c:v>224</c:v>
                </c:pt>
                <c:pt idx="20">
                  <c:v>111</c:v>
                </c:pt>
                <c:pt idx="21">
                  <c:v>251</c:v>
                </c:pt>
                <c:pt idx="22">
                  <c:v>681</c:v>
                </c:pt>
                <c:pt idx="23">
                  <c:v>924</c:v>
                </c:pt>
                <c:pt idx="24">
                  <c:v>649</c:v>
                </c:pt>
                <c:pt idx="25">
                  <c:v>204</c:v>
                </c:pt>
                <c:pt idx="26">
                  <c:v>93.400344269696802</c:v>
                </c:pt>
                <c:pt idx="27">
                  <c:v>139.06537737978783</c:v>
                </c:pt>
                <c:pt idx="28">
                  <c:v>177.48164459327268</c:v>
                </c:pt>
                <c:pt idx="29">
                  <c:v>204.08699676424123</c:v>
                </c:pt>
                <c:pt idx="30">
                  <c:v>228.95652419294163</c:v>
                </c:pt>
                <c:pt idx="31">
                  <c:v>250.57003687260146</c:v>
                </c:pt>
                <c:pt idx="32">
                  <c:v>271.97854202724068</c:v>
                </c:pt>
                <c:pt idx="33">
                  <c:v>271.97854202724068</c:v>
                </c:pt>
                <c:pt idx="34">
                  <c:v>271.97854202724068</c:v>
                </c:pt>
                <c:pt idx="35">
                  <c:v>271.97854202724068</c:v>
                </c:pt>
              </c:numCache>
            </c:numRef>
          </c:val>
          <c:smooth val="0"/>
          <c:extLst>
            <c:ext xmlns:c16="http://schemas.microsoft.com/office/drawing/2014/chart" uri="{C3380CC4-5D6E-409C-BE32-E72D297353CC}">
              <c16:uniqueId val="{00000000-E850-417B-95DA-4ED900504230}"/>
            </c:ext>
          </c:extLst>
        </c:ser>
        <c:ser>
          <c:idx val="1"/>
          <c:order val="1"/>
          <c:tx>
            <c:strRef>
              <c:f>'Chart Data'!$N$3</c:f>
              <c:strCache>
                <c:ptCount val="1"/>
                <c:pt idx="0">
                  <c:v>ONS principal projection (Jan25)</c:v>
                </c:pt>
              </c:strCache>
            </c:strRef>
          </c:tx>
          <c:spPr>
            <a:ln w="38100">
              <a:solidFill>
                <a:srgbClr val="003469"/>
              </a:solidFill>
            </a:ln>
          </c:spPr>
          <c:marker>
            <c:symbol val="none"/>
          </c:marker>
          <c:cat>
            <c:numRef>
              <c:f>'Chart Data'!$L$4:$L$39</c:f>
              <c:numCache>
                <c:formatCode>General</c:formatCode>
                <c:ptCount val="36"/>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numCache>
            </c:numRef>
          </c:cat>
          <c:val>
            <c:numRef>
              <c:f>'Chart Data'!$N$4:$N$39</c:f>
              <c:numCache>
                <c:formatCode>General</c:formatCode>
                <c:ptCount val="36"/>
                <c:pt idx="23" formatCode="0">
                  <c:v>906</c:v>
                </c:pt>
                <c:pt idx="24" formatCode="0">
                  <c:v>728</c:v>
                </c:pt>
                <c:pt idx="25" formatCode="0">
                  <c:v>630.9</c:v>
                </c:pt>
                <c:pt idx="26" formatCode="0">
                  <c:v>533.79999999999995</c:v>
                </c:pt>
                <c:pt idx="27" formatCode="0">
                  <c:v>436.7</c:v>
                </c:pt>
                <c:pt idx="28" formatCode="0">
                  <c:v>340</c:v>
                </c:pt>
                <c:pt idx="29" formatCode="0">
                  <c:v>340</c:v>
                </c:pt>
                <c:pt idx="30" formatCode="0">
                  <c:v>340</c:v>
                </c:pt>
                <c:pt idx="31" formatCode="0">
                  <c:v>340</c:v>
                </c:pt>
                <c:pt idx="32" formatCode="0">
                  <c:v>340</c:v>
                </c:pt>
                <c:pt idx="33" formatCode="0">
                  <c:v>340</c:v>
                </c:pt>
                <c:pt idx="34" formatCode="0">
                  <c:v>340</c:v>
                </c:pt>
                <c:pt idx="35" formatCode="0">
                  <c:v>340</c:v>
                </c:pt>
              </c:numCache>
            </c:numRef>
          </c:val>
          <c:smooth val="0"/>
          <c:extLst>
            <c:ext xmlns:c16="http://schemas.microsoft.com/office/drawing/2014/chart" uri="{C3380CC4-5D6E-409C-BE32-E72D297353CC}">
              <c16:uniqueId val="{00000001-E850-417B-95DA-4ED900504230}"/>
            </c:ext>
          </c:extLst>
        </c:ser>
        <c:ser>
          <c:idx val="2"/>
          <c:order val="2"/>
          <c:tx>
            <c:strRef>
              <c:f>'Chart Data'!$O$3</c:f>
              <c:strCache>
                <c:ptCount val="1"/>
                <c:pt idx="0">
                  <c:v>ONS migration category variant (Jan25)</c:v>
                </c:pt>
              </c:strCache>
            </c:strRef>
          </c:tx>
          <c:spPr>
            <a:ln w="38100">
              <a:solidFill>
                <a:srgbClr val="D1A21E"/>
              </a:solidFill>
            </a:ln>
          </c:spPr>
          <c:marker>
            <c:symbol val="none"/>
          </c:marker>
          <c:cat>
            <c:numRef>
              <c:f>'Chart Data'!$L$4:$L$39</c:f>
              <c:numCache>
                <c:formatCode>General</c:formatCode>
                <c:ptCount val="36"/>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numCache>
            </c:numRef>
          </c:cat>
          <c:val>
            <c:numRef>
              <c:f>'Chart Data'!$O$4:$O$39</c:f>
              <c:numCache>
                <c:formatCode>General</c:formatCode>
                <c:ptCount val="36"/>
                <c:pt idx="23" formatCode="0">
                  <c:v>906</c:v>
                </c:pt>
                <c:pt idx="24" formatCode="0">
                  <c:v>728</c:v>
                </c:pt>
                <c:pt idx="25" formatCode="0">
                  <c:v>350.25099999999998</c:v>
                </c:pt>
                <c:pt idx="26" formatCode="0">
                  <c:v>261.86900000000003</c:v>
                </c:pt>
                <c:pt idx="27" formatCode="0">
                  <c:v>258.464</c:v>
                </c:pt>
                <c:pt idx="28" formatCode="0">
                  <c:v>290.30200000000002</c:v>
                </c:pt>
                <c:pt idx="29" formatCode="0">
                  <c:v>326.822</c:v>
                </c:pt>
                <c:pt idx="30" formatCode="0">
                  <c:v>340</c:v>
                </c:pt>
                <c:pt idx="31" formatCode="0">
                  <c:v>340</c:v>
                </c:pt>
                <c:pt idx="32" formatCode="0">
                  <c:v>340</c:v>
                </c:pt>
                <c:pt idx="33" formatCode="0">
                  <c:v>340</c:v>
                </c:pt>
                <c:pt idx="34" formatCode="0">
                  <c:v>340</c:v>
                </c:pt>
                <c:pt idx="35" formatCode="0">
                  <c:v>340</c:v>
                </c:pt>
              </c:numCache>
            </c:numRef>
          </c:val>
          <c:smooth val="0"/>
          <c:extLst>
            <c:ext xmlns:c16="http://schemas.microsoft.com/office/drawing/2014/chart" uri="{C3380CC4-5D6E-409C-BE32-E72D297353CC}">
              <c16:uniqueId val="{00000002-E850-417B-95DA-4ED900504230}"/>
            </c:ext>
          </c:extLst>
        </c:ser>
        <c:ser>
          <c:idx val="3"/>
          <c:order val="3"/>
          <c:tx>
            <c:strRef>
              <c:f>'Chart Data'!$P$3</c:f>
              <c:strCache>
                <c:ptCount val="1"/>
                <c:pt idx="0">
                  <c:v>OBR (Nov25)</c:v>
                </c:pt>
              </c:strCache>
            </c:strRef>
          </c:tx>
          <c:spPr>
            <a:ln w="38100">
              <a:solidFill>
                <a:srgbClr val="7B7C77"/>
              </a:solidFill>
            </a:ln>
          </c:spPr>
          <c:marker>
            <c:symbol val="none"/>
          </c:marker>
          <c:cat>
            <c:numRef>
              <c:f>'Chart Data'!$L$4:$L$39</c:f>
              <c:numCache>
                <c:formatCode>General</c:formatCode>
                <c:ptCount val="36"/>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numCache>
            </c:numRef>
          </c:cat>
          <c:val>
            <c:numRef>
              <c:f>'Chart Data'!$P$4:$P$39</c:f>
              <c:numCache>
                <c:formatCode>General</c:formatCode>
                <c:ptCount val="36"/>
                <c:pt idx="23" formatCode="0">
                  <c:v>905.99999999999807</c:v>
                </c:pt>
                <c:pt idx="24" formatCode="0">
                  <c:v>738.99999999999795</c:v>
                </c:pt>
                <c:pt idx="25" formatCode="0">
                  <c:v>290.77292878111882</c:v>
                </c:pt>
                <c:pt idx="26" formatCode="0">
                  <c:v>261.8689999999998</c:v>
                </c:pt>
                <c:pt idx="27" formatCode="0">
                  <c:v>258.46399999999988</c:v>
                </c:pt>
                <c:pt idx="28" formatCode="0">
                  <c:v>290.30200000000002</c:v>
                </c:pt>
                <c:pt idx="29" formatCode="0">
                  <c:v>326.82199999999989</c:v>
                </c:pt>
                <c:pt idx="30" formatCode="0">
                  <c:v>339.99999999999983</c:v>
                </c:pt>
              </c:numCache>
            </c:numRef>
          </c:val>
          <c:smooth val="0"/>
          <c:extLst>
            <c:ext xmlns:c16="http://schemas.microsoft.com/office/drawing/2014/chart" uri="{C3380CC4-5D6E-409C-BE32-E72D297353CC}">
              <c16:uniqueId val="{00000000-570E-49D4-A21C-FDD597ABAF9F}"/>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noMultiLvlLbl val="0"/>
      </c:catAx>
      <c:valAx>
        <c:axId val="263608576"/>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9.2383094970271556E-2"/>
          <c:y val="0.14053103135479172"/>
          <c:w val="0.52947119705274948"/>
          <c:h val="0.22125798631606694"/>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6071770689680744E-2"/>
          <c:y val="0.14725688325786473"/>
          <c:w val="0.86564562480537388"/>
          <c:h val="0.71318700601518292"/>
        </c:manualLayout>
      </c:layout>
      <c:areaChart>
        <c:grouping val="stacked"/>
        <c:varyColors val="0"/>
        <c:ser>
          <c:idx val="0"/>
          <c:order val="0"/>
          <c:tx>
            <c:strRef>
              <c:f>'Chart Data'!$AF$3</c:f>
              <c:strCache>
                <c:ptCount val="1"/>
                <c:pt idx="0">
                  <c:v>Work</c:v>
                </c:pt>
              </c:strCache>
            </c:strRef>
          </c:tx>
          <c:spPr>
            <a:solidFill>
              <a:srgbClr val="BD1B21"/>
            </a:solidFill>
            <a:ln w="6350">
              <a:solidFill>
                <a:srgbClr val="495057"/>
              </a:solidFill>
              <a:prstDash val="solid"/>
            </a:ln>
            <a:effectLst/>
          </c:spPr>
          <c:cat>
            <c:numRef>
              <c:f>'Chart Data'!$AE$4:$AE$15</c:f>
              <c:numCache>
                <c:formatCode>General</c:formatCode>
                <c:ptCount val="12"/>
                <c:pt idx="0">
                  <c:v>2021</c:v>
                </c:pt>
                <c:pt idx="1">
                  <c:v>2022</c:v>
                </c:pt>
                <c:pt idx="2">
                  <c:v>2023</c:v>
                </c:pt>
                <c:pt idx="3">
                  <c:v>2024</c:v>
                </c:pt>
                <c:pt idx="4">
                  <c:v>2025</c:v>
                </c:pt>
                <c:pt idx="5">
                  <c:v>2026</c:v>
                </c:pt>
                <c:pt idx="6">
                  <c:v>2027</c:v>
                </c:pt>
                <c:pt idx="7">
                  <c:v>2028</c:v>
                </c:pt>
                <c:pt idx="8">
                  <c:v>2029</c:v>
                </c:pt>
                <c:pt idx="9">
                  <c:v>2030</c:v>
                </c:pt>
                <c:pt idx="10">
                  <c:v>2031</c:v>
                </c:pt>
                <c:pt idx="11">
                  <c:v>2032</c:v>
                </c:pt>
              </c:numCache>
            </c:numRef>
          </c:cat>
          <c:val>
            <c:numRef>
              <c:f>'Chart Data'!$AF$4:$AF$15</c:f>
              <c:numCache>
                <c:formatCode>0</c:formatCode>
                <c:ptCount val="12"/>
                <c:pt idx="0">
                  <c:v>59</c:v>
                </c:pt>
                <c:pt idx="1">
                  <c:v>134</c:v>
                </c:pt>
                <c:pt idx="2">
                  <c:v>220</c:v>
                </c:pt>
                <c:pt idx="3">
                  <c:v>202</c:v>
                </c:pt>
                <c:pt idx="4">
                  <c:v>98</c:v>
                </c:pt>
                <c:pt idx="5">
                  <c:v>39.200000000000003</c:v>
                </c:pt>
                <c:pt idx="6">
                  <c:v>70</c:v>
                </c:pt>
                <c:pt idx="7">
                  <c:v>85</c:v>
                </c:pt>
                <c:pt idx="8">
                  <c:v>100</c:v>
                </c:pt>
                <c:pt idx="9">
                  <c:v>110</c:v>
                </c:pt>
                <c:pt idx="10">
                  <c:v>120</c:v>
                </c:pt>
                <c:pt idx="11">
                  <c:v>135</c:v>
                </c:pt>
              </c:numCache>
            </c:numRef>
          </c:val>
          <c:extLst>
            <c:ext xmlns:c16="http://schemas.microsoft.com/office/drawing/2014/chart" uri="{C3380CC4-5D6E-409C-BE32-E72D297353CC}">
              <c16:uniqueId val="{00000011-3B9C-474D-B836-BD9C9C06998E}"/>
            </c:ext>
          </c:extLst>
        </c:ser>
        <c:ser>
          <c:idx val="1"/>
          <c:order val="1"/>
          <c:tx>
            <c:strRef>
              <c:f>'Chart Data'!$AG$3</c:f>
              <c:strCache>
                <c:ptCount val="1"/>
                <c:pt idx="0">
                  <c:v>Study</c:v>
                </c:pt>
              </c:strCache>
            </c:strRef>
          </c:tx>
          <c:spPr>
            <a:solidFill>
              <a:srgbClr val="003469"/>
            </a:solidFill>
            <a:ln w="6350">
              <a:solidFill>
                <a:srgbClr val="495057"/>
              </a:solidFill>
              <a:prstDash val="solid"/>
            </a:ln>
            <a:effectLst/>
          </c:spPr>
          <c:cat>
            <c:numRef>
              <c:f>'Chart Data'!$AE$4:$AE$15</c:f>
              <c:numCache>
                <c:formatCode>General</c:formatCode>
                <c:ptCount val="12"/>
                <c:pt idx="0">
                  <c:v>2021</c:v>
                </c:pt>
                <c:pt idx="1">
                  <c:v>2022</c:v>
                </c:pt>
                <c:pt idx="2">
                  <c:v>2023</c:v>
                </c:pt>
                <c:pt idx="3">
                  <c:v>2024</c:v>
                </c:pt>
                <c:pt idx="4">
                  <c:v>2025</c:v>
                </c:pt>
                <c:pt idx="5">
                  <c:v>2026</c:v>
                </c:pt>
                <c:pt idx="6">
                  <c:v>2027</c:v>
                </c:pt>
                <c:pt idx="7">
                  <c:v>2028</c:v>
                </c:pt>
                <c:pt idx="8">
                  <c:v>2029</c:v>
                </c:pt>
                <c:pt idx="9">
                  <c:v>2030</c:v>
                </c:pt>
                <c:pt idx="10">
                  <c:v>2031</c:v>
                </c:pt>
                <c:pt idx="11">
                  <c:v>2032</c:v>
                </c:pt>
              </c:numCache>
            </c:numRef>
          </c:cat>
          <c:val>
            <c:numRef>
              <c:f>'Chart Data'!$AG$4:$AG$15</c:f>
              <c:numCache>
                <c:formatCode>0</c:formatCode>
                <c:ptCount val="12"/>
                <c:pt idx="0">
                  <c:v>115</c:v>
                </c:pt>
                <c:pt idx="1">
                  <c:v>269</c:v>
                </c:pt>
                <c:pt idx="2">
                  <c:v>352</c:v>
                </c:pt>
                <c:pt idx="3">
                  <c:v>310</c:v>
                </c:pt>
                <c:pt idx="4">
                  <c:v>288</c:v>
                </c:pt>
                <c:pt idx="5">
                  <c:v>288</c:v>
                </c:pt>
                <c:pt idx="6">
                  <c:v>288</c:v>
                </c:pt>
                <c:pt idx="7">
                  <c:v>288</c:v>
                </c:pt>
                <c:pt idx="8">
                  <c:v>292</c:v>
                </c:pt>
                <c:pt idx="9">
                  <c:v>297</c:v>
                </c:pt>
                <c:pt idx="10">
                  <c:v>300</c:v>
                </c:pt>
                <c:pt idx="11">
                  <c:v>300</c:v>
                </c:pt>
              </c:numCache>
            </c:numRef>
          </c:val>
          <c:extLst>
            <c:ext xmlns:c16="http://schemas.microsoft.com/office/drawing/2014/chart" uri="{C3380CC4-5D6E-409C-BE32-E72D297353CC}">
              <c16:uniqueId val="{00000013-3B9C-474D-B836-BD9C9C06998E}"/>
            </c:ext>
          </c:extLst>
        </c:ser>
        <c:ser>
          <c:idx val="2"/>
          <c:order val="2"/>
          <c:tx>
            <c:strRef>
              <c:f>'Chart Data'!$AH$3</c:f>
              <c:strCache>
                <c:ptCount val="1"/>
                <c:pt idx="0">
                  <c:v>Dependents</c:v>
                </c:pt>
              </c:strCache>
            </c:strRef>
          </c:tx>
          <c:spPr>
            <a:solidFill>
              <a:srgbClr val="D1A21E"/>
            </a:solidFill>
            <a:ln w="6350">
              <a:solidFill>
                <a:srgbClr val="495057"/>
              </a:solidFill>
              <a:prstDash val="solid"/>
            </a:ln>
            <a:effectLst/>
          </c:spPr>
          <c:cat>
            <c:numRef>
              <c:f>'Chart Data'!$AE$4:$AE$15</c:f>
              <c:numCache>
                <c:formatCode>General</c:formatCode>
                <c:ptCount val="12"/>
                <c:pt idx="0">
                  <c:v>2021</c:v>
                </c:pt>
                <c:pt idx="1">
                  <c:v>2022</c:v>
                </c:pt>
                <c:pt idx="2">
                  <c:v>2023</c:v>
                </c:pt>
                <c:pt idx="3">
                  <c:v>2024</c:v>
                </c:pt>
                <c:pt idx="4">
                  <c:v>2025</c:v>
                </c:pt>
                <c:pt idx="5">
                  <c:v>2026</c:v>
                </c:pt>
                <c:pt idx="6">
                  <c:v>2027</c:v>
                </c:pt>
                <c:pt idx="7">
                  <c:v>2028</c:v>
                </c:pt>
                <c:pt idx="8">
                  <c:v>2029</c:v>
                </c:pt>
                <c:pt idx="9">
                  <c:v>2030</c:v>
                </c:pt>
                <c:pt idx="10">
                  <c:v>2031</c:v>
                </c:pt>
                <c:pt idx="11">
                  <c:v>2032</c:v>
                </c:pt>
              </c:numCache>
            </c:numRef>
          </c:cat>
          <c:val>
            <c:numRef>
              <c:f>'Chart Data'!$AH$4:$AH$15</c:f>
              <c:numCache>
                <c:formatCode>0</c:formatCode>
                <c:ptCount val="12"/>
                <c:pt idx="0">
                  <c:v>59</c:v>
                </c:pt>
                <c:pt idx="1">
                  <c:v>150</c:v>
                </c:pt>
                <c:pt idx="2">
                  <c:v>318</c:v>
                </c:pt>
                <c:pt idx="3">
                  <c:v>336</c:v>
                </c:pt>
                <c:pt idx="4">
                  <c:v>102</c:v>
                </c:pt>
                <c:pt idx="5">
                  <c:v>57.5</c:v>
                </c:pt>
                <c:pt idx="6">
                  <c:v>48</c:v>
                </c:pt>
                <c:pt idx="7">
                  <c:v>55.5</c:v>
                </c:pt>
                <c:pt idx="8">
                  <c:v>63</c:v>
                </c:pt>
                <c:pt idx="9">
                  <c:v>68</c:v>
                </c:pt>
                <c:pt idx="10">
                  <c:v>73</c:v>
                </c:pt>
                <c:pt idx="11">
                  <c:v>80.5</c:v>
                </c:pt>
              </c:numCache>
            </c:numRef>
          </c:val>
          <c:extLst>
            <c:ext xmlns:c16="http://schemas.microsoft.com/office/drawing/2014/chart" uri="{C3380CC4-5D6E-409C-BE32-E72D297353CC}">
              <c16:uniqueId val="{00000015-3B9C-474D-B836-BD9C9C06998E}"/>
            </c:ext>
          </c:extLst>
        </c:ser>
        <c:ser>
          <c:idx val="3"/>
          <c:order val="3"/>
          <c:tx>
            <c:strRef>
              <c:f>'Chart Data'!$AI$3</c:f>
              <c:strCache>
                <c:ptCount val="1"/>
                <c:pt idx="0">
                  <c:v>Family</c:v>
                </c:pt>
              </c:strCache>
            </c:strRef>
          </c:tx>
          <c:spPr>
            <a:solidFill>
              <a:srgbClr val="7B7C77"/>
            </a:solidFill>
            <a:ln w="6350">
              <a:solidFill>
                <a:srgbClr val="495057"/>
              </a:solidFill>
              <a:prstDash val="solid"/>
            </a:ln>
            <a:effectLst/>
          </c:spPr>
          <c:cat>
            <c:numRef>
              <c:f>'Chart Data'!$AE$4:$AE$15</c:f>
              <c:numCache>
                <c:formatCode>General</c:formatCode>
                <c:ptCount val="12"/>
                <c:pt idx="0">
                  <c:v>2021</c:v>
                </c:pt>
                <c:pt idx="1">
                  <c:v>2022</c:v>
                </c:pt>
                <c:pt idx="2">
                  <c:v>2023</c:v>
                </c:pt>
                <c:pt idx="3">
                  <c:v>2024</c:v>
                </c:pt>
                <c:pt idx="4">
                  <c:v>2025</c:v>
                </c:pt>
                <c:pt idx="5">
                  <c:v>2026</c:v>
                </c:pt>
                <c:pt idx="6">
                  <c:v>2027</c:v>
                </c:pt>
                <c:pt idx="7">
                  <c:v>2028</c:v>
                </c:pt>
                <c:pt idx="8">
                  <c:v>2029</c:v>
                </c:pt>
                <c:pt idx="9">
                  <c:v>2030</c:v>
                </c:pt>
                <c:pt idx="10">
                  <c:v>2031</c:v>
                </c:pt>
                <c:pt idx="11">
                  <c:v>2032</c:v>
                </c:pt>
              </c:numCache>
            </c:numRef>
          </c:cat>
          <c:val>
            <c:numRef>
              <c:f>'Chart Data'!$AI$4:$AI$15</c:f>
              <c:numCache>
                <c:formatCode>General</c:formatCode>
                <c:ptCount val="12"/>
                <c:pt idx="0">
                  <c:v>64</c:v>
                </c:pt>
                <c:pt idx="1">
                  <c:v>65</c:v>
                </c:pt>
                <c:pt idx="2">
                  <c:v>90</c:v>
                </c:pt>
                <c:pt idx="3">
                  <c:v>87</c:v>
                </c:pt>
                <c:pt idx="4">
                  <c:v>63</c:v>
                </c:pt>
                <c:pt idx="5">
                  <c:v>63</c:v>
                </c:pt>
                <c:pt idx="6">
                  <c:v>60</c:v>
                </c:pt>
                <c:pt idx="7">
                  <c:v>60</c:v>
                </c:pt>
                <c:pt idx="8">
                  <c:v>60</c:v>
                </c:pt>
                <c:pt idx="9">
                  <c:v>61</c:v>
                </c:pt>
                <c:pt idx="10">
                  <c:v>62</c:v>
                </c:pt>
                <c:pt idx="11">
                  <c:v>63</c:v>
                </c:pt>
              </c:numCache>
            </c:numRef>
          </c:val>
          <c:extLst>
            <c:ext xmlns:c16="http://schemas.microsoft.com/office/drawing/2014/chart" uri="{C3380CC4-5D6E-409C-BE32-E72D297353CC}">
              <c16:uniqueId val="{00000017-3B9C-474D-B836-BD9C9C06998E}"/>
            </c:ext>
          </c:extLst>
        </c:ser>
        <c:ser>
          <c:idx val="5"/>
          <c:order val="4"/>
          <c:tx>
            <c:strRef>
              <c:f>'Chart Data'!$AJ$3</c:f>
              <c:strCache>
                <c:ptCount val="1"/>
                <c:pt idx="0">
                  <c:v>British</c:v>
                </c:pt>
              </c:strCache>
            </c:strRef>
          </c:tx>
          <c:spPr>
            <a:solidFill>
              <a:srgbClr val="965793"/>
            </a:solidFill>
            <a:ln w="6350">
              <a:solidFill>
                <a:srgbClr val="495057"/>
              </a:solidFill>
              <a:prstDash val="solid"/>
            </a:ln>
            <a:effectLst/>
          </c:spPr>
          <c:cat>
            <c:numRef>
              <c:f>'Chart Data'!$AE$4:$AE$15</c:f>
              <c:numCache>
                <c:formatCode>General</c:formatCode>
                <c:ptCount val="12"/>
                <c:pt idx="0">
                  <c:v>2021</c:v>
                </c:pt>
                <c:pt idx="1">
                  <c:v>2022</c:v>
                </c:pt>
                <c:pt idx="2">
                  <c:v>2023</c:v>
                </c:pt>
                <c:pt idx="3">
                  <c:v>2024</c:v>
                </c:pt>
                <c:pt idx="4">
                  <c:v>2025</c:v>
                </c:pt>
                <c:pt idx="5">
                  <c:v>2026</c:v>
                </c:pt>
                <c:pt idx="6">
                  <c:v>2027</c:v>
                </c:pt>
                <c:pt idx="7">
                  <c:v>2028</c:v>
                </c:pt>
                <c:pt idx="8">
                  <c:v>2029</c:v>
                </c:pt>
                <c:pt idx="9">
                  <c:v>2030</c:v>
                </c:pt>
                <c:pt idx="10">
                  <c:v>2031</c:v>
                </c:pt>
                <c:pt idx="11">
                  <c:v>2032</c:v>
                </c:pt>
              </c:numCache>
            </c:numRef>
          </c:cat>
          <c:val>
            <c:numRef>
              <c:f>'Chart Data'!$AJ$4:$AJ$15</c:f>
              <c:numCache>
                <c:formatCode>#,##0</c:formatCode>
                <c:ptCount val="12"/>
                <c:pt idx="0">
                  <c:v>74</c:v>
                </c:pt>
                <c:pt idx="1">
                  <c:v>75</c:v>
                </c:pt>
                <c:pt idx="2">
                  <c:v>82</c:v>
                </c:pt>
                <c:pt idx="3">
                  <c:v>83</c:v>
                </c:pt>
                <c:pt idx="4">
                  <c:v>74</c:v>
                </c:pt>
                <c:pt idx="5">
                  <c:v>75</c:v>
                </c:pt>
                <c:pt idx="6">
                  <c:v>80</c:v>
                </c:pt>
                <c:pt idx="7">
                  <c:v>80</c:v>
                </c:pt>
                <c:pt idx="8">
                  <c:v>80</c:v>
                </c:pt>
                <c:pt idx="9">
                  <c:v>80</c:v>
                </c:pt>
                <c:pt idx="10">
                  <c:v>80</c:v>
                </c:pt>
                <c:pt idx="11">
                  <c:v>80</c:v>
                </c:pt>
              </c:numCache>
            </c:numRef>
          </c:val>
          <c:extLst>
            <c:ext xmlns:c16="http://schemas.microsoft.com/office/drawing/2014/chart" uri="{C3380CC4-5D6E-409C-BE32-E72D297353CC}">
              <c16:uniqueId val="{0000001B-3B9C-474D-B836-BD9C9C06998E}"/>
            </c:ext>
          </c:extLst>
        </c:ser>
        <c:ser>
          <c:idx val="4"/>
          <c:order val="5"/>
          <c:tx>
            <c:strRef>
              <c:f>'Chart Data'!$AK$3</c:f>
              <c:strCache>
                <c:ptCount val="1"/>
                <c:pt idx="0">
                  <c:v>Other</c:v>
                </c:pt>
              </c:strCache>
            </c:strRef>
          </c:tx>
          <c:spPr>
            <a:solidFill>
              <a:srgbClr val="00ADDC"/>
            </a:solidFill>
            <a:ln w="6350">
              <a:solidFill>
                <a:srgbClr val="495057"/>
              </a:solidFill>
              <a:prstDash val="solid"/>
            </a:ln>
            <a:effectLst/>
          </c:spPr>
          <c:cat>
            <c:numRef>
              <c:f>'Chart Data'!$AE$4:$AE$15</c:f>
              <c:numCache>
                <c:formatCode>General</c:formatCode>
                <c:ptCount val="12"/>
                <c:pt idx="0">
                  <c:v>2021</c:v>
                </c:pt>
                <c:pt idx="1">
                  <c:v>2022</c:v>
                </c:pt>
                <c:pt idx="2">
                  <c:v>2023</c:v>
                </c:pt>
                <c:pt idx="3">
                  <c:v>2024</c:v>
                </c:pt>
                <c:pt idx="4">
                  <c:v>2025</c:v>
                </c:pt>
                <c:pt idx="5">
                  <c:v>2026</c:v>
                </c:pt>
                <c:pt idx="6">
                  <c:v>2027</c:v>
                </c:pt>
                <c:pt idx="7">
                  <c:v>2028</c:v>
                </c:pt>
                <c:pt idx="8">
                  <c:v>2029</c:v>
                </c:pt>
                <c:pt idx="9">
                  <c:v>2030</c:v>
                </c:pt>
                <c:pt idx="10">
                  <c:v>2031</c:v>
                </c:pt>
                <c:pt idx="11">
                  <c:v>2032</c:v>
                </c:pt>
              </c:numCache>
            </c:numRef>
          </c:cat>
          <c:val>
            <c:numRef>
              <c:f>'Chart Data'!$AK$4:$AK$15</c:f>
              <c:numCache>
                <c:formatCode>#,##0</c:formatCode>
                <c:ptCount val="12"/>
                <c:pt idx="0">
                  <c:v>447</c:v>
                </c:pt>
                <c:pt idx="1">
                  <c:v>473</c:v>
                </c:pt>
                <c:pt idx="2">
                  <c:v>402</c:v>
                </c:pt>
                <c:pt idx="3">
                  <c:v>280</c:v>
                </c:pt>
                <c:pt idx="4">
                  <c:v>272</c:v>
                </c:pt>
                <c:pt idx="5">
                  <c:v>246.50180412371139</c:v>
                </c:pt>
                <c:pt idx="6">
                  <c:v>233.96391752577324</c:v>
                </c:pt>
                <c:pt idx="7">
                  <c:v>221.30025773195882</c:v>
                </c:pt>
                <c:pt idx="8">
                  <c:v>209.26546391752595</c:v>
                </c:pt>
                <c:pt idx="9">
                  <c:v>200.99484536082491</c:v>
                </c:pt>
                <c:pt idx="10">
                  <c:v>198.19587628865997</c:v>
                </c:pt>
                <c:pt idx="11">
                  <c:v>196.10438144329919</c:v>
                </c:pt>
              </c:numCache>
            </c:numRef>
          </c:val>
          <c:extLst>
            <c:ext xmlns:c16="http://schemas.microsoft.com/office/drawing/2014/chart" uri="{C3380CC4-5D6E-409C-BE32-E72D297353CC}">
              <c16:uniqueId val="{00000019-3B9C-474D-B836-BD9C9C06998E}"/>
            </c:ext>
          </c:extLst>
        </c:ser>
        <c:dLbls>
          <c:showLegendKey val="0"/>
          <c:showVal val="0"/>
          <c:showCatName val="0"/>
          <c:showSerName val="0"/>
          <c:showPercent val="0"/>
          <c:showBubbleSize val="0"/>
        </c:dLbls>
        <c:axId val="274926592"/>
        <c:axId val="274950400"/>
      </c:areaChart>
      <c:catAx>
        <c:axId val="274926592"/>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50400"/>
        <c:crosses val="autoZero"/>
        <c:auto val="0"/>
        <c:lblAlgn val="ctr"/>
        <c:lblOffset val="100"/>
        <c:noMultiLvlLbl val="0"/>
      </c:catAx>
      <c:valAx>
        <c:axId val="274950400"/>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26592"/>
        <c:crosses val="autoZero"/>
        <c:crossBetween val="midCat"/>
      </c:valAx>
      <c:spPr>
        <a:noFill/>
        <a:ln w="25400">
          <a:noFill/>
        </a:ln>
      </c:spPr>
    </c:plotArea>
    <c:legend>
      <c:legendPos val="r"/>
      <c:layout>
        <c:manualLayout>
          <c:xMode val="edge"/>
          <c:yMode val="edge"/>
          <c:x val="0.79554701425033725"/>
          <c:y val="4.2787720841825465E-2"/>
          <c:w val="0.18637388970446492"/>
          <c:h val="0.33660636613057926"/>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2956833785607323E-2"/>
          <c:y val="0.14725688325786473"/>
          <c:w val="0.87876056170944739"/>
          <c:h val="0.71318700601518292"/>
        </c:manualLayout>
      </c:layout>
      <c:areaChart>
        <c:grouping val="stacked"/>
        <c:varyColors val="0"/>
        <c:ser>
          <c:idx val="0"/>
          <c:order val="0"/>
          <c:tx>
            <c:strRef>
              <c:f>'Chart Data'!$BW$3</c:f>
              <c:strCache>
                <c:ptCount val="1"/>
                <c:pt idx="0">
                  <c:v>Work</c:v>
                </c:pt>
              </c:strCache>
            </c:strRef>
          </c:tx>
          <c:spPr>
            <a:solidFill>
              <a:srgbClr val="BD1B21"/>
            </a:solidFill>
            <a:ln w="6350">
              <a:solidFill>
                <a:srgbClr val="495057"/>
              </a:solidFill>
            </a:ln>
          </c:spPr>
          <c:cat>
            <c:numRef>
              <c:f>'Chart Data'!$BV$4:$BV$15</c:f>
              <c:numCache>
                <c:formatCode>General</c:formatCode>
                <c:ptCount val="12"/>
                <c:pt idx="0">
                  <c:v>2021</c:v>
                </c:pt>
                <c:pt idx="1">
                  <c:v>2022</c:v>
                </c:pt>
                <c:pt idx="2">
                  <c:v>2023</c:v>
                </c:pt>
                <c:pt idx="3">
                  <c:v>2024</c:v>
                </c:pt>
                <c:pt idx="4">
                  <c:v>2025</c:v>
                </c:pt>
                <c:pt idx="5">
                  <c:v>2026</c:v>
                </c:pt>
                <c:pt idx="6">
                  <c:v>2027</c:v>
                </c:pt>
                <c:pt idx="7">
                  <c:v>2028</c:v>
                </c:pt>
                <c:pt idx="8">
                  <c:v>2029</c:v>
                </c:pt>
                <c:pt idx="9">
                  <c:v>2030</c:v>
                </c:pt>
                <c:pt idx="10">
                  <c:v>2031</c:v>
                </c:pt>
                <c:pt idx="11">
                  <c:v>2032</c:v>
                </c:pt>
              </c:numCache>
            </c:numRef>
          </c:cat>
          <c:val>
            <c:numRef>
              <c:f>'Chart Data'!$BW$4:$BW$15</c:f>
              <c:numCache>
                <c:formatCode>0</c:formatCode>
                <c:ptCount val="12"/>
                <c:pt idx="0">
                  <c:v>24</c:v>
                </c:pt>
                <c:pt idx="1">
                  <c:v>17</c:v>
                </c:pt>
                <c:pt idx="2">
                  <c:v>21</c:v>
                </c:pt>
                <c:pt idx="3">
                  <c:v>38</c:v>
                </c:pt>
                <c:pt idx="4">
                  <c:v>45</c:v>
                </c:pt>
                <c:pt idx="5">
                  <c:v>45</c:v>
                </c:pt>
                <c:pt idx="6">
                  <c:v>40</c:v>
                </c:pt>
                <c:pt idx="7">
                  <c:v>35</c:v>
                </c:pt>
                <c:pt idx="8">
                  <c:v>30</c:v>
                </c:pt>
                <c:pt idx="9">
                  <c:v>25</c:v>
                </c:pt>
                <c:pt idx="10">
                  <c:v>23.5</c:v>
                </c:pt>
                <c:pt idx="11">
                  <c:v>23.5</c:v>
                </c:pt>
              </c:numCache>
            </c:numRef>
          </c:val>
          <c:extLst>
            <c:ext xmlns:c16="http://schemas.microsoft.com/office/drawing/2014/chart" uri="{C3380CC4-5D6E-409C-BE32-E72D297353CC}">
              <c16:uniqueId val="{00000000-A72E-4D28-BBFD-A440C8AF6048}"/>
            </c:ext>
          </c:extLst>
        </c:ser>
        <c:ser>
          <c:idx val="1"/>
          <c:order val="1"/>
          <c:tx>
            <c:strRef>
              <c:f>'Chart Data'!$BX$3</c:f>
              <c:strCache>
                <c:ptCount val="1"/>
                <c:pt idx="0">
                  <c:v>Study</c:v>
                </c:pt>
              </c:strCache>
            </c:strRef>
          </c:tx>
          <c:spPr>
            <a:solidFill>
              <a:srgbClr val="002060"/>
            </a:solidFill>
            <a:ln w="6350">
              <a:solidFill>
                <a:srgbClr val="495057"/>
              </a:solidFill>
            </a:ln>
          </c:spPr>
          <c:cat>
            <c:numRef>
              <c:f>'Chart Data'!$BV$4:$BV$15</c:f>
              <c:numCache>
                <c:formatCode>General</c:formatCode>
                <c:ptCount val="12"/>
                <c:pt idx="0">
                  <c:v>2021</c:v>
                </c:pt>
                <c:pt idx="1">
                  <c:v>2022</c:v>
                </c:pt>
                <c:pt idx="2">
                  <c:v>2023</c:v>
                </c:pt>
                <c:pt idx="3">
                  <c:v>2024</c:v>
                </c:pt>
                <c:pt idx="4">
                  <c:v>2025</c:v>
                </c:pt>
                <c:pt idx="5">
                  <c:v>2026</c:v>
                </c:pt>
                <c:pt idx="6">
                  <c:v>2027</c:v>
                </c:pt>
                <c:pt idx="7">
                  <c:v>2028</c:v>
                </c:pt>
                <c:pt idx="8">
                  <c:v>2029</c:v>
                </c:pt>
                <c:pt idx="9">
                  <c:v>2030</c:v>
                </c:pt>
                <c:pt idx="10">
                  <c:v>2031</c:v>
                </c:pt>
                <c:pt idx="11">
                  <c:v>2032</c:v>
                </c:pt>
              </c:numCache>
            </c:numRef>
          </c:cat>
          <c:val>
            <c:numRef>
              <c:f>'Chart Data'!$BX$4:$BX$15</c:f>
              <c:numCache>
                <c:formatCode>0</c:formatCode>
                <c:ptCount val="12"/>
                <c:pt idx="0">
                  <c:v>69</c:v>
                </c:pt>
                <c:pt idx="1">
                  <c:v>45</c:v>
                </c:pt>
                <c:pt idx="2">
                  <c:v>85</c:v>
                </c:pt>
                <c:pt idx="3">
                  <c:v>128</c:v>
                </c:pt>
                <c:pt idx="4">
                  <c:v>122</c:v>
                </c:pt>
                <c:pt idx="5">
                  <c:v>120</c:v>
                </c:pt>
                <c:pt idx="6">
                  <c:v>120</c:v>
                </c:pt>
                <c:pt idx="7">
                  <c:v>120</c:v>
                </c:pt>
                <c:pt idx="8">
                  <c:v>120</c:v>
                </c:pt>
                <c:pt idx="9">
                  <c:v>120</c:v>
                </c:pt>
                <c:pt idx="10">
                  <c:v>120</c:v>
                </c:pt>
                <c:pt idx="11">
                  <c:v>120</c:v>
                </c:pt>
              </c:numCache>
            </c:numRef>
          </c:val>
          <c:extLst>
            <c:ext xmlns:c16="http://schemas.microsoft.com/office/drawing/2014/chart" uri="{C3380CC4-5D6E-409C-BE32-E72D297353CC}">
              <c16:uniqueId val="{00000001-A72E-4D28-BBFD-A440C8AF6048}"/>
            </c:ext>
          </c:extLst>
        </c:ser>
        <c:ser>
          <c:idx val="2"/>
          <c:order val="2"/>
          <c:tx>
            <c:strRef>
              <c:f>'Chart Data'!$BY$3</c:f>
              <c:strCache>
                <c:ptCount val="1"/>
                <c:pt idx="0">
                  <c:v>Dependents</c:v>
                </c:pt>
              </c:strCache>
            </c:strRef>
          </c:tx>
          <c:spPr>
            <a:solidFill>
              <a:srgbClr val="D1A21E"/>
            </a:solidFill>
            <a:ln w="6350">
              <a:solidFill>
                <a:srgbClr val="495057"/>
              </a:solidFill>
            </a:ln>
          </c:spPr>
          <c:cat>
            <c:numRef>
              <c:f>'Chart Data'!$BV$4:$BV$15</c:f>
              <c:numCache>
                <c:formatCode>General</c:formatCode>
                <c:ptCount val="12"/>
                <c:pt idx="0">
                  <c:v>2021</c:v>
                </c:pt>
                <c:pt idx="1">
                  <c:v>2022</c:v>
                </c:pt>
                <c:pt idx="2">
                  <c:v>2023</c:v>
                </c:pt>
                <c:pt idx="3">
                  <c:v>2024</c:v>
                </c:pt>
                <c:pt idx="4">
                  <c:v>2025</c:v>
                </c:pt>
                <c:pt idx="5">
                  <c:v>2026</c:v>
                </c:pt>
                <c:pt idx="6">
                  <c:v>2027</c:v>
                </c:pt>
                <c:pt idx="7">
                  <c:v>2028</c:v>
                </c:pt>
                <c:pt idx="8">
                  <c:v>2029</c:v>
                </c:pt>
                <c:pt idx="9">
                  <c:v>2030</c:v>
                </c:pt>
                <c:pt idx="10">
                  <c:v>2031</c:v>
                </c:pt>
                <c:pt idx="11">
                  <c:v>2032</c:v>
                </c:pt>
              </c:numCache>
            </c:numRef>
          </c:cat>
          <c:val>
            <c:numRef>
              <c:f>'Chart Data'!$BY$4:$BY$15</c:f>
              <c:numCache>
                <c:formatCode>0</c:formatCode>
                <c:ptCount val="12"/>
                <c:pt idx="0">
                  <c:v>16</c:v>
                </c:pt>
                <c:pt idx="1">
                  <c:v>14</c:v>
                </c:pt>
                <c:pt idx="2">
                  <c:v>19</c:v>
                </c:pt>
                <c:pt idx="3">
                  <c:v>40</c:v>
                </c:pt>
                <c:pt idx="4">
                  <c:v>51</c:v>
                </c:pt>
                <c:pt idx="5">
                  <c:v>43.400000000000006</c:v>
                </c:pt>
                <c:pt idx="6">
                  <c:v>40.799999999999997</c:v>
                </c:pt>
                <c:pt idx="7">
                  <c:v>38.200000000000003</c:v>
                </c:pt>
                <c:pt idx="8">
                  <c:v>35.6</c:v>
                </c:pt>
                <c:pt idx="9">
                  <c:v>33</c:v>
                </c:pt>
                <c:pt idx="10">
                  <c:v>32.22</c:v>
                </c:pt>
                <c:pt idx="11">
                  <c:v>32.22</c:v>
                </c:pt>
              </c:numCache>
            </c:numRef>
          </c:val>
          <c:extLst>
            <c:ext xmlns:c16="http://schemas.microsoft.com/office/drawing/2014/chart" uri="{C3380CC4-5D6E-409C-BE32-E72D297353CC}">
              <c16:uniqueId val="{00000002-A72E-4D28-BBFD-A440C8AF6048}"/>
            </c:ext>
          </c:extLst>
        </c:ser>
        <c:ser>
          <c:idx val="3"/>
          <c:order val="3"/>
          <c:tx>
            <c:strRef>
              <c:f>'Chart Data'!$BZ$3</c:f>
              <c:strCache>
                <c:ptCount val="1"/>
                <c:pt idx="0">
                  <c:v>Family</c:v>
                </c:pt>
              </c:strCache>
            </c:strRef>
          </c:tx>
          <c:spPr>
            <a:solidFill>
              <a:srgbClr val="7B7C77"/>
            </a:solidFill>
            <a:ln w="6350">
              <a:solidFill>
                <a:srgbClr val="495057"/>
              </a:solidFill>
            </a:ln>
          </c:spPr>
          <c:cat>
            <c:numRef>
              <c:f>'Chart Data'!$BV$4:$BV$15</c:f>
              <c:numCache>
                <c:formatCode>General</c:formatCode>
                <c:ptCount val="12"/>
                <c:pt idx="0">
                  <c:v>2021</c:v>
                </c:pt>
                <c:pt idx="1">
                  <c:v>2022</c:v>
                </c:pt>
                <c:pt idx="2">
                  <c:v>2023</c:v>
                </c:pt>
                <c:pt idx="3">
                  <c:v>2024</c:v>
                </c:pt>
                <c:pt idx="4">
                  <c:v>2025</c:v>
                </c:pt>
                <c:pt idx="5">
                  <c:v>2026</c:v>
                </c:pt>
                <c:pt idx="6">
                  <c:v>2027</c:v>
                </c:pt>
                <c:pt idx="7">
                  <c:v>2028</c:v>
                </c:pt>
                <c:pt idx="8">
                  <c:v>2029</c:v>
                </c:pt>
                <c:pt idx="9">
                  <c:v>2030</c:v>
                </c:pt>
                <c:pt idx="10">
                  <c:v>2031</c:v>
                </c:pt>
                <c:pt idx="11">
                  <c:v>2032</c:v>
                </c:pt>
              </c:numCache>
            </c:numRef>
          </c:cat>
          <c:val>
            <c:numRef>
              <c:f>'Chart Data'!$BZ$4:$BZ$15</c:f>
              <c:numCache>
                <c:formatCode>General</c:formatCode>
                <c:ptCount val="12"/>
                <c:pt idx="0">
                  <c:v>9</c:v>
                </c:pt>
                <c:pt idx="1">
                  <c:v>10</c:v>
                </c:pt>
                <c:pt idx="2">
                  <c:v>11</c:v>
                </c:pt>
                <c:pt idx="3">
                  <c:v>23</c:v>
                </c:pt>
                <c:pt idx="4">
                  <c:v>47</c:v>
                </c:pt>
                <c:pt idx="5">
                  <c:v>45</c:v>
                </c:pt>
                <c:pt idx="6">
                  <c:v>40</c:v>
                </c:pt>
                <c:pt idx="7">
                  <c:v>37</c:v>
                </c:pt>
                <c:pt idx="8">
                  <c:v>37</c:v>
                </c:pt>
                <c:pt idx="9">
                  <c:v>35</c:v>
                </c:pt>
                <c:pt idx="10">
                  <c:v>33</c:v>
                </c:pt>
                <c:pt idx="11">
                  <c:v>33</c:v>
                </c:pt>
              </c:numCache>
            </c:numRef>
          </c:val>
          <c:extLst>
            <c:ext xmlns:c16="http://schemas.microsoft.com/office/drawing/2014/chart" uri="{C3380CC4-5D6E-409C-BE32-E72D297353CC}">
              <c16:uniqueId val="{00000003-A72E-4D28-BBFD-A440C8AF6048}"/>
            </c:ext>
          </c:extLst>
        </c:ser>
        <c:ser>
          <c:idx val="5"/>
          <c:order val="4"/>
          <c:tx>
            <c:strRef>
              <c:f>'Chart Data'!$CA$3</c:f>
              <c:strCache>
                <c:ptCount val="1"/>
                <c:pt idx="0">
                  <c:v>British</c:v>
                </c:pt>
              </c:strCache>
            </c:strRef>
          </c:tx>
          <c:spPr>
            <a:solidFill>
              <a:srgbClr val="965793"/>
            </a:solidFill>
            <a:ln w="6350">
              <a:solidFill>
                <a:srgbClr val="495057"/>
              </a:solidFill>
            </a:ln>
          </c:spPr>
          <c:cat>
            <c:numRef>
              <c:f>'Chart Data'!$BV$4:$BV$15</c:f>
              <c:numCache>
                <c:formatCode>General</c:formatCode>
                <c:ptCount val="12"/>
                <c:pt idx="0">
                  <c:v>2021</c:v>
                </c:pt>
                <c:pt idx="1">
                  <c:v>2022</c:v>
                </c:pt>
                <c:pt idx="2">
                  <c:v>2023</c:v>
                </c:pt>
                <c:pt idx="3">
                  <c:v>2024</c:v>
                </c:pt>
                <c:pt idx="4">
                  <c:v>2025</c:v>
                </c:pt>
                <c:pt idx="5">
                  <c:v>2026</c:v>
                </c:pt>
                <c:pt idx="6">
                  <c:v>2027</c:v>
                </c:pt>
                <c:pt idx="7">
                  <c:v>2028</c:v>
                </c:pt>
                <c:pt idx="8">
                  <c:v>2029</c:v>
                </c:pt>
                <c:pt idx="9">
                  <c:v>2030</c:v>
                </c:pt>
                <c:pt idx="10">
                  <c:v>2031</c:v>
                </c:pt>
                <c:pt idx="11">
                  <c:v>2032</c:v>
                </c:pt>
              </c:numCache>
            </c:numRef>
          </c:cat>
          <c:val>
            <c:numRef>
              <c:f>'Chart Data'!$CA$4:$CA$15</c:f>
              <c:numCache>
                <c:formatCode>#,##0</c:formatCode>
                <c:ptCount val="12"/>
                <c:pt idx="0">
                  <c:v>262</c:v>
                </c:pt>
                <c:pt idx="1">
                  <c:v>240</c:v>
                </c:pt>
                <c:pt idx="2">
                  <c:v>252</c:v>
                </c:pt>
                <c:pt idx="3">
                  <c:v>257</c:v>
                </c:pt>
                <c:pt idx="4">
                  <c:v>252</c:v>
                </c:pt>
                <c:pt idx="5">
                  <c:v>250</c:v>
                </c:pt>
                <c:pt idx="6">
                  <c:v>250</c:v>
                </c:pt>
                <c:pt idx="7">
                  <c:v>250</c:v>
                </c:pt>
                <c:pt idx="8">
                  <c:v>250</c:v>
                </c:pt>
                <c:pt idx="9">
                  <c:v>250</c:v>
                </c:pt>
                <c:pt idx="10">
                  <c:v>250</c:v>
                </c:pt>
                <c:pt idx="11">
                  <c:v>250</c:v>
                </c:pt>
              </c:numCache>
            </c:numRef>
          </c:val>
          <c:extLst>
            <c:ext xmlns:c16="http://schemas.microsoft.com/office/drawing/2014/chart" uri="{C3380CC4-5D6E-409C-BE32-E72D297353CC}">
              <c16:uniqueId val="{00000005-A72E-4D28-BBFD-A440C8AF6048}"/>
            </c:ext>
          </c:extLst>
        </c:ser>
        <c:ser>
          <c:idx val="4"/>
          <c:order val="5"/>
          <c:tx>
            <c:strRef>
              <c:f>'Chart Data'!$CB$3</c:f>
              <c:strCache>
                <c:ptCount val="1"/>
                <c:pt idx="0">
                  <c:v>Other</c:v>
                </c:pt>
              </c:strCache>
            </c:strRef>
          </c:tx>
          <c:spPr>
            <a:solidFill>
              <a:srgbClr val="00ADDC"/>
            </a:solidFill>
            <a:ln w="6350">
              <a:solidFill>
                <a:srgbClr val="495057"/>
              </a:solidFill>
            </a:ln>
          </c:spPr>
          <c:cat>
            <c:numRef>
              <c:f>'Chart Data'!$BV$4:$BV$15</c:f>
              <c:numCache>
                <c:formatCode>General</c:formatCode>
                <c:ptCount val="12"/>
                <c:pt idx="0">
                  <c:v>2021</c:v>
                </c:pt>
                <c:pt idx="1">
                  <c:v>2022</c:v>
                </c:pt>
                <c:pt idx="2">
                  <c:v>2023</c:v>
                </c:pt>
                <c:pt idx="3">
                  <c:v>2024</c:v>
                </c:pt>
                <c:pt idx="4">
                  <c:v>2025</c:v>
                </c:pt>
                <c:pt idx="5">
                  <c:v>2026</c:v>
                </c:pt>
                <c:pt idx="6">
                  <c:v>2027</c:v>
                </c:pt>
                <c:pt idx="7">
                  <c:v>2028</c:v>
                </c:pt>
                <c:pt idx="8">
                  <c:v>2029</c:v>
                </c:pt>
                <c:pt idx="9">
                  <c:v>2030</c:v>
                </c:pt>
                <c:pt idx="10">
                  <c:v>2031</c:v>
                </c:pt>
                <c:pt idx="11">
                  <c:v>2032</c:v>
                </c:pt>
              </c:numCache>
            </c:numRef>
          </c:cat>
          <c:val>
            <c:numRef>
              <c:f>'Chart Data'!$CB$4:$CB$15</c:f>
              <c:numCache>
                <c:formatCode>#,##0</c:formatCode>
                <c:ptCount val="12"/>
                <c:pt idx="0">
                  <c:v>187</c:v>
                </c:pt>
                <c:pt idx="1">
                  <c:v>160</c:v>
                </c:pt>
                <c:pt idx="2">
                  <c:v>153</c:v>
                </c:pt>
                <c:pt idx="3">
                  <c:v>164</c:v>
                </c:pt>
                <c:pt idx="4">
                  <c:v>178</c:v>
                </c:pt>
                <c:pt idx="5">
                  <c:v>172.40145985401466</c:v>
                </c:pt>
                <c:pt idx="6">
                  <c:v>150.0985401459854</c:v>
                </c:pt>
                <c:pt idx="7">
                  <c:v>132.11861313868616</c:v>
                </c:pt>
                <c:pt idx="8">
                  <c:v>127.57846715328472</c:v>
                </c:pt>
                <c:pt idx="9">
                  <c:v>125.03832116788328</c:v>
                </c:pt>
                <c:pt idx="10">
                  <c:v>123.90583941605851</c:v>
                </c:pt>
                <c:pt idx="11">
                  <c:v>123.90583941605851</c:v>
                </c:pt>
              </c:numCache>
            </c:numRef>
          </c:val>
          <c:extLst>
            <c:ext xmlns:c16="http://schemas.microsoft.com/office/drawing/2014/chart" uri="{C3380CC4-5D6E-409C-BE32-E72D297353CC}">
              <c16:uniqueId val="{00000004-A72E-4D28-BBFD-A440C8AF6048}"/>
            </c:ext>
          </c:extLst>
        </c:ser>
        <c:dLbls>
          <c:showLegendKey val="0"/>
          <c:showVal val="0"/>
          <c:showCatName val="0"/>
          <c:showSerName val="0"/>
          <c:showPercent val="0"/>
          <c:showBubbleSize val="0"/>
        </c:dLbls>
        <c:axId val="274926592"/>
        <c:axId val="274950400"/>
      </c:areaChart>
      <c:catAx>
        <c:axId val="274926592"/>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50400"/>
        <c:crosses val="autoZero"/>
        <c:auto val="0"/>
        <c:lblAlgn val="ctr"/>
        <c:lblOffset val="100"/>
        <c:noMultiLvlLbl val="0"/>
      </c:catAx>
      <c:valAx>
        <c:axId val="274950400"/>
        <c:scaling>
          <c:orientation val="minMax"/>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74926592"/>
        <c:crosses val="autoZero"/>
        <c:crossBetween val="midCat"/>
      </c:valAx>
      <c:spPr>
        <a:noFill/>
        <a:ln w="25400">
          <a:noFill/>
        </a:ln>
      </c:spPr>
    </c:plotArea>
    <c:legend>
      <c:legendPos val="r"/>
      <c:layout>
        <c:manualLayout>
          <c:xMode val="edge"/>
          <c:yMode val="edge"/>
          <c:x val="0.74582950012604354"/>
          <c:y val="1.0639215423851055E-2"/>
          <c:w val="0.18637388970446492"/>
          <c:h val="0.31016632835909674"/>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952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0"/>
          <c:y val="0.12464589235127478"/>
          <c:w val="1"/>
          <c:h val="0.80830972615675167"/>
        </c:manualLayout>
      </c:layout>
      <c:lineChart>
        <c:grouping val="standard"/>
        <c:varyColors val="0"/>
        <c:ser>
          <c:idx val="0"/>
          <c:order val="0"/>
          <c:tx>
            <c:strRef>
              <c:f>'Chart Data'!$FY$3</c:f>
              <c:strCache>
                <c:ptCount val="1"/>
                <c:pt idx="0">
                  <c:v>10-year moving average</c:v>
                </c:pt>
              </c:strCache>
            </c:strRef>
          </c:tx>
          <c:spPr>
            <a:ln w="38100">
              <a:solidFill>
                <a:srgbClr val="BD1B21"/>
              </a:solidFill>
            </a:ln>
          </c:spPr>
          <c:marker>
            <c:symbol val="none"/>
          </c:marker>
          <c:cat>
            <c:numRef>
              <c:f>'Chart Data'!$FW$44:$FW$267</c:f>
              <c:numCache>
                <c:formatCode>General</c:formatCode>
                <c:ptCount val="224"/>
                <c:pt idx="0">
                  <c:v>1970</c:v>
                </c:pt>
                <c:pt idx="4">
                  <c:v>1971</c:v>
                </c:pt>
                <c:pt idx="8">
                  <c:v>1972</c:v>
                </c:pt>
                <c:pt idx="12">
                  <c:v>1973</c:v>
                </c:pt>
                <c:pt idx="16">
                  <c:v>1974</c:v>
                </c:pt>
                <c:pt idx="20">
                  <c:v>1975</c:v>
                </c:pt>
                <c:pt idx="24">
                  <c:v>1976</c:v>
                </c:pt>
                <c:pt idx="28">
                  <c:v>1977</c:v>
                </c:pt>
                <c:pt idx="32">
                  <c:v>1978</c:v>
                </c:pt>
                <c:pt idx="36">
                  <c:v>1979</c:v>
                </c:pt>
                <c:pt idx="40">
                  <c:v>1980</c:v>
                </c:pt>
                <c:pt idx="44">
                  <c:v>1981</c:v>
                </c:pt>
                <c:pt idx="48">
                  <c:v>1982</c:v>
                </c:pt>
                <c:pt idx="52">
                  <c:v>1983</c:v>
                </c:pt>
                <c:pt idx="56">
                  <c:v>1984</c:v>
                </c:pt>
                <c:pt idx="60">
                  <c:v>1985</c:v>
                </c:pt>
                <c:pt idx="64">
                  <c:v>1986</c:v>
                </c:pt>
                <c:pt idx="68">
                  <c:v>1987</c:v>
                </c:pt>
                <c:pt idx="72">
                  <c:v>1988</c:v>
                </c:pt>
                <c:pt idx="76">
                  <c:v>1989</c:v>
                </c:pt>
                <c:pt idx="80">
                  <c:v>1990</c:v>
                </c:pt>
                <c:pt idx="84">
                  <c:v>1991</c:v>
                </c:pt>
                <c:pt idx="88">
                  <c:v>1992</c:v>
                </c:pt>
                <c:pt idx="92">
                  <c:v>1993</c:v>
                </c:pt>
                <c:pt idx="96">
                  <c:v>1994</c:v>
                </c:pt>
                <c:pt idx="100">
                  <c:v>1995</c:v>
                </c:pt>
                <c:pt idx="104">
                  <c:v>1996</c:v>
                </c:pt>
                <c:pt idx="108">
                  <c:v>1997</c:v>
                </c:pt>
                <c:pt idx="112">
                  <c:v>1998</c:v>
                </c:pt>
                <c:pt idx="116">
                  <c:v>1999</c:v>
                </c:pt>
                <c:pt idx="120">
                  <c:v>2000</c:v>
                </c:pt>
                <c:pt idx="124">
                  <c:v>2001</c:v>
                </c:pt>
                <c:pt idx="128">
                  <c:v>2002</c:v>
                </c:pt>
                <c:pt idx="132">
                  <c:v>2003</c:v>
                </c:pt>
                <c:pt idx="136">
                  <c:v>2004</c:v>
                </c:pt>
                <c:pt idx="140">
                  <c:v>2005</c:v>
                </c:pt>
                <c:pt idx="144">
                  <c:v>2006</c:v>
                </c:pt>
                <c:pt idx="148">
                  <c:v>2007</c:v>
                </c:pt>
                <c:pt idx="152">
                  <c:v>2008</c:v>
                </c:pt>
                <c:pt idx="156">
                  <c:v>2009</c:v>
                </c:pt>
                <c:pt idx="160">
                  <c:v>2010</c:v>
                </c:pt>
                <c:pt idx="164">
                  <c:v>2011</c:v>
                </c:pt>
                <c:pt idx="168">
                  <c:v>2012</c:v>
                </c:pt>
                <c:pt idx="172">
                  <c:v>2013</c:v>
                </c:pt>
                <c:pt idx="176">
                  <c:v>2014</c:v>
                </c:pt>
                <c:pt idx="180">
                  <c:v>2015</c:v>
                </c:pt>
                <c:pt idx="184">
                  <c:v>2016</c:v>
                </c:pt>
                <c:pt idx="188">
                  <c:v>2017</c:v>
                </c:pt>
                <c:pt idx="192">
                  <c:v>2018</c:v>
                </c:pt>
                <c:pt idx="196">
                  <c:v>2019</c:v>
                </c:pt>
                <c:pt idx="200">
                  <c:v>2020</c:v>
                </c:pt>
                <c:pt idx="204">
                  <c:v>2021</c:v>
                </c:pt>
                <c:pt idx="208">
                  <c:v>2022</c:v>
                </c:pt>
                <c:pt idx="212">
                  <c:v>2023</c:v>
                </c:pt>
                <c:pt idx="216">
                  <c:v>2024</c:v>
                </c:pt>
                <c:pt idx="220">
                  <c:v>2025</c:v>
                </c:pt>
              </c:numCache>
            </c:numRef>
          </c:cat>
          <c:val>
            <c:numRef>
              <c:f>'Chart Data'!$FY$44:$FY$267</c:f>
              <c:numCache>
                <c:formatCode>0.0</c:formatCode>
                <c:ptCount val="224"/>
                <c:pt idx="0">
                  <c:v>1.8360247999423374</c:v>
                </c:pt>
                <c:pt idx="1">
                  <c:v>2.1666783192337391</c:v>
                </c:pt>
                <c:pt idx="2">
                  <c:v>2.5016964103956152</c:v>
                </c:pt>
                <c:pt idx="3">
                  <c:v>2.8799261895347428</c:v>
                </c:pt>
                <c:pt idx="4">
                  <c:v>2.9795036343396086</c:v>
                </c:pt>
                <c:pt idx="5">
                  <c:v>3.0295150175529972</c:v>
                </c:pt>
                <c:pt idx="6">
                  <c:v>3.1562641192796725</c:v>
                </c:pt>
                <c:pt idx="7">
                  <c:v>3.2669271667413735</c:v>
                </c:pt>
                <c:pt idx="8">
                  <c:v>3.3765738267836465</c:v>
                </c:pt>
                <c:pt idx="9">
                  <c:v>3.495709237758704</c:v>
                </c:pt>
                <c:pt idx="10">
                  <c:v>3.5414841696908894</c:v>
                </c:pt>
                <c:pt idx="11">
                  <c:v>3.5915886111283379</c:v>
                </c:pt>
                <c:pt idx="12">
                  <c:v>3.7522298086977823</c:v>
                </c:pt>
                <c:pt idx="13">
                  <c:v>3.7739300085354976</c:v>
                </c:pt>
                <c:pt idx="14">
                  <c:v>3.7648054145515752</c:v>
                </c:pt>
                <c:pt idx="15">
                  <c:v>3.6526946107783953</c:v>
                </c:pt>
                <c:pt idx="16">
                  <c:v>3.3556649078081202</c:v>
                </c:pt>
                <c:pt idx="17">
                  <c:v>3.1608013630221476</c:v>
                </c:pt>
                <c:pt idx="18">
                  <c:v>3.0108904548366455</c:v>
                </c:pt>
                <c:pt idx="19">
                  <c:v>2.8653957250144746</c:v>
                </c:pt>
                <c:pt idx="20">
                  <c:v>2.8222336947169246</c:v>
                </c:pt>
                <c:pt idx="21">
                  <c:v>2.7222506976479544</c:v>
                </c:pt>
                <c:pt idx="22">
                  <c:v>2.5836725463591614</c:v>
                </c:pt>
                <c:pt idx="23">
                  <c:v>2.5440862630574212</c:v>
                </c:pt>
                <c:pt idx="24">
                  <c:v>2.5550906555090958</c:v>
                </c:pt>
                <c:pt idx="25">
                  <c:v>2.5946665188224083</c:v>
                </c:pt>
                <c:pt idx="26">
                  <c:v>2.6784238082116163</c:v>
                </c:pt>
                <c:pt idx="27">
                  <c:v>2.7712361027438348</c:v>
                </c:pt>
                <c:pt idx="28">
                  <c:v>2.7906217701136882</c:v>
                </c:pt>
                <c:pt idx="29">
                  <c:v>2.7614158335585115</c:v>
                </c:pt>
                <c:pt idx="30">
                  <c:v>2.7105362031023539</c:v>
                </c:pt>
                <c:pt idx="31">
                  <c:v>2.6432187583266709</c:v>
                </c:pt>
                <c:pt idx="32">
                  <c:v>2.5349280270956731</c:v>
                </c:pt>
                <c:pt idx="33">
                  <c:v>2.4978965082036231</c:v>
                </c:pt>
                <c:pt idx="34">
                  <c:v>2.4613294314381085</c:v>
                </c:pt>
                <c:pt idx="35">
                  <c:v>2.409013031514462</c:v>
                </c:pt>
                <c:pt idx="36">
                  <c:v>2.3845161290322547</c:v>
                </c:pt>
                <c:pt idx="37">
                  <c:v>2.4524139346364882</c:v>
                </c:pt>
                <c:pt idx="38">
                  <c:v>2.4532054878359855</c:v>
                </c:pt>
                <c:pt idx="39">
                  <c:v>2.4385297845373799</c:v>
                </c:pt>
                <c:pt idx="40">
                  <c:v>2.4398850632656011</c:v>
                </c:pt>
                <c:pt idx="41">
                  <c:v>2.2534929140167081</c:v>
                </c:pt>
                <c:pt idx="42">
                  <c:v>2.1256471525288534</c:v>
                </c:pt>
                <c:pt idx="43">
                  <c:v>1.9499158665742922</c:v>
                </c:pt>
                <c:pt idx="44">
                  <c:v>1.8060134835884201</c:v>
                </c:pt>
                <c:pt idx="45">
                  <c:v>1.7434742151917426</c:v>
                </c:pt>
                <c:pt idx="46">
                  <c:v>1.6914452839385641</c:v>
                </c:pt>
                <c:pt idx="47">
                  <c:v>1.6990291262136026</c:v>
                </c:pt>
                <c:pt idx="48">
                  <c:v>1.7111368909512814</c:v>
                </c:pt>
                <c:pt idx="49">
                  <c:v>1.7184115523465771</c:v>
                </c:pt>
                <c:pt idx="50">
                  <c:v>1.7400057520851497</c:v>
                </c:pt>
                <c:pt idx="51">
                  <c:v>1.7613365155131122</c:v>
                </c:pt>
                <c:pt idx="52">
                  <c:v>1.7441307860469379</c:v>
                </c:pt>
                <c:pt idx="53">
                  <c:v>1.7461669505962618</c:v>
                </c:pt>
                <c:pt idx="54">
                  <c:v>1.7714958775029599</c:v>
                </c:pt>
                <c:pt idx="55">
                  <c:v>1.801210188095137</c:v>
                </c:pt>
                <c:pt idx="56">
                  <c:v>1.9197533747489226</c:v>
                </c:pt>
                <c:pt idx="57">
                  <c:v>1.9487465699269846</c:v>
                </c:pt>
                <c:pt idx="58">
                  <c:v>1.9304661821211822</c:v>
                </c:pt>
                <c:pt idx="59">
                  <c:v>1.9766852508869892</c:v>
                </c:pt>
                <c:pt idx="60">
                  <c:v>1.9752520623281589</c:v>
                </c:pt>
                <c:pt idx="61">
                  <c:v>2.1395985401460038</c:v>
                </c:pt>
                <c:pt idx="62">
                  <c:v>2.3117449359614684</c:v>
                </c:pt>
                <c:pt idx="63">
                  <c:v>2.3721308512560935</c:v>
                </c:pt>
                <c:pt idx="64">
                  <c:v>2.3819154195316772</c:v>
                </c:pt>
                <c:pt idx="65">
                  <c:v>2.3359685559873222</c:v>
                </c:pt>
                <c:pt idx="66">
                  <c:v>2.281706396768346</c:v>
                </c:pt>
                <c:pt idx="67">
                  <c:v>2.259787262214763</c:v>
                </c:pt>
                <c:pt idx="68">
                  <c:v>2.2606558096659679</c:v>
                </c:pt>
                <c:pt idx="69">
                  <c:v>2.2870111731843501</c:v>
                </c:pt>
                <c:pt idx="70">
                  <c:v>2.3479883685604053</c:v>
                </c:pt>
                <c:pt idx="71">
                  <c:v>2.3868099615866445</c:v>
                </c:pt>
                <c:pt idx="72">
                  <c:v>2.4253090659340781</c:v>
                </c:pt>
                <c:pt idx="73">
                  <c:v>2.3894862604540323</c:v>
                </c:pt>
                <c:pt idx="74">
                  <c:v>2.3153252480705433</c:v>
                </c:pt>
                <c:pt idx="75">
                  <c:v>2.2637214400134775</c:v>
                </c:pt>
                <c:pt idx="76">
                  <c:v>2.2253887096097991</c:v>
                </c:pt>
                <c:pt idx="77">
                  <c:v>2.1128521420236579</c:v>
                </c:pt>
                <c:pt idx="78">
                  <c:v>2.0598474801061029</c:v>
                </c:pt>
                <c:pt idx="79">
                  <c:v>1.9992580073374899</c:v>
                </c:pt>
                <c:pt idx="80">
                  <c:v>1.9678583142013872</c:v>
                </c:pt>
                <c:pt idx="81">
                  <c:v>2.0650532587846104</c:v>
                </c:pt>
                <c:pt idx="82">
                  <c:v>2.0873096446700323</c:v>
                </c:pt>
                <c:pt idx="83">
                  <c:v>2.1378920142256286</c:v>
                </c:pt>
                <c:pt idx="84">
                  <c:v>2.1429720167256194</c:v>
                </c:pt>
                <c:pt idx="85">
                  <c:v>2.1112399536166837</c:v>
                </c:pt>
                <c:pt idx="86">
                  <c:v>2.0963443255499259</c:v>
                </c:pt>
                <c:pt idx="87">
                  <c:v>2.0654453369208348</c:v>
                </c:pt>
                <c:pt idx="88">
                  <c:v>2.0429049399724564</c:v>
                </c:pt>
                <c:pt idx="89">
                  <c:v>1.9971022438031394</c:v>
                </c:pt>
                <c:pt idx="90">
                  <c:v>1.9675835735993408</c:v>
                </c:pt>
                <c:pt idx="91">
                  <c:v>1.9499903081992898</c:v>
                </c:pt>
                <c:pt idx="92">
                  <c:v>1.8901404104304964</c:v>
                </c:pt>
                <c:pt idx="93">
                  <c:v>1.8581794448497169</c:v>
                </c:pt>
                <c:pt idx="94">
                  <c:v>1.8379121928852493</c:v>
                </c:pt>
                <c:pt idx="95">
                  <c:v>1.8252338580880823</c:v>
                </c:pt>
                <c:pt idx="96">
                  <c:v>1.8626485954418071</c:v>
                </c:pt>
                <c:pt idx="97">
                  <c:v>1.952433002902243</c:v>
                </c:pt>
                <c:pt idx="98">
                  <c:v>2.0336184901695642</c:v>
                </c:pt>
                <c:pt idx="99">
                  <c:v>2.0725969079094408</c:v>
                </c:pt>
                <c:pt idx="100">
                  <c:v>2.0887534378948525</c:v>
                </c:pt>
                <c:pt idx="101">
                  <c:v>1.9926799511996496</c:v>
                </c:pt>
                <c:pt idx="102">
                  <c:v>1.9195410752371966</c:v>
                </c:pt>
                <c:pt idx="103">
                  <c:v>1.8731935755314177</c:v>
                </c:pt>
                <c:pt idx="104">
                  <c:v>1.8567059851463563</c:v>
                </c:pt>
                <c:pt idx="105">
                  <c:v>1.8812527185733341</c:v>
                </c:pt>
                <c:pt idx="106">
                  <c:v>1.8725645836340288</c:v>
                </c:pt>
                <c:pt idx="107">
                  <c:v>1.8531154605853972</c:v>
                </c:pt>
                <c:pt idx="108">
                  <c:v>1.8264350561155274</c:v>
                </c:pt>
                <c:pt idx="109">
                  <c:v>1.8038211121784498</c:v>
                </c:pt>
                <c:pt idx="110">
                  <c:v>1.7708517797060397</c:v>
                </c:pt>
                <c:pt idx="111">
                  <c:v>1.7700363174782519</c:v>
                </c:pt>
                <c:pt idx="112">
                  <c:v>1.7655937379339903</c:v>
                </c:pt>
                <c:pt idx="113">
                  <c:v>1.7893338925002</c:v>
                </c:pt>
                <c:pt idx="114">
                  <c:v>1.8096398120758916</c:v>
                </c:pt>
                <c:pt idx="115">
                  <c:v>1.8085438104146867</c:v>
                </c:pt>
                <c:pt idx="116">
                  <c:v>1.8211920529801029</c:v>
                </c:pt>
                <c:pt idx="117">
                  <c:v>1.819680010986735</c:v>
                </c:pt>
                <c:pt idx="118">
                  <c:v>1.8731840710989323</c:v>
                </c:pt>
                <c:pt idx="119">
                  <c:v>1.9601837672281741</c:v>
                </c:pt>
                <c:pt idx="120">
                  <c:v>2.0494579945799396</c:v>
                </c:pt>
                <c:pt idx="121">
                  <c:v>2.1378473158888411</c:v>
                </c:pt>
                <c:pt idx="122">
                  <c:v>2.2145421601852178</c:v>
                </c:pt>
                <c:pt idx="123">
                  <c:v>2.2696171689863265</c:v>
                </c:pt>
                <c:pt idx="124">
                  <c:v>2.3103734439833934</c:v>
                </c:pt>
                <c:pt idx="125">
                  <c:v>2.3275008253549112</c:v>
                </c:pt>
                <c:pt idx="126">
                  <c:v>2.3044348882250487</c:v>
                </c:pt>
                <c:pt idx="127">
                  <c:v>2.2420939264384376</c:v>
                </c:pt>
                <c:pt idx="128">
                  <c:v>2.1738425099769643</c:v>
                </c:pt>
                <c:pt idx="129">
                  <c:v>2.1164703984513533</c:v>
                </c:pt>
                <c:pt idx="130">
                  <c:v>2.0728381196855494</c:v>
                </c:pt>
                <c:pt idx="131">
                  <c:v>2.020556690500519</c:v>
                </c:pt>
                <c:pt idx="132">
                  <c:v>1.9751675081769449</c:v>
                </c:pt>
                <c:pt idx="133">
                  <c:v>1.9430665697766303</c:v>
                </c:pt>
                <c:pt idx="134">
                  <c:v>1.9144321146773446</c:v>
                </c:pt>
                <c:pt idx="135">
                  <c:v>1.9242201432996708</c:v>
                </c:pt>
                <c:pt idx="136">
                  <c:v>1.9057702488089134</c:v>
                </c:pt>
                <c:pt idx="137">
                  <c:v>1.8781379780574259</c:v>
                </c:pt>
                <c:pt idx="138">
                  <c:v>1.8383713756940034</c:v>
                </c:pt>
                <c:pt idx="139">
                  <c:v>1.7896611001964491</c:v>
                </c:pt>
                <c:pt idx="140">
                  <c:v>1.7692895339954218</c:v>
                </c:pt>
                <c:pt idx="141">
                  <c:v>1.7857142857142794</c:v>
                </c:pt>
                <c:pt idx="142">
                  <c:v>1.8082141991761391</c:v>
                </c:pt>
                <c:pt idx="143">
                  <c:v>1.8697789438764767</c:v>
                </c:pt>
                <c:pt idx="144">
                  <c:v>1.9006725918808254</c:v>
                </c:pt>
                <c:pt idx="145">
                  <c:v>1.8918676589258387</c:v>
                </c:pt>
                <c:pt idx="146">
                  <c:v>1.871299794722292</c:v>
                </c:pt>
                <c:pt idx="147">
                  <c:v>1.802895289973061</c:v>
                </c:pt>
                <c:pt idx="148">
                  <c:v>1.78271503079237</c:v>
                </c:pt>
                <c:pt idx="149">
                  <c:v>1.774609879150546</c:v>
                </c:pt>
                <c:pt idx="150">
                  <c:v>1.784358390280949</c:v>
                </c:pt>
                <c:pt idx="151">
                  <c:v>1.7855065720600249</c:v>
                </c:pt>
                <c:pt idx="152">
                  <c:v>1.754385964912264</c:v>
                </c:pt>
                <c:pt idx="153">
                  <c:v>1.6946710090209427</c:v>
                </c:pt>
                <c:pt idx="154">
                  <c:v>1.6067483430407536</c:v>
                </c:pt>
                <c:pt idx="155">
                  <c:v>1.4799154334038001</c:v>
                </c:pt>
                <c:pt idx="156">
                  <c:v>1.3201320132013139</c:v>
                </c:pt>
                <c:pt idx="157">
                  <c:v>1.1988096925038993</c:v>
                </c:pt>
                <c:pt idx="158">
                  <c:v>1.0786999124615448</c:v>
                </c:pt>
                <c:pt idx="159">
                  <c:v>0.99943693693693714</c:v>
                </c:pt>
                <c:pt idx="160">
                  <c:v>0.96877457036954606</c:v>
                </c:pt>
                <c:pt idx="161">
                  <c:v>0.92976363840036047</c:v>
                </c:pt>
                <c:pt idx="162">
                  <c:v>0.90794803743539099</c:v>
                </c:pt>
                <c:pt idx="163">
                  <c:v>0.89477351916376069</c:v>
                </c:pt>
                <c:pt idx="164">
                  <c:v>0.85657869121449348</c:v>
                </c:pt>
                <c:pt idx="165">
                  <c:v>0.81298557158713258</c:v>
                </c:pt>
                <c:pt idx="166">
                  <c:v>0.7918050941306598</c:v>
                </c:pt>
                <c:pt idx="167">
                  <c:v>0.78185434854680658</c:v>
                </c:pt>
                <c:pt idx="168">
                  <c:v>0.79966910244035905</c:v>
                </c:pt>
                <c:pt idx="169">
                  <c:v>0.80092477912638849</c:v>
                </c:pt>
                <c:pt idx="170">
                  <c:v>0.79107839367136279</c:v>
                </c:pt>
                <c:pt idx="171">
                  <c:v>0.76482359713807568</c:v>
                </c:pt>
                <c:pt idx="172">
                  <c:v>0.71946382163863287</c:v>
                </c:pt>
                <c:pt idx="173">
                  <c:v>0.69353429445173642</c:v>
                </c:pt>
                <c:pt idx="174">
                  <c:v>0.64315691938738873</c:v>
                </c:pt>
                <c:pt idx="175">
                  <c:v>0.59578867185374751</c:v>
                </c:pt>
                <c:pt idx="176">
                  <c:v>0.5676571242327455</c:v>
                </c:pt>
                <c:pt idx="177">
                  <c:v>0.54232875969413286</c:v>
                </c:pt>
                <c:pt idx="178">
                  <c:v>0.55239642567017633</c:v>
                </c:pt>
                <c:pt idx="179">
                  <c:v>0.57873813451603251</c:v>
                </c:pt>
                <c:pt idx="180">
                  <c:v>0.57255516244898441</c:v>
                </c:pt>
                <c:pt idx="181">
                  <c:v>0.55558552241217196</c:v>
                </c:pt>
                <c:pt idx="182">
                  <c:v>0.50088867345288168</c:v>
                </c:pt>
                <c:pt idx="183">
                  <c:v>0.40870102981904743</c:v>
                </c:pt>
                <c:pt idx="184">
                  <c:v>0.35715244770266885</c:v>
                </c:pt>
                <c:pt idx="185">
                  <c:v>0.32185387833920664</c:v>
                </c:pt>
                <c:pt idx="186">
                  <c:v>0.32422293676312997</c:v>
                </c:pt>
                <c:pt idx="187">
                  <c:v>0.36954717082184896</c:v>
                </c:pt>
                <c:pt idx="188">
                  <c:v>0.3826394091833718</c:v>
                </c:pt>
                <c:pt idx="189">
                  <c:v>0.38765907389586296</c:v>
                </c:pt>
                <c:pt idx="190">
                  <c:v>0.38193424320931424</c:v>
                </c:pt>
                <c:pt idx="191">
                  <c:v>0.37352258477627576</c:v>
                </c:pt>
                <c:pt idx="192">
                  <c:v>0.36252165800347846</c:v>
                </c:pt>
                <c:pt idx="193">
                  <c:v>0.36751977416176196</c:v>
                </c:pt>
                <c:pt idx="194">
                  <c:v>0.40176670923799396</c:v>
                </c:pt>
                <c:pt idx="195">
                  <c:v>0.4704819116982728</c:v>
                </c:pt>
                <c:pt idx="196">
                  <c:v>0.59759368941063595</c:v>
                </c:pt>
                <c:pt idx="197">
                  <c:v>0.68723963170322921</c:v>
                </c:pt>
                <c:pt idx="198">
                  <c:v>0.76056711276002442</c:v>
                </c:pt>
                <c:pt idx="199">
                  <c:v>0.77517328959202381</c:v>
                </c:pt>
                <c:pt idx="200">
                  <c:v>0.66268877389377145</c:v>
                </c:pt>
                <c:pt idx="201">
                  <c:v>7.9059716439155991E-2</c:v>
                </c:pt>
                <c:pt idx="202">
                  <c:v>-0.14991320814264908</c:v>
                </c:pt>
                <c:pt idx="203">
                  <c:v>-0.32028563177652902</c:v>
                </c:pt>
                <c:pt idx="204">
                  <c:v>-0.42489574317412515</c:v>
                </c:pt>
                <c:pt idx="205">
                  <c:v>0.11849589214241174</c:v>
                </c:pt>
                <c:pt idx="206">
                  <c:v>0.29237455551167635</c:v>
                </c:pt>
                <c:pt idx="207">
                  <c:v>0.45826858753192923</c:v>
                </c:pt>
                <c:pt idx="208">
                  <c:v>0.65323324114316961</c:v>
                </c:pt>
                <c:pt idx="209">
                  <c:v>0.70224349701479838</c:v>
                </c:pt>
                <c:pt idx="210">
                  <c:v>0.74325034142241897</c:v>
                </c:pt>
                <c:pt idx="211">
                  <c:v>0.76029677791469297</c:v>
                </c:pt>
                <c:pt idx="212">
                  <c:v>0.7484363959908924</c:v>
                </c:pt>
                <c:pt idx="213">
                  <c:v>0.71040534893438423</c:v>
                </c:pt>
                <c:pt idx="214">
                  <c:v>0.68041398368046124</c:v>
                </c:pt>
                <c:pt idx="215">
                  <c:v>0.62966721307207152</c:v>
                </c:pt>
                <c:pt idx="216">
                  <c:v>0.62599028546195257</c:v>
                </c:pt>
                <c:pt idx="217">
                  <c:v>0.63018672199171011</c:v>
                </c:pt>
                <c:pt idx="218">
                  <c:v>0.60590367685138258</c:v>
                </c:pt>
                <c:pt idx="219">
                  <c:v>0.58952811893988599</c:v>
                </c:pt>
                <c:pt idx="220">
                  <c:v>0.56788848735156439</c:v>
                </c:pt>
                <c:pt idx="221">
                  <c:v>0.52830966677834823</c:v>
                </c:pt>
                <c:pt idx="222">
                  <c:v>0.46815626678704536</c:v>
                </c:pt>
              </c:numCache>
            </c:numRef>
          </c:val>
          <c:smooth val="0"/>
          <c:extLst>
            <c:ext xmlns:c16="http://schemas.microsoft.com/office/drawing/2014/chart" uri="{C3380CC4-5D6E-409C-BE32-E72D297353CC}">
              <c16:uniqueId val="{00000000-3752-4124-8204-8D241F2D088D}"/>
            </c:ext>
          </c:extLst>
        </c:ser>
        <c:ser>
          <c:idx val="1"/>
          <c:order val="1"/>
          <c:tx>
            <c:strRef>
              <c:f>'Chart Data'!$FZ$3</c:f>
              <c:strCache>
                <c:ptCount val="1"/>
                <c:pt idx="0">
                  <c:v>1970-2007 average</c:v>
                </c:pt>
              </c:strCache>
            </c:strRef>
          </c:tx>
          <c:spPr>
            <a:ln w="38100">
              <a:solidFill>
                <a:srgbClr val="003469"/>
              </a:solidFill>
            </a:ln>
          </c:spPr>
          <c:marker>
            <c:symbol val="none"/>
          </c:marker>
          <c:cat>
            <c:numRef>
              <c:f>'Chart Data'!$FW$44:$FW$267</c:f>
              <c:numCache>
                <c:formatCode>General</c:formatCode>
                <c:ptCount val="224"/>
                <c:pt idx="0">
                  <c:v>1970</c:v>
                </c:pt>
                <c:pt idx="4">
                  <c:v>1971</c:v>
                </c:pt>
                <c:pt idx="8">
                  <c:v>1972</c:v>
                </c:pt>
                <c:pt idx="12">
                  <c:v>1973</c:v>
                </c:pt>
                <c:pt idx="16">
                  <c:v>1974</c:v>
                </c:pt>
                <c:pt idx="20">
                  <c:v>1975</c:v>
                </c:pt>
                <c:pt idx="24">
                  <c:v>1976</c:v>
                </c:pt>
                <c:pt idx="28">
                  <c:v>1977</c:v>
                </c:pt>
                <c:pt idx="32">
                  <c:v>1978</c:v>
                </c:pt>
                <c:pt idx="36">
                  <c:v>1979</c:v>
                </c:pt>
                <c:pt idx="40">
                  <c:v>1980</c:v>
                </c:pt>
                <c:pt idx="44">
                  <c:v>1981</c:v>
                </c:pt>
                <c:pt idx="48">
                  <c:v>1982</c:v>
                </c:pt>
                <c:pt idx="52">
                  <c:v>1983</c:v>
                </c:pt>
                <c:pt idx="56">
                  <c:v>1984</c:v>
                </c:pt>
                <c:pt idx="60">
                  <c:v>1985</c:v>
                </c:pt>
                <c:pt idx="64">
                  <c:v>1986</c:v>
                </c:pt>
                <c:pt idx="68">
                  <c:v>1987</c:v>
                </c:pt>
                <c:pt idx="72">
                  <c:v>1988</c:v>
                </c:pt>
                <c:pt idx="76">
                  <c:v>1989</c:v>
                </c:pt>
                <c:pt idx="80">
                  <c:v>1990</c:v>
                </c:pt>
                <c:pt idx="84">
                  <c:v>1991</c:v>
                </c:pt>
                <c:pt idx="88">
                  <c:v>1992</c:v>
                </c:pt>
                <c:pt idx="92">
                  <c:v>1993</c:v>
                </c:pt>
                <c:pt idx="96">
                  <c:v>1994</c:v>
                </c:pt>
                <c:pt idx="100">
                  <c:v>1995</c:v>
                </c:pt>
                <c:pt idx="104">
                  <c:v>1996</c:v>
                </c:pt>
                <c:pt idx="108">
                  <c:v>1997</c:v>
                </c:pt>
                <c:pt idx="112">
                  <c:v>1998</c:v>
                </c:pt>
                <c:pt idx="116">
                  <c:v>1999</c:v>
                </c:pt>
                <c:pt idx="120">
                  <c:v>2000</c:v>
                </c:pt>
                <c:pt idx="124">
                  <c:v>2001</c:v>
                </c:pt>
                <c:pt idx="128">
                  <c:v>2002</c:v>
                </c:pt>
                <c:pt idx="132">
                  <c:v>2003</c:v>
                </c:pt>
                <c:pt idx="136">
                  <c:v>2004</c:v>
                </c:pt>
                <c:pt idx="140">
                  <c:v>2005</c:v>
                </c:pt>
                <c:pt idx="144">
                  <c:v>2006</c:v>
                </c:pt>
                <c:pt idx="148">
                  <c:v>2007</c:v>
                </c:pt>
                <c:pt idx="152">
                  <c:v>2008</c:v>
                </c:pt>
                <c:pt idx="156">
                  <c:v>2009</c:v>
                </c:pt>
                <c:pt idx="160">
                  <c:v>2010</c:v>
                </c:pt>
                <c:pt idx="164">
                  <c:v>2011</c:v>
                </c:pt>
                <c:pt idx="168">
                  <c:v>2012</c:v>
                </c:pt>
                <c:pt idx="172">
                  <c:v>2013</c:v>
                </c:pt>
                <c:pt idx="176">
                  <c:v>2014</c:v>
                </c:pt>
                <c:pt idx="180">
                  <c:v>2015</c:v>
                </c:pt>
                <c:pt idx="184">
                  <c:v>2016</c:v>
                </c:pt>
                <c:pt idx="188">
                  <c:v>2017</c:v>
                </c:pt>
                <c:pt idx="192">
                  <c:v>2018</c:v>
                </c:pt>
                <c:pt idx="196">
                  <c:v>2019</c:v>
                </c:pt>
                <c:pt idx="200">
                  <c:v>2020</c:v>
                </c:pt>
                <c:pt idx="204">
                  <c:v>2021</c:v>
                </c:pt>
                <c:pt idx="208">
                  <c:v>2022</c:v>
                </c:pt>
                <c:pt idx="212">
                  <c:v>2023</c:v>
                </c:pt>
                <c:pt idx="216">
                  <c:v>2024</c:v>
                </c:pt>
                <c:pt idx="220">
                  <c:v>2025</c:v>
                </c:pt>
              </c:numCache>
            </c:numRef>
          </c:cat>
          <c:val>
            <c:numRef>
              <c:f>'Chart Data'!$FZ$44:$FZ$267</c:f>
              <c:numCache>
                <c:formatCode>0.0</c:formatCode>
                <c:ptCount val="224"/>
                <c:pt idx="0">
                  <c:v>2.0390522566444025</c:v>
                </c:pt>
                <c:pt idx="1">
                  <c:v>2.0390522566444025</c:v>
                </c:pt>
                <c:pt idx="2">
                  <c:v>2.0390522566444025</c:v>
                </c:pt>
                <c:pt idx="3">
                  <c:v>2.0390522566444025</c:v>
                </c:pt>
                <c:pt idx="4">
                  <c:v>2.0390522566444025</c:v>
                </c:pt>
                <c:pt idx="5">
                  <c:v>2.0390522566444025</c:v>
                </c:pt>
                <c:pt idx="6">
                  <c:v>2.0390522566444025</c:v>
                </c:pt>
                <c:pt idx="7">
                  <c:v>2.0390522566444025</c:v>
                </c:pt>
                <c:pt idx="8">
                  <c:v>2.0390522566444025</c:v>
                </c:pt>
                <c:pt idx="9">
                  <c:v>2.0390522566444025</c:v>
                </c:pt>
                <c:pt idx="10">
                  <c:v>2.0390522566444025</c:v>
                </c:pt>
                <c:pt idx="11">
                  <c:v>2.0390522566444025</c:v>
                </c:pt>
                <c:pt idx="12">
                  <c:v>2.0390522566444025</c:v>
                </c:pt>
                <c:pt idx="13">
                  <c:v>2.0390522566444025</c:v>
                </c:pt>
                <c:pt idx="14">
                  <c:v>2.0390522566444025</c:v>
                </c:pt>
                <c:pt idx="15">
                  <c:v>2.0390522566444025</c:v>
                </c:pt>
                <c:pt idx="16">
                  <c:v>2.0390522566444025</c:v>
                </c:pt>
                <c:pt idx="17">
                  <c:v>2.0390522566444025</c:v>
                </c:pt>
                <c:pt idx="18">
                  <c:v>2.0390522566444025</c:v>
                </c:pt>
                <c:pt idx="19">
                  <c:v>2.0390522566444025</c:v>
                </c:pt>
                <c:pt idx="20">
                  <c:v>2.0390522566444025</c:v>
                </c:pt>
                <c:pt idx="21">
                  <c:v>2.0390522566444025</c:v>
                </c:pt>
                <c:pt idx="22">
                  <c:v>2.0390522566444025</c:v>
                </c:pt>
                <c:pt idx="23">
                  <c:v>2.0390522566444025</c:v>
                </c:pt>
                <c:pt idx="24">
                  <c:v>2.0390522566444025</c:v>
                </c:pt>
                <c:pt idx="25">
                  <c:v>2.0390522566444025</c:v>
                </c:pt>
                <c:pt idx="26">
                  <c:v>2.0390522566444025</c:v>
                </c:pt>
                <c:pt idx="27">
                  <c:v>2.0390522566444025</c:v>
                </c:pt>
                <c:pt idx="28">
                  <c:v>2.0390522566444025</c:v>
                </c:pt>
                <c:pt idx="29">
                  <c:v>2.0390522566444025</c:v>
                </c:pt>
                <c:pt idx="30">
                  <c:v>2.0390522566444025</c:v>
                </c:pt>
                <c:pt idx="31">
                  <c:v>2.0390522566444025</c:v>
                </c:pt>
                <c:pt idx="32">
                  <c:v>2.0390522566444025</c:v>
                </c:pt>
                <c:pt idx="33">
                  <c:v>2.0390522566444025</c:v>
                </c:pt>
                <c:pt idx="34">
                  <c:v>2.0390522566444025</c:v>
                </c:pt>
                <c:pt idx="35">
                  <c:v>2.0390522566444025</c:v>
                </c:pt>
                <c:pt idx="36">
                  <c:v>2.0390522566444025</c:v>
                </c:pt>
                <c:pt idx="37">
                  <c:v>2.0390522566444025</c:v>
                </c:pt>
                <c:pt idx="38">
                  <c:v>2.0390522566444025</c:v>
                </c:pt>
                <c:pt idx="39">
                  <c:v>2.0390522566444025</c:v>
                </c:pt>
                <c:pt idx="40">
                  <c:v>2.0390522566444025</c:v>
                </c:pt>
                <c:pt idx="41">
                  <c:v>2.0390522566444025</c:v>
                </c:pt>
                <c:pt idx="42">
                  <c:v>2.0390522566444025</c:v>
                </c:pt>
                <c:pt idx="43">
                  <c:v>2.0390522566444025</c:v>
                </c:pt>
                <c:pt idx="44">
                  <c:v>2.0390522566444025</c:v>
                </c:pt>
                <c:pt idx="45">
                  <c:v>2.0390522566444025</c:v>
                </c:pt>
                <c:pt idx="46">
                  <c:v>2.0390522566444025</c:v>
                </c:pt>
                <c:pt idx="47">
                  <c:v>2.0390522566444025</c:v>
                </c:pt>
                <c:pt idx="48">
                  <c:v>2.0390522566444025</c:v>
                </c:pt>
                <c:pt idx="49">
                  <c:v>2.0390522566444025</c:v>
                </c:pt>
                <c:pt idx="50">
                  <c:v>2.0390522566444025</c:v>
                </c:pt>
                <c:pt idx="51">
                  <c:v>2.0390522566444025</c:v>
                </c:pt>
                <c:pt idx="52">
                  <c:v>2.0390522566444025</c:v>
                </c:pt>
                <c:pt idx="53">
                  <c:v>2.0390522566444025</c:v>
                </c:pt>
                <c:pt idx="54">
                  <c:v>2.0390522566444025</c:v>
                </c:pt>
                <c:pt idx="55">
                  <c:v>2.0390522566444025</c:v>
                </c:pt>
                <c:pt idx="56">
                  <c:v>2.0390522566444025</c:v>
                </c:pt>
                <c:pt idx="57">
                  <c:v>2.0390522566444025</c:v>
                </c:pt>
                <c:pt idx="58">
                  <c:v>2.0390522566444025</c:v>
                </c:pt>
                <c:pt idx="59">
                  <c:v>2.0390522566444025</c:v>
                </c:pt>
                <c:pt idx="60">
                  <c:v>2.0390522566444025</c:v>
                </c:pt>
                <c:pt idx="61">
                  <c:v>2.0390522566444025</c:v>
                </c:pt>
                <c:pt idx="62">
                  <c:v>2.0390522566444025</c:v>
                </c:pt>
                <c:pt idx="63">
                  <c:v>2.0390522566444025</c:v>
                </c:pt>
                <c:pt idx="64">
                  <c:v>2.0390522566444025</c:v>
                </c:pt>
                <c:pt idx="65">
                  <c:v>2.0390522566444025</c:v>
                </c:pt>
                <c:pt idx="66">
                  <c:v>2.0390522566444025</c:v>
                </c:pt>
                <c:pt idx="67">
                  <c:v>2.0390522566444025</c:v>
                </c:pt>
                <c:pt idx="68">
                  <c:v>2.0390522566444025</c:v>
                </c:pt>
                <c:pt idx="69">
                  <c:v>2.0390522566444025</c:v>
                </c:pt>
                <c:pt idx="70">
                  <c:v>2.0390522566444025</c:v>
                </c:pt>
                <c:pt idx="71">
                  <c:v>2.0390522566444025</c:v>
                </c:pt>
                <c:pt idx="72">
                  <c:v>2.0390522566444025</c:v>
                </c:pt>
                <c:pt idx="73">
                  <c:v>2.0390522566444025</c:v>
                </c:pt>
                <c:pt idx="74">
                  <c:v>2.0390522566444025</c:v>
                </c:pt>
                <c:pt idx="75">
                  <c:v>2.0390522566444025</c:v>
                </c:pt>
                <c:pt idx="76">
                  <c:v>2.0390522566444025</c:v>
                </c:pt>
                <c:pt idx="77">
                  <c:v>2.0390522566444025</c:v>
                </c:pt>
                <c:pt idx="78">
                  <c:v>2.0390522566444025</c:v>
                </c:pt>
                <c:pt idx="79">
                  <c:v>2.0390522566444025</c:v>
                </c:pt>
                <c:pt idx="80">
                  <c:v>2.0390522566444025</c:v>
                </c:pt>
                <c:pt idx="81">
                  <c:v>2.0390522566444025</c:v>
                </c:pt>
                <c:pt idx="82">
                  <c:v>2.0390522566444025</c:v>
                </c:pt>
                <c:pt idx="83">
                  <c:v>2.0390522566444025</c:v>
                </c:pt>
                <c:pt idx="84">
                  <c:v>2.0390522566444025</c:v>
                </c:pt>
                <c:pt idx="85">
                  <c:v>2.0390522566444025</c:v>
                </c:pt>
                <c:pt idx="86">
                  <c:v>2.0390522566444025</c:v>
                </c:pt>
                <c:pt idx="87">
                  <c:v>2.0390522566444025</c:v>
                </c:pt>
                <c:pt idx="88">
                  <c:v>2.0390522566444025</c:v>
                </c:pt>
                <c:pt idx="89">
                  <c:v>2.0390522566444025</c:v>
                </c:pt>
                <c:pt idx="90">
                  <c:v>2.0390522566444025</c:v>
                </c:pt>
                <c:pt idx="91">
                  <c:v>2.0390522566444025</c:v>
                </c:pt>
                <c:pt idx="92">
                  <c:v>2.0390522566444025</c:v>
                </c:pt>
                <c:pt idx="93">
                  <c:v>2.0390522566444025</c:v>
                </c:pt>
                <c:pt idx="94">
                  <c:v>2.0390522566444025</c:v>
                </c:pt>
                <c:pt idx="95">
                  <c:v>2.0390522566444025</c:v>
                </c:pt>
                <c:pt idx="96">
                  <c:v>2.0390522566444025</c:v>
                </c:pt>
                <c:pt idx="97">
                  <c:v>2.0390522566444025</c:v>
                </c:pt>
                <c:pt idx="98">
                  <c:v>2.0390522566444025</c:v>
                </c:pt>
                <c:pt idx="99">
                  <c:v>2.0390522566444025</c:v>
                </c:pt>
                <c:pt idx="100">
                  <c:v>2.0390522566444025</c:v>
                </c:pt>
                <c:pt idx="101">
                  <c:v>2.0390522566444025</c:v>
                </c:pt>
                <c:pt idx="102">
                  <c:v>2.0390522566444025</c:v>
                </c:pt>
                <c:pt idx="103">
                  <c:v>2.0390522566444025</c:v>
                </c:pt>
                <c:pt idx="104">
                  <c:v>2.0390522566444025</c:v>
                </c:pt>
                <c:pt idx="105">
                  <c:v>2.0390522566444025</c:v>
                </c:pt>
                <c:pt idx="106">
                  <c:v>2.0390522566444025</c:v>
                </c:pt>
                <c:pt idx="107">
                  <c:v>2.0390522566444025</c:v>
                </c:pt>
                <c:pt idx="108">
                  <c:v>2.0390522566444025</c:v>
                </c:pt>
                <c:pt idx="109">
                  <c:v>2.0390522566444025</c:v>
                </c:pt>
                <c:pt idx="110">
                  <c:v>2.0390522566444025</c:v>
                </c:pt>
                <c:pt idx="111">
                  <c:v>2.0390522566444025</c:v>
                </c:pt>
                <c:pt idx="112">
                  <c:v>2.0390522566444025</c:v>
                </c:pt>
                <c:pt idx="113">
                  <c:v>2.0390522566444025</c:v>
                </c:pt>
                <c:pt idx="114">
                  <c:v>2.0390522566444025</c:v>
                </c:pt>
                <c:pt idx="115">
                  <c:v>2.0390522566444025</c:v>
                </c:pt>
                <c:pt idx="116">
                  <c:v>2.0390522566444025</c:v>
                </c:pt>
                <c:pt idx="117">
                  <c:v>2.0390522566444025</c:v>
                </c:pt>
                <c:pt idx="118">
                  <c:v>2.0390522566444025</c:v>
                </c:pt>
                <c:pt idx="119">
                  <c:v>2.0390522566444025</c:v>
                </c:pt>
                <c:pt idx="120">
                  <c:v>2.0390522566444025</c:v>
                </c:pt>
                <c:pt idx="121">
                  <c:v>2.0390522566444025</c:v>
                </c:pt>
                <c:pt idx="122">
                  <c:v>2.0390522566444025</c:v>
                </c:pt>
                <c:pt idx="123">
                  <c:v>2.0390522566444025</c:v>
                </c:pt>
                <c:pt idx="124">
                  <c:v>2.0390522566444025</c:v>
                </c:pt>
                <c:pt idx="125">
                  <c:v>2.0390522566444025</c:v>
                </c:pt>
                <c:pt idx="126">
                  <c:v>2.0390522566444025</c:v>
                </c:pt>
                <c:pt idx="127">
                  <c:v>2.0390522566444025</c:v>
                </c:pt>
                <c:pt idx="128">
                  <c:v>2.0390522566444025</c:v>
                </c:pt>
                <c:pt idx="129">
                  <c:v>2.0390522566444025</c:v>
                </c:pt>
                <c:pt idx="130">
                  <c:v>2.0390522566444025</c:v>
                </c:pt>
                <c:pt idx="131">
                  <c:v>2.0390522566444025</c:v>
                </c:pt>
                <c:pt idx="132">
                  <c:v>2.0390522566444025</c:v>
                </c:pt>
                <c:pt idx="133">
                  <c:v>2.0390522566444025</c:v>
                </c:pt>
                <c:pt idx="134">
                  <c:v>2.0390522566444025</c:v>
                </c:pt>
                <c:pt idx="135">
                  <c:v>2.0390522566444025</c:v>
                </c:pt>
                <c:pt idx="136">
                  <c:v>2.0390522566444025</c:v>
                </c:pt>
                <c:pt idx="137">
                  <c:v>2.0390522566444025</c:v>
                </c:pt>
                <c:pt idx="138">
                  <c:v>2.0390522566444025</c:v>
                </c:pt>
                <c:pt idx="139">
                  <c:v>2.0390522566444025</c:v>
                </c:pt>
                <c:pt idx="140">
                  <c:v>2.0390522566444025</c:v>
                </c:pt>
                <c:pt idx="141">
                  <c:v>2.0390522566444025</c:v>
                </c:pt>
                <c:pt idx="142">
                  <c:v>2.0390522566444025</c:v>
                </c:pt>
                <c:pt idx="143">
                  <c:v>2.0390522566444025</c:v>
                </c:pt>
                <c:pt idx="144">
                  <c:v>2.0390522566444025</c:v>
                </c:pt>
                <c:pt idx="145">
                  <c:v>2.0390522566444025</c:v>
                </c:pt>
                <c:pt idx="146">
                  <c:v>2.0390522566444025</c:v>
                </c:pt>
                <c:pt idx="147">
                  <c:v>2.0390522566444025</c:v>
                </c:pt>
                <c:pt idx="148">
                  <c:v>2.0390522566444025</c:v>
                </c:pt>
                <c:pt idx="149">
                  <c:v>2.0390522566444025</c:v>
                </c:pt>
                <c:pt idx="150">
                  <c:v>2.0390522566444025</c:v>
                </c:pt>
                <c:pt idx="151">
                  <c:v>2.0390522566444025</c:v>
                </c:pt>
              </c:numCache>
            </c:numRef>
          </c:val>
          <c:smooth val="0"/>
          <c:extLst>
            <c:ext xmlns:c16="http://schemas.microsoft.com/office/drawing/2014/chart" uri="{C3380CC4-5D6E-409C-BE32-E72D297353CC}">
              <c16:uniqueId val="{00000001-3752-4124-8204-8D241F2D088D}"/>
            </c:ext>
          </c:extLst>
        </c:ser>
        <c:ser>
          <c:idx val="2"/>
          <c:order val="2"/>
          <c:tx>
            <c:strRef>
              <c:f>'Chart Data'!$GA$3</c:f>
              <c:strCache>
                <c:ptCount val="1"/>
                <c:pt idx="0">
                  <c:v>2008-2019 average</c:v>
                </c:pt>
              </c:strCache>
            </c:strRef>
          </c:tx>
          <c:spPr>
            <a:ln w="38100">
              <a:solidFill>
                <a:srgbClr val="D1A21E"/>
              </a:solidFill>
            </a:ln>
          </c:spPr>
          <c:marker>
            <c:symbol val="none"/>
          </c:marker>
          <c:cat>
            <c:numRef>
              <c:f>'Chart Data'!$FW$44:$FW$267</c:f>
              <c:numCache>
                <c:formatCode>General</c:formatCode>
                <c:ptCount val="224"/>
                <c:pt idx="0">
                  <c:v>1970</c:v>
                </c:pt>
                <c:pt idx="4">
                  <c:v>1971</c:v>
                </c:pt>
                <c:pt idx="8">
                  <c:v>1972</c:v>
                </c:pt>
                <c:pt idx="12">
                  <c:v>1973</c:v>
                </c:pt>
                <c:pt idx="16">
                  <c:v>1974</c:v>
                </c:pt>
                <c:pt idx="20">
                  <c:v>1975</c:v>
                </c:pt>
                <c:pt idx="24">
                  <c:v>1976</c:v>
                </c:pt>
                <c:pt idx="28">
                  <c:v>1977</c:v>
                </c:pt>
                <c:pt idx="32">
                  <c:v>1978</c:v>
                </c:pt>
                <c:pt idx="36">
                  <c:v>1979</c:v>
                </c:pt>
                <c:pt idx="40">
                  <c:v>1980</c:v>
                </c:pt>
                <c:pt idx="44">
                  <c:v>1981</c:v>
                </c:pt>
                <c:pt idx="48">
                  <c:v>1982</c:v>
                </c:pt>
                <c:pt idx="52">
                  <c:v>1983</c:v>
                </c:pt>
                <c:pt idx="56">
                  <c:v>1984</c:v>
                </c:pt>
                <c:pt idx="60">
                  <c:v>1985</c:v>
                </c:pt>
                <c:pt idx="64">
                  <c:v>1986</c:v>
                </c:pt>
                <c:pt idx="68">
                  <c:v>1987</c:v>
                </c:pt>
                <c:pt idx="72">
                  <c:v>1988</c:v>
                </c:pt>
                <c:pt idx="76">
                  <c:v>1989</c:v>
                </c:pt>
                <c:pt idx="80">
                  <c:v>1990</c:v>
                </c:pt>
                <c:pt idx="84">
                  <c:v>1991</c:v>
                </c:pt>
                <c:pt idx="88">
                  <c:v>1992</c:v>
                </c:pt>
                <c:pt idx="92">
                  <c:v>1993</c:v>
                </c:pt>
                <c:pt idx="96">
                  <c:v>1994</c:v>
                </c:pt>
                <c:pt idx="100">
                  <c:v>1995</c:v>
                </c:pt>
                <c:pt idx="104">
                  <c:v>1996</c:v>
                </c:pt>
                <c:pt idx="108">
                  <c:v>1997</c:v>
                </c:pt>
                <c:pt idx="112">
                  <c:v>1998</c:v>
                </c:pt>
                <c:pt idx="116">
                  <c:v>1999</c:v>
                </c:pt>
                <c:pt idx="120">
                  <c:v>2000</c:v>
                </c:pt>
                <c:pt idx="124">
                  <c:v>2001</c:v>
                </c:pt>
                <c:pt idx="128">
                  <c:v>2002</c:v>
                </c:pt>
                <c:pt idx="132">
                  <c:v>2003</c:v>
                </c:pt>
                <c:pt idx="136">
                  <c:v>2004</c:v>
                </c:pt>
                <c:pt idx="140">
                  <c:v>2005</c:v>
                </c:pt>
                <c:pt idx="144">
                  <c:v>2006</c:v>
                </c:pt>
                <c:pt idx="148">
                  <c:v>2007</c:v>
                </c:pt>
                <c:pt idx="152">
                  <c:v>2008</c:v>
                </c:pt>
                <c:pt idx="156">
                  <c:v>2009</c:v>
                </c:pt>
                <c:pt idx="160">
                  <c:v>2010</c:v>
                </c:pt>
                <c:pt idx="164">
                  <c:v>2011</c:v>
                </c:pt>
                <c:pt idx="168">
                  <c:v>2012</c:v>
                </c:pt>
                <c:pt idx="172">
                  <c:v>2013</c:v>
                </c:pt>
                <c:pt idx="176">
                  <c:v>2014</c:v>
                </c:pt>
                <c:pt idx="180">
                  <c:v>2015</c:v>
                </c:pt>
                <c:pt idx="184">
                  <c:v>2016</c:v>
                </c:pt>
                <c:pt idx="188">
                  <c:v>2017</c:v>
                </c:pt>
                <c:pt idx="192">
                  <c:v>2018</c:v>
                </c:pt>
                <c:pt idx="196">
                  <c:v>2019</c:v>
                </c:pt>
                <c:pt idx="200">
                  <c:v>2020</c:v>
                </c:pt>
                <c:pt idx="204">
                  <c:v>2021</c:v>
                </c:pt>
                <c:pt idx="208">
                  <c:v>2022</c:v>
                </c:pt>
                <c:pt idx="212">
                  <c:v>2023</c:v>
                </c:pt>
                <c:pt idx="216">
                  <c:v>2024</c:v>
                </c:pt>
                <c:pt idx="220">
                  <c:v>2025</c:v>
                </c:pt>
              </c:numCache>
            </c:numRef>
          </c:cat>
          <c:val>
            <c:numRef>
              <c:f>'Chart Data'!$GA$44:$GA$267</c:f>
              <c:numCache>
                <c:formatCode>General</c:formatCode>
                <c:ptCount val="224"/>
                <c:pt idx="152" formatCode="0.0">
                  <c:v>0.33872018568785744</c:v>
                </c:pt>
                <c:pt idx="153" formatCode="0.0">
                  <c:v>0.33872018568785744</c:v>
                </c:pt>
                <c:pt idx="154" formatCode="0.0">
                  <c:v>0.33872018568785744</c:v>
                </c:pt>
                <c:pt idx="155" formatCode="0.0">
                  <c:v>0.33872018568785744</c:v>
                </c:pt>
                <c:pt idx="156" formatCode="0.0">
                  <c:v>0.33872018568785744</c:v>
                </c:pt>
                <c:pt idx="157" formatCode="0.0">
                  <c:v>0.33872018568785744</c:v>
                </c:pt>
                <c:pt idx="158" formatCode="0.0">
                  <c:v>0.33872018568785744</c:v>
                </c:pt>
                <c:pt idx="159" formatCode="0.0">
                  <c:v>0.33872018568785744</c:v>
                </c:pt>
                <c:pt idx="160" formatCode="0.0">
                  <c:v>0.33872018568785744</c:v>
                </c:pt>
                <c:pt idx="161" formatCode="0.0">
                  <c:v>0.33872018568785744</c:v>
                </c:pt>
                <c:pt idx="162" formatCode="0.0">
                  <c:v>0.33872018568785744</c:v>
                </c:pt>
                <c:pt idx="163" formatCode="0.0">
                  <c:v>0.33872018568785744</c:v>
                </c:pt>
                <c:pt idx="164" formatCode="0.0">
                  <c:v>0.33872018568785744</c:v>
                </c:pt>
                <c:pt idx="165" formatCode="0.0">
                  <c:v>0.33872018568785744</c:v>
                </c:pt>
                <c:pt idx="166" formatCode="0.0">
                  <c:v>0.33872018568785744</c:v>
                </c:pt>
                <c:pt idx="167" formatCode="0.0">
                  <c:v>0.33872018568785744</c:v>
                </c:pt>
                <c:pt idx="168" formatCode="0.0">
                  <c:v>0.33872018568785744</c:v>
                </c:pt>
                <c:pt idx="169" formatCode="0.0">
                  <c:v>0.33872018568785744</c:v>
                </c:pt>
                <c:pt idx="170" formatCode="0.0">
                  <c:v>0.33872018568785744</c:v>
                </c:pt>
                <c:pt idx="171" formatCode="0.0">
                  <c:v>0.33872018568785744</c:v>
                </c:pt>
                <c:pt idx="172" formatCode="0.0">
                  <c:v>0.33872018568785744</c:v>
                </c:pt>
                <c:pt idx="173" formatCode="0.0">
                  <c:v>0.33872018568785744</c:v>
                </c:pt>
                <c:pt idx="174" formatCode="0.0">
                  <c:v>0.33872018568785744</c:v>
                </c:pt>
                <c:pt idx="175" formatCode="0.0">
                  <c:v>0.33872018568785744</c:v>
                </c:pt>
                <c:pt idx="176" formatCode="0.0">
                  <c:v>0.33872018568785744</c:v>
                </c:pt>
                <c:pt idx="177" formatCode="0.0">
                  <c:v>0.33872018568785744</c:v>
                </c:pt>
                <c:pt idx="178" formatCode="0.0">
                  <c:v>0.33872018568785744</c:v>
                </c:pt>
                <c:pt idx="179" formatCode="0.0">
                  <c:v>0.33872018568785744</c:v>
                </c:pt>
                <c:pt idx="180" formatCode="0.0">
                  <c:v>0.33872018568785744</c:v>
                </c:pt>
                <c:pt idx="181" formatCode="0.0">
                  <c:v>0.33872018568785744</c:v>
                </c:pt>
                <c:pt idx="182" formatCode="0.0">
                  <c:v>0.33872018568785744</c:v>
                </c:pt>
                <c:pt idx="183" formatCode="0.0">
                  <c:v>0.33872018568785744</c:v>
                </c:pt>
                <c:pt idx="184" formatCode="0.0">
                  <c:v>0.33872018568785744</c:v>
                </c:pt>
                <c:pt idx="185" formatCode="0.0">
                  <c:v>0.33872018568785744</c:v>
                </c:pt>
                <c:pt idx="186" formatCode="0.0">
                  <c:v>0.33872018568785744</c:v>
                </c:pt>
                <c:pt idx="187" formatCode="0.0">
                  <c:v>0.33872018568785744</c:v>
                </c:pt>
                <c:pt idx="188" formatCode="0.0">
                  <c:v>0.33872018568785744</c:v>
                </c:pt>
                <c:pt idx="189" formatCode="0.0">
                  <c:v>0.33872018568785744</c:v>
                </c:pt>
                <c:pt idx="190" formatCode="0.0">
                  <c:v>0.33872018568785744</c:v>
                </c:pt>
                <c:pt idx="191" formatCode="0.0">
                  <c:v>0.33872018568785744</c:v>
                </c:pt>
                <c:pt idx="192" formatCode="0.0">
                  <c:v>0.33872018568785744</c:v>
                </c:pt>
                <c:pt idx="193" formatCode="0.0">
                  <c:v>0.33872018568785744</c:v>
                </c:pt>
                <c:pt idx="194" formatCode="0.0">
                  <c:v>0.33872018568785744</c:v>
                </c:pt>
                <c:pt idx="195" formatCode="0.0">
                  <c:v>0.33872018568785744</c:v>
                </c:pt>
                <c:pt idx="196" formatCode="0.0">
                  <c:v>0.33872018568785744</c:v>
                </c:pt>
                <c:pt idx="197" formatCode="0.0">
                  <c:v>0.33872018568785744</c:v>
                </c:pt>
                <c:pt idx="198" formatCode="0.0">
                  <c:v>0.33872018568785744</c:v>
                </c:pt>
                <c:pt idx="199" formatCode="0.0">
                  <c:v>0.33872018568785744</c:v>
                </c:pt>
                <c:pt idx="200" formatCode="0.0">
                  <c:v>0.33872018568785744</c:v>
                </c:pt>
                <c:pt idx="201" formatCode="0.0">
                  <c:v>0.33872018568785744</c:v>
                </c:pt>
                <c:pt idx="202" formatCode="0.0">
                  <c:v>0.33872018568785744</c:v>
                </c:pt>
                <c:pt idx="203" formatCode="0.0">
                  <c:v>0.33872018568785744</c:v>
                </c:pt>
                <c:pt idx="204" formatCode="0.0">
                  <c:v>0.33872018568785744</c:v>
                </c:pt>
                <c:pt idx="205" formatCode="0.0">
                  <c:v>0.33872018568785744</c:v>
                </c:pt>
                <c:pt idx="206" formatCode="0.0">
                  <c:v>0.33872018568785744</c:v>
                </c:pt>
                <c:pt idx="207" formatCode="0.0">
                  <c:v>0.33872018568785744</c:v>
                </c:pt>
                <c:pt idx="208" formatCode="0.0">
                  <c:v>0.33872018568785744</c:v>
                </c:pt>
                <c:pt idx="209" formatCode="0.0">
                  <c:v>0.33872018568785744</c:v>
                </c:pt>
                <c:pt idx="210" formatCode="0.0">
                  <c:v>0.33872018568785744</c:v>
                </c:pt>
                <c:pt idx="211" formatCode="0.0">
                  <c:v>0.33872018568785744</c:v>
                </c:pt>
                <c:pt idx="212" formatCode="0.0">
                  <c:v>0.33872018568785744</c:v>
                </c:pt>
                <c:pt idx="213" formatCode="0.0">
                  <c:v>0.33872018568785744</c:v>
                </c:pt>
                <c:pt idx="214" formatCode="0.0">
                  <c:v>0.33872018568785744</c:v>
                </c:pt>
              </c:numCache>
            </c:numRef>
          </c:val>
          <c:smooth val="0"/>
          <c:extLst>
            <c:ext xmlns:c16="http://schemas.microsoft.com/office/drawing/2014/chart" uri="{C3380CC4-5D6E-409C-BE32-E72D297353CC}">
              <c16:uniqueId val="{00000002-3752-4124-8204-8D241F2D088D}"/>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0"/>
        <c:auto val="0"/>
        <c:lblAlgn val="ctr"/>
        <c:lblOffset val="100"/>
        <c:tickLblSkip val="20"/>
        <c:tickMarkSkip val="4"/>
        <c:noMultiLvlLbl val="0"/>
      </c:catAx>
      <c:valAx>
        <c:axId val="263608576"/>
        <c:scaling>
          <c:orientation val="minMax"/>
          <c:min val="-0.5"/>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r"/>
      <c:layout>
        <c:manualLayout>
          <c:xMode val="edge"/>
          <c:yMode val="edge"/>
          <c:x val="0.30485816391595116"/>
          <c:y val="0.11556512234837499"/>
          <c:w val="0.48723223156427481"/>
          <c:h val="0.1758574795714275"/>
        </c:manualLayout>
      </c:layout>
      <c:overlay val="0"/>
      <c:txPr>
        <a:bodyPr/>
        <a:lstStyle/>
        <a:p>
          <a:pPr>
            <a:defRPr sz="1800">
              <a:solidFill>
                <a:srgbClr val="495057"/>
              </a:solidFill>
              <a:latin typeface="Segoe UI" panose="020B0502040204020203" pitchFamily="34" charset="0"/>
              <a:cs typeface="Segoe UI" panose="020B0502040204020203" pitchFamily="34" charset="0"/>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0"/>
          <c:y val="0.12464589235127478"/>
          <c:w val="1"/>
          <c:h val="0.80830972615675167"/>
        </c:manualLayout>
      </c:layout>
      <c:barChart>
        <c:barDir val="col"/>
        <c:grouping val="stacked"/>
        <c:varyColors val="0"/>
        <c:ser>
          <c:idx val="2"/>
          <c:order val="0"/>
          <c:tx>
            <c:strRef>
              <c:f>'Chart Data'!$B$87</c:f>
              <c:strCache>
                <c:ptCount val="1"/>
                <c:pt idx="0">
                  <c:v>Labour supply</c:v>
                </c:pt>
              </c:strCache>
            </c:strRef>
          </c:tx>
          <c:spPr>
            <a:solidFill>
              <a:srgbClr val="BD1B21"/>
            </a:solidFill>
            <a:ln w="6350">
              <a:solidFill>
                <a:srgbClr val="495057">
                  <a:lumMod val="100000"/>
                </a:srgbClr>
              </a:solidFill>
            </a:ln>
            <a:effectLst/>
          </c:spPr>
          <c:invertIfNegative val="0"/>
          <c:cat>
            <c:strRef>
              <c:f>'Chart Data'!$A$88:$A$94</c:f>
              <c:strCache>
                <c:ptCount val="7"/>
                <c:pt idx="0">
                  <c:v>1990s</c:v>
                </c:pt>
                <c:pt idx="1">
                  <c:v>2000s</c:v>
                </c:pt>
                <c:pt idx="2">
                  <c:v>2010s</c:v>
                </c:pt>
                <c:pt idx="3">
                  <c:v>2020s</c:v>
                </c:pt>
                <c:pt idx="4">
                  <c:v>2030s</c:v>
                </c:pt>
                <c:pt idx="5">
                  <c:v>2040s</c:v>
                </c:pt>
                <c:pt idx="6">
                  <c:v>2050s</c:v>
                </c:pt>
              </c:strCache>
            </c:strRef>
          </c:cat>
          <c:val>
            <c:numRef>
              <c:f>'Chart Data'!$B$88:$B$94</c:f>
              <c:numCache>
                <c:formatCode>0.0</c:formatCode>
                <c:ptCount val="7"/>
                <c:pt idx="0">
                  <c:v>0.1082410754313301</c:v>
                </c:pt>
                <c:pt idx="1">
                  <c:v>0.35329699284347371</c:v>
                </c:pt>
                <c:pt idx="2" formatCode="0.00">
                  <c:v>0.68323710943795302</c:v>
                </c:pt>
                <c:pt idx="3" formatCode="0.00">
                  <c:v>0.47474943931739566</c:v>
                </c:pt>
                <c:pt idx="4" formatCode="0.00">
                  <c:v>0.3440375315217381</c:v>
                </c:pt>
                <c:pt idx="5" formatCode="0.00">
                  <c:v>0.22341266921185654</c:v>
                </c:pt>
                <c:pt idx="6" formatCode="0.00">
                  <c:v>3.8007509662800754E-2</c:v>
                </c:pt>
              </c:numCache>
            </c:numRef>
          </c:val>
          <c:extLst>
            <c:ext xmlns:c16="http://schemas.microsoft.com/office/drawing/2014/chart" uri="{C3380CC4-5D6E-409C-BE32-E72D297353CC}">
              <c16:uniqueId val="{00000000-7039-435C-B954-316B6C43BDAB}"/>
            </c:ext>
          </c:extLst>
        </c:ser>
        <c:ser>
          <c:idx val="0"/>
          <c:order val="1"/>
          <c:tx>
            <c:strRef>
              <c:f>'Chart Data'!$C$87</c:f>
              <c:strCache>
                <c:ptCount val="1"/>
                <c:pt idx="0">
                  <c:v>Human capital</c:v>
                </c:pt>
              </c:strCache>
            </c:strRef>
          </c:tx>
          <c:spPr>
            <a:solidFill>
              <a:srgbClr val="002060"/>
            </a:solidFill>
            <a:ln w="6350">
              <a:solidFill>
                <a:srgbClr val="495057"/>
              </a:solidFill>
            </a:ln>
            <a:effectLst/>
          </c:spPr>
          <c:invertIfNegative val="0"/>
          <c:cat>
            <c:strRef>
              <c:f>'Chart Data'!$A$88:$A$94</c:f>
              <c:strCache>
                <c:ptCount val="7"/>
                <c:pt idx="0">
                  <c:v>1990s</c:v>
                </c:pt>
                <c:pt idx="1">
                  <c:v>2000s</c:v>
                </c:pt>
                <c:pt idx="2">
                  <c:v>2010s</c:v>
                </c:pt>
                <c:pt idx="3">
                  <c:v>2020s</c:v>
                </c:pt>
                <c:pt idx="4">
                  <c:v>2030s</c:v>
                </c:pt>
                <c:pt idx="5">
                  <c:v>2040s</c:v>
                </c:pt>
                <c:pt idx="6">
                  <c:v>2050s</c:v>
                </c:pt>
              </c:strCache>
            </c:strRef>
          </c:cat>
          <c:val>
            <c:numRef>
              <c:f>'Chart Data'!$C$88:$C$94</c:f>
              <c:numCache>
                <c:formatCode>0.0</c:formatCode>
                <c:ptCount val="7"/>
                <c:pt idx="0">
                  <c:v>0.21475281346542863</c:v>
                </c:pt>
                <c:pt idx="1">
                  <c:v>0.69157834863030399</c:v>
                </c:pt>
                <c:pt idx="2" formatCode="0.00">
                  <c:v>0.2377410186510609</c:v>
                </c:pt>
                <c:pt idx="3" formatCode="0.00">
                  <c:v>0.18816966205058794</c:v>
                </c:pt>
                <c:pt idx="4" formatCode="0.00">
                  <c:v>0.12102743519389669</c:v>
                </c:pt>
                <c:pt idx="5" formatCode="0.00">
                  <c:v>7.8046766796420197E-2</c:v>
                </c:pt>
                <c:pt idx="6" formatCode="0.00">
                  <c:v>6.5024595578400124E-2</c:v>
                </c:pt>
              </c:numCache>
            </c:numRef>
          </c:val>
          <c:extLst>
            <c:ext xmlns:c16="http://schemas.microsoft.com/office/drawing/2014/chart" uri="{C3380CC4-5D6E-409C-BE32-E72D297353CC}">
              <c16:uniqueId val="{00000006-7039-435C-B954-316B6C43BDAB}"/>
            </c:ext>
          </c:extLst>
        </c:ser>
        <c:ser>
          <c:idx val="1"/>
          <c:order val="2"/>
          <c:tx>
            <c:strRef>
              <c:f>'Chart Data'!$D$87</c:f>
              <c:strCache>
                <c:ptCount val="1"/>
                <c:pt idx="0">
                  <c:v>Capital stock</c:v>
                </c:pt>
              </c:strCache>
            </c:strRef>
          </c:tx>
          <c:spPr>
            <a:solidFill>
              <a:srgbClr val="D1A21E"/>
            </a:solidFill>
            <a:ln w="6350">
              <a:solidFill>
                <a:srgbClr val="495057"/>
              </a:solidFill>
            </a:ln>
            <a:effectLst/>
          </c:spPr>
          <c:invertIfNegative val="0"/>
          <c:cat>
            <c:strRef>
              <c:f>'Chart Data'!$A$88:$A$94</c:f>
              <c:strCache>
                <c:ptCount val="7"/>
                <c:pt idx="0">
                  <c:v>1990s</c:v>
                </c:pt>
                <c:pt idx="1">
                  <c:v>2000s</c:v>
                </c:pt>
                <c:pt idx="2">
                  <c:v>2010s</c:v>
                </c:pt>
                <c:pt idx="3">
                  <c:v>2020s</c:v>
                </c:pt>
                <c:pt idx="4">
                  <c:v>2030s</c:v>
                </c:pt>
                <c:pt idx="5">
                  <c:v>2040s</c:v>
                </c:pt>
                <c:pt idx="6">
                  <c:v>2050s</c:v>
                </c:pt>
              </c:strCache>
            </c:strRef>
          </c:cat>
          <c:val>
            <c:numRef>
              <c:f>'Chart Data'!$D$88:$D$94</c:f>
              <c:numCache>
                <c:formatCode>0.0</c:formatCode>
                <c:ptCount val="7"/>
                <c:pt idx="0">
                  <c:v>0.95672637115339787</c:v>
                </c:pt>
                <c:pt idx="1">
                  <c:v>0.78568476548435018</c:v>
                </c:pt>
                <c:pt idx="2" formatCode="0.00">
                  <c:v>0.65731660609425591</c:v>
                </c:pt>
                <c:pt idx="3" formatCode="0.00">
                  <c:v>0.57304120021949068</c:v>
                </c:pt>
                <c:pt idx="4" formatCode="0.00">
                  <c:v>0.58763807640634602</c:v>
                </c:pt>
                <c:pt idx="5" formatCode="0.00">
                  <c:v>0.68797757608995536</c:v>
                </c:pt>
                <c:pt idx="6" formatCode="0.00">
                  <c:v>0.64331952093017786</c:v>
                </c:pt>
              </c:numCache>
            </c:numRef>
          </c:val>
          <c:extLst>
            <c:ext xmlns:c16="http://schemas.microsoft.com/office/drawing/2014/chart" uri="{C3380CC4-5D6E-409C-BE32-E72D297353CC}">
              <c16:uniqueId val="{00000001-7039-435C-B954-316B6C43BDAB}"/>
            </c:ext>
          </c:extLst>
        </c:ser>
        <c:ser>
          <c:idx val="3"/>
          <c:order val="3"/>
          <c:tx>
            <c:strRef>
              <c:f>'Chart Data'!$E$87</c:f>
              <c:strCache>
                <c:ptCount val="1"/>
                <c:pt idx="0">
                  <c:v>Total factor productivity</c:v>
                </c:pt>
              </c:strCache>
            </c:strRef>
          </c:tx>
          <c:spPr>
            <a:solidFill>
              <a:srgbClr val="7B7C77"/>
            </a:solidFill>
            <a:ln w="6350">
              <a:solidFill>
                <a:srgbClr val="495057"/>
              </a:solidFill>
            </a:ln>
            <a:effectLst/>
          </c:spPr>
          <c:invertIfNegative val="0"/>
          <c:cat>
            <c:strRef>
              <c:f>'Chart Data'!$A$88:$A$94</c:f>
              <c:strCache>
                <c:ptCount val="7"/>
                <c:pt idx="0">
                  <c:v>1990s</c:v>
                </c:pt>
                <c:pt idx="1">
                  <c:v>2000s</c:v>
                </c:pt>
                <c:pt idx="2">
                  <c:v>2010s</c:v>
                </c:pt>
                <c:pt idx="3">
                  <c:v>2020s</c:v>
                </c:pt>
                <c:pt idx="4">
                  <c:v>2030s</c:v>
                </c:pt>
                <c:pt idx="5">
                  <c:v>2040s</c:v>
                </c:pt>
                <c:pt idx="6">
                  <c:v>2050s</c:v>
                </c:pt>
              </c:strCache>
            </c:strRef>
          </c:cat>
          <c:val>
            <c:numRef>
              <c:f>'Chart Data'!$E$88:$E$94</c:f>
              <c:numCache>
                <c:formatCode>0.0</c:formatCode>
                <c:ptCount val="7"/>
                <c:pt idx="0">
                  <c:v>1.0122259980944825</c:v>
                </c:pt>
                <c:pt idx="1">
                  <c:v>0.46726974901085239</c:v>
                </c:pt>
                <c:pt idx="2" formatCode="0.00">
                  <c:v>-8.3575604634942291E-2</c:v>
                </c:pt>
                <c:pt idx="3" formatCode="0.00">
                  <c:v>-8.0017578403340783E-2</c:v>
                </c:pt>
                <c:pt idx="4" formatCode="0.00">
                  <c:v>0.38365613042318447</c:v>
                </c:pt>
                <c:pt idx="5" formatCode="0.00">
                  <c:v>0.49114215939567996</c:v>
                </c:pt>
                <c:pt idx="6" formatCode="0.00">
                  <c:v>0.48051773026143496</c:v>
                </c:pt>
              </c:numCache>
            </c:numRef>
          </c:val>
          <c:extLst>
            <c:ext xmlns:c16="http://schemas.microsoft.com/office/drawing/2014/chart" uri="{C3380CC4-5D6E-409C-BE32-E72D297353CC}">
              <c16:uniqueId val="{00000002-7039-435C-B954-316B6C43BDAB}"/>
            </c:ext>
          </c:extLst>
        </c:ser>
        <c:dLbls>
          <c:showLegendKey val="0"/>
          <c:showVal val="0"/>
          <c:showCatName val="0"/>
          <c:showSerName val="0"/>
          <c:showPercent val="0"/>
          <c:showBubbleSize val="0"/>
        </c:dLbls>
        <c:gapWidth val="50"/>
        <c:overlap val="100"/>
        <c:axId val="252560128"/>
        <c:axId val="252525184"/>
      </c:barChart>
      <c:lineChart>
        <c:grouping val="standard"/>
        <c:varyColors val="0"/>
        <c:ser>
          <c:idx val="4"/>
          <c:order val="4"/>
          <c:tx>
            <c:strRef>
              <c:f>'Chart Data'!$F$87</c:f>
              <c:strCache>
                <c:ptCount val="1"/>
                <c:pt idx="0">
                  <c:v>Potential output</c:v>
                </c:pt>
              </c:strCache>
            </c:strRef>
          </c:tx>
          <c:spPr>
            <a:ln>
              <a:noFill/>
            </a:ln>
            <a:effectLst/>
          </c:spPr>
          <c:marker>
            <c:symbol val="diamond"/>
            <c:size val="12"/>
            <c:spPr>
              <a:solidFill>
                <a:srgbClr val="EEECE1"/>
              </a:solidFill>
              <a:ln w="6350">
                <a:solidFill>
                  <a:srgbClr val="495057"/>
                </a:solidFill>
              </a:ln>
              <a:effectLst/>
            </c:spPr>
          </c:marker>
          <c:cat>
            <c:strRef>
              <c:f>'Chart Data'!$A$88:$A$94</c:f>
              <c:strCache>
                <c:ptCount val="7"/>
                <c:pt idx="0">
                  <c:v>1990s</c:v>
                </c:pt>
                <c:pt idx="1">
                  <c:v>2000s</c:v>
                </c:pt>
                <c:pt idx="2">
                  <c:v>2010s</c:v>
                </c:pt>
                <c:pt idx="3">
                  <c:v>2020s</c:v>
                </c:pt>
                <c:pt idx="4">
                  <c:v>2030s</c:v>
                </c:pt>
                <c:pt idx="5">
                  <c:v>2040s</c:v>
                </c:pt>
                <c:pt idx="6">
                  <c:v>2050s</c:v>
                </c:pt>
              </c:strCache>
            </c:strRef>
          </c:cat>
          <c:val>
            <c:numRef>
              <c:f>'Chart Data'!$F$88:$F$94</c:f>
              <c:numCache>
                <c:formatCode>0.0</c:formatCode>
                <c:ptCount val="7"/>
                <c:pt idx="0">
                  <c:v>2.2919462581446393</c:v>
                </c:pt>
                <c:pt idx="1">
                  <c:v>2.2978298559689803</c:v>
                </c:pt>
                <c:pt idx="2" formatCode="0.00">
                  <c:v>1.4947191295483275</c:v>
                </c:pt>
                <c:pt idx="3" formatCode="0.00">
                  <c:v>1.1559427231841335</c:v>
                </c:pt>
                <c:pt idx="4" formatCode="0.00">
                  <c:v>1.4363591735451653</c:v>
                </c:pt>
                <c:pt idx="5" formatCode="0.00">
                  <c:v>1.480579171493912</c:v>
                </c:pt>
                <c:pt idx="6" formatCode="0.00">
                  <c:v>1.2268693564328137</c:v>
                </c:pt>
              </c:numCache>
            </c:numRef>
          </c:val>
          <c:smooth val="0"/>
          <c:extLst>
            <c:ext xmlns:c16="http://schemas.microsoft.com/office/drawing/2014/chart" uri="{C3380CC4-5D6E-409C-BE32-E72D297353CC}">
              <c16:uniqueId val="{00000003-7039-435C-B954-316B6C43BDAB}"/>
            </c:ext>
          </c:extLst>
        </c:ser>
        <c:dLbls>
          <c:showLegendKey val="0"/>
          <c:showVal val="0"/>
          <c:showCatName val="0"/>
          <c:showSerName val="0"/>
          <c:showPercent val="0"/>
          <c:showBubbleSize val="0"/>
        </c:dLbls>
        <c:marker val="1"/>
        <c:smooth val="0"/>
        <c:axId val="252560128"/>
        <c:axId val="252525184"/>
      </c:lineChart>
      <c:valAx>
        <c:axId val="252525184"/>
        <c:scaling>
          <c:orientation val="minMax"/>
        </c:scaling>
        <c:delete val="0"/>
        <c:axPos val="l"/>
        <c:majorGridlines>
          <c:spPr>
            <a:ln w="6350">
              <a:noFill/>
            </a:ln>
          </c:spPr>
        </c:majorGridlines>
        <c:numFmt formatCode="#,##0.0" sourceLinked="0"/>
        <c:majorTickMark val="out"/>
        <c:minorTickMark val="none"/>
        <c:tickLblPos val="nextTo"/>
        <c:spPr>
          <a:ln w="9525">
            <a:solidFill>
              <a:srgbClr val="495057"/>
            </a:solidFill>
          </a:ln>
        </c:spPr>
        <c:txPr>
          <a:bodyPr/>
          <a:lstStyle/>
          <a:p>
            <a:pPr>
              <a:defRPr sz="1800">
                <a:solidFill>
                  <a:srgbClr val="495057"/>
                </a:solidFill>
                <a:latin typeface="Segoe UI"/>
                <a:ea typeface="Segoe UI"/>
                <a:cs typeface="Segoe UI"/>
              </a:defRPr>
            </a:pPr>
            <a:endParaRPr lang="en-US"/>
          </a:p>
        </c:txPr>
        <c:crossAx val="252560128"/>
        <c:crosses val="autoZero"/>
        <c:crossBetween val="between"/>
      </c:valAx>
      <c:catAx>
        <c:axId val="252560128"/>
        <c:scaling>
          <c:orientation val="minMax"/>
        </c:scaling>
        <c:delete val="0"/>
        <c:axPos val="b"/>
        <c:numFmt formatCode="General" sourceLinked="0"/>
        <c:majorTickMark val="out"/>
        <c:minorTickMark val="none"/>
        <c:tickLblPos val="low"/>
        <c:spPr>
          <a:ln>
            <a:solidFill>
              <a:srgbClr val="495057"/>
            </a:solidFill>
          </a:ln>
        </c:spPr>
        <c:txPr>
          <a:bodyPr/>
          <a:lstStyle/>
          <a:p>
            <a:pPr>
              <a:defRPr sz="1800">
                <a:solidFill>
                  <a:srgbClr val="495057"/>
                </a:solidFill>
                <a:latin typeface="Segoe UI"/>
                <a:ea typeface="Segoe UI"/>
                <a:cs typeface="Segoe UI"/>
              </a:defRPr>
            </a:pPr>
            <a:endParaRPr lang="en-US"/>
          </a:p>
        </c:txPr>
        <c:crossAx val="252525184"/>
        <c:crosses val="autoZero"/>
        <c:auto val="0"/>
        <c:lblAlgn val="ctr"/>
        <c:lblOffset val="100"/>
        <c:noMultiLvlLbl val="0"/>
      </c:catAx>
      <c:spPr>
        <a:noFill/>
      </c:spPr>
    </c:plotArea>
    <c:legend>
      <c:legendPos val="t"/>
      <c:layout>
        <c:manualLayout>
          <c:xMode val="edge"/>
          <c:yMode val="edge"/>
          <c:x val="0.60866313744680223"/>
          <c:y val="1.7773713130051379E-2"/>
          <c:w val="0.35617408840844045"/>
          <c:h val="0.30144765898596959"/>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a:noFill/>
    </a:ln>
    <a:effectLst/>
  </c:spPr>
  <c:txPr>
    <a:bodyPr/>
    <a:lstStyle/>
    <a:p>
      <a:pPr>
        <a:defRPr sz="900">
          <a:latin typeface="Arial" panose="020B0604020202020204" pitchFamily="34" charset="0"/>
          <a:cs typeface="Arial" panose="020B0604020202020204" pitchFamily="34" charset="0"/>
        </a:defRPr>
      </a:pPr>
      <a:endParaRPr lang="en-US"/>
    </a:p>
  </c:txPr>
  <c:userShapes r:id="rId2"/>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1450242448507501E-2"/>
          <c:y val="0.14725688325786473"/>
          <c:w val="0.82452327357385413"/>
          <c:h val="0.71318700601518292"/>
        </c:manualLayout>
      </c:layout>
      <c:lineChart>
        <c:grouping val="standard"/>
        <c:varyColors val="0"/>
        <c:ser>
          <c:idx val="0"/>
          <c:order val="0"/>
          <c:tx>
            <c:strRef>
              <c:f>'Chart Data'!$HA$3</c:f>
              <c:strCache>
                <c:ptCount val="1"/>
                <c:pt idx="0">
                  <c:v>OE</c:v>
                </c:pt>
              </c:strCache>
            </c:strRef>
          </c:tx>
          <c:spPr>
            <a:ln w="38100">
              <a:solidFill>
                <a:srgbClr val="BD1B21"/>
              </a:solidFill>
            </a:ln>
          </c:spPr>
          <c:marker>
            <c:symbol val="none"/>
          </c:marker>
          <c:cat>
            <c:numRef>
              <c:f>'Chart Data'!$GZ$4:$GZ$49</c:f>
              <c:numCache>
                <c:formatCode>General</c:formatCode>
                <c:ptCount val="4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pt idx="36">
                  <c:v>2051</c:v>
                </c:pt>
                <c:pt idx="37">
                  <c:v>2052</c:v>
                </c:pt>
                <c:pt idx="38">
                  <c:v>2053</c:v>
                </c:pt>
                <c:pt idx="39">
                  <c:v>2054</c:v>
                </c:pt>
                <c:pt idx="40">
                  <c:v>2055</c:v>
                </c:pt>
                <c:pt idx="41">
                  <c:v>2056</c:v>
                </c:pt>
                <c:pt idx="42">
                  <c:v>2057</c:v>
                </c:pt>
                <c:pt idx="43">
                  <c:v>2058</c:v>
                </c:pt>
                <c:pt idx="44">
                  <c:v>2059</c:v>
                </c:pt>
                <c:pt idx="45">
                  <c:v>2060</c:v>
                </c:pt>
              </c:numCache>
            </c:numRef>
          </c:cat>
          <c:val>
            <c:numRef>
              <c:f>'Chart Data'!$HA$4:$HA$49</c:f>
              <c:numCache>
                <c:formatCode>0.0</c:formatCode>
                <c:ptCount val="46"/>
                <c:pt idx="0">
                  <c:v>89.717836582412971</c:v>
                </c:pt>
                <c:pt idx="1">
                  <c:v>91.69747878396781</c:v>
                </c:pt>
                <c:pt idx="2">
                  <c:v>94.469697300015554</c:v>
                </c:pt>
                <c:pt idx="3">
                  <c:v>95.935234964195445</c:v>
                </c:pt>
                <c:pt idx="4">
                  <c:v>97.140468373251011</c:v>
                </c:pt>
                <c:pt idx="5">
                  <c:v>87.379894512100293</c:v>
                </c:pt>
                <c:pt idx="6">
                  <c:v>94.84485662918344</c:v>
                </c:pt>
                <c:pt idx="7">
                  <c:v>99.729085912031394</c:v>
                </c:pt>
                <c:pt idx="8">
                  <c:v>100</c:v>
                </c:pt>
                <c:pt idx="9">
                  <c:v>101.08812556228482</c:v>
                </c:pt>
                <c:pt idx="10">
                  <c:v>102.48429962749313</c:v>
                </c:pt>
                <c:pt idx="11">
                  <c:v>103.37763301896253</c:v>
                </c:pt>
                <c:pt idx="12">
                  <c:v>104.75981809223578</c:v>
                </c:pt>
                <c:pt idx="13">
                  <c:v>106.26924848955221</c:v>
                </c:pt>
                <c:pt idx="14">
                  <c:v>107.80829194771823</c:v>
                </c:pt>
                <c:pt idx="15">
                  <c:v>109.39646038535493</c:v>
                </c:pt>
                <c:pt idx="16">
                  <c:v>111.05911566316541</c:v>
                </c:pt>
                <c:pt idx="17">
                  <c:v>112.70629221223736</c:v>
                </c:pt>
                <c:pt idx="18">
                  <c:v>114.33620961541536</c:v>
                </c:pt>
                <c:pt idx="19">
                  <c:v>116.02190131111372</c:v>
                </c:pt>
                <c:pt idx="20">
                  <c:v>117.74828825607777</c:v>
                </c:pt>
                <c:pt idx="21">
                  <c:v>119.51965798549796</c:v>
                </c:pt>
                <c:pt idx="22">
                  <c:v>121.32725375377341</c:v>
                </c:pt>
                <c:pt idx="23">
                  <c:v>123.17023985489237</c:v>
                </c:pt>
                <c:pt idx="24">
                  <c:v>125.04832560850299</c:v>
                </c:pt>
                <c:pt idx="25">
                  <c:v>126.9866185300004</c:v>
                </c:pt>
                <c:pt idx="26">
                  <c:v>129.00248677041048</c:v>
                </c:pt>
                <c:pt idx="27">
                  <c:v>131.06889705700678</c:v>
                </c:pt>
                <c:pt idx="28">
                  <c:v>133.12306243377938</c:v>
                </c:pt>
                <c:pt idx="29">
                  <c:v>135.11949142565632</c:v>
                </c:pt>
                <c:pt idx="30">
                  <c:v>137.06236256269614</c:v>
                </c:pt>
                <c:pt idx="31">
                  <c:v>138.99451486175968</c:v>
                </c:pt>
                <c:pt idx="32">
                  <c:v>140.95133865569059</c:v>
                </c:pt>
                <c:pt idx="33">
                  <c:v>142.90071376560408</c:v>
                </c:pt>
                <c:pt idx="34">
                  <c:v>144.84631003094293</c:v>
                </c:pt>
                <c:pt idx="35">
                  <c:v>146.76872453821792</c:v>
                </c:pt>
                <c:pt idx="36">
                  <c:v>148.68350868625561</c:v>
                </c:pt>
                <c:pt idx="37">
                  <c:v>150.58216007476298</c:v>
                </c:pt>
                <c:pt idx="38">
                  <c:v>152.45316049479609</c:v>
                </c:pt>
                <c:pt idx="39">
                  <c:v>154.32430625500515</c:v>
                </c:pt>
                <c:pt idx="40">
                  <c:v>156.18338878061047</c:v>
                </c:pt>
                <c:pt idx="41">
                  <c:v>158.03218848876739</c:v>
                </c:pt>
                <c:pt idx="42">
                  <c:v>159.88749216979804</c:v>
                </c:pt>
                <c:pt idx="43">
                  <c:v>161.75838358469917</c:v>
                </c:pt>
                <c:pt idx="44">
                  <c:v>163.63094641162371</c:v>
                </c:pt>
                <c:pt idx="45">
                  <c:v>165.52145875027799</c:v>
                </c:pt>
              </c:numCache>
            </c:numRef>
          </c:val>
          <c:smooth val="0"/>
          <c:extLst>
            <c:ext xmlns:c16="http://schemas.microsoft.com/office/drawing/2014/chart" uri="{C3380CC4-5D6E-409C-BE32-E72D297353CC}">
              <c16:uniqueId val="{00000000-E850-417B-95DA-4ED900504230}"/>
            </c:ext>
          </c:extLst>
        </c:ser>
        <c:ser>
          <c:idx val="1"/>
          <c:order val="1"/>
          <c:tx>
            <c:strRef>
              <c:f>'Chart Data'!$HB$3</c:f>
              <c:strCache>
                <c:ptCount val="1"/>
                <c:pt idx="0">
                  <c:v>OBR</c:v>
                </c:pt>
              </c:strCache>
            </c:strRef>
          </c:tx>
          <c:spPr>
            <a:ln w="38100">
              <a:solidFill>
                <a:srgbClr val="003469"/>
              </a:solidFill>
            </a:ln>
          </c:spPr>
          <c:marker>
            <c:symbol val="none"/>
          </c:marker>
          <c:cat>
            <c:numRef>
              <c:f>'Chart Data'!$GZ$4:$GZ$49</c:f>
              <c:numCache>
                <c:formatCode>General</c:formatCode>
                <c:ptCount val="46"/>
                <c:pt idx="0">
                  <c:v>2015</c:v>
                </c:pt>
                <c:pt idx="1">
                  <c:v>2016</c:v>
                </c:pt>
                <c:pt idx="2">
                  <c:v>2017</c:v>
                </c:pt>
                <c:pt idx="3">
                  <c:v>2018</c:v>
                </c:pt>
                <c:pt idx="4">
                  <c:v>2019</c:v>
                </c:pt>
                <c:pt idx="5">
                  <c:v>2020</c:v>
                </c:pt>
                <c:pt idx="6">
                  <c:v>2021</c:v>
                </c:pt>
                <c:pt idx="7">
                  <c:v>2022</c:v>
                </c:pt>
                <c:pt idx="8">
                  <c:v>2023</c:v>
                </c:pt>
                <c:pt idx="9">
                  <c:v>2024</c:v>
                </c:pt>
                <c:pt idx="10">
                  <c:v>2025</c:v>
                </c:pt>
                <c:pt idx="11">
                  <c:v>2026</c:v>
                </c:pt>
                <c:pt idx="12">
                  <c:v>2027</c:v>
                </c:pt>
                <c:pt idx="13">
                  <c:v>2028</c:v>
                </c:pt>
                <c:pt idx="14">
                  <c:v>2029</c:v>
                </c:pt>
                <c:pt idx="15">
                  <c:v>2030</c:v>
                </c:pt>
                <c:pt idx="16">
                  <c:v>2031</c:v>
                </c:pt>
                <c:pt idx="17">
                  <c:v>2032</c:v>
                </c:pt>
                <c:pt idx="18">
                  <c:v>2033</c:v>
                </c:pt>
                <c:pt idx="19">
                  <c:v>2034</c:v>
                </c:pt>
                <c:pt idx="20">
                  <c:v>2035</c:v>
                </c:pt>
                <c:pt idx="21">
                  <c:v>2036</c:v>
                </c:pt>
                <c:pt idx="22">
                  <c:v>2037</c:v>
                </c:pt>
                <c:pt idx="23">
                  <c:v>2038</c:v>
                </c:pt>
                <c:pt idx="24">
                  <c:v>2039</c:v>
                </c:pt>
                <c:pt idx="25">
                  <c:v>2040</c:v>
                </c:pt>
                <c:pt idx="26">
                  <c:v>2041</c:v>
                </c:pt>
                <c:pt idx="27">
                  <c:v>2042</c:v>
                </c:pt>
                <c:pt idx="28">
                  <c:v>2043</c:v>
                </c:pt>
                <c:pt idx="29">
                  <c:v>2044</c:v>
                </c:pt>
                <c:pt idx="30">
                  <c:v>2045</c:v>
                </c:pt>
                <c:pt idx="31">
                  <c:v>2046</c:v>
                </c:pt>
                <c:pt idx="32">
                  <c:v>2047</c:v>
                </c:pt>
                <c:pt idx="33">
                  <c:v>2048</c:v>
                </c:pt>
                <c:pt idx="34">
                  <c:v>2049</c:v>
                </c:pt>
                <c:pt idx="35">
                  <c:v>2050</c:v>
                </c:pt>
                <c:pt idx="36">
                  <c:v>2051</c:v>
                </c:pt>
                <c:pt idx="37">
                  <c:v>2052</c:v>
                </c:pt>
                <c:pt idx="38">
                  <c:v>2053</c:v>
                </c:pt>
                <c:pt idx="39">
                  <c:v>2054</c:v>
                </c:pt>
                <c:pt idx="40">
                  <c:v>2055</c:v>
                </c:pt>
                <c:pt idx="41">
                  <c:v>2056</c:v>
                </c:pt>
                <c:pt idx="42">
                  <c:v>2057</c:v>
                </c:pt>
                <c:pt idx="43">
                  <c:v>2058</c:v>
                </c:pt>
                <c:pt idx="44">
                  <c:v>2059</c:v>
                </c:pt>
                <c:pt idx="45">
                  <c:v>2060</c:v>
                </c:pt>
              </c:numCache>
            </c:numRef>
          </c:cat>
          <c:val>
            <c:numRef>
              <c:f>'Chart Data'!$HB$4:$HB$49</c:f>
              <c:numCache>
                <c:formatCode>0.0</c:formatCode>
                <c:ptCount val="46"/>
                <c:pt idx="0">
                  <c:v>89.717836582412971</c:v>
                </c:pt>
                <c:pt idx="1">
                  <c:v>91.69747878396781</c:v>
                </c:pt>
                <c:pt idx="2">
                  <c:v>94.469697300015554</c:v>
                </c:pt>
                <c:pt idx="3">
                  <c:v>95.935234964195445</c:v>
                </c:pt>
                <c:pt idx="4">
                  <c:v>97.140468373251011</c:v>
                </c:pt>
                <c:pt idx="5">
                  <c:v>87.379894512100293</c:v>
                </c:pt>
                <c:pt idx="6">
                  <c:v>94.84485662918344</c:v>
                </c:pt>
                <c:pt idx="7">
                  <c:v>99.729085912031394</c:v>
                </c:pt>
                <c:pt idx="8">
                  <c:v>100</c:v>
                </c:pt>
                <c:pt idx="9">
                  <c:v>101.08812556228482</c:v>
                </c:pt>
                <c:pt idx="10">
                  <c:v>102.58760899634812</c:v>
                </c:pt>
                <c:pt idx="11">
                  <c:v>103.9945637120383</c:v>
                </c:pt>
                <c:pt idx="12">
                  <c:v>105.59882348647325</c:v>
                </c:pt>
                <c:pt idx="13">
                  <c:v>107.14841879690562</c:v>
                </c:pt>
                <c:pt idx="14">
                  <c:v>108.78038054280113</c:v>
                </c:pt>
                <c:pt idx="15">
                  <c:v>110.46578431729976</c:v>
                </c:pt>
                <c:pt idx="16">
                  <c:v>112.65565155445739</c:v>
                </c:pt>
                <c:pt idx="17">
                  <c:v>114.92280501690932</c:v>
                </c:pt>
                <c:pt idx="18">
                  <c:v>117.27770848862632</c:v>
                </c:pt>
                <c:pt idx="19">
                  <c:v>119.70760008197365</c:v>
                </c:pt>
                <c:pt idx="20">
                  <c:v>122.19479869428699</c:v>
                </c:pt>
                <c:pt idx="21">
                  <c:v>124.75531900111254</c:v>
                </c:pt>
                <c:pt idx="22">
                  <c:v>127.44959424059964</c:v>
                </c:pt>
                <c:pt idx="23">
                  <c:v>130.11762191738129</c:v>
                </c:pt>
                <c:pt idx="24">
                  <c:v>132.76744825637476</c:v>
                </c:pt>
                <c:pt idx="25">
                  <c:v>135.37974550196654</c:v>
                </c:pt>
                <c:pt idx="26">
                  <c:v>137.97550034239131</c:v>
                </c:pt>
                <c:pt idx="27">
                  <c:v>140.55410252112657</c:v>
                </c:pt>
                <c:pt idx="28">
                  <c:v>143.13574151385205</c:v>
                </c:pt>
                <c:pt idx="29">
                  <c:v>145.73201823026184</c:v>
                </c:pt>
                <c:pt idx="30">
                  <c:v>148.32881762773437</c:v>
                </c:pt>
                <c:pt idx="31">
                  <c:v>150.95223976681294</c:v>
                </c:pt>
                <c:pt idx="32">
                  <c:v>153.59636142042382</c:v>
                </c:pt>
                <c:pt idx="33">
                  <c:v>156.2625338743978</c:v>
                </c:pt>
                <c:pt idx="34">
                  <c:v>158.94545276712989</c:v>
                </c:pt>
                <c:pt idx="35">
                  <c:v>161.65228306229173</c:v>
                </c:pt>
                <c:pt idx="36">
                  <c:v>164.39271238510568</c:v>
                </c:pt>
                <c:pt idx="37">
                  <c:v>167.16224433921664</c:v>
                </c:pt>
                <c:pt idx="38">
                  <c:v>169.94776724335082</c:v>
                </c:pt>
                <c:pt idx="39">
                  <c:v>172.74908578963388</c:v>
                </c:pt>
                <c:pt idx="40">
                  <c:v>175.56366667880891</c:v>
                </c:pt>
                <c:pt idx="41">
                  <c:v>178.381263840163</c:v>
                </c:pt>
                <c:pt idx="42">
                  <c:v>181.20675905756599</c:v>
                </c:pt>
                <c:pt idx="43">
                  <c:v>184.04135857284433</c:v>
                </c:pt>
                <c:pt idx="44">
                  <c:v>186.90108041702806</c:v>
                </c:pt>
                <c:pt idx="45">
                  <c:v>189.7673007004305</c:v>
                </c:pt>
              </c:numCache>
            </c:numRef>
          </c:val>
          <c:smooth val="0"/>
          <c:extLst>
            <c:ext xmlns:c16="http://schemas.microsoft.com/office/drawing/2014/chart" uri="{C3380CC4-5D6E-409C-BE32-E72D297353CC}">
              <c16:uniqueId val="{00000001-E850-417B-95DA-4ED900504230}"/>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5"/>
        <c:noMultiLvlLbl val="0"/>
      </c:catAx>
      <c:valAx>
        <c:axId val="263608576"/>
        <c:scaling>
          <c:orientation val="minMax"/>
          <c:min val="80"/>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37880534424722329"/>
          <c:y val="7.2542377076608849E-2"/>
          <c:w val="0.25521064104275099"/>
          <c:h val="5.6101061021763217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9.322858371517119E-2"/>
          <c:y val="0.14725688325786473"/>
          <c:w val="0.8919613861826593"/>
          <c:h val="0.71318700601518292"/>
        </c:manualLayout>
      </c:layout>
      <c:barChart>
        <c:barDir val="col"/>
        <c:grouping val="clustered"/>
        <c:varyColors val="0"/>
        <c:ser>
          <c:idx val="0"/>
          <c:order val="2"/>
          <c:tx>
            <c:strRef>
              <c:f>'Chart Data'!$AB$3</c:f>
              <c:strCache>
                <c:ptCount val="1"/>
                <c:pt idx="0">
                  <c:v>Net inflows</c:v>
                </c:pt>
              </c:strCache>
            </c:strRef>
          </c:tx>
          <c:spPr>
            <a:solidFill>
              <a:srgbClr val="7B7C77"/>
            </a:solidFill>
            <a:ln w="6350">
              <a:solidFill>
                <a:srgbClr val="495057"/>
              </a:solidFill>
              <a:prstDash val="solid"/>
            </a:ln>
            <a:effectLst/>
          </c:spPr>
          <c:invertIfNegative val="0"/>
          <c:cat>
            <c:numRef>
              <c:f>'Chart Data'!$Y$4:$Y$24</c:f>
              <c:numCache>
                <c:formatCode>General</c:formatCode>
                <c:ptCount val="21"/>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numCache>
            </c:numRef>
          </c:cat>
          <c:val>
            <c:numRef>
              <c:f>'Chart Data'!$AB$4:$AB$24</c:f>
              <c:numCache>
                <c:formatCode>#,##0</c:formatCode>
                <c:ptCount val="21"/>
                <c:pt idx="0">
                  <c:v>162</c:v>
                </c:pt>
                <c:pt idx="1">
                  <c:v>215</c:v>
                </c:pt>
                <c:pt idx="2">
                  <c:v>248</c:v>
                </c:pt>
                <c:pt idx="3">
                  <c:v>296</c:v>
                </c:pt>
                <c:pt idx="4">
                  <c:v>321</c:v>
                </c:pt>
                <c:pt idx="5">
                  <c:v>200</c:v>
                </c:pt>
                <c:pt idx="6">
                  <c:v>216</c:v>
                </c:pt>
                <c:pt idx="7">
                  <c:v>224</c:v>
                </c:pt>
                <c:pt idx="8">
                  <c:v>111</c:v>
                </c:pt>
                <c:pt idx="9">
                  <c:v>251</c:v>
                </c:pt>
                <c:pt idx="10">
                  <c:v>681</c:v>
                </c:pt>
                <c:pt idx="11">
                  <c:v>924</c:v>
                </c:pt>
                <c:pt idx="12">
                  <c:v>649</c:v>
                </c:pt>
                <c:pt idx="13">
                  <c:v>204</c:v>
                </c:pt>
                <c:pt idx="14">
                  <c:v>93.400344269696802</c:v>
                </c:pt>
                <c:pt idx="15">
                  <c:v>139.06537737978783</c:v>
                </c:pt>
                <c:pt idx="16">
                  <c:v>177.48164459327268</c:v>
                </c:pt>
                <c:pt idx="17">
                  <c:v>204.08699676424123</c:v>
                </c:pt>
                <c:pt idx="18">
                  <c:v>228.95652419294163</c:v>
                </c:pt>
                <c:pt idx="19">
                  <c:v>250.57003687260146</c:v>
                </c:pt>
                <c:pt idx="20">
                  <c:v>271.97854202724068</c:v>
                </c:pt>
              </c:numCache>
            </c:numRef>
          </c:val>
          <c:extLst>
            <c:ext xmlns:c16="http://schemas.microsoft.com/office/drawing/2014/chart" uri="{C3380CC4-5D6E-409C-BE32-E72D297353CC}">
              <c16:uniqueId val="{00000006-ACBA-42FB-81B5-49D775A7CF78}"/>
            </c:ext>
          </c:extLst>
        </c:ser>
        <c:dLbls>
          <c:showLegendKey val="0"/>
          <c:showVal val="0"/>
          <c:showCatName val="0"/>
          <c:showSerName val="0"/>
          <c:showPercent val="0"/>
          <c:showBubbleSize val="0"/>
        </c:dLbls>
        <c:gapWidth val="50"/>
        <c:axId val="94352512"/>
        <c:axId val="94354048"/>
      </c:barChart>
      <c:lineChart>
        <c:grouping val="standard"/>
        <c:varyColors val="0"/>
        <c:ser>
          <c:idx val="1"/>
          <c:order val="0"/>
          <c:tx>
            <c:strRef>
              <c:f>'Chart Data'!$Z$3</c:f>
              <c:strCache>
                <c:ptCount val="1"/>
                <c:pt idx="0">
                  <c:v>Inflows</c:v>
                </c:pt>
              </c:strCache>
            </c:strRef>
          </c:tx>
          <c:spPr>
            <a:ln w="38100">
              <a:solidFill>
                <a:srgbClr val="BD1B21"/>
              </a:solidFill>
              <a:prstDash val="solid"/>
            </a:ln>
          </c:spPr>
          <c:marker>
            <c:symbol val="none"/>
          </c:marker>
          <c:cat>
            <c:numRef>
              <c:f>'Chart Data'!$Y$4:$Y$24</c:f>
              <c:numCache>
                <c:formatCode>General</c:formatCode>
                <c:ptCount val="21"/>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numCache>
            </c:numRef>
          </c:cat>
          <c:val>
            <c:numRef>
              <c:f>'Chart Data'!$Z$4:$Z$24</c:f>
              <c:numCache>
                <c:formatCode>#,##0</c:formatCode>
                <c:ptCount val="21"/>
                <c:pt idx="0">
                  <c:v>639</c:v>
                </c:pt>
                <c:pt idx="1">
                  <c:v>669</c:v>
                </c:pt>
                <c:pt idx="2">
                  <c:v>737</c:v>
                </c:pt>
                <c:pt idx="3">
                  <c:v>778</c:v>
                </c:pt>
                <c:pt idx="4">
                  <c:v>832</c:v>
                </c:pt>
                <c:pt idx="5">
                  <c:v>718</c:v>
                </c:pt>
                <c:pt idx="6">
                  <c:v>757</c:v>
                </c:pt>
                <c:pt idx="7">
                  <c:v>821</c:v>
                </c:pt>
                <c:pt idx="8">
                  <c:v>736</c:v>
                </c:pt>
                <c:pt idx="9">
                  <c:v>818</c:v>
                </c:pt>
                <c:pt idx="10">
                  <c:v>1167</c:v>
                </c:pt>
                <c:pt idx="11">
                  <c:v>1466</c:v>
                </c:pt>
                <c:pt idx="12">
                  <c:v>1299</c:v>
                </c:pt>
                <c:pt idx="13">
                  <c:v>898</c:v>
                </c:pt>
                <c:pt idx="14" formatCode="0">
                  <c:v>769.20180412371144</c:v>
                </c:pt>
                <c:pt idx="15" formatCode="0">
                  <c:v>779.96391752577324</c:v>
                </c:pt>
                <c:pt idx="16" formatCode="0">
                  <c:v>789.80025773195882</c:v>
                </c:pt>
                <c:pt idx="17" formatCode="0">
                  <c:v>804.26546391752595</c:v>
                </c:pt>
                <c:pt idx="18" formatCode="0">
                  <c:v>816.99484536082491</c:v>
                </c:pt>
                <c:pt idx="19" formatCode="0">
                  <c:v>833.19587628865997</c:v>
                </c:pt>
                <c:pt idx="20" formatCode="0">
                  <c:v>854.60438144329919</c:v>
                </c:pt>
              </c:numCache>
            </c:numRef>
          </c:val>
          <c:smooth val="0"/>
          <c:extLst>
            <c:ext xmlns:c16="http://schemas.microsoft.com/office/drawing/2014/chart" uri="{C3380CC4-5D6E-409C-BE32-E72D297353CC}">
              <c16:uniqueId val="{00000001-93AB-4EDD-91C1-F94ECDCC0811}"/>
            </c:ext>
          </c:extLst>
        </c:ser>
        <c:ser>
          <c:idx val="3"/>
          <c:order val="1"/>
          <c:tx>
            <c:strRef>
              <c:f>'Chart Data'!$AA$3</c:f>
              <c:strCache>
                <c:ptCount val="1"/>
                <c:pt idx="0">
                  <c:v>Outflows</c:v>
                </c:pt>
              </c:strCache>
            </c:strRef>
          </c:tx>
          <c:spPr>
            <a:ln w="38100">
              <a:solidFill>
                <a:srgbClr val="002060"/>
              </a:solidFill>
              <a:prstDash val="solid"/>
            </a:ln>
            <a:effectLst/>
          </c:spPr>
          <c:marker>
            <c:symbol val="none"/>
          </c:marker>
          <c:cat>
            <c:numRef>
              <c:f>'Chart Data'!$Y$4:$Y$24</c:f>
              <c:numCache>
                <c:formatCode>General</c:formatCode>
                <c:ptCount val="21"/>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pt idx="15">
                  <c:v>2027</c:v>
                </c:pt>
                <c:pt idx="16">
                  <c:v>2028</c:v>
                </c:pt>
                <c:pt idx="17">
                  <c:v>2029</c:v>
                </c:pt>
                <c:pt idx="18">
                  <c:v>2030</c:v>
                </c:pt>
                <c:pt idx="19">
                  <c:v>2031</c:v>
                </c:pt>
                <c:pt idx="20">
                  <c:v>2032</c:v>
                </c:pt>
              </c:numCache>
            </c:numRef>
          </c:cat>
          <c:val>
            <c:numRef>
              <c:f>'Chart Data'!$AA$4:$AA$24</c:f>
              <c:numCache>
                <c:formatCode>#,##0</c:formatCode>
                <c:ptCount val="21"/>
                <c:pt idx="0">
                  <c:v>477</c:v>
                </c:pt>
                <c:pt idx="1">
                  <c:v>454</c:v>
                </c:pt>
                <c:pt idx="2">
                  <c:v>489</c:v>
                </c:pt>
                <c:pt idx="3">
                  <c:v>482</c:v>
                </c:pt>
                <c:pt idx="4">
                  <c:v>511</c:v>
                </c:pt>
                <c:pt idx="5">
                  <c:v>518</c:v>
                </c:pt>
                <c:pt idx="6">
                  <c:v>541</c:v>
                </c:pt>
                <c:pt idx="7">
                  <c:v>597</c:v>
                </c:pt>
                <c:pt idx="8">
                  <c:v>625</c:v>
                </c:pt>
                <c:pt idx="9">
                  <c:v>567</c:v>
                </c:pt>
                <c:pt idx="10">
                  <c:v>486</c:v>
                </c:pt>
                <c:pt idx="11">
                  <c:v>543</c:v>
                </c:pt>
                <c:pt idx="12">
                  <c:v>650</c:v>
                </c:pt>
                <c:pt idx="13">
                  <c:v>693</c:v>
                </c:pt>
                <c:pt idx="14" formatCode="0">
                  <c:v>675.80145985401464</c:v>
                </c:pt>
                <c:pt idx="15" formatCode="0">
                  <c:v>640.89854014598541</c:v>
                </c:pt>
                <c:pt idx="16" formatCode="0">
                  <c:v>612.31861313868615</c:v>
                </c:pt>
                <c:pt idx="17" formatCode="0">
                  <c:v>600.17846715328471</c:v>
                </c:pt>
                <c:pt idx="18" formatCode="0">
                  <c:v>588.03832116788328</c:v>
                </c:pt>
                <c:pt idx="19" formatCode="0">
                  <c:v>582.62583941605851</c:v>
                </c:pt>
                <c:pt idx="20" formatCode="0">
                  <c:v>582.62583941605851</c:v>
                </c:pt>
              </c:numCache>
            </c:numRef>
          </c:val>
          <c:smooth val="0"/>
          <c:extLst>
            <c:ext xmlns:c16="http://schemas.microsoft.com/office/drawing/2014/chart" uri="{C3380CC4-5D6E-409C-BE32-E72D297353CC}">
              <c16:uniqueId val="{00000000-93AB-4EDD-91C1-F94ECDCC0811}"/>
            </c:ext>
          </c:extLst>
        </c:ser>
        <c:dLbls>
          <c:showLegendKey val="0"/>
          <c:showVal val="0"/>
          <c:showCatName val="0"/>
          <c:showSerName val="0"/>
          <c:showPercent val="0"/>
          <c:showBubbleSize val="0"/>
        </c:dLbls>
        <c:marker val="1"/>
        <c:smooth val="0"/>
        <c:axId val="94352512"/>
        <c:axId val="94354048"/>
      </c:lineChart>
      <c:catAx>
        <c:axId val="94352512"/>
        <c:scaling>
          <c:orientation val="minMax"/>
        </c:scaling>
        <c:delete val="0"/>
        <c:axPos val="b"/>
        <c:numFmt formatCode="General" sourceLinked="0"/>
        <c:majorTickMark val="out"/>
        <c:minorTickMark val="none"/>
        <c:tickLblPos val="nextTo"/>
        <c:spPr>
          <a:ln w="9525">
            <a:solidFill>
              <a:srgbClr val="495057"/>
            </a:solidFill>
            <a:prstDash val="solid"/>
          </a:ln>
        </c:spPr>
        <c:txPr>
          <a:bodyPr rot="0" vert="horz"/>
          <a:lstStyle/>
          <a:p>
            <a:pPr>
              <a:defRPr sz="1800" b="0" i="0" u="none" strike="noStrike" baseline="0">
                <a:solidFill>
                  <a:srgbClr val="495057"/>
                </a:solidFill>
                <a:latin typeface="Segoe UI"/>
                <a:ea typeface="Segoe UI"/>
                <a:cs typeface="Segoe UI"/>
              </a:defRPr>
            </a:pPr>
            <a:endParaRPr lang="en-US"/>
          </a:p>
        </c:txPr>
        <c:crossAx val="94354048"/>
        <c:crossesAt val="-50000000"/>
        <c:auto val="0"/>
        <c:lblAlgn val="ctr"/>
        <c:lblOffset val="100"/>
        <c:tickMarkSkip val="1"/>
        <c:noMultiLvlLbl val="0"/>
      </c:catAx>
      <c:valAx>
        <c:axId val="94354048"/>
        <c:scaling>
          <c:orientation val="minMax"/>
        </c:scaling>
        <c:delete val="0"/>
        <c:axPos val="l"/>
        <c:numFmt formatCode="General" sourceLinked="0"/>
        <c:majorTickMark val="out"/>
        <c:minorTickMark val="none"/>
        <c:tickLblPos val="nextTo"/>
        <c:spPr>
          <a:ln w="9525">
            <a:solidFill>
              <a:srgbClr val="495057"/>
            </a:solidFill>
            <a:prstDash val="solid"/>
          </a:ln>
        </c:spPr>
        <c:txPr>
          <a:bodyPr rot="0" vert="horz"/>
          <a:lstStyle/>
          <a:p>
            <a:pPr>
              <a:defRPr sz="1800" b="0" i="0" u="none" strike="noStrike" baseline="0">
                <a:solidFill>
                  <a:srgbClr val="495057"/>
                </a:solidFill>
                <a:latin typeface="Segoe UI"/>
                <a:ea typeface="Segoe UI"/>
                <a:cs typeface="Segoe UI"/>
              </a:defRPr>
            </a:pPr>
            <a:endParaRPr lang="en-US"/>
          </a:p>
        </c:txPr>
        <c:crossAx val="94352512"/>
        <c:crosses val="autoZero"/>
        <c:crossBetween val="between"/>
      </c:valAx>
      <c:spPr>
        <a:noFill/>
        <a:ln w="25400">
          <a:noFill/>
        </a:ln>
      </c:spPr>
    </c:plotArea>
    <c:legend>
      <c:legendPos val="t"/>
      <c:layout>
        <c:manualLayout>
          <c:xMode val="edge"/>
          <c:yMode val="edge"/>
          <c:x val="0.19642190488900751"/>
          <c:y val="8.9539529938361118E-2"/>
          <c:w val="0.6322055844714326"/>
          <c:h val="5.6101061021763217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userShapes r:id="rId2"/>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0"/>
          <c:y val="0.12464589235127478"/>
          <c:w val="1"/>
          <c:h val="0.80830972615675167"/>
        </c:manualLayout>
      </c:layout>
      <c:lineChart>
        <c:grouping val="standard"/>
        <c:varyColors val="0"/>
        <c:ser>
          <c:idx val="0"/>
          <c:order val="0"/>
          <c:tx>
            <c:strRef>
              <c:f>'Chart Data'!$DU$2</c:f>
              <c:strCache>
                <c:ptCount val="1"/>
                <c:pt idx="0">
                  <c:v>Working age population (LHS)</c:v>
                </c:pt>
              </c:strCache>
            </c:strRef>
          </c:tx>
          <c:spPr>
            <a:ln w="38100">
              <a:solidFill>
                <a:srgbClr val="BD1B21"/>
              </a:solidFill>
            </a:ln>
          </c:spPr>
          <c:marker>
            <c:symbol val="none"/>
          </c:marker>
          <c:cat>
            <c:numRef>
              <c:f>'Chart Data'!$DT$10:$DT$90</c:f>
              <c:numCache>
                <c:formatCode>General</c:formatCode>
                <c:ptCount val="81"/>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pt idx="43">
                  <c:v>2023</c:v>
                </c:pt>
                <c:pt idx="44">
                  <c:v>2024</c:v>
                </c:pt>
                <c:pt idx="45">
                  <c:v>2025</c:v>
                </c:pt>
                <c:pt idx="46">
                  <c:v>2026</c:v>
                </c:pt>
                <c:pt idx="47">
                  <c:v>2027</c:v>
                </c:pt>
                <c:pt idx="48">
                  <c:v>2028</c:v>
                </c:pt>
                <c:pt idx="49">
                  <c:v>2029</c:v>
                </c:pt>
                <c:pt idx="50">
                  <c:v>2030</c:v>
                </c:pt>
                <c:pt idx="51">
                  <c:v>2031</c:v>
                </c:pt>
                <c:pt idx="52">
                  <c:v>2032</c:v>
                </c:pt>
                <c:pt idx="53">
                  <c:v>2033</c:v>
                </c:pt>
                <c:pt idx="54">
                  <c:v>2034</c:v>
                </c:pt>
                <c:pt idx="55">
                  <c:v>2035</c:v>
                </c:pt>
                <c:pt idx="56">
                  <c:v>2036</c:v>
                </c:pt>
                <c:pt idx="57">
                  <c:v>2037</c:v>
                </c:pt>
                <c:pt idx="58">
                  <c:v>2038</c:v>
                </c:pt>
                <c:pt idx="59">
                  <c:v>2039</c:v>
                </c:pt>
                <c:pt idx="60">
                  <c:v>2040</c:v>
                </c:pt>
                <c:pt idx="61">
                  <c:v>2041</c:v>
                </c:pt>
                <c:pt idx="62">
                  <c:v>2042</c:v>
                </c:pt>
                <c:pt idx="63">
                  <c:v>2043</c:v>
                </c:pt>
                <c:pt idx="64">
                  <c:v>2044</c:v>
                </c:pt>
                <c:pt idx="65">
                  <c:v>2045</c:v>
                </c:pt>
                <c:pt idx="66">
                  <c:v>2046</c:v>
                </c:pt>
                <c:pt idx="67">
                  <c:v>2047</c:v>
                </c:pt>
                <c:pt idx="68">
                  <c:v>2048</c:v>
                </c:pt>
                <c:pt idx="69">
                  <c:v>2049</c:v>
                </c:pt>
                <c:pt idx="70">
                  <c:v>2050</c:v>
                </c:pt>
                <c:pt idx="71">
                  <c:v>2051</c:v>
                </c:pt>
                <c:pt idx="72">
                  <c:v>2052</c:v>
                </c:pt>
                <c:pt idx="73">
                  <c:v>2053</c:v>
                </c:pt>
                <c:pt idx="74">
                  <c:v>2054</c:v>
                </c:pt>
                <c:pt idx="75">
                  <c:v>2055</c:v>
                </c:pt>
                <c:pt idx="76">
                  <c:v>2056</c:v>
                </c:pt>
                <c:pt idx="77">
                  <c:v>2057</c:v>
                </c:pt>
                <c:pt idx="78">
                  <c:v>2058</c:v>
                </c:pt>
                <c:pt idx="79">
                  <c:v>2059</c:v>
                </c:pt>
                <c:pt idx="80">
                  <c:v>2060</c:v>
                </c:pt>
              </c:numCache>
            </c:numRef>
          </c:cat>
          <c:val>
            <c:numRef>
              <c:f>'Chart Data'!$DU$10:$DU$90</c:f>
              <c:numCache>
                <c:formatCode>0.0</c:formatCode>
                <c:ptCount val="81"/>
                <c:pt idx="0">
                  <c:v>0.61267082679570262</c:v>
                </c:pt>
                <c:pt idx="1">
                  <c:v>0.5707566528506014</c:v>
                </c:pt>
                <c:pt idx="2">
                  <c:v>0.47527889825018654</c:v>
                </c:pt>
                <c:pt idx="3">
                  <c:v>0.70478950561649878</c:v>
                </c:pt>
                <c:pt idx="4">
                  <c:v>0.69795599645539053</c:v>
                </c:pt>
                <c:pt idx="5">
                  <c:v>0.49341661015325222</c:v>
                </c:pt>
                <c:pt idx="6">
                  <c:v>0.41478282281213197</c:v>
                </c:pt>
                <c:pt idx="7">
                  <c:v>0.40904009698152777</c:v>
                </c:pt>
                <c:pt idx="8">
                  <c:v>0.30865471489569529</c:v>
                </c:pt>
                <c:pt idx="9">
                  <c:v>0.26095484555312964</c:v>
                </c:pt>
                <c:pt idx="10">
                  <c:v>0.18882239807009871</c:v>
                </c:pt>
                <c:pt idx="11">
                  <c:v>0.122894402131557</c:v>
                </c:pt>
                <c:pt idx="12">
                  <c:v>2.9350484851264902E-2</c:v>
                </c:pt>
                <c:pt idx="13">
                  <c:v>3.1557425709372033E-2</c:v>
                </c:pt>
                <c:pt idx="14">
                  <c:v>0.16043492915449598</c:v>
                </c:pt>
                <c:pt idx="15">
                  <c:v>0.31204932233388494</c:v>
                </c:pt>
                <c:pt idx="16">
                  <c:v>0.36678278534476583</c:v>
                </c:pt>
                <c:pt idx="17">
                  <c:v>0.35389737651887465</c:v>
                </c:pt>
                <c:pt idx="18">
                  <c:v>0.37481621154471512</c:v>
                </c:pt>
                <c:pt idx="19">
                  <c:v>0.51355263474222035</c:v>
                </c:pt>
                <c:pt idx="20">
                  <c:v>0.60899280205384265</c:v>
                </c:pt>
                <c:pt idx="21">
                  <c:v>0.72055167289288846</c:v>
                </c:pt>
                <c:pt idx="22">
                  <c:v>0.68498714997260457</c:v>
                </c:pt>
                <c:pt idx="23">
                  <c:v>0.6301706678151664</c:v>
                </c:pt>
                <c:pt idx="24">
                  <c:v>0.75987743143439701</c:v>
                </c:pt>
                <c:pt idx="25">
                  <c:v>0.97276662096403843</c:v>
                </c:pt>
                <c:pt idx="26">
                  <c:v>0.84869500762005945</c:v>
                </c:pt>
                <c:pt idx="27">
                  <c:v>0.6977210805330758</c:v>
                </c:pt>
                <c:pt idx="28">
                  <c:v>0.60565971053341272</c:v>
                </c:pt>
                <c:pt idx="29">
                  <c:v>0.51906437070545763</c:v>
                </c:pt>
                <c:pt idx="30">
                  <c:v>0.82222706740913143</c:v>
                </c:pt>
                <c:pt idx="31">
                  <c:v>1.103956314886223</c:v>
                </c:pt>
                <c:pt idx="32">
                  <c:v>0.65879862273623413</c:v>
                </c:pt>
                <c:pt idx="33">
                  <c:v>0.77680362892416088</c:v>
                </c:pt>
                <c:pt idx="34">
                  <c:v>0.86671659352723918</c:v>
                </c:pt>
                <c:pt idx="35">
                  <c:v>0.96732097626937019</c:v>
                </c:pt>
                <c:pt idx="36">
                  <c:v>1.0251635530009073</c:v>
                </c:pt>
                <c:pt idx="37">
                  <c:v>0.90819635697974022</c:v>
                </c:pt>
                <c:pt idx="38">
                  <c:v>0.94440890464071447</c:v>
                </c:pt>
                <c:pt idx="39">
                  <c:v>1.1205491669386003</c:v>
                </c:pt>
                <c:pt idx="40">
                  <c:v>0.8636942512414203</c:v>
                </c:pt>
                <c:pt idx="41">
                  <c:v>0.62669027877138017</c:v>
                </c:pt>
                <c:pt idx="42">
                  <c:v>0.94478688915886622</c:v>
                </c:pt>
                <c:pt idx="43">
                  <c:v>1.2970719992610791</c:v>
                </c:pt>
                <c:pt idx="44">
                  <c:v>1.0422928390837027</c:v>
                </c:pt>
                <c:pt idx="45">
                  <c:v>0.26452376472478889</c:v>
                </c:pt>
                <c:pt idx="46">
                  <c:v>-0.16626093358586003</c:v>
                </c:pt>
                <c:pt idx="47">
                  <c:v>0.44331200429135187</c:v>
                </c:pt>
                <c:pt idx="48">
                  <c:v>0.94013260184733216</c:v>
                </c:pt>
                <c:pt idx="49">
                  <c:v>0.69800435533020622</c:v>
                </c:pt>
                <c:pt idx="50">
                  <c:v>0.16762347964973667</c:v>
                </c:pt>
                <c:pt idx="51">
                  <c:v>0.10457558401442135</c:v>
                </c:pt>
                <c:pt idx="52">
                  <c:v>0.11230406507249935</c:v>
                </c:pt>
                <c:pt idx="53">
                  <c:v>0.13988723694449146</c:v>
                </c:pt>
                <c:pt idx="54">
                  <c:v>0.11836801472244751</c:v>
                </c:pt>
                <c:pt idx="55">
                  <c:v>9.388054577939009E-2</c:v>
                </c:pt>
                <c:pt idx="56">
                  <c:v>9.1557251222540437E-2</c:v>
                </c:pt>
                <c:pt idx="57">
                  <c:v>7.6169532931236184E-2</c:v>
                </c:pt>
                <c:pt idx="58">
                  <c:v>7.4798913654627874E-2</c:v>
                </c:pt>
                <c:pt idx="59">
                  <c:v>5.7188565522325874E-2</c:v>
                </c:pt>
                <c:pt idx="60">
                  <c:v>6.5829764186120521E-2</c:v>
                </c:pt>
                <c:pt idx="61">
                  <c:v>0.12831961781409884</c:v>
                </c:pt>
                <c:pt idx="62">
                  <c:v>0.19202559527171648</c:v>
                </c:pt>
                <c:pt idx="63">
                  <c:v>0.22138777400599885</c:v>
                </c:pt>
                <c:pt idx="64">
                  <c:v>0.29740543886032089</c:v>
                </c:pt>
                <c:pt idx="65">
                  <c:v>0.60499900400996509</c:v>
                </c:pt>
                <c:pt idx="66">
                  <c:v>0.96923207378001308</c:v>
                </c:pt>
                <c:pt idx="67">
                  <c:v>0.68973719902196695</c:v>
                </c:pt>
                <c:pt idx="68">
                  <c:v>0.15277773073523182</c:v>
                </c:pt>
                <c:pt idx="69">
                  <c:v>5.5864705532981951E-2</c:v>
                </c:pt>
                <c:pt idx="70">
                  <c:v>5.3615383770377889E-2</c:v>
                </c:pt>
                <c:pt idx="71">
                  <c:v>6.0913118257599486E-2</c:v>
                </c:pt>
                <c:pt idx="72">
                  <c:v>4.9945781290650082E-2</c:v>
                </c:pt>
                <c:pt idx="73">
                  <c:v>3.3786733582119588E-2</c:v>
                </c:pt>
                <c:pt idx="74">
                  <c:v>-1.5201003224041276E-2</c:v>
                </c:pt>
                <c:pt idx="75">
                  <c:v>-3.443413622717939E-2</c:v>
                </c:pt>
                <c:pt idx="76">
                  <c:v>-6.1973264168524445E-2</c:v>
                </c:pt>
                <c:pt idx="77">
                  <c:v>-0.10184017277159452</c:v>
                </c:pt>
                <c:pt idx="78">
                  <c:v>-0.10376102553332212</c:v>
                </c:pt>
                <c:pt idx="79">
                  <c:v>-0.12776856567571215</c:v>
                </c:pt>
                <c:pt idx="80">
                  <c:v>-0.14896107380730772</c:v>
                </c:pt>
              </c:numCache>
            </c:numRef>
          </c:val>
          <c:smooth val="0"/>
          <c:extLst>
            <c:ext xmlns:c16="http://schemas.microsoft.com/office/drawing/2014/chart" uri="{C3380CC4-5D6E-409C-BE32-E72D297353CC}">
              <c16:uniqueId val="{00000000-E850-417B-95DA-4ED900504230}"/>
            </c:ext>
          </c:extLst>
        </c:ser>
        <c:dLbls>
          <c:showLegendKey val="0"/>
          <c:showVal val="0"/>
          <c:showCatName val="0"/>
          <c:showSerName val="0"/>
          <c:showPercent val="0"/>
          <c:showBubbleSize val="0"/>
        </c:dLbls>
        <c:marker val="1"/>
        <c:smooth val="0"/>
        <c:axId val="263607040"/>
        <c:axId val="263608576"/>
      </c:lineChart>
      <c:lineChart>
        <c:grouping val="standard"/>
        <c:varyColors val="0"/>
        <c:ser>
          <c:idx val="3"/>
          <c:order val="1"/>
          <c:tx>
            <c:strRef>
              <c:f>'Chart Data'!$DX$2</c:f>
              <c:strCache>
                <c:ptCount val="1"/>
                <c:pt idx="0">
                  <c:v>State pension age - males (RHS)</c:v>
                </c:pt>
              </c:strCache>
            </c:strRef>
          </c:tx>
          <c:spPr>
            <a:ln w="38100">
              <a:solidFill>
                <a:srgbClr val="002060"/>
              </a:solidFill>
            </a:ln>
          </c:spPr>
          <c:marker>
            <c:symbol val="none"/>
          </c:marker>
          <c:cat>
            <c:numRef>
              <c:f>'Chart Data'!$DT$10:$DT$90</c:f>
              <c:numCache>
                <c:formatCode>General</c:formatCode>
                <c:ptCount val="81"/>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pt idx="43">
                  <c:v>2023</c:v>
                </c:pt>
                <c:pt idx="44">
                  <c:v>2024</c:v>
                </c:pt>
                <c:pt idx="45">
                  <c:v>2025</c:v>
                </c:pt>
                <c:pt idx="46">
                  <c:v>2026</c:v>
                </c:pt>
                <c:pt idx="47">
                  <c:v>2027</c:v>
                </c:pt>
                <c:pt idx="48">
                  <c:v>2028</c:v>
                </c:pt>
                <c:pt idx="49">
                  <c:v>2029</c:v>
                </c:pt>
                <c:pt idx="50">
                  <c:v>2030</c:v>
                </c:pt>
                <c:pt idx="51">
                  <c:v>2031</c:v>
                </c:pt>
                <c:pt idx="52">
                  <c:v>2032</c:v>
                </c:pt>
                <c:pt idx="53">
                  <c:v>2033</c:v>
                </c:pt>
                <c:pt idx="54">
                  <c:v>2034</c:v>
                </c:pt>
                <c:pt idx="55">
                  <c:v>2035</c:v>
                </c:pt>
                <c:pt idx="56">
                  <c:v>2036</c:v>
                </c:pt>
                <c:pt idx="57">
                  <c:v>2037</c:v>
                </c:pt>
                <c:pt idx="58">
                  <c:v>2038</c:v>
                </c:pt>
                <c:pt idx="59">
                  <c:v>2039</c:v>
                </c:pt>
                <c:pt idx="60">
                  <c:v>2040</c:v>
                </c:pt>
                <c:pt idx="61">
                  <c:v>2041</c:v>
                </c:pt>
                <c:pt idx="62">
                  <c:v>2042</c:v>
                </c:pt>
                <c:pt idx="63">
                  <c:v>2043</c:v>
                </c:pt>
                <c:pt idx="64">
                  <c:v>2044</c:v>
                </c:pt>
                <c:pt idx="65">
                  <c:v>2045</c:v>
                </c:pt>
                <c:pt idx="66">
                  <c:v>2046</c:v>
                </c:pt>
                <c:pt idx="67">
                  <c:v>2047</c:v>
                </c:pt>
                <c:pt idx="68">
                  <c:v>2048</c:v>
                </c:pt>
                <c:pt idx="69">
                  <c:v>2049</c:v>
                </c:pt>
                <c:pt idx="70">
                  <c:v>2050</c:v>
                </c:pt>
                <c:pt idx="71">
                  <c:v>2051</c:v>
                </c:pt>
                <c:pt idx="72">
                  <c:v>2052</c:v>
                </c:pt>
                <c:pt idx="73">
                  <c:v>2053</c:v>
                </c:pt>
                <c:pt idx="74">
                  <c:v>2054</c:v>
                </c:pt>
                <c:pt idx="75">
                  <c:v>2055</c:v>
                </c:pt>
                <c:pt idx="76">
                  <c:v>2056</c:v>
                </c:pt>
                <c:pt idx="77">
                  <c:v>2057</c:v>
                </c:pt>
                <c:pt idx="78">
                  <c:v>2058</c:v>
                </c:pt>
                <c:pt idx="79">
                  <c:v>2059</c:v>
                </c:pt>
                <c:pt idx="80">
                  <c:v>2060</c:v>
                </c:pt>
              </c:numCache>
            </c:numRef>
          </c:cat>
          <c:val>
            <c:numRef>
              <c:f>'Chart Data'!$DX$10:$DX$90</c:f>
              <c:numCache>
                <c:formatCode>General</c:formatCode>
                <c:ptCount val="81"/>
                <c:pt idx="0">
                  <c:v>65</c:v>
                </c:pt>
                <c:pt idx="1">
                  <c:v>65</c:v>
                </c:pt>
                <c:pt idx="2">
                  <c:v>65</c:v>
                </c:pt>
                <c:pt idx="3">
                  <c:v>65</c:v>
                </c:pt>
                <c:pt idx="4">
                  <c:v>65</c:v>
                </c:pt>
                <c:pt idx="5">
                  <c:v>65</c:v>
                </c:pt>
                <c:pt idx="6">
                  <c:v>65</c:v>
                </c:pt>
                <c:pt idx="7">
                  <c:v>65</c:v>
                </c:pt>
                <c:pt idx="8">
                  <c:v>65</c:v>
                </c:pt>
                <c:pt idx="9">
                  <c:v>65</c:v>
                </c:pt>
                <c:pt idx="10">
                  <c:v>65</c:v>
                </c:pt>
                <c:pt idx="11">
                  <c:v>65</c:v>
                </c:pt>
                <c:pt idx="12">
                  <c:v>65</c:v>
                </c:pt>
                <c:pt idx="13">
                  <c:v>65</c:v>
                </c:pt>
                <c:pt idx="14">
                  <c:v>65</c:v>
                </c:pt>
                <c:pt idx="15">
                  <c:v>65</c:v>
                </c:pt>
                <c:pt idx="16">
                  <c:v>65</c:v>
                </c:pt>
                <c:pt idx="17">
                  <c:v>65</c:v>
                </c:pt>
                <c:pt idx="18">
                  <c:v>65</c:v>
                </c:pt>
                <c:pt idx="19">
                  <c:v>65</c:v>
                </c:pt>
                <c:pt idx="20">
                  <c:v>65</c:v>
                </c:pt>
                <c:pt idx="21">
                  <c:v>65</c:v>
                </c:pt>
                <c:pt idx="22">
                  <c:v>65</c:v>
                </c:pt>
                <c:pt idx="23">
                  <c:v>65</c:v>
                </c:pt>
                <c:pt idx="24">
                  <c:v>65</c:v>
                </c:pt>
                <c:pt idx="25">
                  <c:v>65</c:v>
                </c:pt>
                <c:pt idx="26">
                  <c:v>65</c:v>
                </c:pt>
                <c:pt idx="27">
                  <c:v>65</c:v>
                </c:pt>
                <c:pt idx="28">
                  <c:v>65</c:v>
                </c:pt>
                <c:pt idx="29">
                  <c:v>65</c:v>
                </c:pt>
                <c:pt idx="30" formatCode="0.0">
                  <c:v>65</c:v>
                </c:pt>
                <c:pt idx="31" formatCode="0.0">
                  <c:v>65</c:v>
                </c:pt>
                <c:pt idx="32" formatCode="0.0">
                  <c:v>65</c:v>
                </c:pt>
                <c:pt idx="33" formatCode="0.0">
                  <c:v>65</c:v>
                </c:pt>
                <c:pt idx="34" formatCode="0.0">
                  <c:v>65</c:v>
                </c:pt>
                <c:pt idx="35" formatCode="0.0">
                  <c:v>65</c:v>
                </c:pt>
                <c:pt idx="36" formatCode="0.0">
                  <c:v>65</c:v>
                </c:pt>
                <c:pt idx="37" formatCode="0.0">
                  <c:v>65</c:v>
                </c:pt>
                <c:pt idx="38" formatCode="0.0">
                  <c:v>65</c:v>
                </c:pt>
                <c:pt idx="39" formatCode="0.0">
                  <c:v>65</c:v>
                </c:pt>
                <c:pt idx="40" formatCode="0.0">
                  <c:v>65</c:v>
                </c:pt>
                <c:pt idx="41" formatCode="0.0">
                  <c:v>66</c:v>
                </c:pt>
                <c:pt idx="42" formatCode="0.0">
                  <c:v>66</c:v>
                </c:pt>
                <c:pt idx="43" formatCode="0.0">
                  <c:v>66</c:v>
                </c:pt>
                <c:pt idx="44" formatCode="0.0">
                  <c:v>66</c:v>
                </c:pt>
                <c:pt idx="45" formatCode="0.0">
                  <c:v>66</c:v>
                </c:pt>
                <c:pt idx="46" formatCode="0.0">
                  <c:v>66.15300546448087</c:v>
                </c:pt>
                <c:pt idx="47" formatCode="0.0">
                  <c:v>66.649315068493152</c:v>
                </c:pt>
                <c:pt idx="48" formatCode="0.0">
                  <c:v>67</c:v>
                </c:pt>
                <c:pt idx="49" formatCode="0.0">
                  <c:v>67</c:v>
                </c:pt>
                <c:pt idx="50" formatCode="0.0">
                  <c:v>67</c:v>
                </c:pt>
                <c:pt idx="51" formatCode="0.0">
                  <c:v>67</c:v>
                </c:pt>
                <c:pt idx="52" formatCode="0.0">
                  <c:v>67</c:v>
                </c:pt>
                <c:pt idx="53" formatCode="0.0">
                  <c:v>67</c:v>
                </c:pt>
                <c:pt idx="54" formatCode="0.0">
                  <c:v>67</c:v>
                </c:pt>
                <c:pt idx="55" formatCode="0.0">
                  <c:v>67</c:v>
                </c:pt>
                <c:pt idx="56" formatCode="0.0">
                  <c:v>67</c:v>
                </c:pt>
                <c:pt idx="57" formatCode="0.0">
                  <c:v>67</c:v>
                </c:pt>
                <c:pt idx="58" formatCode="0.0">
                  <c:v>67</c:v>
                </c:pt>
                <c:pt idx="59" formatCode="0.0">
                  <c:v>67</c:v>
                </c:pt>
                <c:pt idx="60" formatCode="0.0">
                  <c:v>67</c:v>
                </c:pt>
                <c:pt idx="61">
                  <c:v>67</c:v>
                </c:pt>
                <c:pt idx="62">
                  <c:v>67</c:v>
                </c:pt>
                <c:pt idx="63">
                  <c:v>67</c:v>
                </c:pt>
                <c:pt idx="64">
                  <c:v>67.153424657534245</c:v>
                </c:pt>
                <c:pt idx="65">
                  <c:v>67.649315068493152</c:v>
                </c:pt>
                <c:pt idx="66">
                  <c:v>68</c:v>
                </c:pt>
                <c:pt idx="67">
                  <c:v>68</c:v>
                </c:pt>
                <c:pt idx="68">
                  <c:v>68</c:v>
                </c:pt>
                <c:pt idx="69">
                  <c:v>68</c:v>
                </c:pt>
                <c:pt idx="70">
                  <c:v>68</c:v>
                </c:pt>
                <c:pt idx="71">
                  <c:v>68</c:v>
                </c:pt>
                <c:pt idx="72">
                  <c:v>68</c:v>
                </c:pt>
                <c:pt idx="73">
                  <c:v>68</c:v>
                </c:pt>
                <c:pt idx="74">
                  <c:v>68</c:v>
                </c:pt>
                <c:pt idx="75">
                  <c:v>68</c:v>
                </c:pt>
                <c:pt idx="76">
                  <c:v>68</c:v>
                </c:pt>
                <c:pt idx="77">
                  <c:v>68</c:v>
                </c:pt>
                <c:pt idx="78">
                  <c:v>68</c:v>
                </c:pt>
                <c:pt idx="79">
                  <c:v>68</c:v>
                </c:pt>
                <c:pt idx="80">
                  <c:v>68</c:v>
                </c:pt>
              </c:numCache>
            </c:numRef>
          </c:val>
          <c:smooth val="0"/>
          <c:extLst>
            <c:ext xmlns:c16="http://schemas.microsoft.com/office/drawing/2014/chart" uri="{C3380CC4-5D6E-409C-BE32-E72D297353CC}">
              <c16:uniqueId val="{00000003-E850-417B-95DA-4ED900504230}"/>
            </c:ext>
          </c:extLst>
        </c:ser>
        <c:ser>
          <c:idx val="4"/>
          <c:order val="2"/>
          <c:tx>
            <c:strRef>
              <c:f>'Chart Data'!$DY$2</c:f>
              <c:strCache>
                <c:ptCount val="1"/>
                <c:pt idx="0">
                  <c:v>State pension age - females (RHS)</c:v>
                </c:pt>
              </c:strCache>
            </c:strRef>
          </c:tx>
          <c:spPr>
            <a:ln w="38100">
              <a:solidFill>
                <a:srgbClr val="D1A21E"/>
              </a:solidFill>
            </a:ln>
          </c:spPr>
          <c:marker>
            <c:symbol val="none"/>
          </c:marker>
          <c:cat>
            <c:numRef>
              <c:f>'Chart Data'!$DT$10:$DT$90</c:f>
              <c:numCache>
                <c:formatCode>General</c:formatCode>
                <c:ptCount val="81"/>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2018</c:v>
                </c:pt>
                <c:pt idx="39">
                  <c:v>2019</c:v>
                </c:pt>
                <c:pt idx="40">
                  <c:v>2020</c:v>
                </c:pt>
                <c:pt idx="41">
                  <c:v>2021</c:v>
                </c:pt>
                <c:pt idx="42">
                  <c:v>2022</c:v>
                </c:pt>
                <c:pt idx="43">
                  <c:v>2023</c:v>
                </c:pt>
                <c:pt idx="44">
                  <c:v>2024</c:v>
                </c:pt>
                <c:pt idx="45">
                  <c:v>2025</c:v>
                </c:pt>
                <c:pt idx="46">
                  <c:v>2026</c:v>
                </c:pt>
                <c:pt idx="47">
                  <c:v>2027</c:v>
                </c:pt>
                <c:pt idx="48">
                  <c:v>2028</c:v>
                </c:pt>
                <c:pt idx="49">
                  <c:v>2029</c:v>
                </c:pt>
                <c:pt idx="50">
                  <c:v>2030</c:v>
                </c:pt>
                <c:pt idx="51">
                  <c:v>2031</c:v>
                </c:pt>
                <c:pt idx="52">
                  <c:v>2032</c:v>
                </c:pt>
                <c:pt idx="53">
                  <c:v>2033</c:v>
                </c:pt>
                <c:pt idx="54">
                  <c:v>2034</c:v>
                </c:pt>
                <c:pt idx="55">
                  <c:v>2035</c:v>
                </c:pt>
                <c:pt idx="56">
                  <c:v>2036</c:v>
                </c:pt>
                <c:pt idx="57">
                  <c:v>2037</c:v>
                </c:pt>
                <c:pt idx="58">
                  <c:v>2038</c:v>
                </c:pt>
                <c:pt idx="59">
                  <c:v>2039</c:v>
                </c:pt>
                <c:pt idx="60">
                  <c:v>2040</c:v>
                </c:pt>
                <c:pt idx="61">
                  <c:v>2041</c:v>
                </c:pt>
                <c:pt idx="62">
                  <c:v>2042</c:v>
                </c:pt>
                <c:pt idx="63">
                  <c:v>2043</c:v>
                </c:pt>
                <c:pt idx="64">
                  <c:v>2044</c:v>
                </c:pt>
                <c:pt idx="65">
                  <c:v>2045</c:v>
                </c:pt>
                <c:pt idx="66">
                  <c:v>2046</c:v>
                </c:pt>
                <c:pt idx="67">
                  <c:v>2047</c:v>
                </c:pt>
                <c:pt idx="68">
                  <c:v>2048</c:v>
                </c:pt>
                <c:pt idx="69">
                  <c:v>2049</c:v>
                </c:pt>
                <c:pt idx="70">
                  <c:v>2050</c:v>
                </c:pt>
                <c:pt idx="71">
                  <c:v>2051</c:v>
                </c:pt>
                <c:pt idx="72">
                  <c:v>2052</c:v>
                </c:pt>
                <c:pt idx="73">
                  <c:v>2053</c:v>
                </c:pt>
                <c:pt idx="74">
                  <c:v>2054</c:v>
                </c:pt>
                <c:pt idx="75">
                  <c:v>2055</c:v>
                </c:pt>
                <c:pt idx="76">
                  <c:v>2056</c:v>
                </c:pt>
                <c:pt idx="77">
                  <c:v>2057</c:v>
                </c:pt>
                <c:pt idx="78">
                  <c:v>2058</c:v>
                </c:pt>
                <c:pt idx="79">
                  <c:v>2059</c:v>
                </c:pt>
                <c:pt idx="80">
                  <c:v>2060</c:v>
                </c:pt>
              </c:numCache>
            </c:numRef>
          </c:cat>
          <c:val>
            <c:numRef>
              <c:f>'Chart Data'!$DY$10:$DY$90</c:f>
              <c:numCache>
                <c:formatCode>General</c:formatCode>
                <c:ptCount val="81"/>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pt idx="20">
                  <c:v>60</c:v>
                </c:pt>
                <c:pt idx="21">
                  <c:v>60</c:v>
                </c:pt>
                <c:pt idx="22">
                  <c:v>60</c:v>
                </c:pt>
                <c:pt idx="23">
                  <c:v>60</c:v>
                </c:pt>
                <c:pt idx="24">
                  <c:v>60</c:v>
                </c:pt>
                <c:pt idx="25">
                  <c:v>60</c:v>
                </c:pt>
                <c:pt idx="26">
                  <c:v>60</c:v>
                </c:pt>
                <c:pt idx="27">
                  <c:v>60</c:v>
                </c:pt>
                <c:pt idx="28">
                  <c:v>60</c:v>
                </c:pt>
                <c:pt idx="29">
                  <c:v>60</c:v>
                </c:pt>
                <c:pt idx="30">
                  <c:v>60</c:v>
                </c:pt>
                <c:pt idx="31" formatCode="0.0">
                  <c:v>60</c:v>
                </c:pt>
                <c:pt idx="32" formatCode="0.0">
                  <c:v>60</c:v>
                </c:pt>
                <c:pt idx="33" formatCode="0.0">
                  <c:v>60</c:v>
                </c:pt>
                <c:pt idx="34" formatCode="0.0">
                  <c:v>60</c:v>
                </c:pt>
                <c:pt idx="35" formatCode="0.0">
                  <c:v>60</c:v>
                </c:pt>
                <c:pt idx="36" formatCode="0.0">
                  <c:v>60</c:v>
                </c:pt>
                <c:pt idx="37" formatCode="0.0">
                  <c:v>60</c:v>
                </c:pt>
                <c:pt idx="38" formatCode="0.0">
                  <c:v>65</c:v>
                </c:pt>
                <c:pt idx="39" formatCode="0.0">
                  <c:v>65</c:v>
                </c:pt>
                <c:pt idx="40" formatCode="0.0">
                  <c:v>65</c:v>
                </c:pt>
                <c:pt idx="41" formatCode="0.0">
                  <c:v>66</c:v>
                </c:pt>
                <c:pt idx="42" formatCode="0.0">
                  <c:v>66</c:v>
                </c:pt>
                <c:pt idx="43" formatCode="0.0">
                  <c:v>66</c:v>
                </c:pt>
                <c:pt idx="44" formatCode="0.0">
                  <c:v>66</c:v>
                </c:pt>
                <c:pt idx="45" formatCode="0.0">
                  <c:v>66</c:v>
                </c:pt>
                <c:pt idx="46" formatCode="0.0">
                  <c:v>66.15300546448087</c:v>
                </c:pt>
                <c:pt idx="47" formatCode="0.0">
                  <c:v>66.649315068493152</c:v>
                </c:pt>
                <c:pt idx="48" formatCode="0.0">
                  <c:v>67</c:v>
                </c:pt>
                <c:pt idx="49" formatCode="0.0">
                  <c:v>67</c:v>
                </c:pt>
                <c:pt idx="50" formatCode="0.0">
                  <c:v>67</c:v>
                </c:pt>
                <c:pt idx="51" formatCode="0.0">
                  <c:v>67</c:v>
                </c:pt>
                <c:pt idx="52" formatCode="0.0">
                  <c:v>67</c:v>
                </c:pt>
                <c:pt idx="53" formatCode="0.0">
                  <c:v>67</c:v>
                </c:pt>
                <c:pt idx="54" formatCode="0.0">
                  <c:v>67</c:v>
                </c:pt>
                <c:pt idx="55" formatCode="0.0">
                  <c:v>67</c:v>
                </c:pt>
                <c:pt idx="56" formatCode="0.0">
                  <c:v>67</c:v>
                </c:pt>
                <c:pt idx="57" formatCode="0.0">
                  <c:v>67</c:v>
                </c:pt>
                <c:pt idx="58" formatCode="0.0">
                  <c:v>67</c:v>
                </c:pt>
                <c:pt idx="59" formatCode="0.0">
                  <c:v>67</c:v>
                </c:pt>
                <c:pt idx="60" formatCode="0.0">
                  <c:v>67</c:v>
                </c:pt>
                <c:pt idx="61">
                  <c:v>67</c:v>
                </c:pt>
                <c:pt idx="62">
                  <c:v>67</c:v>
                </c:pt>
                <c:pt idx="63">
                  <c:v>67</c:v>
                </c:pt>
                <c:pt idx="64">
                  <c:v>67.153424657534245</c:v>
                </c:pt>
                <c:pt idx="65">
                  <c:v>67.649315068493152</c:v>
                </c:pt>
                <c:pt idx="66">
                  <c:v>68</c:v>
                </c:pt>
                <c:pt idx="67">
                  <c:v>68</c:v>
                </c:pt>
                <c:pt idx="68">
                  <c:v>68</c:v>
                </c:pt>
                <c:pt idx="69">
                  <c:v>68</c:v>
                </c:pt>
                <c:pt idx="70">
                  <c:v>68</c:v>
                </c:pt>
                <c:pt idx="71">
                  <c:v>68</c:v>
                </c:pt>
                <c:pt idx="72">
                  <c:v>68</c:v>
                </c:pt>
                <c:pt idx="73">
                  <c:v>68</c:v>
                </c:pt>
                <c:pt idx="74">
                  <c:v>68</c:v>
                </c:pt>
                <c:pt idx="75">
                  <c:v>68</c:v>
                </c:pt>
                <c:pt idx="76">
                  <c:v>68</c:v>
                </c:pt>
                <c:pt idx="77">
                  <c:v>68</c:v>
                </c:pt>
                <c:pt idx="78">
                  <c:v>68</c:v>
                </c:pt>
                <c:pt idx="79">
                  <c:v>68</c:v>
                </c:pt>
                <c:pt idx="80">
                  <c:v>68</c:v>
                </c:pt>
              </c:numCache>
            </c:numRef>
          </c:val>
          <c:smooth val="0"/>
          <c:extLst>
            <c:ext xmlns:c16="http://schemas.microsoft.com/office/drawing/2014/chart" uri="{C3380CC4-5D6E-409C-BE32-E72D297353CC}">
              <c16:uniqueId val="{00000004-E850-417B-95DA-4ED900504230}"/>
            </c:ext>
          </c:extLst>
        </c:ser>
        <c:dLbls>
          <c:showLegendKey val="0"/>
          <c:showVal val="0"/>
          <c:showCatName val="0"/>
          <c:showSerName val="0"/>
          <c:showPercent val="0"/>
          <c:showBubbleSize val="0"/>
        </c:dLbls>
        <c:marker val="1"/>
        <c:smooth val="0"/>
        <c:axId val="1510036496"/>
        <c:axId val="1510040240"/>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10"/>
        <c:noMultiLvlLbl val="0"/>
      </c:catAx>
      <c:valAx>
        <c:axId val="263608576"/>
        <c:scaling>
          <c:orientation val="minMax"/>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valAx>
        <c:axId val="1510040240"/>
        <c:scaling>
          <c:orientation val="minMax"/>
        </c:scaling>
        <c:delete val="0"/>
        <c:axPos val="r"/>
        <c:numFmt formatCode="General" sourceLinked="1"/>
        <c:majorTickMark val="out"/>
        <c:minorTickMark val="none"/>
        <c:tickLblPos val="nextTo"/>
        <c:spPr>
          <a:ln>
            <a:solidFill>
              <a:srgbClr val="495057"/>
            </a:solidFill>
          </a:ln>
        </c:spPr>
        <c:txPr>
          <a:bodyPr/>
          <a:lstStyle/>
          <a:p>
            <a:pPr>
              <a:defRPr sz="1800">
                <a:solidFill>
                  <a:srgbClr val="495057"/>
                </a:solidFill>
                <a:latin typeface="Segoe UI"/>
                <a:ea typeface="Segoe UI"/>
                <a:cs typeface="Segoe UI"/>
              </a:defRPr>
            </a:pPr>
            <a:endParaRPr lang="en-US"/>
          </a:p>
        </c:txPr>
        <c:crossAx val="1510036496"/>
        <c:crosses val="max"/>
        <c:crossBetween val="midCat"/>
      </c:valAx>
      <c:catAx>
        <c:axId val="1510036496"/>
        <c:scaling>
          <c:orientation val="minMax"/>
        </c:scaling>
        <c:delete val="1"/>
        <c:axPos val="t"/>
        <c:numFmt formatCode="General" sourceLinked="1"/>
        <c:majorTickMark val="out"/>
        <c:minorTickMark val="none"/>
        <c:tickLblPos val="nextTo"/>
        <c:crossAx val="1510040240"/>
        <c:crosses val="max"/>
        <c:auto val="1"/>
        <c:lblAlgn val="ctr"/>
        <c:lblOffset val="100"/>
        <c:noMultiLvlLbl val="0"/>
      </c:catAx>
      <c:spPr>
        <a:noFill/>
        <a:ln w="25400">
          <a:noFill/>
        </a:ln>
      </c:spPr>
    </c:plotArea>
    <c:legend>
      <c:legendPos val="t"/>
      <c:layout>
        <c:manualLayout>
          <c:xMode val="edge"/>
          <c:yMode val="edge"/>
          <c:x val="6.883366697806842E-2"/>
          <c:y val="0.70521469518859714"/>
          <c:w val="0.48220211456618772"/>
          <c:h val="0.15091789163748298"/>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8335305544434066E-2"/>
          <c:y val="0.14725688325786473"/>
          <c:w val="0.88607132583003401"/>
          <c:h val="0.71318700601518292"/>
        </c:manualLayout>
      </c:layout>
      <c:lineChart>
        <c:grouping val="standard"/>
        <c:varyColors val="0"/>
        <c:ser>
          <c:idx val="0"/>
          <c:order val="0"/>
          <c:tx>
            <c:strRef>
              <c:f>'Chart Data'!$EB$3</c:f>
              <c:strCache>
                <c:ptCount val="1"/>
                <c:pt idx="0">
                  <c:v>% of inactive</c:v>
                </c:pt>
              </c:strCache>
            </c:strRef>
          </c:tx>
          <c:spPr>
            <a:ln w="38100">
              <a:solidFill>
                <a:srgbClr val="BD1B21"/>
              </a:solidFill>
            </a:ln>
          </c:spPr>
          <c:marker>
            <c:symbol val="none"/>
          </c:marker>
          <c:cat>
            <c:numRef>
              <c:f>'Chart Data'!$EA$4:$EA$399</c:f>
              <c:numCache>
                <c:formatCode>m/d/yyyy</c:formatCode>
                <c:ptCount val="396"/>
                <c:pt idx="0">
                  <c:v>33970</c:v>
                </c:pt>
                <c:pt idx="1">
                  <c:v>34001</c:v>
                </c:pt>
                <c:pt idx="2">
                  <c:v>34029</c:v>
                </c:pt>
                <c:pt idx="3">
                  <c:v>34060</c:v>
                </c:pt>
                <c:pt idx="4">
                  <c:v>34090</c:v>
                </c:pt>
                <c:pt idx="5">
                  <c:v>34121</c:v>
                </c:pt>
                <c:pt idx="6">
                  <c:v>34151</c:v>
                </c:pt>
                <c:pt idx="7">
                  <c:v>34182</c:v>
                </c:pt>
                <c:pt idx="8">
                  <c:v>34213</c:v>
                </c:pt>
                <c:pt idx="9">
                  <c:v>34243</c:v>
                </c:pt>
                <c:pt idx="10">
                  <c:v>34274</c:v>
                </c:pt>
                <c:pt idx="11">
                  <c:v>34304</c:v>
                </c:pt>
                <c:pt idx="12">
                  <c:v>34335</c:v>
                </c:pt>
                <c:pt idx="13">
                  <c:v>34366</c:v>
                </c:pt>
                <c:pt idx="14">
                  <c:v>34394</c:v>
                </c:pt>
                <c:pt idx="15">
                  <c:v>34425</c:v>
                </c:pt>
                <c:pt idx="16">
                  <c:v>34455</c:v>
                </c:pt>
                <c:pt idx="17">
                  <c:v>34486</c:v>
                </c:pt>
                <c:pt idx="18">
                  <c:v>34516</c:v>
                </c:pt>
                <c:pt idx="19">
                  <c:v>34547</c:v>
                </c:pt>
                <c:pt idx="20">
                  <c:v>34578</c:v>
                </c:pt>
                <c:pt idx="21">
                  <c:v>34608</c:v>
                </c:pt>
                <c:pt idx="22">
                  <c:v>34639</c:v>
                </c:pt>
                <c:pt idx="23">
                  <c:v>34669</c:v>
                </c:pt>
                <c:pt idx="24">
                  <c:v>34700</c:v>
                </c:pt>
                <c:pt idx="25">
                  <c:v>34731</c:v>
                </c:pt>
                <c:pt idx="26">
                  <c:v>34759</c:v>
                </c:pt>
                <c:pt idx="27">
                  <c:v>34790</c:v>
                </c:pt>
                <c:pt idx="28">
                  <c:v>34820</c:v>
                </c:pt>
                <c:pt idx="29">
                  <c:v>34851</c:v>
                </c:pt>
                <c:pt idx="30">
                  <c:v>34881</c:v>
                </c:pt>
                <c:pt idx="31">
                  <c:v>34912</c:v>
                </c:pt>
                <c:pt idx="32">
                  <c:v>34943</c:v>
                </c:pt>
                <c:pt idx="33">
                  <c:v>34973</c:v>
                </c:pt>
                <c:pt idx="34">
                  <c:v>35004</c:v>
                </c:pt>
                <c:pt idx="35">
                  <c:v>35034</c:v>
                </c:pt>
                <c:pt idx="36">
                  <c:v>35065</c:v>
                </c:pt>
                <c:pt idx="37">
                  <c:v>35096</c:v>
                </c:pt>
                <c:pt idx="38">
                  <c:v>35125</c:v>
                </c:pt>
                <c:pt idx="39">
                  <c:v>35156</c:v>
                </c:pt>
                <c:pt idx="40">
                  <c:v>35186</c:v>
                </c:pt>
                <c:pt idx="41">
                  <c:v>35217</c:v>
                </c:pt>
                <c:pt idx="42">
                  <c:v>35247</c:v>
                </c:pt>
                <c:pt idx="43">
                  <c:v>35278</c:v>
                </c:pt>
                <c:pt idx="44">
                  <c:v>35309</c:v>
                </c:pt>
                <c:pt idx="45">
                  <c:v>35339</c:v>
                </c:pt>
                <c:pt idx="46">
                  <c:v>35370</c:v>
                </c:pt>
                <c:pt idx="47">
                  <c:v>35400</c:v>
                </c:pt>
                <c:pt idx="48">
                  <c:v>35431</c:v>
                </c:pt>
                <c:pt idx="49">
                  <c:v>35462</c:v>
                </c:pt>
                <c:pt idx="50">
                  <c:v>35490</c:v>
                </c:pt>
                <c:pt idx="51">
                  <c:v>35521</c:v>
                </c:pt>
                <c:pt idx="52">
                  <c:v>35551</c:v>
                </c:pt>
                <c:pt idx="53">
                  <c:v>35582</c:v>
                </c:pt>
                <c:pt idx="54">
                  <c:v>35612</c:v>
                </c:pt>
                <c:pt idx="55">
                  <c:v>35643</c:v>
                </c:pt>
                <c:pt idx="56">
                  <c:v>35674</c:v>
                </c:pt>
                <c:pt idx="57">
                  <c:v>35704</c:v>
                </c:pt>
                <c:pt idx="58">
                  <c:v>35735</c:v>
                </c:pt>
                <c:pt idx="59">
                  <c:v>35765</c:v>
                </c:pt>
                <c:pt idx="60">
                  <c:v>35796</c:v>
                </c:pt>
                <c:pt idx="61">
                  <c:v>35827</c:v>
                </c:pt>
                <c:pt idx="62">
                  <c:v>35855</c:v>
                </c:pt>
                <c:pt idx="63">
                  <c:v>35886</c:v>
                </c:pt>
                <c:pt idx="64">
                  <c:v>35916</c:v>
                </c:pt>
                <c:pt idx="65">
                  <c:v>35947</c:v>
                </c:pt>
                <c:pt idx="66">
                  <c:v>35977</c:v>
                </c:pt>
                <c:pt idx="67">
                  <c:v>36008</c:v>
                </c:pt>
                <c:pt idx="68">
                  <c:v>36039</c:v>
                </c:pt>
                <c:pt idx="69">
                  <c:v>36069</c:v>
                </c:pt>
                <c:pt idx="70">
                  <c:v>36100</c:v>
                </c:pt>
                <c:pt idx="71">
                  <c:v>36130</c:v>
                </c:pt>
                <c:pt idx="72">
                  <c:v>36161</c:v>
                </c:pt>
                <c:pt idx="73">
                  <c:v>36192</c:v>
                </c:pt>
                <c:pt idx="74">
                  <c:v>36220</c:v>
                </c:pt>
                <c:pt idx="75">
                  <c:v>36251</c:v>
                </c:pt>
                <c:pt idx="76">
                  <c:v>36281</c:v>
                </c:pt>
                <c:pt idx="77">
                  <c:v>36312</c:v>
                </c:pt>
                <c:pt idx="78">
                  <c:v>36342</c:v>
                </c:pt>
                <c:pt idx="79">
                  <c:v>36373</c:v>
                </c:pt>
                <c:pt idx="80">
                  <c:v>36404</c:v>
                </c:pt>
                <c:pt idx="81">
                  <c:v>36434</c:v>
                </c:pt>
                <c:pt idx="82">
                  <c:v>36465</c:v>
                </c:pt>
                <c:pt idx="83">
                  <c:v>36495</c:v>
                </c:pt>
                <c:pt idx="84">
                  <c:v>36526</c:v>
                </c:pt>
                <c:pt idx="85">
                  <c:v>36557</c:v>
                </c:pt>
                <c:pt idx="86">
                  <c:v>36586</c:v>
                </c:pt>
                <c:pt idx="87">
                  <c:v>36617</c:v>
                </c:pt>
                <c:pt idx="88">
                  <c:v>36647</c:v>
                </c:pt>
                <c:pt idx="89">
                  <c:v>36678</c:v>
                </c:pt>
                <c:pt idx="90">
                  <c:v>36708</c:v>
                </c:pt>
                <c:pt idx="91">
                  <c:v>36739</c:v>
                </c:pt>
                <c:pt idx="92">
                  <c:v>36770</c:v>
                </c:pt>
                <c:pt idx="93">
                  <c:v>36800</c:v>
                </c:pt>
                <c:pt idx="94">
                  <c:v>36831</c:v>
                </c:pt>
                <c:pt idx="95">
                  <c:v>36861</c:v>
                </c:pt>
                <c:pt idx="96">
                  <c:v>36892</c:v>
                </c:pt>
                <c:pt idx="97">
                  <c:v>36923</c:v>
                </c:pt>
                <c:pt idx="98">
                  <c:v>36951</c:v>
                </c:pt>
                <c:pt idx="99">
                  <c:v>36982</c:v>
                </c:pt>
                <c:pt idx="100">
                  <c:v>37012</c:v>
                </c:pt>
                <c:pt idx="101">
                  <c:v>37043</c:v>
                </c:pt>
                <c:pt idx="102">
                  <c:v>37073</c:v>
                </c:pt>
                <c:pt idx="103">
                  <c:v>37104</c:v>
                </c:pt>
                <c:pt idx="104">
                  <c:v>37135</c:v>
                </c:pt>
                <c:pt idx="105">
                  <c:v>37165</c:v>
                </c:pt>
                <c:pt idx="106">
                  <c:v>37196</c:v>
                </c:pt>
                <c:pt idx="107">
                  <c:v>37226</c:v>
                </c:pt>
                <c:pt idx="108">
                  <c:v>37257</c:v>
                </c:pt>
                <c:pt idx="109">
                  <c:v>37288</c:v>
                </c:pt>
                <c:pt idx="110">
                  <c:v>37316</c:v>
                </c:pt>
                <c:pt idx="111">
                  <c:v>37347</c:v>
                </c:pt>
                <c:pt idx="112">
                  <c:v>37377</c:v>
                </c:pt>
                <c:pt idx="113">
                  <c:v>37408</c:v>
                </c:pt>
                <c:pt idx="114">
                  <c:v>37438</c:v>
                </c:pt>
                <c:pt idx="115">
                  <c:v>37469</c:v>
                </c:pt>
                <c:pt idx="116">
                  <c:v>37500</c:v>
                </c:pt>
                <c:pt idx="117">
                  <c:v>37530</c:v>
                </c:pt>
                <c:pt idx="118">
                  <c:v>37561</c:v>
                </c:pt>
                <c:pt idx="119">
                  <c:v>37591</c:v>
                </c:pt>
                <c:pt idx="120">
                  <c:v>37622</c:v>
                </c:pt>
                <c:pt idx="121">
                  <c:v>37653</c:v>
                </c:pt>
                <c:pt idx="122">
                  <c:v>37681</c:v>
                </c:pt>
                <c:pt idx="123">
                  <c:v>37712</c:v>
                </c:pt>
                <c:pt idx="124">
                  <c:v>37742</c:v>
                </c:pt>
                <c:pt idx="125">
                  <c:v>37773</c:v>
                </c:pt>
                <c:pt idx="126">
                  <c:v>37803</c:v>
                </c:pt>
                <c:pt idx="127">
                  <c:v>37834</c:v>
                </c:pt>
                <c:pt idx="128">
                  <c:v>37865</c:v>
                </c:pt>
                <c:pt idx="129">
                  <c:v>37895</c:v>
                </c:pt>
                <c:pt idx="130">
                  <c:v>37926</c:v>
                </c:pt>
                <c:pt idx="131">
                  <c:v>37956</c:v>
                </c:pt>
                <c:pt idx="132">
                  <c:v>37987</c:v>
                </c:pt>
                <c:pt idx="133">
                  <c:v>38018</c:v>
                </c:pt>
                <c:pt idx="134">
                  <c:v>38047</c:v>
                </c:pt>
                <c:pt idx="135">
                  <c:v>38078</c:v>
                </c:pt>
                <c:pt idx="136">
                  <c:v>38108</c:v>
                </c:pt>
                <c:pt idx="137">
                  <c:v>38139</c:v>
                </c:pt>
                <c:pt idx="138">
                  <c:v>38169</c:v>
                </c:pt>
                <c:pt idx="139">
                  <c:v>38200</c:v>
                </c:pt>
                <c:pt idx="140">
                  <c:v>38231</c:v>
                </c:pt>
                <c:pt idx="141">
                  <c:v>38261</c:v>
                </c:pt>
                <c:pt idx="142">
                  <c:v>38292</c:v>
                </c:pt>
                <c:pt idx="143">
                  <c:v>38322</c:v>
                </c:pt>
                <c:pt idx="144">
                  <c:v>38353</c:v>
                </c:pt>
                <c:pt idx="145">
                  <c:v>38384</c:v>
                </c:pt>
                <c:pt idx="146">
                  <c:v>38412</c:v>
                </c:pt>
                <c:pt idx="147">
                  <c:v>38443</c:v>
                </c:pt>
                <c:pt idx="148">
                  <c:v>38473</c:v>
                </c:pt>
                <c:pt idx="149">
                  <c:v>38504</c:v>
                </c:pt>
                <c:pt idx="150">
                  <c:v>38534</c:v>
                </c:pt>
                <c:pt idx="151">
                  <c:v>38565</c:v>
                </c:pt>
                <c:pt idx="152">
                  <c:v>38596</c:v>
                </c:pt>
                <c:pt idx="153">
                  <c:v>38626</c:v>
                </c:pt>
                <c:pt idx="154">
                  <c:v>38657</c:v>
                </c:pt>
                <c:pt idx="155">
                  <c:v>38687</c:v>
                </c:pt>
                <c:pt idx="156">
                  <c:v>38718</c:v>
                </c:pt>
                <c:pt idx="157">
                  <c:v>38749</c:v>
                </c:pt>
                <c:pt idx="158">
                  <c:v>38777</c:v>
                </c:pt>
                <c:pt idx="159">
                  <c:v>38808</c:v>
                </c:pt>
                <c:pt idx="160">
                  <c:v>38838</c:v>
                </c:pt>
                <c:pt idx="161">
                  <c:v>38869</c:v>
                </c:pt>
                <c:pt idx="162">
                  <c:v>38899</c:v>
                </c:pt>
                <c:pt idx="163">
                  <c:v>38930</c:v>
                </c:pt>
                <c:pt idx="164">
                  <c:v>38961</c:v>
                </c:pt>
                <c:pt idx="165">
                  <c:v>38991</c:v>
                </c:pt>
                <c:pt idx="166">
                  <c:v>39022</c:v>
                </c:pt>
                <c:pt idx="167">
                  <c:v>39052</c:v>
                </c:pt>
                <c:pt idx="168">
                  <c:v>39083</c:v>
                </c:pt>
                <c:pt idx="169">
                  <c:v>39114</c:v>
                </c:pt>
                <c:pt idx="170">
                  <c:v>39142</c:v>
                </c:pt>
                <c:pt idx="171">
                  <c:v>39173</c:v>
                </c:pt>
                <c:pt idx="172">
                  <c:v>39203</c:v>
                </c:pt>
                <c:pt idx="173">
                  <c:v>39234</c:v>
                </c:pt>
                <c:pt idx="174">
                  <c:v>39264</c:v>
                </c:pt>
                <c:pt idx="175">
                  <c:v>39295</c:v>
                </c:pt>
                <c:pt idx="176">
                  <c:v>39326</c:v>
                </c:pt>
                <c:pt idx="177">
                  <c:v>39356</c:v>
                </c:pt>
                <c:pt idx="178">
                  <c:v>39387</c:v>
                </c:pt>
                <c:pt idx="179">
                  <c:v>39417</c:v>
                </c:pt>
                <c:pt idx="180">
                  <c:v>39448</c:v>
                </c:pt>
                <c:pt idx="181">
                  <c:v>39479</c:v>
                </c:pt>
                <c:pt idx="182">
                  <c:v>39508</c:v>
                </c:pt>
                <c:pt idx="183">
                  <c:v>39539</c:v>
                </c:pt>
                <c:pt idx="184">
                  <c:v>39569</c:v>
                </c:pt>
                <c:pt idx="185">
                  <c:v>39600</c:v>
                </c:pt>
                <c:pt idx="186">
                  <c:v>39630</c:v>
                </c:pt>
                <c:pt idx="187">
                  <c:v>39661</c:v>
                </c:pt>
                <c:pt idx="188">
                  <c:v>39692</c:v>
                </c:pt>
                <c:pt idx="189">
                  <c:v>39722</c:v>
                </c:pt>
                <c:pt idx="190">
                  <c:v>39753</c:v>
                </c:pt>
                <c:pt idx="191">
                  <c:v>39783</c:v>
                </c:pt>
                <c:pt idx="192">
                  <c:v>39814</c:v>
                </c:pt>
                <c:pt idx="193">
                  <c:v>39845</c:v>
                </c:pt>
                <c:pt idx="194">
                  <c:v>39873</c:v>
                </c:pt>
                <c:pt idx="195">
                  <c:v>39904</c:v>
                </c:pt>
                <c:pt idx="196">
                  <c:v>39934</c:v>
                </c:pt>
                <c:pt idx="197">
                  <c:v>39965</c:v>
                </c:pt>
                <c:pt idx="198">
                  <c:v>39995</c:v>
                </c:pt>
                <c:pt idx="199">
                  <c:v>40026</c:v>
                </c:pt>
                <c:pt idx="200">
                  <c:v>40057</c:v>
                </c:pt>
                <c:pt idx="201">
                  <c:v>40087</c:v>
                </c:pt>
                <c:pt idx="202">
                  <c:v>40118</c:v>
                </c:pt>
                <c:pt idx="203">
                  <c:v>40148</c:v>
                </c:pt>
                <c:pt idx="204">
                  <c:v>40179</c:v>
                </c:pt>
                <c:pt idx="205">
                  <c:v>40210</c:v>
                </c:pt>
                <c:pt idx="206">
                  <c:v>40238</c:v>
                </c:pt>
                <c:pt idx="207">
                  <c:v>40269</c:v>
                </c:pt>
                <c:pt idx="208">
                  <c:v>40299</c:v>
                </c:pt>
                <c:pt idx="209">
                  <c:v>40330</c:v>
                </c:pt>
                <c:pt idx="210">
                  <c:v>40360</c:v>
                </c:pt>
                <c:pt idx="211">
                  <c:v>40391</c:v>
                </c:pt>
                <c:pt idx="212">
                  <c:v>40422</c:v>
                </c:pt>
                <c:pt idx="213">
                  <c:v>40452</c:v>
                </c:pt>
                <c:pt idx="214">
                  <c:v>40483</c:v>
                </c:pt>
                <c:pt idx="215">
                  <c:v>40513</c:v>
                </c:pt>
                <c:pt idx="216">
                  <c:v>40544</c:v>
                </c:pt>
                <c:pt idx="217">
                  <c:v>40575</c:v>
                </c:pt>
                <c:pt idx="218">
                  <c:v>40603</c:v>
                </c:pt>
                <c:pt idx="219">
                  <c:v>40634</c:v>
                </c:pt>
                <c:pt idx="220">
                  <c:v>40664</c:v>
                </c:pt>
                <c:pt idx="221">
                  <c:v>40695</c:v>
                </c:pt>
                <c:pt idx="222">
                  <c:v>40725</c:v>
                </c:pt>
                <c:pt idx="223">
                  <c:v>40756</c:v>
                </c:pt>
                <c:pt idx="224">
                  <c:v>40787</c:v>
                </c:pt>
                <c:pt idx="225">
                  <c:v>40817</c:v>
                </c:pt>
                <c:pt idx="226">
                  <c:v>40848</c:v>
                </c:pt>
                <c:pt idx="227">
                  <c:v>40878</c:v>
                </c:pt>
                <c:pt idx="228">
                  <c:v>40909</c:v>
                </c:pt>
                <c:pt idx="229">
                  <c:v>40940</c:v>
                </c:pt>
                <c:pt idx="230">
                  <c:v>40969</c:v>
                </c:pt>
                <c:pt idx="231">
                  <c:v>41000</c:v>
                </c:pt>
                <c:pt idx="232">
                  <c:v>41030</c:v>
                </c:pt>
                <c:pt idx="233">
                  <c:v>41061</c:v>
                </c:pt>
                <c:pt idx="234">
                  <c:v>41091</c:v>
                </c:pt>
                <c:pt idx="235">
                  <c:v>41122</c:v>
                </c:pt>
                <c:pt idx="236">
                  <c:v>41153</c:v>
                </c:pt>
                <c:pt idx="237">
                  <c:v>41183</c:v>
                </c:pt>
                <c:pt idx="238">
                  <c:v>41214</c:v>
                </c:pt>
                <c:pt idx="239">
                  <c:v>41244</c:v>
                </c:pt>
                <c:pt idx="240">
                  <c:v>41275</c:v>
                </c:pt>
                <c:pt idx="241">
                  <c:v>41306</c:v>
                </c:pt>
                <c:pt idx="242">
                  <c:v>41334</c:v>
                </c:pt>
                <c:pt idx="243">
                  <c:v>41365</c:v>
                </c:pt>
                <c:pt idx="244">
                  <c:v>41395</c:v>
                </c:pt>
                <c:pt idx="245">
                  <c:v>41426</c:v>
                </c:pt>
                <c:pt idx="246">
                  <c:v>41456</c:v>
                </c:pt>
                <c:pt idx="247">
                  <c:v>41487</c:v>
                </c:pt>
                <c:pt idx="248">
                  <c:v>41518</c:v>
                </c:pt>
                <c:pt idx="249">
                  <c:v>41548</c:v>
                </c:pt>
                <c:pt idx="250">
                  <c:v>41579</c:v>
                </c:pt>
                <c:pt idx="251">
                  <c:v>41609</c:v>
                </c:pt>
                <c:pt idx="252">
                  <c:v>41640</c:v>
                </c:pt>
                <c:pt idx="253">
                  <c:v>41671</c:v>
                </c:pt>
                <c:pt idx="254">
                  <c:v>41699</c:v>
                </c:pt>
                <c:pt idx="255">
                  <c:v>41730</c:v>
                </c:pt>
                <c:pt idx="256">
                  <c:v>41760</c:v>
                </c:pt>
                <c:pt idx="257">
                  <c:v>41791</c:v>
                </c:pt>
                <c:pt idx="258">
                  <c:v>41821</c:v>
                </c:pt>
                <c:pt idx="259">
                  <c:v>41852</c:v>
                </c:pt>
                <c:pt idx="260">
                  <c:v>41883</c:v>
                </c:pt>
                <c:pt idx="261">
                  <c:v>41913</c:v>
                </c:pt>
                <c:pt idx="262">
                  <c:v>41944</c:v>
                </c:pt>
                <c:pt idx="263">
                  <c:v>41974</c:v>
                </c:pt>
                <c:pt idx="264">
                  <c:v>42005</c:v>
                </c:pt>
                <c:pt idx="265">
                  <c:v>42036</c:v>
                </c:pt>
                <c:pt idx="266">
                  <c:v>42064</c:v>
                </c:pt>
                <c:pt idx="267">
                  <c:v>42095</c:v>
                </c:pt>
                <c:pt idx="268">
                  <c:v>42125</c:v>
                </c:pt>
                <c:pt idx="269">
                  <c:v>42156</c:v>
                </c:pt>
                <c:pt idx="270">
                  <c:v>42186</c:v>
                </c:pt>
                <c:pt idx="271">
                  <c:v>42217</c:v>
                </c:pt>
                <c:pt idx="272">
                  <c:v>42248</c:v>
                </c:pt>
                <c:pt idx="273">
                  <c:v>42278</c:v>
                </c:pt>
                <c:pt idx="274">
                  <c:v>42309</c:v>
                </c:pt>
                <c:pt idx="275">
                  <c:v>42339</c:v>
                </c:pt>
                <c:pt idx="276">
                  <c:v>42370</c:v>
                </c:pt>
                <c:pt idx="277">
                  <c:v>42401</c:v>
                </c:pt>
                <c:pt idx="278">
                  <c:v>42430</c:v>
                </c:pt>
                <c:pt idx="279">
                  <c:v>42461</c:v>
                </c:pt>
                <c:pt idx="280">
                  <c:v>42491</c:v>
                </c:pt>
                <c:pt idx="281">
                  <c:v>42522</c:v>
                </c:pt>
                <c:pt idx="282">
                  <c:v>42552</c:v>
                </c:pt>
                <c:pt idx="283">
                  <c:v>42583</c:v>
                </c:pt>
                <c:pt idx="284">
                  <c:v>42614</c:v>
                </c:pt>
                <c:pt idx="285">
                  <c:v>42644</c:v>
                </c:pt>
                <c:pt idx="286">
                  <c:v>42675</c:v>
                </c:pt>
                <c:pt idx="287">
                  <c:v>42705</c:v>
                </c:pt>
                <c:pt idx="288">
                  <c:v>42736</c:v>
                </c:pt>
                <c:pt idx="289">
                  <c:v>42767</c:v>
                </c:pt>
                <c:pt idx="290">
                  <c:v>42795</c:v>
                </c:pt>
                <c:pt idx="291">
                  <c:v>42826</c:v>
                </c:pt>
                <c:pt idx="292">
                  <c:v>42856</c:v>
                </c:pt>
                <c:pt idx="293">
                  <c:v>42887</c:v>
                </c:pt>
                <c:pt idx="294">
                  <c:v>42917</c:v>
                </c:pt>
                <c:pt idx="295">
                  <c:v>42948</c:v>
                </c:pt>
                <c:pt idx="296">
                  <c:v>42979</c:v>
                </c:pt>
                <c:pt idx="297">
                  <c:v>43009</c:v>
                </c:pt>
                <c:pt idx="298">
                  <c:v>43040</c:v>
                </c:pt>
                <c:pt idx="299">
                  <c:v>43070</c:v>
                </c:pt>
                <c:pt idx="300">
                  <c:v>43101</c:v>
                </c:pt>
                <c:pt idx="301">
                  <c:v>43132</c:v>
                </c:pt>
                <c:pt idx="302">
                  <c:v>43160</c:v>
                </c:pt>
                <c:pt idx="303">
                  <c:v>43191</c:v>
                </c:pt>
                <c:pt idx="304">
                  <c:v>43221</c:v>
                </c:pt>
                <c:pt idx="305">
                  <c:v>43252</c:v>
                </c:pt>
                <c:pt idx="306">
                  <c:v>43282</c:v>
                </c:pt>
                <c:pt idx="307">
                  <c:v>43313</c:v>
                </c:pt>
                <c:pt idx="308">
                  <c:v>43344</c:v>
                </c:pt>
                <c:pt idx="309">
                  <c:v>43374</c:v>
                </c:pt>
                <c:pt idx="310">
                  <c:v>43405</c:v>
                </c:pt>
                <c:pt idx="311">
                  <c:v>43435</c:v>
                </c:pt>
                <c:pt idx="312">
                  <c:v>43466</c:v>
                </c:pt>
                <c:pt idx="313">
                  <c:v>43497</c:v>
                </c:pt>
                <c:pt idx="314">
                  <c:v>43525</c:v>
                </c:pt>
                <c:pt idx="315">
                  <c:v>43556</c:v>
                </c:pt>
                <c:pt idx="316">
                  <c:v>43586</c:v>
                </c:pt>
                <c:pt idx="317">
                  <c:v>43617</c:v>
                </c:pt>
                <c:pt idx="318">
                  <c:v>43647</c:v>
                </c:pt>
                <c:pt idx="319">
                  <c:v>43678</c:v>
                </c:pt>
                <c:pt idx="320">
                  <c:v>43709</c:v>
                </c:pt>
                <c:pt idx="321">
                  <c:v>43739</c:v>
                </c:pt>
                <c:pt idx="322">
                  <c:v>43770</c:v>
                </c:pt>
                <c:pt idx="323">
                  <c:v>43800</c:v>
                </c:pt>
                <c:pt idx="324">
                  <c:v>43831</c:v>
                </c:pt>
                <c:pt idx="325">
                  <c:v>43862</c:v>
                </c:pt>
                <c:pt idx="326">
                  <c:v>43891</c:v>
                </c:pt>
                <c:pt idx="327">
                  <c:v>43922</c:v>
                </c:pt>
                <c:pt idx="328">
                  <c:v>43952</c:v>
                </c:pt>
                <c:pt idx="329">
                  <c:v>43983</c:v>
                </c:pt>
                <c:pt idx="330">
                  <c:v>44013</c:v>
                </c:pt>
                <c:pt idx="331">
                  <c:v>44044</c:v>
                </c:pt>
                <c:pt idx="332">
                  <c:v>44075</c:v>
                </c:pt>
                <c:pt idx="333">
                  <c:v>44105</c:v>
                </c:pt>
                <c:pt idx="334">
                  <c:v>44136</c:v>
                </c:pt>
                <c:pt idx="335">
                  <c:v>44166</c:v>
                </c:pt>
                <c:pt idx="336">
                  <c:v>44197</c:v>
                </c:pt>
                <c:pt idx="337">
                  <c:v>44228</c:v>
                </c:pt>
                <c:pt idx="338">
                  <c:v>44256</c:v>
                </c:pt>
                <c:pt idx="339">
                  <c:v>44287</c:v>
                </c:pt>
                <c:pt idx="340">
                  <c:v>44317</c:v>
                </c:pt>
                <c:pt idx="341">
                  <c:v>44348</c:v>
                </c:pt>
                <c:pt idx="342">
                  <c:v>44378</c:v>
                </c:pt>
                <c:pt idx="343">
                  <c:v>44409</c:v>
                </c:pt>
                <c:pt idx="344">
                  <c:v>44440</c:v>
                </c:pt>
                <c:pt idx="345">
                  <c:v>44470</c:v>
                </c:pt>
                <c:pt idx="346">
                  <c:v>44501</c:v>
                </c:pt>
                <c:pt idx="347">
                  <c:v>44531</c:v>
                </c:pt>
                <c:pt idx="348">
                  <c:v>44562</c:v>
                </c:pt>
                <c:pt idx="349">
                  <c:v>44593</c:v>
                </c:pt>
                <c:pt idx="350">
                  <c:v>44621</c:v>
                </c:pt>
                <c:pt idx="351">
                  <c:v>44652</c:v>
                </c:pt>
                <c:pt idx="352">
                  <c:v>44682</c:v>
                </c:pt>
                <c:pt idx="353">
                  <c:v>44713</c:v>
                </c:pt>
                <c:pt idx="354">
                  <c:v>44743</c:v>
                </c:pt>
                <c:pt idx="355">
                  <c:v>44774</c:v>
                </c:pt>
                <c:pt idx="356">
                  <c:v>44805</c:v>
                </c:pt>
                <c:pt idx="357">
                  <c:v>44835</c:v>
                </c:pt>
                <c:pt idx="358">
                  <c:v>44866</c:v>
                </c:pt>
                <c:pt idx="359">
                  <c:v>44896</c:v>
                </c:pt>
                <c:pt idx="360">
                  <c:v>44927</c:v>
                </c:pt>
                <c:pt idx="361">
                  <c:v>44958</c:v>
                </c:pt>
                <c:pt idx="362">
                  <c:v>44986</c:v>
                </c:pt>
                <c:pt idx="363">
                  <c:v>45017</c:v>
                </c:pt>
                <c:pt idx="364">
                  <c:v>45047</c:v>
                </c:pt>
                <c:pt idx="365">
                  <c:v>45078</c:v>
                </c:pt>
                <c:pt idx="366">
                  <c:v>45108</c:v>
                </c:pt>
                <c:pt idx="367">
                  <c:v>45139</c:v>
                </c:pt>
                <c:pt idx="368">
                  <c:v>45170</c:v>
                </c:pt>
                <c:pt idx="369">
                  <c:v>45200</c:v>
                </c:pt>
                <c:pt idx="370">
                  <c:v>45231</c:v>
                </c:pt>
                <c:pt idx="371">
                  <c:v>45261</c:v>
                </c:pt>
                <c:pt idx="372">
                  <c:v>45292</c:v>
                </c:pt>
                <c:pt idx="373">
                  <c:v>45323</c:v>
                </c:pt>
                <c:pt idx="374">
                  <c:v>45352</c:v>
                </c:pt>
                <c:pt idx="375">
                  <c:v>45383</c:v>
                </c:pt>
                <c:pt idx="376">
                  <c:v>45413</c:v>
                </c:pt>
                <c:pt idx="377">
                  <c:v>45444</c:v>
                </c:pt>
                <c:pt idx="378">
                  <c:v>45474</c:v>
                </c:pt>
                <c:pt idx="379">
                  <c:v>45505</c:v>
                </c:pt>
                <c:pt idx="380">
                  <c:v>45536</c:v>
                </c:pt>
                <c:pt idx="381">
                  <c:v>45566</c:v>
                </c:pt>
                <c:pt idx="382">
                  <c:v>45597</c:v>
                </c:pt>
                <c:pt idx="383">
                  <c:v>45627</c:v>
                </c:pt>
                <c:pt idx="384">
                  <c:v>45658</c:v>
                </c:pt>
                <c:pt idx="385">
                  <c:v>45689</c:v>
                </c:pt>
                <c:pt idx="386">
                  <c:v>45717</c:v>
                </c:pt>
                <c:pt idx="387">
                  <c:v>45748</c:v>
                </c:pt>
                <c:pt idx="388">
                  <c:v>45778</c:v>
                </c:pt>
                <c:pt idx="389">
                  <c:v>45809</c:v>
                </c:pt>
                <c:pt idx="390">
                  <c:v>45839</c:v>
                </c:pt>
                <c:pt idx="391">
                  <c:v>45870</c:v>
                </c:pt>
                <c:pt idx="392">
                  <c:v>45901</c:v>
                </c:pt>
                <c:pt idx="393">
                  <c:v>45931</c:v>
                </c:pt>
                <c:pt idx="394">
                  <c:v>45962</c:v>
                </c:pt>
                <c:pt idx="395">
                  <c:v>45992</c:v>
                </c:pt>
              </c:numCache>
            </c:numRef>
          </c:cat>
          <c:val>
            <c:numRef>
              <c:f>'Chart Data'!$EB$4:$EB$399</c:f>
              <c:numCache>
                <c:formatCode>0.0</c:formatCode>
                <c:ptCount val="396"/>
                <c:pt idx="3">
                  <c:v>21.187332008881619</c:v>
                </c:pt>
                <c:pt idx="4">
                  <c:v>21.412726211325161</c:v>
                </c:pt>
                <c:pt idx="5">
                  <c:v>21.681260945709283</c:v>
                </c:pt>
                <c:pt idx="6">
                  <c:v>21.949802463397631</c:v>
                </c:pt>
                <c:pt idx="7">
                  <c:v>21.950367004543867</c:v>
                </c:pt>
                <c:pt idx="8">
                  <c:v>22.187281621243883</c:v>
                </c:pt>
                <c:pt idx="9">
                  <c:v>22.563744324135524</c:v>
                </c:pt>
                <c:pt idx="10">
                  <c:v>22.481071636575422</c:v>
                </c:pt>
                <c:pt idx="11">
                  <c:v>22.434478741991846</c:v>
                </c:pt>
                <c:pt idx="12">
                  <c:v>22.336089437521835</c:v>
                </c:pt>
                <c:pt idx="13">
                  <c:v>22.272727272727273</c:v>
                </c:pt>
                <c:pt idx="14">
                  <c:v>22.57162823200559</c:v>
                </c:pt>
                <c:pt idx="15">
                  <c:v>22.539793191588242</c:v>
                </c:pt>
                <c:pt idx="16">
                  <c:v>22.629260375608627</c:v>
                </c:pt>
                <c:pt idx="17">
                  <c:v>22.558139534883718</c:v>
                </c:pt>
                <c:pt idx="18">
                  <c:v>22.628160519601021</c:v>
                </c:pt>
                <c:pt idx="19">
                  <c:v>22.804581742450537</c:v>
                </c:pt>
                <c:pt idx="20">
                  <c:v>22.978576364892884</c:v>
                </c:pt>
                <c:pt idx="21">
                  <c:v>23.105148492145396</c:v>
                </c:pt>
                <c:pt idx="22">
                  <c:v>23.182285127268575</c:v>
                </c:pt>
                <c:pt idx="23">
                  <c:v>23.554798409994319</c:v>
                </c:pt>
                <c:pt idx="24">
                  <c:v>23.656895175088401</c:v>
                </c:pt>
                <c:pt idx="25">
                  <c:v>23.809523809523807</c:v>
                </c:pt>
                <c:pt idx="26">
                  <c:v>23.821539167335704</c:v>
                </c:pt>
                <c:pt idx="27">
                  <c:v>24.216327936617294</c:v>
                </c:pt>
                <c:pt idx="28">
                  <c:v>24.320293679018011</c:v>
                </c:pt>
                <c:pt idx="29">
                  <c:v>24.358531814520767</c:v>
                </c:pt>
                <c:pt idx="30">
                  <c:v>24.500404297100612</c:v>
                </c:pt>
                <c:pt idx="31">
                  <c:v>24.667514744998265</c:v>
                </c:pt>
                <c:pt idx="32">
                  <c:v>24.702208858563662</c:v>
                </c:pt>
                <c:pt idx="33">
                  <c:v>24.708328520272612</c:v>
                </c:pt>
                <c:pt idx="34">
                  <c:v>24.898762003933818</c:v>
                </c:pt>
                <c:pt idx="35">
                  <c:v>24.886877828054299</c:v>
                </c:pt>
                <c:pt idx="36">
                  <c:v>24.979761767086849</c:v>
                </c:pt>
                <c:pt idx="37">
                  <c:v>24.919429097605892</c:v>
                </c:pt>
                <c:pt idx="38">
                  <c:v>24.922190201729105</c:v>
                </c:pt>
                <c:pt idx="39">
                  <c:v>25.349186194159067</c:v>
                </c:pt>
                <c:pt idx="40">
                  <c:v>25.288284132841326</c:v>
                </c:pt>
                <c:pt idx="41">
                  <c:v>25.490646160908987</c:v>
                </c:pt>
                <c:pt idx="42">
                  <c:v>25.680486964511314</c:v>
                </c:pt>
                <c:pt idx="43">
                  <c:v>25.992655496901541</c:v>
                </c:pt>
                <c:pt idx="44">
                  <c:v>26.1767420396862</c:v>
                </c:pt>
                <c:pt idx="45">
                  <c:v>26.235389422520544</c:v>
                </c:pt>
                <c:pt idx="46">
                  <c:v>26.570438799076214</c:v>
                </c:pt>
                <c:pt idx="47">
                  <c:v>26.725929346571231</c:v>
                </c:pt>
                <c:pt idx="48">
                  <c:v>26.816029564614851</c:v>
                </c:pt>
                <c:pt idx="49">
                  <c:v>26.766743648960738</c:v>
                </c:pt>
                <c:pt idx="50">
                  <c:v>26.701328711727324</c:v>
                </c:pt>
                <c:pt idx="51">
                  <c:v>26.704414143748558</c:v>
                </c:pt>
                <c:pt idx="52">
                  <c:v>26.5054638456173</c:v>
                </c:pt>
                <c:pt idx="53">
                  <c:v>26.59698025551684</c:v>
                </c:pt>
                <c:pt idx="54">
                  <c:v>26.724336793540949</c:v>
                </c:pt>
                <c:pt idx="55">
                  <c:v>26.786330686917502</c:v>
                </c:pt>
                <c:pt idx="56">
                  <c:v>26.678911720812764</c:v>
                </c:pt>
                <c:pt idx="57">
                  <c:v>26.736190694476274</c:v>
                </c:pt>
                <c:pt idx="58">
                  <c:v>26.83903443541929</c:v>
                </c:pt>
                <c:pt idx="59">
                  <c:v>26.506024096385545</c:v>
                </c:pt>
                <c:pt idx="60">
                  <c:v>26.8534335497096</c:v>
                </c:pt>
                <c:pt idx="61">
                  <c:v>27.028258887876028</c:v>
                </c:pt>
                <c:pt idx="62">
                  <c:v>27.169209747210203</c:v>
                </c:pt>
                <c:pt idx="63">
                  <c:v>26.942298955020444</c:v>
                </c:pt>
                <c:pt idx="64">
                  <c:v>26.867196367763906</c:v>
                </c:pt>
                <c:pt idx="65">
                  <c:v>27.210418094585332</c:v>
                </c:pt>
                <c:pt idx="66">
                  <c:v>27.21002414070583</c:v>
                </c:pt>
                <c:pt idx="67">
                  <c:v>27.164316018805184</c:v>
                </c:pt>
                <c:pt idx="68">
                  <c:v>27.236146240515062</c:v>
                </c:pt>
                <c:pt idx="69">
                  <c:v>27.096550928596148</c:v>
                </c:pt>
                <c:pt idx="70">
                  <c:v>27.014873746108613</c:v>
                </c:pt>
                <c:pt idx="71">
                  <c:v>27.006029684601113</c:v>
                </c:pt>
                <c:pt idx="72">
                  <c:v>26.939580192508405</c:v>
                </c:pt>
                <c:pt idx="73">
                  <c:v>27.032967032967033</c:v>
                </c:pt>
                <c:pt idx="74">
                  <c:v>27.221324717285945</c:v>
                </c:pt>
                <c:pt idx="75">
                  <c:v>27.108503049131283</c:v>
                </c:pt>
                <c:pt idx="76">
                  <c:v>27.049746660525102</c:v>
                </c:pt>
                <c:pt idx="77">
                  <c:v>26.935020126509489</c:v>
                </c:pt>
                <c:pt idx="78">
                  <c:v>26.837134300852338</c:v>
                </c:pt>
                <c:pt idx="79">
                  <c:v>27.015477015477014</c:v>
                </c:pt>
                <c:pt idx="80">
                  <c:v>26.728799907950751</c:v>
                </c:pt>
                <c:pt idx="81">
                  <c:v>26.648160999306036</c:v>
                </c:pt>
                <c:pt idx="82">
                  <c:v>26.485922836287802</c:v>
                </c:pt>
                <c:pt idx="83">
                  <c:v>26.50086755349913</c:v>
                </c:pt>
                <c:pt idx="84">
                  <c:v>26.43704642322313</c:v>
                </c:pt>
                <c:pt idx="85">
                  <c:v>26.658959537572251</c:v>
                </c:pt>
                <c:pt idx="86">
                  <c:v>26.722145168747108</c:v>
                </c:pt>
                <c:pt idx="87">
                  <c:v>26.646602616043523</c:v>
                </c:pt>
                <c:pt idx="88">
                  <c:v>26.412918108419838</c:v>
                </c:pt>
                <c:pt idx="89">
                  <c:v>26.359447004608295</c:v>
                </c:pt>
                <c:pt idx="90">
                  <c:v>26.535315128471019</c:v>
                </c:pt>
                <c:pt idx="91">
                  <c:v>26.615969581749049</c:v>
                </c:pt>
                <c:pt idx="92">
                  <c:v>26.619200734956362</c:v>
                </c:pt>
                <c:pt idx="93">
                  <c:v>26.831491397971973</c:v>
                </c:pt>
                <c:pt idx="94">
                  <c:v>26.675022789425707</c:v>
                </c:pt>
                <c:pt idx="95">
                  <c:v>26.804360298336199</c:v>
                </c:pt>
                <c:pt idx="96">
                  <c:v>26.739130434782609</c:v>
                </c:pt>
                <c:pt idx="97">
                  <c:v>26.677298097733228</c:v>
                </c:pt>
                <c:pt idx="98">
                  <c:v>26.650728597449909</c:v>
                </c:pt>
                <c:pt idx="99">
                  <c:v>26.681054066333488</c:v>
                </c:pt>
                <c:pt idx="100">
                  <c:v>26.620423015692516</c:v>
                </c:pt>
                <c:pt idx="101">
                  <c:v>26.751952903883165</c:v>
                </c:pt>
                <c:pt idx="102">
                  <c:v>26.814058956916099</c:v>
                </c:pt>
                <c:pt idx="103">
                  <c:v>26.794799321650647</c:v>
                </c:pt>
                <c:pt idx="104">
                  <c:v>27.023056057866185</c:v>
                </c:pt>
                <c:pt idx="105">
                  <c:v>27.066560834561741</c:v>
                </c:pt>
                <c:pt idx="106">
                  <c:v>27.057087731245034</c:v>
                </c:pt>
                <c:pt idx="107">
                  <c:v>26.909624280717594</c:v>
                </c:pt>
                <c:pt idx="108">
                  <c:v>26.824324324324323</c:v>
                </c:pt>
                <c:pt idx="109">
                  <c:v>26.837780029269393</c:v>
                </c:pt>
                <c:pt idx="110">
                  <c:v>26.711166421540899</c:v>
                </c:pt>
                <c:pt idx="111">
                  <c:v>26.877694576809617</c:v>
                </c:pt>
                <c:pt idx="112">
                  <c:v>26.804357694053564</c:v>
                </c:pt>
                <c:pt idx="113">
                  <c:v>26.663653824426621</c:v>
                </c:pt>
                <c:pt idx="114">
                  <c:v>26.288308740068107</c:v>
                </c:pt>
                <c:pt idx="115">
                  <c:v>26.141643059490082</c:v>
                </c:pt>
                <c:pt idx="116">
                  <c:v>26.101309049516217</c:v>
                </c:pt>
                <c:pt idx="117">
                  <c:v>26.072607260726073</c:v>
                </c:pt>
                <c:pt idx="118">
                  <c:v>26.020059266013224</c:v>
                </c:pt>
                <c:pt idx="119">
                  <c:v>26.120329608307934</c:v>
                </c:pt>
                <c:pt idx="120">
                  <c:v>26.165803108808287</c:v>
                </c:pt>
                <c:pt idx="121">
                  <c:v>26.06485142921704</c:v>
                </c:pt>
                <c:pt idx="122">
                  <c:v>25.802078626299142</c:v>
                </c:pt>
                <c:pt idx="123">
                  <c:v>25.649423989157444</c:v>
                </c:pt>
                <c:pt idx="124">
                  <c:v>25.527831094049901</c:v>
                </c:pt>
                <c:pt idx="125">
                  <c:v>25.605340574790674</c:v>
                </c:pt>
                <c:pt idx="126">
                  <c:v>25.422392430727641</c:v>
                </c:pt>
                <c:pt idx="127">
                  <c:v>25.523766614102279</c:v>
                </c:pt>
                <c:pt idx="128">
                  <c:v>25.764044943820224</c:v>
                </c:pt>
                <c:pt idx="129">
                  <c:v>25.764877283424859</c:v>
                </c:pt>
                <c:pt idx="130">
                  <c:v>25.706624958105241</c:v>
                </c:pt>
                <c:pt idx="131">
                  <c:v>25.570930363370458</c:v>
                </c:pt>
                <c:pt idx="132">
                  <c:v>25.60549735270925</c:v>
                </c:pt>
                <c:pt idx="133">
                  <c:v>25.6355455568054</c:v>
                </c:pt>
                <c:pt idx="134">
                  <c:v>25.820912249243527</c:v>
                </c:pt>
                <c:pt idx="135">
                  <c:v>25.821963766495195</c:v>
                </c:pt>
                <c:pt idx="136">
                  <c:v>25.819763551193397</c:v>
                </c:pt>
                <c:pt idx="137">
                  <c:v>25.769188048428305</c:v>
                </c:pt>
                <c:pt idx="138">
                  <c:v>25.87428065515715</c:v>
                </c:pt>
                <c:pt idx="139">
                  <c:v>25.905415882157492</c:v>
                </c:pt>
                <c:pt idx="140">
                  <c:v>25.696594427244584</c:v>
                </c:pt>
                <c:pt idx="141">
                  <c:v>25.722543352601157</c:v>
                </c:pt>
                <c:pt idx="142">
                  <c:v>25.70759973256073</c:v>
                </c:pt>
                <c:pt idx="143">
                  <c:v>25.586068318821166</c:v>
                </c:pt>
                <c:pt idx="144">
                  <c:v>25.602781204440955</c:v>
                </c:pt>
                <c:pt idx="145">
                  <c:v>25.408651173134661</c:v>
                </c:pt>
                <c:pt idx="146">
                  <c:v>25.687161938403797</c:v>
                </c:pt>
                <c:pt idx="147">
                  <c:v>25.516175333995804</c:v>
                </c:pt>
                <c:pt idx="148">
                  <c:v>25.319805910895454</c:v>
                </c:pt>
                <c:pt idx="149">
                  <c:v>25</c:v>
                </c:pt>
                <c:pt idx="150">
                  <c:v>24.930931594651344</c:v>
                </c:pt>
                <c:pt idx="151">
                  <c:v>24.86175624861756</c:v>
                </c:pt>
                <c:pt idx="152">
                  <c:v>25.049767750497676</c:v>
                </c:pt>
                <c:pt idx="153">
                  <c:v>24.950407758430682</c:v>
                </c:pt>
                <c:pt idx="154">
                  <c:v>24.823866138265082</c:v>
                </c:pt>
                <c:pt idx="155">
                  <c:v>24.757602468047597</c:v>
                </c:pt>
                <c:pt idx="156">
                  <c:v>24.700797872340424</c:v>
                </c:pt>
                <c:pt idx="157">
                  <c:v>24.752254760048991</c:v>
                </c:pt>
                <c:pt idx="158">
                  <c:v>24.684604220162999</c:v>
                </c:pt>
                <c:pt idx="159">
                  <c:v>24.88576841636019</c:v>
                </c:pt>
                <c:pt idx="160">
                  <c:v>25.050279329608937</c:v>
                </c:pt>
                <c:pt idx="161">
                  <c:v>24.941202822264533</c:v>
                </c:pt>
                <c:pt idx="162">
                  <c:v>24.716068818171596</c:v>
                </c:pt>
                <c:pt idx="163">
                  <c:v>24.43207126948775</c:v>
                </c:pt>
                <c:pt idx="164">
                  <c:v>24.59726697033663</c:v>
                </c:pt>
                <c:pt idx="165">
                  <c:v>24.651625746516256</c:v>
                </c:pt>
                <c:pt idx="166">
                  <c:v>24.654199402456566</c:v>
                </c:pt>
                <c:pt idx="167">
                  <c:v>24.399382852104914</c:v>
                </c:pt>
                <c:pt idx="168">
                  <c:v>24.586573212134489</c:v>
                </c:pt>
                <c:pt idx="169">
                  <c:v>24.516129032258064</c:v>
                </c:pt>
                <c:pt idx="170">
                  <c:v>24.546646274852524</c:v>
                </c:pt>
                <c:pt idx="171">
                  <c:v>24.235448865504768</c:v>
                </c:pt>
                <c:pt idx="172">
                  <c:v>24.110456232263697</c:v>
                </c:pt>
                <c:pt idx="173">
                  <c:v>24.121040600849025</c:v>
                </c:pt>
                <c:pt idx="174">
                  <c:v>24.10228509249184</c:v>
                </c:pt>
                <c:pt idx="175">
                  <c:v>23.978201634877383</c:v>
                </c:pt>
                <c:pt idx="176">
                  <c:v>24.002181025081789</c:v>
                </c:pt>
                <c:pt idx="177">
                  <c:v>24.070835155225186</c:v>
                </c:pt>
                <c:pt idx="178">
                  <c:v>24.275560415527611</c:v>
                </c:pt>
                <c:pt idx="179">
                  <c:v>24.384371237824233</c:v>
                </c:pt>
                <c:pt idx="180">
                  <c:v>24.324621128925983</c:v>
                </c:pt>
                <c:pt idx="181">
                  <c:v>24.359255202628695</c:v>
                </c:pt>
                <c:pt idx="182">
                  <c:v>24.403911658059556</c:v>
                </c:pt>
                <c:pt idx="183">
                  <c:v>24.068391056554141</c:v>
                </c:pt>
                <c:pt idx="184">
                  <c:v>23.822046898969976</c:v>
                </c:pt>
                <c:pt idx="185">
                  <c:v>23.814737764151978</c:v>
                </c:pt>
                <c:pt idx="186">
                  <c:v>24.017896115233523</c:v>
                </c:pt>
                <c:pt idx="187">
                  <c:v>24.283066186893468</c:v>
                </c:pt>
                <c:pt idx="188">
                  <c:v>23.867463335143942</c:v>
                </c:pt>
                <c:pt idx="189">
                  <c:v>23.875697559908087</c:v>
                </c:pt>
                <c:pt idx="190">
                  <c:v>23.550684931506851</c:v>
                </c:pt>
                <c:pt idx="191">
                  <c:v>23.85574059777214</c:v>
                </c:pt>
                <c:pt idx="192">
                  <c:v>23.808480333077682</c:v>
                </c:pt>
                <c:pt idx="193">
                  <c:v>23.707606190319392</c:v>
                </c:pt>
                <c:pt idx="194">
                  <c:v>23.409363745498197</c:v>
                </c:pt>
                <c:pt idx="195">
                  <c:v>23.379302855901834</c:v>
                </c:pt>
                <c:pt idx="196">
                  <c:v>23.185898129122958</c:v>
                </c:pt>
                <c:pt idx="197">
                  <c:v>23.147949323598883</c:v>
                </c:pt>
                <c:pt idx="198">
                  <c:v>23.447756375766708</c:v>
                </c:pt>
                <c:pt idx="199">
                  <c:v>23.483386923901392</c:v>
                </c:pt>
                <c:pt idx="200">
                  <c:v>23.221936589545844</c:v>
                </c:pt>
                <c:pt idx="201">
                  <c:v>23.283582089552237</c:v>
                </c:pt>
                <c:pt idx="202">
                  <c:v>23.182543906333155</c:v>
                </c:pt>
                <c:pt idx="203">
                  <c:v>22.950300728078506</c:v>
                </c:pt>
                <c:pt idx="204">
                  <c:v>23.018469656992085</c:v>
                </c:pt>
                <c:pt idx="205">
                  <c:v>23.242331611679141</c:v>
                </c:pt>
                <c:pt idx="206">
                  <c:v>23.45510053689862</c:v>
                </c:pt>
                <c:pt idx="207">
                  <c:v>23.672214565885721</c:v>
                </c:pt>
                <c:pt idx="208">
                  <c:v>23.777260215964429</c:v>
                </c:pt>
                <c:pt idx="209">
                  <c:v>23.839504855404972</c:v>
                </c:pt>
                <c:pt idx="210">
                  <c:v>23.745070872855166</c:v>
                </c:pt>
                <c:pt idx="211">
                  <c:v>23.740392826643895</c:v>
                </c:pt>
                <c:pt idx="212">
                  <c:v>23.659339492407348</c:v>
                </c:pt>
                <c:pt idx="213">
                  <c:v>23.478627079385134</c:v>
                </c:pt>
                <c:pt idx="214">
                  <c:v>23.51576505325319</c:v>
                </c:pt>
                <c:pt idx="215">
                  <c:v>23.367952522255191</c:v>
                </c:pt>
                <c:pt idx="216">
                  <c:v>23.164261460101869</c:v>
                </c:pt>
                <c:pt idx="217">
                  <c:v>23.16234796404019</c:v>
                </c:pt>
                <c:pt idx="218">
                  <c:v>23.041329267010202</c:v>
                </c:pt>
                <c:pt idx="219">
                  <c:v>23.159006867406234</c:v>
                </c:pt>
                <c:pt idx="220">
                  <c:v>23.146875330443059</c:v>
                </c:pt>
                <c:pt idx="221">
                  <c:v>22.95683151718357</c:v>
                </c:pt>
                <c:pt idx="222">
                  <c:v>23.044531003263501</c:v>
                </c:pt>
                <c:pt idx="223">
                  <c:v>23.071247892074197</c:v>
                </c:pt>
                <c:pt idx="224">
                  <c:v>23.105379980974526</c:v>
                </c:pt>
                <c:pt idx="225">
                  <c:v>23.084270855444704</c:v>
                </c:pt>
                <c:pt idx="226">
                  <c:v>22.723892489110803</c:v>
                </c:pt>
                <c:pt idx="227">
                  <c:v>22.53027405991077</c:v>
                </c:pt>
                <c:pt idx="228">
                  <c:v>22.905146746065505</c:v>
                </c:pt>
                <c:pt idx="229">
                  <c:v>23.019431988041852</c:v>
                </c:pt>
                <c:pt idx="230">
                  <c:v>23.095849379546426</c:v>
                </c:pt>
                <c:pt idx="231">
                  <c:v>23.228853585229711</c:v>
                </c:pt>
                <c:pt idx="232">
                  <c:v>23.17773204808838</c:v>
                </c:pt>
                <c:pt idx="233">
                  <c:v>23.226582140124606</c:v>
                </c:pt>
                <c:pt idx="234">
                  <c:v>22.6250272985368</c:v>
                </c:pt>
                <c:pt idx="235">
                  <c:v>22.47142079477409</c:v>
                </c:pt>
                <c:pt idx="236">
                  <c:v>22.642942389063688</c:v>
                </c:pt>
                <c:pt idx="237">
                  <c:v>22.570052539404553</c:v>
                </c:pt>
                <c:pt idx="238">
                  <c:v>22.579225352112676</c:v>
                </c:pt>
                <c:pt idx="239">
                  <c:v>22.478576137112722</c:v>
                </c:pt>
                <c:pt idx="240">
                  <c:v>22.476461572148018</c:v>
                </c:pt>
                <c:pt idx="241">
                  <c:v>22.558849171752399</c:v>
                </c:pt>
                <c:pt idx="242">
                  <c:v>22.459659834278238</c:v>
                </c:pt>
                <c:pt idx="243">
                  <c:v>22.375570528146056</c:v>
                </c:pt>
                <c:pt idx="244">
                  <c:v>22.547520209744373</c:v>
                </c:pt>
                <c:pt idx="245">
                  <c:v>22.084476138233679</c:v>
                </c:pt>
                <c:pt idx="246">
                  <c:v>22.059793361178283</c:v>
                </c:pt>
                <c:pt idx="247">
                  <c:v>21.898454746136867</c:v>
                </c:pt>
                <c:pt idx="248">
                  <c:v>21.797703180212014</c:v>
                </c:pt>
                <c:pt idx="249">
                  <c:v>22.256568778979908</c:v>
                </c:pt>
                <c:pt idx="250">
                  <c:v>22.532259843388111</c:v>
                </c:pt>
                <c:pt idx="251">
                  <c:v>22.567448031844318</c:v>
                </c:pt>
                <c:pt idx="252">
                  <c:v>22.245621813345156</c:v>
                </c:pt>
                <c:pt idx="253">
                  <c:v>22.104097452934663</c:v>
                </c:pt>
                <c:pt idx="254">
                  <c:v>22.217280106749694</c:v>
                </c:pt>
                <c:pt idx="255">
                  <c:v>22.214780084840367</c:v>
                </c:pt>
                <c:pt idx="256">
                  <c:v>22.026772873105433</c:v>
                </c:pt>
                <c:pt idx="257">
                  <c:v>22.260048319789149</c:v>
                </c:pt>
                <c:pt idx="258">
                  <c:v>22.246720317495313</c:v>
                </c:pt>
                <c:pt idx="259">
                  <c:v>22.31541772431299</c:v>
                </c:pt>
                <c:pt idx="260">
                  <c:v>22.273577638384506</c:v>
                </c:pt>
                <c:pt idx="261">
                  <c:v>22.340308973375699</c:v>
                </c:pt>
                <c:pt idx="262">
                  <c:v>22.373626373626372</c:v>
                </c:pt>
                <c:pt idx="263">
                  <c:v>22.334801762114537</c:v>
                </c:pt>
                <c:pt idx="264">
                  <c:v>22.372057035481376</c:v>
                </c:pt>
                <c:pt idx="265">
                  <c:v>22.344766736517041</c:v>
                </c:pt>
                <c:pt idx="266">
                  <c:v>22.479084103918979</c:v>
                </c:pt>
                <c:pt idx="267">
                  <c:v>22.794683071514886</c:v>
                </c:pt>
                <c:pt idx="268">
                  <c:v>22.957498348381414</c:v>
                </c:pt>
                <c:pt idx="269">
                  <c:v>23.076923076923077</c:v>
                </c:pt>
                <c:pt idx="270">
                  <c:v>23.119225692916849</c:v>
                </c:pt>
                <c:pt idx="271">
                  <c:v>23.390581717451521</c:v>
                </c:pt>
                <c:pt idx="272">
                  <c:v>23.109430604982208</c:v>
                </c:pt>
                <c:pt idx="273">
                  <c:v>23.210315695864828</c:v>
                </c:pt>
                <c:pt idx="274">
                  <c:v>23.108635097493035</c:v>
                </c:pt>
                <c:pt idx="275">
                  <c:v>23.404491883477874</c:v>
                </c:pt>
                <c:pt idx="276">
                  <c:v>23.212493028443948</c:v>
                </c:pt>
                <c:pt idx="277">
                  <c:v>23.367085790586405</c:v>
                </c:pt>
                <c:pt idx="278">
                  <c:v>23.234345456567677</c:v>
                </c:pt>
                <c:pt idx="279">
                  <c:v>22.971160295103957</c:v>
                </c:pt>
                <c:pt idx="280">
                  <c:v>22.871863799283155</c:v>
                </c:pt>
                <c:pt idx="281">
                  <c:v>22.852330151600224</c:v>
                </c:pt>
                <c:pt idx="282">
                  <c:v>22.621326427204146</c:v>
                </c:pt>
                <c:pt idx="283">
                  <c:v>22.419571045576408</c:v>
                </c:pt>
                <c:pt idx="284">
                  <c:v>22.197434467373117</c:v>
                </c:pt>
                <c:pt idx="285">
                  <c:v>22.275462447069312</c:v>
                </c:pt>
                <c:pt idx="286">
                  <c:v>21.900503074343209</c:v>
                </c:pt>
                <c:pt idx="287">
                  <c:v>22.193735369524024</c:v>
                </c:pt>
                <c:pt idx="288">
                  <c:v>22.158964054476446</c:v>
                </c:pt>
                <c:pt idx="289">
                  <c:v>22.308123249299719</c:v>
                </c:pt>
                <c:pt idx="290">
                  <c:v>22.148852825965303</c:v>
                </c:pt>
                <c:pt idx="291">
                  <c:v>22.376837616429132</c:v>
                </c:pt>
                <c:pt idx="292">
                  <c:v>22.410673903211219</c:v>
                </c:pt>
                <c:pt idx="293">
                  <c:v>22.76800907543959</c:v>
                </c:pt>
                <c:pt idx="294">
                  <c:v>22.794366197183098</c:v>
                </c:pt>
                <c:pt idx="295">
                  <c:v>22.950636587000222</c:v>
                </c:pt>
                <c:pt idx="296">
                  <c:v>22.736936332102495</c:v>
                </c:pt>
                <c:pt idx="297">
                  <c:v>22.47930134966542</c:v>
                </c:pt>
                <c:pt idx="298">
                  <c:v>22.534416610245994</c:v>
                </c:pt>
                <c:pt idx="299">
                  <c:v>22.52579072667498</c:v>
                </c:pt>
                <c:pt idx="300">
                  <c:v>22.468856172140431</c:v>
                </c:pt>
                <c:pt idx="301">
                  <c:v>22.56334170280758</c:v>
                </c:pt>
                <c:pt idx="302">
                  <c:v>22.689363646749687</c:v>
                </c:pt>
                <c:pt idx="303">
                  <c:v>22.90285714285714</c:v>
                </c:pt>
                <c:pt idx="304">
                  <c:v>23.139653414882773</c:v>
                </c:pt>
                <c:pt idx="305">
                  <c:v>23.155158775002825</c:v>
                </c:pt>
                <c:pt idx="306">
                  <c:v>23.002037582069278</c:v>
                </c:pt>
                <c:pt idx="307">
                  <c:v>22.668026748271565</c:v>
                </c:pt>
                <c:pt idx="308">
                  <c:v>22.624073017683973</c:v>
                </c:pt>
                <c:pt idx="309">
                  <c:v>22.760511882998173</c:v>
                </c:pt>
                <c:pt idx="310">
                  <c:v>22.971271603525238</c:v>
                </c:pt>
                <c:pt idx="311">
                  <c:v>23.177354130560371</c:v>
                </c:pt>
                <c:pt idx="312">
                  <c:v>22.891844997108155</c:v>
                </c:pt>
                <c:pt idx="313">
                  <c:v>23.078687772424868</c:v>
                </c:pt>
                <c:pt idx="314">
                  <c:v>22.8719723183391</c:v>
                </c:pt>
                <c:pt idx="315">
                  <c:v>23.319521178637199</c:v>
                </c:pt>
                <c:pt idx="316">
                  <c:v>23.544421247970309</c:v>
                </c:pt>
                <c:pt idx="317">
                  <c:v>23.827131962098452</c:v>
                </c:pt>
                <c:pt idx="318">
                  <c:v>23.766816143497756</c:v>
                </c:pt>
                <c:pt idx="319">
                  <c:v>23.794138010616201</c:v>
                </c:pt>
                <c:pt idx="320">
                  <c:v>24.052964881980426</c:v>
                </c:pt>
                <c:pt idx="321">
                  <c:v>24.255813953488374</c:v>
                </c:pt>
                <c:pt idx="322">
                  <c:v>24.265048996733551</c:v>
                </c:pt>
                <c:pt idx="323">
                  <c:v>24.864928353300446</c:v>
                </c:pt>
                <c:pt idx="324">
                  <c:v>25.076959507459151</c:v>
                </c:pt>
                <c:pt idx="325">
                  <c:v>25.863267670915413</c:v>
                </c:pt>
                <c:pt idx="326">
                  <c:v>25.74891378916076</c:v>
                </c:pt>
                <c:pt idx="327">
                  <c:v>25.428538994210463</c:v>
                </c:pt>
                <c:pt idx="328">
                  <c:v>25.174983066154887</c:v>
                </c:pt>
                <c:pt idx="329">
                  <c:v>25.602716468590831</c:v>
                </c:pt>
                <c:pt idx="330">
                  <c:v>25.697188664333297</c:v>
                </c:pt>
                <c:pt idx="331">
                  <c:v>25.995289895704833</c:v>
                </c:pt>
                <c:pt idx="332">
                  <c:v>26.074755864855764</c:v>
                </c:pt>
                <c:pt idx="333">
                  <c:v>25.912984670874661</c:v>
                </c:pt>
                <c:pt idx="334">
                  <c:v>26.023261015432791</c:v>
                </c:pt>
                <c:pt idx="335">
                  <c:v>25.540450189436147</c:v>
                </c:pt>
                <c:pt idx="336">
                  <c:v>25.315748295518052</c:v>
                </c:pt>
                <c:pt idx="337">
                  <c:v>25.550758330565703</c:v>
                </c:pt>
                <c:pt idx="338">
                  <c:v>25.314500110350917</c:v>
                </c:pt>
                <c:pt idx="339">
                  <c:v>25.538020086083215</c:v>
                </c:pt>
                <c:pt idx="340">
                  <c:v>25.491939966648136</c:v>
                </c:pt>
                <c:pt idx="341">
                  <c:v>25.935412026726056</c:v>
                </c:pt>
                <c:pt idx="342">
                  <c:v>26.386873534992745</c:v>
                </c:pt>
                <c:pt idx="343">
                  <c:v>26.645103725184029</c:v>
                </c:pt>
                <c:pt idx="344">
                  <c:v>26.643023384683584</c:v>
                </c:pt>
                <c:pt idx="345">
                  <c:v>27.113220039726333</c:v>
                </c:pt>
                <c:pt idx="346">
                  <c:v>26.895027624309392</c:v>
                </c:pt>
                <c:pt idx="347">
                  <c:v>26.862550896885661</c:v>
                </c:pt>
                <c:pt idx="348">
                  <c:v>26.847909160388689</c:v>
                </c:pt>
                <c:pt idx="349">
                  <c:v>26.588209654571209</c:v>
                </c:pt>
                <c:pt idx="350">
                  <c:v>27.068984366458949</c:v>
                </c:pt>
                <c:pt idx="351">
                  <c:v>26.924347538817312</c:v>
                </c:pt>
                <c:pt idx="352">
                  <c:v>27.162235485621274</c:v>
                </c:pt>
                <c:pt idx="353">
                  <c:v>27.713427713427713</c:v>
                </c:pt>
                <c:pt idx="354">
                  <c:v>28.284239948398195</c:v>
                </c:pt>
                <c:pt idx="355">
                  <c:v>28.308784001720245</c:v>
                </c:pt>
                <c:pt idx="356">
                  <c:v>27.984429065743942</c:v>
                </c:pt>
                <c:pt idx="357">
                  <c:v>27.813209382769433</c:v>
                </c:pt>
                <c:pt idx="358">
                  <c:v>28.114111498257838</c:v>
                </c:pt>
                <c:pt idx="359">
                  <c:v>29.004893964110927</c:v>
                </c:pt>
                <c:pt idx="360">
                  <c:v>29.454743729552892</c:v>
                </c:pt>
                <c:pt idx="361">
                  <c:v>29.617030615604083</c:v>
                </c:pt>
                <c:pt idx="362">
                  <c:v>29.748788012340238</c:v>
                </c:pt>
                <c:pt idx="363">
                  <c:v>29.491712707182323</c:v>
                </c:pt>
                <c:pt idx="364">
                  <c:v>29.781150335422851</c:v>
                </c:pt>
                <c:pt idx="365">
                  <c:v>29.771490750816103</c:v>
                </c:pt>
                <c:pt idx="366">
                  <c:v>29.312567132116001</c:v>
                </c:pt>
                <c:pt idx="367">
                  <c:v>29.489664082687341</c:v>
                </c:pt>
                <c:pt idx="368">
                  <c:v>30.253001715265864</c:v>
                </c:pt>
                <c:pt idx="369">
                  <c:v>30.52058886281203</c:v>
                </c:pt>
                <c:pt idx="370">
                  <c:v>30.214528462192014</c:v>
                </c:pt>
                <c:pt idx="371">
                  <c:v>29.892974462223165</c:v>
                </c:pt>
                <c:pt idx="372">
                  <c:v>29.973558963511373</c:v>
                </c:pt>
                <c:pt idx="373">
                  <c:v>29.857067231339336</c:v>
                </c:pt>
                <c:pt idx="374">
                  <c:v>29.915700737618543</c:v>
                </c:pt>
                <c:pt idx="375">
                  <c:v>29.93341084451961</c:v>
                </c:pt>
                <c:pt idx="376">
                  <c:v>29.819563152896489</c:v>
                </c:pt>
                <c:pt idx="377">
                  <c:v>30.12432260121135</c:v>
                </c:pt>
                <c:pt idx="378">
                  <c:v>29.822497861420018</c:v>
                </c:pt>
                <c:pt idx="379">
                  <c:v>29.998925539916193</c:v>
                </c:pt>
                <c:pt idx="380">
                  <c:v>29.947498124933031</c:v>
                </c:pt>
                <c:pt idx="381">
                  <c:v>30.256795960030086</c:v>
                </c:pt>
                <c:pt idx="382">
                  <c:v>29.850263923300659</c:v>
                </c:pt>
                <c:pt idx="383">
                  <c:v>30.340958135520069</c:v>
                </c:pt>
                <c:pt idx="384">
                  <c:v>30.192974848222033</c:v>
                </c:pt>
                <c:pt idx="385">
                  <c:v>30.111604724238809</c:v>
                </c:pt>
                <c:pt idx="386">
                  <c:v>30.434309350168714</c:v>
                </c:pt>
                <c:pt idx="387">
                  <c:v>30.632911392405067</c:v>
                </c:pt>
                <c:pt idx="388">
                  <c:v>30.695470076049819</c:v>
                </c:pt>
                <c:pt idx="389">
                  <c:v>30.655414291977202</c:v>
                </c:pt>
                <c:pt idx="390">
                  <c:v>30.970927043335163</c:v>
                </c:pt>
                <c:pt idx="391">
                  <c:v>31.079295154185022</c:v>
                </c:pt>
                <c:pt idx="392">
                  <c:v>30.882514562039788</c:v>
                </c:pt>
                <c:pt idx="393">
                  <c:v>31.160625207848351</c:v>
                </c:pt>
              </c:numCache>
            </c:numRef>
          </c:val>
          <c:smooth val="0"/>
          <c:extLst>
            <c:ext xmlns:c16="http://schemas.microsoft.com/office/drawing/2014/chart" uri="{C3380CC4-5D6E-409C-BE32-E72D297353CC}">
              <c16:uniqueId val="{00000000-E850-417B-95DA-4ED900504230}"/>
            </c:ext>
          </c:extLst>
        </c:ser>
        <c:ser>
          <c:idx val="1"/>
          <c:order val="1"/>
          <c:tx>
            <c:strRef>
              <c:f>'Chart Data'!$EC$3</c:f>
              <c:strCache>
                <c:ptCount val="1"/>
                <c:pt idx="0">
                  <c:v>Average 1993-2025</c:v>
                </c:pt>
              </c:strCache>
            </c:strRef>
          </c:tx>
          <c:spPr>
            <a:ln w="38100">
              <a:solidFill>
                <a:srgbClr val="003469"/>
              </a:solidFill>
            </a:ln>
          </c:spPr>
          <c:marker>
            <c:symbol val="none"/>
          </c:marker>
          <c:cat>
            <c:numRef>
              <c:f>'Chart Data'!$EA$4:$EA$399</c:f>
              <c:numCache>
                <c:formatCode>m/d/yyyy</c:formatCode>
                <c:ptCount val="396"/>
                <c:pt idx="0">
                  <c:v>33970</c:v>
                </c:pt>
                <c:pt idx="1">
                  <c:v>34001</c:v>
                </c:pt>
                <c:pt idx="2">
                  <c:v>34029</c:v>
                </c:pt>
                <c:pt idx="3">
                  <c:v>34060</c:v>
                </c:pt>
                <c:pt idx="4">
                  <c:v>34090</c:v>
                </c:pt>
                <c:pt idx="5">
                  <c:v>34121</c:v>
                </c:pt>
                <c:pt idx="6">
                  <c:v>34151</c:v>
                </c:pt>
                <c:pt idx="7">
                  <c:v>34182</c:v>
                </c:pt>
                <c:pt idx="8">
                  <c:v>34213</c:v>
                </c:pt>
                <c:pt idx="9">
                  <c:v>34243</c:v>
                </c:pt>
                <c:pt idx="10">
                  <c:v>34274</c:v>
                </c:pt>
                <c:pt idx="11">
                  <c:v>34304</c:v>
                </c:pt>
                <c:pt idx="12">
                  <c:v>34335</c:v>
                </c:pt>
                <c:pt idx="13">
                  <c:v>34366</c:v>
                </c:pt>
                <c:pt idx="14">
                  <c:v>34394</c:v>
                </c:pt>
                <c:pt idx="15">
                  <c:v>34425</c:v>
                </c:pt>
                <c:pt idx="16">
                  <c:v>34455</c:v>
                </c:pt>
                <c:pt idx="17">
                  <c:v>34486</c:v>
                </c:pt>
                <c:pt idx="18">
                  <c:v>34516</c:v>
                </c:pt>
                <c:pt idx="19">
                  <c:v>34547</c:v>
                </c:pt>
                <c:pt idx="20">
                  <c:v>34578</c:v>
                </c:pt>
                <c:pt idx="21">
                  <c:v>34608</c:v>
                </c:pt>
                <c:pt idx="22">
                  <c:v>34639</c:v>
                </c:pt>
                <c:pt idx="23">
                  <c:v>34669</c:v>
                </c:pt>
                <c:pt idx="24">
                  <c:v>34700</c:v>
                </c:pt>
                <c:pt idx="25">
                  <c:v>34731</c:v>
                </c:pt>
                <c:pt idx="26">
                  <c:v>34759</c:v>
                </c:pt>
                <c:pt idx="27">
                  <c:v>34790</c:v>
                </c:pt>
                <c:pt idx="28">
                  <c:v>34820</c:v>
                </c:pt>
                <c:pt idx="29">
                  <c:v>34851</c:v>
                </c:pt>
                <c:pt idx="30">
                  <c:v>34881</c:v>
                </c:pt>
                <c:pt idx="31">
                  <c:v>34912</c:v>
                </c:pt>
                <c:pt idx="32">
                  <c:v>34943</c:v>
                </c:pt>
                <c:pt idx="33">
                  <c:v>34973</c:v>
                </c:pt>
                <c:pt idx="34">
                  <c:v>35004</c:v>
                </c:pt>
                <c:pt idx="35">
                  <c:v>35034</c:v>
                </c:pt>
                <c:pt idx="36">
                  <c:v>35065</c:v>
                </c:pt>
                <c:pt idx="37">
                  <c:v>35096</c:v>
                </c:pt>
                <c:pt idx="38">
                  <c:v>35125</c:v>
                </c:pt>
                <c:pt idx="39">
                  <c:v>35156</c:v>
                </c:pt>
                <c:pt idx="40">
                  <c:v>35186</c:v>
                </c:pt>
                <c:pt idx="41">
                  <c:v>35217</c:v>
                </c:pt>
                <c:pt idx="42">
                  <c:v>35247</c:v>
                </c:pt>
                <c:pt idx="43">
                  <c:v>35278</c:v>
                </c:pt>
                <c:pt idx="44">
                  <c:v>35309</c:v>
                </c:pt>
                <c:pt idx="45">
                  <c:v>35339</c:v>
                </c:pt>
                <c:pt idx="46">
                  <c:v>35370</c:v>
                </c:pt>
                <c:pt idx="47">
                  <c:v>35400</c:v>
                </c:pt>
                <c:pt idx="48">
                  <c:v>35431</c:v>
                </c:pt>
                <c:pt idx="49">
                  <c:v>35462</c:v>
                </c:pt>
                <c:pt idx="50">
                  <c:v>35490</c:v>
                </c:pt>
                <c:pt idx="51">
                  <c:v>35521</c:v>
                </c:pt>
                <c:pt idx="52">
                  <c:v>35551</c:v>
                </c:pt>
                <c:pt idx="53">
                  <c:v>35582</c:v>
                </c:pt>
                <c:pt idx="54">
                  <c:v>35612</c:v>
                </c:pt>
                <c:pt idx="55">
                  <c:v>35643</c:v>
                </c:pt>
                <c:pt idx="56">
                  <c:v>35674</c:v>
                </c:pt>
                <c:pt idx="57">
                  <c:v>35704</c:v>
                </c:pt>
                <c:pt idx="58">
                  <c:v>35735</c:v>
                </c:pt>
                <c:pt idx="59">
                  <c:v>35765</c:v>
                </c:pt>
                <c:pt idx="60">
                  <c:v>35796</c:v>
                </c:pt>
                <c:pt idx="61">
                  <c:v>35827</c:v>
                </c:pt>
                <c:pt idx="62">
                  <c:v>35855</c:v>
                </c:pt>
                <c:pt idx="63">
                  <c:v>35886</c:v>
                </c:pt>
                <c:pt idx="64">
                  <c:v>35916</c:v>
                </c:pt>
                <c:pt idx="65">
                  <c:v>35947</c:v>
                </c:pt>
                <c:pt idx="66">
                  <c:v>35977</c:v>
                </c:pt>
                <c:pt idx="67">
                  <c:v>36008</c:v>
                </c:pt>
                <c:pt idx="68">
                  <c:v>36039</c:v>
                </c:pt>
                <c:pt idx="69">
                  <c:v>36069</c:v>
                </c:pt>
                <c:pt idx="70">
                  <c:v>36100</c:v>
                </c:pt>
                <c:pt idx="71">
                  <c:v>36130</c:v>
                </c:pt>
                <c:pt idx="72">
                  <c:v>36161</c:v>
                </c:pt>
                <c:pt idx="73">
                  <c:v>36192</c:v>
                </c:pt>
                <c:pt idx="74">
                  <c:v>36220</c:v>
                </c:pt>
                <c:pt idx="75">
                  <c:v>36251</c:v>
                </c:pt>
                <c:pt idx="76">
                  <c:v>36281</c:v>
                </c:pt>
                <c:pt idx="77">
                  <c:v>36312</c:v>
                </c:pt>
                <c:pt idx="78">
                  <c:v>36342</c:v>
                </c:pt>
                <c:pt idx="79">
                  <c:v>36373</c:v>
                </c:pt>
                <c:pt idx="80">
                  <c:v>36404</c:v>
                </c:pt>
                <c:pt idx="81">
                  <c:v>36434</c:v>
                </c:pt>
                <c:pt idx="82">
                  <c:v>36465</c:v>
                </c:pt>
                <c:pt idx="83">
                  <c:v>36495</c:v>
                </c:pt>
                <c:pt idx="84">
                  <c:v>36526</c:v>
                </c:pt>
                <c:pt idx="85">
                  <c:v>36557</c:v>
                </c:pt>
                <c:pt idx="86">
                  <c:v>36586</c:v>
                </c:pt>
                <c:pt idx="87">
                  <c:v>36617</c:v>
                </c:pt>
                <c:pt idx="88">
                  <c:v>36647</c:v>
                </c:pt>
                <c:pt idx="89">
                  <c:v>36678</c:v>
                </c:pt>
                <c:pt idx="90">
                  <c:v>36708</c:v>
                </c:pt>
                <c:pt idx="91">
                  <c:v>36739</c:v>
                </c:pt>
                <c:pt idx="92">
                  <c:v>36770</c:v>
                </c:pt>
                <c:pt idx="93">
                  <c:v>36800</c:v>
                </c:pt>
                <c:pt idx="94">
                  <c:v>36831</c:v>
                </c:pt>
                <c:pt idx="95">
                  <c:v>36861</c:v>
                </c:pt>
                <c:pt idx="96">
                  <c:v>36892</c:v>
                </c:pt>
                <c:pt idx="97">
                  <c:v>36923</c:v>
                </c:pt>
                <c:pt idx="98">
                  <c:v>36951</c:v>
                </c:pt>
                <c:pt idx="99">
                  <c:v>36982</c:v>
                </c:pt>
                <c:pt idx="100">
                  <c:v>37012</c:v>
                </c:pt>
                <c:pt idx="101">
                  <c:v>37043</c:v>
                </c:pt>
                <c:pt idx="102">
                  <c:v>37073</c:v>
                </c:pt>
                <c:pt idx="103">
                  <c:v>37104</c:v>
                </c:pt>
                <c:pt idx="104">
                  <c:v>37135</c:v>
                </c:pt>
                <c:pt idx="105">
                  <c:v>37165</c:v>
                </c:pt>
                <c:pt idx="106">
                  <c:v>37196</c:v>
                </c:pt>
                <c:pt idx="107">
                  <c:v>37226</c:v>
                </c:pt>
                <c:pt idx="108">
                  <c:v>37257</c:v>
                </c:pt>
                <c:pt idx="109">
                  <c:v>37288</c:v>
                </c:pt>
                <c:pt idx="110">
                  <c:v>37316</c:v>
                </c:pt>
                <c:pt idx="111">
                  <c:v>37347</c:v>
                </c:pt>
                <c:pt idx="112">
                  <c:v>37377</c:v>
                </c:pt>
                <c:pt idx="113">
                  <c:v>37408</c:v>
                </c:pt>
                <c:pt idx="114">
                  <c:v>37438</c:v>
                </c:pt>
                <c:pt idx="115">
                  <c:v>37469</c:v>
                </c:pt>
                <c:pt idx="116">
                  <c:v>37500</c:v>
                </c:pt>
                <c:pt idx="117">
                  <c:v>37530</c:v>
                </c:pt>
                <c:pt idx="118">
                  <c:v>37561</c:v>
                </c:pt>
                <c:pt idx="119">
                  <c:v>37591</c:v>
                </c:pt>
                <c:pt idx="120">
                  <c:v>37622</c:v>
                </c:pt>
                <c:pt idx="121">
                  <c:v>37653</c:v>
                </c:pt>
                <c:pt idx="122">
                  <c:v>37681</c:v>
                </c:pt>
                <c:pt idx="123">
                  <c:v>37712</c:v>
                </c:pt>
                <c:pt idx="124">
                  <c:v>37742</c:v>
                </c:pt>
                <c:pt idx="125">
                  <c:v>37773</c:v>
                </c:pt>
                <c:pt idx="126">
                  <c:v>37803</c:v>
                </c:pt>
                <c:pt idx="127">
                  <c:v>37834</c:v>
                </c:pt>
                <c:pt idx="128">
                  <c:v>37865</c:v>
                </c:pt>
                <c:pt idx="129">
                  <c:v>37895</c:v>
                </c:pt>
                <c:pt idx="130">
                  <c:v>37926</c:v>
                </c:pt>
                <c:pt idx="131">
                  <c:v>37956</c:v>
                </c:pt>
                <c:pt idx="132">
                  <c:v>37987</c:v>
                </c:pt>
                <c:pt idx="133">
                  <c:v>38018</c:v>
                </c:pt>
                <c:pt idx="134">
                  <c:v>38047</c:v>
                </c:pt>
                <c:pt idx="135">
                  <c:v>38078</c:v>
                </c:pt>
                <c:pt idx="136">
                  <c:v>38108</c:v>
                </c:pt>
                <c:pt idx="137">
                  <c:v>38139</c:v>
                </c:pt>
                <c:pt idx="138">
                  <c:v>38169</c:v>
                </c:pt>
                <c:pt idx="139">
                  <c:v>38200</c:v>
                </c:pt>
                <c:pt idx="140">
                  <c:v>38231</c:v>
                </c:pt>
                <c:pt idx="141">
                  <c:v>38261</c:v>
                </c:pt>
                <c:pt idx="142">
                  <c:v>38292</c:v>
                </c:pt>
                <c:pt idx="143">
                  <c:v>38322</c:v>
                </c:pt>
                <c:pt idx="144">
                  <c:v>38353</c:v>
                </c:pt>
                <c:pt idx="145">
                  <c:v>38384</c:v>
                </c:pt>
                <c:pt idx="146">
                  <c:v>38412</c:v>
                </c:pt>
                <c:pt idx="147">
                  <c:v>38443</c:v>
                </c:pt>
                <c:pt idx="148">
                  <c:v>38473</c:v>
                </c:pt>
                <c:pt idx="149">
                  <c:v>38504</c:v>
                </c:pt>
                <c:pt idx="150">
                  <c:v>38534</c:v>
                </c:pt>
                <c:pt idx="151">
                  <c:v>38565</c:v>
                </c:pt>
                <c:pt idx="152">
                  <c:v>38596</c:v>
                </c:pt>
                <c:pt idx="153">
                  <c:v>38626</c:v>
                </c:pt>
                <c:pt idx="154">
                  <c:v>38657</c:v>
                </c:pt>
                <c:pt idx="155">
                  <c:v>38687</c:v>
                </c:pt>
                <c:pt idx="156">
                  <c:v>38718</c:v>
                </c:pt>
                <c:pt idx="157">
                  <c:v>38749</c:v>
                </c:pt>
                <c:pt idx="158">
                  <c:v>38777</c:v>
                </c:pt>
                <c:pt idx="159">
                  <c:v>38808</c:v>
                </c:pt>
                <c:pt idx="160">
                  <c:v>38838</c:v>
                </c:pt>
                <c:pt idx="161">
                  <c:v>38869</c:v>
                </c:pt>
                <c:pt idx="162">
                  <c:v>38899</c:v>
                </c:pt>
                <c:pt idx="163">
                  <c:v>38930</c:v>
                </c:pt>
                <c:pt idx="164">
                  <c:v>38961</c:v>
                </c:pt>
                <c:pt idx="165">
                  <c:v>38991</c:v>
                </c:pt>
                <c:pt idx="166">
                  <c:v>39022</c:v>
                </c:pt>
                <c:pt idx="167">
                  <c:v>39052</c:v>
                </c:pt>
                <c:pt idx="168">
                  <c:v>39083</c:v>
                </c:pt>
                <c:pt idx="169">
                  <c:v>39114</c:v>
                </c:pt>
                <c:pt idx="170">
                  <c:v>39142</c:v>
                </c:pt>
                <c:pt idx="171">
                  <c:v>39173</c:v>
                </c:pt>
                <c:pt idx="172">
                  <c:v>39203</c:v>
                </c:pt>
                <c:pt idx="173">
                  <c:v>39234</c:v>
                </c:pt>
                <c:pt idx="174">
                  <c:v>39264</c:v>
                </c:pt>
                <c:pt idx="175">
                  <c:v>39295</c:v>
                </c:pt>
                <c:pt idx="176">
                  <c:v>39326</c:v>
                </c:pt>
                <c:pt idx="177">
                  <c:v>39356</c:v>
                </c:pt>
                <c:pt idx="178">
                  <c:v>39387</c:v>
                </c:pt>
                <c:pt idx="179">
                  <c:v>39417</c:v>
                </c:pt>
                <c:pt idx="180">
                  <c:v>39448</c:v>
                </c:pt>
                <c:pt idx="181">
                  <c:v>39479</c:v>
                </c:pt>
                <c:pt idx="182">
                  <c:v>39508</c:v>
                </c:pt>
                <c:pt idx="183">
                  <c:v>39539</c:v>
                </c:pt>
                <c:pt idx="184">
                  <c:v>39569</c:v>
                </c:pt>
                <c:pt idx="185">
                  <c:v>39600</c:v>
                </c:pt>
                <c:pt idx="186">
                  <c:v>39630</c:v>
                </c:pt>
                <c:pt idx="187">
                  <c:v>39661</c:v>
                </c:pt>
                <c:pt idx="188">
                  <c:v>39692</c:v>
                </c:pt>
                <c:pt idx="189">
                  <c:v>39722</c:v>
                </c:pt>
                <c:pt idx="190">
                  <c:v>39753</c:v>
                </c:pt>
                <c:pt idx="191">
                  <c:v>39783</c:v>
                </c:pt>
                <c:pt idx="192">
                  <c:v>39814</c:v>
                </c:pt>
                <c:pt idx="193">
                  <c:v>39845</c:v>
                </c:pt>
                <c:pt idx="194">
                  <c:v>39873</c:v>
                </c:pt>
                <c:pt idx="195">
                  <c:v>39904</c:v>
                </c:pt>
                <c:pt idx="196">
                  <c:v>39934</c:v>
                </c:pt>
                <c:pt idx="197">
                  <c:v>39965</c:v>
                </c:pt>
                <c:pt idx="198">
                  <c:v>39995</c:v>
                </c:pt>
                <c:pt idx="199">
                  <c:v>40026</c:v>
                </c:pt>
                <c:pt idx="200">
                  <c:v>40057</c:v>
                </c:pt>
                <c:pt idx="201">
                  <c:v>40087</c:v>
                </c:pt>
                <c:pt idx="202">
                  <c:v>40118</c:v>
                </c:pt>
                <c:pt idx="203">
                  <c:v>40148</c:v>
                </c:pt>
                <c:pt idx="204">
                  <c:v>40179</c:v>
                </c:pt>
                <c:pt idx="205">
                  <c:v>40210</c:v>
                </c:pt>
                <c:pt idx="206">
                  <c:v>40238</c:v>
                </c:pt>
                <c:pt idx="207">
                  <c:v>40269</c:v>
                </c:pt>
                <c:pt idx="208">
                  <c:v>40299</c:v>
                </c:pt>
                <c:pt idx="209">
                  <c:v>40330</c:v>
                </c:pt>
                <c:pt idx="210">
                  <c:v>40360</c:v>
                </c:pt>
                <c:pt idx="211">
                  <c:v>40391</c:v>
                </c:pt>
                <c:pt idx="212">
                  <c:v>40422</c:v>
                </c:pt>
                <c:pt idx="213">
                  <c:v>40452</c:v>
                </c:pt>
                <c:pt idx="214">
                  <c:v>40483</c:v>
                </c:pt>
                <c:pt idx="215">
                  <c:v>40513</c:v>
                </c:pt>
                <c:pt idx="216">
                  <c:v>40544</c:v>
                </c:pt>
                <c:pt idx="217">
                  <c:v>40575</c:v>
                </c:pt>
                <c:pt idx="218">
                  <c:v>40603</c:v>
                </c:pt>
                <c:pt idx="219">
                  <c:v>40634</c:v>
                </c:pt>
                <c:pt idx="220">
                  <c:v>40664</c:v>
                </c:pt>
                <c:pt idx="221">
                  <c:v>40695</c:v>
                </c:pt>
                <c:pt idx="222">
                  <c:v>40725</c:v>
                </c:pt>
                <c:pt idx="223">
                  <c:v>40756</c:v>
                </c:pt>
                <c:pt idx="224">
                  <c:v>40787</c:v>
                </c:pt>
                <c:pt idx="225">
                  <c:v>40817</c:v>
                </c:pt>
                <c:pt idx="226">
                  <c:v>40848</c:v>
                </c:pt>
                <c:pt idx="227">
                  <c:v>40878</c:v>
                </c:pt>
                <c:pt idx="228">
                  <c:v>40909</c:v>
                </c:pt>
                <c:pt idx="229">
                  <c:v>40940</c:v>
                </c:pt>
                <c:pt idx="230">
                  <c:v>40969</c:v>
                </c:pt>
                <c:pt idx="231">
                  <c:v>41000</c:v>
                </c:pt>
                <c:pt idx="232">
                  <c:v>41030</c:v>
                </c:pt>
                <c:pt idx="233">
                  <c:v>41061</c:v>
                </c:pt>
                <c:pt idx="234">
                  <c:v>41091</c:v>
                </c:pt>
                <c:pt idx="235">
                  <c:v>41122</c:v>
                </c:pt>
                <c:pt idx="236">
                  <c:v>41153</c:v>
                </c:pt>
                <c:pt idx="237">
                  <c:v>41183</c:v>
                </c:pt>
                <c:pt idx="238">
                  <c:v>41214</c:v>
                </c:pt>
                <c:pt idx="239">
                  <c:v>41244</c:v>
                </c:pt>
                <c:pt idx="240">
                  <c:v>41275</c:v>
                </c:pt>
                <c:pt idx="241">
                  <c:v>41306</c:v>
                </c:pt>
                <c:pt idx="242">
                  <c:v>41334</c:v>
                </c:pt>
                <c:pt idx="243">
                  <c:v>41365</c:v>
                </c:pt>
                <c:pt idx="244">
                  <c:v>41395</c:v>
                </c:pt>
                <c:pt idx="245">
                  <c:v>41426</c:v>
                </c:pt>
                <c:pt idx="246">
                  <c:v>41456</c:v>
                </c:pt>
                <c:pt idx="247">
                  <c:v>41487</c:v>
                </c:pt>
                <c:pt idx="248">
                  <c:v>41518</c:v>
                </c:pt>
                <c:pt idx="249">
                  <c:v>41548</c:v>
                </c:pt>
                <c:pt idx="250">
                  <c:v>41579</c:v>
                </c:pt>
                <c:pt idx="251">
                  <c:v>41609</c:v>
                </c:pt>
                <c:pt idx="252">
                  <c:v>41640</c:v>
                </c:pt>
                <c:pt idx="253">
                  <c:v>41671</c:v>
                </c:pt>
                <c:pt idx="254">
                  <c:v>41699</c:v>
                </c:pt>
                <c:pt idx="255">
                  <c:v>41730</c:v>
                </c:pt>
                <c:pt idx="256">
                  <c:v>41760</c:v>
                </c:pt>
                <c:pt idx="257">
                  <c:v>41791</c:v>
                </c:pt>
                <c:pt idx="258">
                  <c:v>41821</c:v>
                </c:pt>
                <c:pt idx="259">
                  <c:v>41852</c:v>
                </c:pt>
                <c:pt idx="260">
                  <c:v>41883</c:v>
                </c:pt>
                <c:pt idx="261">
                  <c:v>41913</c:v>
                </c:pt>
                <c:pt idx="262">
                  <c:v>41944</c:v>
                </c:pt>
                <c:pt idx="263">
                  <c:v>41974</c:v>
                </c:pt>
                <c:pt idx="264">
                  <c:v>42005</c:v>
                </c:pt>
                <c:pt idx="265">
                  <c:v>42036</c:v>
                </c:pt>
                <c:pt idx="266">
                  <c:v>42064</c:v>
                </c:pt>
                <c:pt idx="267">
                  <c:v>42095</c:v>
                </c:pt>
                <c:pt idx="268">
                  <c:v>42125</c:v>
                </c:pt>
                <c:pt idx="269">
                  <c:v>42156</c:v>
                </c:pt>
                <c:pt idx="270">
                  <c:v>42186</c:v>
                </c:pt>
                <c:pt idx="271">
                  <c:v>42217</c:v>
                </c:pt>
                <c:pt idx="272">
                  <c:v>42248</c:v>
                </c:pt>
                <c:pt idx="273">
                  <c:v>42278</c:v>
                </c:pt>
                <c:pt idx="274">
                  <c:v>42309</c:v>
                </c:pt>
                <c:pt idx="275">
                  <c:v>42339</c:v>
                </c:pt>
                <c:pt idx="276">
                  <c:v>42370</c:v>
                </c:pt>
                <c:pt idx="277">
                  <c:v>42401</c:v>
                </c:pt>
                <c:pt idx="278">
                  <c:v>42430</c:v>
                </c:pt>
                <c:pt idx="279">
                  <c:v>42461</c:v>
                </c:pt>
                <c:pt idx="280">
                  <c:v>42491</c:v>
                </c:pt>
                <c:pt idx="281">
                  <c:v>42522</c:v>
                </c:pt>
                <c:pt idx="282">
                  <c:v>42552</c:v>
                </c:pt>
                <c:pt idx="283">
                  <c:v>42583</c:v>
                </c:pt>
                <c:pt idx="284">
                  <c:v>42614</c:v>
                </c:pt>
                <c:pt idx="285">
                  <c:v>42644</c:v>
                </c:pt>
                <c:pt idx="286">
                  <c:v>42675</c:v>
                </c:pt>
                <c:pt idx="287">
                  <c:v>42705</c:v>
                </c:pt>
                <c:pt idx="288">
                  <c:v>42736</c:v>
                </c:pt>
                <c:pt idx="289">
                  <c:v>42767</c:v>
                </c:pt>
                <c:pt idx="290">
                  <c:v>42795</c:v>
                </c:pt>
                <c:pt idx="291">
                  <c:v>42826</c:v>
                </c:pt>
                <c:pt idx="292">
                  <c:v>42856</c:v>
                </c:pt>
                <c:pt idx="293">
                  <c:v>42887</c:v>
                </c:pt>
                <c:pt idx="294">
                  <c:v>42917</c:v>
                </c:pt>
                <c:pt idx="295">
                  <c:v>42948</c:v>
                </c:pt>
                <c:pt idx="296">
                  <c:v>42979</c:v>
                </c:pt>
                <c:pt idx="297">
                  <c:v>43009</c:v>
                </c:pt>
                <c:pt idx="298">
                  <c:v>43040</c:v>
                </c:pt>
                <c:pt idx="299">
                  <c:v>43070</c:v>
                </c:pt>
                <c:pt idx="300">
                  <c:v>43101</c:v>
                </c:pt>
                <c:pt idx="301">
                  <c:v>43132</c:v>
                </c:pt>
                <c:pt idx="302">
                  <c:v>43160</c:v>
                </c:pt>
                <c:pt idx="303">
                  <c:v>43191</c:v>
                </c:pt>
                <c:pt idx="304">
                  <c:v>43221</c:v>
                </c:pt>
                <c:pt idx="305">
                  <c:v>43252</c:v>
                </c:pt>
                <c:pt idx="306">
                  <c:v>43282</c:v>
                </c:pt>
                <c:pt idx="307">
                  <c:v>43313</c:v>
                </c:pt>
                <c:pt idx="308">
                  <c:v>43344</c:v>
                </c:pt>
                <c:pt idx="309">
                  <c:v>43374</c:v>
                </c:pt>
                <c:pt idx="310">
                  <c:v>43405</c:v>
                </c:pt>
                <c:pt idx="311">
                  <c:v>43435</c:v>
                </c:pt>
                <c:pt idx="312">
                  <c:v>43466</c:v>
                </c:pt>
                <c:pt idx="313">
                  <c:v>43497</c:v>
                </c:pt>
                <c:pt idx="314">
                  <c:v>43525</c:v>
                </c:pt>
                <c:pt idx="315">
                  <c:v>43556</c:v>
                </c:pt>
                <c:pt idx="316">
                  <c:v>43586</c:v>
                </c:pt>
                <c:pt idx="317">
                  <c:v>43617</c:v>
                </c:pt>
                <c:pt idx="318">
                  <c:v>43647</c:v>
                </c:pt>
                <c:pt idx="319">
                  <c:v>43678</c:v>
                </c:pt>
                <c:pt idx="320">
                  <c:v>43709</c:v>
                </c:pt>
                <c:pt idx="321">
                  <c:v>43739</c:v>
                </c:pt>
                <c:pt idx="322">
                  <c:v>43770</c:v>
                </c:pt>
                <c:pt idx="323">
                  <c:v>43800</c:v>
                </c:pt>
                <c:pt idx="324">
                  <c:v>43831</c:v>
                </c:pt>
                <c:pt idx="325">
                  <c:v>43862</c:v>
                </c:pt>
                <c:pt idx="326">
                  <c:v>43891</c:v>
                </c:pt>
                <c:pt idx="327">
                  <c:v>43922</c:v>
                </c:pt>
                <c:pt idx="328">
                  <c:v>43952</c:v>
                </c:pt>
                <c:pt idx="329">
                  <c:v>43983</c:v>
                </c:pt>
                <c:pt idx="330">
                  <c:v>44013</c:v>
                </c:pt>
                <c:pt idx="331">
                  <c:v>44044</c:v>
                </c:pt>
                <c:pt idx="332">
                  <c:v>44075</c:v>
                </c:pt>
                <c:pt idx="333">
                  <c:v>44105</c:v>
                </c:pt>
                <c:pt idx="334">
                  <c:v>44136</c:v>
                </c:pt>
                <c:pt idx="335">
                  <c:v>44166</c:v>
                </c:pt>
                <c:pt idx="336">
                  <c:v>44197</c:v>
                </c:pt>
                <c:pt idx="337">
                  <c:v>44228</c:v>
                </c:pt>
                <c:pt idx="338">
                  <c:v>44256</c:v>
                </c:pt>
                <c:pt idx="339">
                  <c:v>44287</c:v>
                </c:pt>
                <c:pt idx="340">
                  <c:v>44317</c:v>
                </c:pt>
                <c:pt idx="341">
                  <c:v>44348</c:v>
                </c:pt>
                <c:pt idx="342">
                  <c:v>44378</c:v>
                </c:pt>
                <c:pt idx="343">
                  <c:v>44409</c:v>
                </c:pt>
                <c:pt idx="344">
                  <c:v>44440</c:v>
                </c:pt>
                <c:pt idx="345">
                  <c:v>44470</c:v>
                </c:pt>
                <c:pt idx="346">
                  <c:v>44501</c:v>
                </c:pt>
                <c:pt idx="347">
                  <c:v>44531</c:v>
                </c:pt>
                <c:pt idx="348">
                  <c:v>44562</c:v>
                </c:pt>
                <c:pt idx="349">
                  <c:v>44593</c:v>
                </c:pt>
                <c:pt idx="350">
                  <c:v>44621</c:v>
                </c:pt>
                <c:pt idx="351">
                  <c:v>44652</c:v>
                </c:pt>
                <c:pt idx="352">
                  <c:v>44682</c:v>
                </c:pt>
                <c:pt idx="353">
                  <c:v>44713</c:v>
                </c:pt>
                <c:pt idx="354">
                  <c:v>44743</c:v>
                </c:pt>
                <c:pt idx="355">
                  <c:v>44774</c:v>
                </c:pt>
                <c:pt idx="356">
                  <c:v>44805</c:v>
                </c:pt>
                <c:pt idx="357">
                  <c:v>44835</c:v>
                </c:pt>
                <c:pt idx="358">
                  <c:v>44866</c:v>
                </c:pt>
                <c:pt idx="359">
                  <c:v>44896</c:v>
                </c:pt>
                <c:pt idx="360">
                  <c:v>44927</c:v>
                </c:pt>
                <c:pt idx="361">
                  <c:v>44958</c:v>
                </c:pt>
                <c:pt idx="362">
                  <c:v>44986</c:v>
                </c:pt>
                <c:pt idx="363">
                  <c:v>45017</c:v>
                </c:pt>
                <c:pt idx="364">
                  <c:v>45047</c:v>
                </c:pt>
                <c:pt idx="365">
                  <c:v>45078</c:v>
                </c:pt>
                <c:pt idx="366">
                  <c:v>45108</c:v>
                </c:pt>
                <c:pt idx="367">
                  <c:v>45139</c:v>
                </c:pt>
                <c:pt idx="368">
                  <c:v>45170</c:v>
                </c:pt>
                <c:pt idx="369">
                  <c:v>45200</c:v>
                </c:pt>
                <c:pt idx="370">
                  <c:v>45231</c:v>
                </c:pt>
                <c:pt idx="371">
                  <c:v>45261</c:v>
                </c:pt>
                <c:pt idx="372">
                  <c:v>45292</c:v>
                </c:pt>
                <c:pt idx="373">
                  <c:v>45323</c:v>
                </c:pt>
                <c:pt idx="374">
                  <c:v>45352</c:v>
                </c:pt>
                <c:pt idx="375">
                  <c:v>45383</c:v>
                </c:pt>
                <c:pt idx="376">
                  <c:v>45413</c:v>
                </c:pt>
                <c:pt idx="377">
                  <c:v>45444</c:v>
                </c:pt>
                <c:pt idx="378">
                  <c:v>45474</c:v>
                </c:pt>
                <c:pt idx="379">
                  <c:v>45505</c:v>
                </c:pt>
                <c:pt idx="380">
                  <c:v>45536</c:v>
                </c:pt>
                <c:pt idx="381">
                  <c:v>45566</c:v>
                </c:pt>
                <c:pt idx="382">
                  <c:v>45597</c:v>
                </c:pt>
                <c:pt idx="383">
                  <c:v>45627</c:v>
                </c:pt>
                <c:pt idx="384">
                  <c:v>45658</c:v>
                </c:pt>
                <c:pt idx="385">
                  <c:v>45689</c:v>
                </c:pt>
                <c:pt idx="386">
                  <c:v>45717</c:v>
                </c:pt>
                <c:pt idx="387">
                  <c:v>45748</c:v>
                </c:pt>
                <c:pt idx="388">
                  <c:v>45778</c:v>
                </c:pt>
                <c:pt idx="389">
                  <c:v>45809</c:v>
                </c:pt>
                <c:pt idx="390">
                  <c:v>45839</c:v>
                </c:pt>
                <c:pt idx="391">
                  <c:v>45870</c:v>
                </c:pt>
                <c:pt idx="392">
                  <c:v>45901</c:v>
                </c:pt>
                <c:pt idx="393">
                  <c:v>45931</c:v>
                </c:pt>
                <c:pt idx="394">
                  <c:v>45962</c:v>
                </c:pt>
                <c:pt idx="395">
                  <c:v>45992</c:v>
                </c:pt>
              </c:numCache>
            </c:numRef>
          </c:cat>
          <c:val>
            <c:numRef>
              <c:f>'Chart Data'!$EC$4:$EC$399</c:f>
              <c:numCache>
                <c:formatCode>0.0</c:formatCode>
                <c:ptCount val="396"/>
                <c:pt idx="0">
                  <c:v>25.050854271384292</c:v>
                </c:pt>
                <c:pt idx="1">
                  <c:v>25.050854271384292</c:v>
                </c:pt>
                <c:pt idx="2">
                  <c:v>25.050854271384292</c:v>
                </c:pt>
                <c:pt idx="3">
                  <c:v>25.050854271384292</c:v>
                </c:pt>
                <c:pt idx="4">
                  <c:v>25.050854271384292</c:v>
                </c:pt>
                <c:pt idx="5">
                  <c:v>25.050854271384292</c:v>
                </c:pt>
                <c:pt idx="6">
                  <c:v>25.050854271384292</c:v>
                </c:pt>
                <c:pt idx="7">
                  <c:v>25.050854271384292</c:v>
                </c:pt>
                <c:pt idx="8">
                  <c:v>25.050854271384292</c:v>
                </c:pt>
                <c:pt idx="9">
                  <c:v>25.050854271384292</c:v>
                </c:pt>
                <c:pt idx="10">
                  <c:v>25.050854271384292</c:v>
                </c:pt>
                <c:pt idx="11">
                  <c:v>25.050854271384292</c:v>
                </c:pt>
                <c:pt idx="12">
                  <c:v>25.050854271384292</c:v>
                </c:pt>
                <c:pt idx="13">
                  <c:v>25.050854271384292</c:v>
                </c:pt>
                <c:pt idx="14">
                  <c:v>25.050854271384292</c:v>
                </c:pt>
                <c:pt idx="15">
                  <c:v>25.050854271384292</c:v>
                </c:pt>
                <c:pt idx="16">
                  <c:v>25.050854271384292</c:v>
                </c:pt>
                <c:pt idx="17">
                  <c:v>25.050854271384292</c:v>
                </c:pt>
                <c:pt idx="18">
                  <c:v>25.050854271384292</c:v>
                </c:pt>
                <c:pt idx="19">
                  <c:v>25.050854271384292</c:v>
                </c:pt>
                <c:pt idx="20">
                  <c:v>25.050854271384292</c:v>
                </c:pt>
                <c:pt idx="21">
                  <c:v>25.050854271384292</c:v>
                </c:pt>
                <c:pt idx="22">
                  <c:v>25.050854271384292</c:v>
                </c:pt>
                <c:pt idx="23">
                  <c:v>25.050854271384292</c:v>
                </c:pt>
                <c:pt idx="24">
                  <c:v>25.050854271384292</c:v>
                </c:pt>
                <c:pt idx="25">
                  <c:v>25.050854271384292</c:v>
                </c:pt>
                <c:pt idx="26">
                  <c:v>25.050854271384292</c:v>
                </c:pt>
                <c:pt idx="27">
                  <c:v>25.050854271384292</c:v>
                </c:pt>
                <c:pt idx="28">
                  <c:v>25.050854271384292</c:v>
                </c:pt>
                <c:pt idx="29">
                  <c:v>25.050854271384292</c:v>
                </c:pt>
                <c:pt idx="30">
                  <c:v>25.050854271384292</c:v>
                </c:pt>
                <c:pt idx="31">
                  <c:v>25.050854271384292</c:v>
                </c:pt>
                <c:pt idx="32">
                  <c:v>25.050854271384292</c:v>
                </c:pt>
                <c:pt idx="33">
                  <c:v>25.050854271384292</c:v>
                </c:pt>
                <c:pt idx="34">
                  <c:v>25.050854271384292</c:v>
                </c:pt>
                <c:pt idx="35">
                  <c:v>25.050854271384292</c:v>
                </c:pt>
                <c:pt idx="36">
                  <c:v>25.050854271384292</c:v>
                </c:pt>
                <c:pt idx="37">
                  <c:v>25.050854271384292</c:v>
                </c:pt>
                <c:pt idx="38">
                  <c:v>25.050854271384292</c:v>
                </c:pt>
                <c:pt idx="39">
                  <c:v>25.050854271384292</c:v>
                </c:pt>
                <c:pt idx="40">
                  <c:v>25.050854271384292</c:v>
                </c:pt>
                <c:pt idx="41">
                  <c:v>25.050854271384292</c:v>
                </c:pt>
                <c:pt idx="42">
                  <c:v>25.050854271384292</c:v>
                </c:pt>
                <c:pt idx="43">
                  <c:v>25.050854271384292</c:v>
                </c:pt>
                <c:pt idx="44">
                  <c:v>25.050854271384292</c:v>
                </c:pt>
                <c:pt idx="45">
                  <c:v>25.050854271384292</c:v>
                </c:pt>
                <c:pt idx="46">
                  <c:v>25.050854271384292</c:v>
                </c:pt>
                <c:pt idx="47">
                  <c:v>25.050854271384292</c:v>
                </c:pt>
                <c:pt idx="48">
                  <c:v>25.050854271384292</c:v>
                </c:pt>
                <c:pt idx="49">
                  <c:v>25.050854271384292</c:v>
                </c:pt>
                <c:pt idx="50">
                  <c:v>25.050854271384292</c:v>
                </c:pt>
                <c:pt idx="51">
                  <c:v>25.050854271384292</c:v>
                </c:pt>
                <c:pt idx="52">
                  <c:v>25.050854271384292</c:v>
                </c:pt>
                <c:pt idx="53">
                  <c:v>25.050854271384292</c:v>
                </c:pt>
                <c:pt idx="54">
                  <c:v>25.050854271384292</c:v>
                </c:pt>
                <c:pt idx="55">
                  <c:v>25.050854271384292</c:v>
                </c:pt>
                <c:pt idx="56">
                  <c:v>25.050854271384292</c:v>
                </c:pt>
                <c:pt idx="57">
                  <c:v>25.050854271384292</c:v>
                </c:pt>
                <c:pt idx="58">
                  <c:v>25.050854271384292</c:v>
                </c:pt>
                <c:pt idx="59">
                  <c:v>25.050854271384292</c:v>
                </c:pt>
                <c:pt idx="60">
                  <c:v>25.050854271384292</c:v>
                </c:pt>
                <c:pt idx="61">
                  <c:v>25.050854271384292</c:v>
                </c:pt>
                <c:pt idx="62">
                  <c:v>25.050854271384292</c:v>
                </c:pt>
                <c:pt idx="63">
                  <c:v>25.050854271384292</c:v>
                </c:pt>
                <c:pt idx="64">
                  <c:v>25.050854271384292</c:v>
                </c:pt>
                <c:pt idx="65">
                  <c:v>25.050854271384292</c:v>
                </c:pt>
                <c:pt idx="66">
                  <c:v>25.050854271384292</c:v>
                </c:pt>
                <c:pt idx="67">
                  <c:v>25.050854271384292</c:v>
                </c:pt>
                <c:pt idx="68">
                  <c:v>25.050854271384292</c:v>
                </c:pt>
                <c:pt idx="69">
                  <c:v>25.050854271384292</c:v>
                </c:pt>
                <c:pt idx="70">
                  <c:v>25.050854271384292</c:v>
                </c:pt>
                <c:pt idx="71">
                  <c:v>25.050854271384292</c:v>
                </c:pt>
                <c:pt idx="72">
                  <c:v>25.050854271384292</c:v>
                </c:pt>
                <c:pt idx="73">
                  <c:v>25.050854271384292</c:v>
                </c:pt>
                <c:pt idx="74">
                  <c:v>25.050854271384292</c:v>
                </c:pt>
                <c:pt idx="75">
                  <c:v>25.050854271384292</c:v>
                </c:pt>
                <c:pt idx="76">
                  <c:v>25.050854271384292</c:v>
                </c:pt>
                <c:pt idx="77">
                  <c:v>25.050854271384292</c:v>
                </c:pt>
                <c:pt idx="78">
                  <c:v>25.050854271384292</c:v>
                </c:pt>
                <c:pt idx="79">
                  <c:v>25.050854271384292</c:v>
                </c:pt>
                <c:pt idx="80">
                  <c:v>25.050854271384292</c:v>
                </c:pt>
                <c:pt idx="81">
                  <c:v>25.050854271384292</c:v>
                </c:pt>
                <c:pt idx="82">
                  <c:v>25.050854271384292</c:v>
                </c:pt>
                <c:pt idx="83">
                  <c:v>25.050854271384292</c:v>
                </c:pt>
                <c:pt idx="84">
                  <c:v>25.050854271384292</c:v>
                </c:pt>
                <c:pt idx="85">
                  <c:v>25.050854271384292</c:v>
                </c:pt>
                <c:pt idx="86">
                  <c:v>25.050854271384292</c:v>
                </c:pt>
                <c:pt idx="87">
                  <c:v>25.050854271384292</c:v>
                </c:pt>
                <c:pt idx="88">
                  <c:v>25.050854271384292</c:v>
                </c:pt>
                <c:pt idx="89">
                  <c:v>25.050854271384292</c:v>
                </c:pt>
                <c:pt idx="90">
                  <c:v>25.050854271384292</c:v>
                </c:pt>
                <c:pt idx="91">
                  <c:v>25.050854271384292</c:v>
                </c:pt>
                <c:pt idx="92">
                  <c:v>25.050854271384292</c:v>
                </c:pt>
                <c:pt idx="93">
                  <c:v>25.050854271384292</c:v>
                </c:pt>
                <c:pt idx="94">
                  <c:v>25.050854271384292</c:v>
                </c:pt>
                <c:pt idx="95">
                  <c:v>25.050854271384292</c:v>
                </c:pt>
                <c:pt idx="96">
                  <c:v>25.050854271384292</c:v>
                </c:pt>
                <c:pt idx="97">
                  <c:v>25.050854271384292</c:v>
                </c:pt>
                <c:pt idx="98">
                  <c:v>25.050854271384292</c:v>
                </c:pt>
                <c:pt idx="99">
                  <c:v>25.050854271384292</c:v>
                </c:pt>
                <c:pt idx="100">
                  <c:v>25.050854271384292</c:v>
                </c:pt>
                <c:pt idx="101">
                  <c:v>25.050854271384292</c:v>
                </c:pt>
                <c:pt idx="102">
                  <c:v>25.050854271384292</c:v>
                </c:pt>
                <c:pt idx="103">
                  <c:v>25.050854271384292</c:v>
                </c:pt>
                <c:pt idx="104">
                  <c:v>25.050854271384292</c:v>
                </c:pt>
                <c:pt idx="105">
                  <c:v>25.050854271384292</c:v>
                </c:pt>
                <c:pt idx="106">
                  <c:v>25.050854271384292</c:v>
                </c:pt>
                <c:pt idx="107">
                  <c:v>25.050854271384292</c:v>
                </c:pt>
                <c:pt idx="108">
                  <c:v>25.050854271384292</c:v>
                </c:pt>
                <c:pt idx="109">
                  <c:v>25.050854271384292</c:v>
                </c:pt>
                <c:pt idx="110">
                  <c:v>25.050854271384292</c:v>
                </c:pt>
                <c:pt idx="111">
                  <c:v>25.050854271384292</c:v>
                </c:pt>
                <c:pt idx="112">
                  <c:v>25.050854271384292</c:v>
                </c:pt>
                <c:pt idx="113">
                  <c:v>25.050854271384292</c:v>
                </c:pt>
                <c:pt idx="114">
                  <c:v>25.050854271384292</c:v>
                </c:pt>
                <c:pt idx="115">
                  <c:v>25.050854271384292</c:v>
                </c:pt>
                <c:pt idx="116">
                  <c:v>25.050854271384292</c:v>
                </c:pt>
                <c:pt idx="117">
                  <c:v>25.050854271384292</c:v>
                </c:pt>
                <c:pt idx="118">
                  <c:v>25.050854271384292</c:v>
                </c:pt>
                <c:pt idx="119">
                  <c:v>25.050854271384292</c:v>
                </c:pt>
                <c:pt idx="120">
                  <c:v>25.050854271384292</c:v>
                </c:pt>
                <c:pt idx="121">
                  <c:v>25.050854271384292</c:v>
                </c:pt>
                <c:pt idx="122">
                  <c:v>25.050854271384292</c:v>
                </c:pt>
                <c:pt idx="123">
                  <c:v>25.050854271384292</c:v>
                </c:pt>
                <c:pt idx="124">
                  <c:v>25.050854271384292</c:v>
                </c:pt>
                <c:pt idx="125">
                  <c:v>25.050854271384292</c:v>
                </c:pt>
                <c:pt idx="126">
                  <c:v>25.050854271384292</c:v>
                </c:pt>
                <c:pt idx="127">
                  <c:v>25.050854271384292</c:v>
                </c:pt>
                <c:pt idx="128">
                  <c:v>25.050854271384292</c:v>
                </c:pt>
                <c:pt idx="129">
                  <c:v>25.050854271384292</c:v>
                </c:pt>
                <c:pt idx="130">
                  <c:v>25.050854271384292</c:v>
                </c:pt>
                <c:pt idx="131">
                  <c:v>25.050854271384292</c:v>
                </c:pt>
                <c:pt idx="132">
                  <c:v>25.050854271384292</c:v>
                </c:pt>
                <c:pt idx="133">
                  <c:v>25.050854271384292</c:v>
                </c:pt>
                <c:pt idx="134">
                  <c:v>25.050854271384292</c:v>
                </c:pt>
                <c:pt idx="135">
                  <c:v>25.050854271384292</c:v>
                </c:pt>
                <c:pt idx="136">
                  <c:v>25.050854271384292</c:v>
                </c:pt>
                <c:pt idx="137">
                  <c:v>25.050854271384292</c:v>
                </c:pt>
                <c:pt idx="138">
                  <c:v>25.050854271384292</c:v>
                </c:pt>
                <c:pt idx="139">
                  <c:v>25.050854271384292</c:v>
                </c:pt>
                <c:pt idx="140">
                  <c:v>25.050854271384292</c:v>
                </c:pt>
                <c:pt idx="141">
                  <c:v>25.050854271384292</c:v>
                </c:pt>
                <c:pt idx="142">
                  <c:v>25.050854271384292</c:v>
                </c:pt>
                <c:pt idx="143">
                  <c:v>25.050854271384292</c:v>
                </c:pt>
                <c:pt idx="144">
                  <c:v>25.050854271384292</c:v>
                </c:pt>
                <c:pt idx="145">
                  <c:v>25.050854271384292</c:v>
                </c:pt>
                <c:pt idx="146">
                  <c:v>25.050854271384292</c:v>
                </c:pt>
                <c:pt idx="147">
                  <c:v>25.050854271384292</c:v>
                </c:pt>
                <c:pt idx="148">
                  <c:v>25.050854271384292</c:v>
                </c:pt>
                <c:pt idx="149">
                  <c:v>25.050854271384292</c:v>
                </c:pt>
                <c:pt idx="150">
                  <c:v>25.050854271384292</c:v>
                </c:pt>
                <c:pt idx="151">
                  <c:v>25.050854271384292</c:v>
                </c:pt>
                <c:pt idx="152">
                  <c:v>25.050854271384292</c:v>
                </c:pt>
                <c:pt idx="153">
                  <c:v>25.050854271384292</c:v>
                </c:pt>
                <c:pt idx="154">
                  <c:v>25.050854271384292</c:v>
                </c:pt>
                <c:pt idx="155">
                  <c:v>25.050854271384292</c:v>
                </c:pt>
                <c:pt idx="156">
                  <c:v>25.050854271384292</c:v>
                </c:pt>
                <c:pt idx="157">
                  <c:v>25.050854271384292</c:v>
                </c:pt>
                <c:pt idx="158">
                  <c:v>25.050854271384292</c:v>
                </c:pt>
                <c:pt idx="159">
                  <c:v>25.050854271384292</c:v>
                </c:pt>
                <c:pt idx="160">
                  <c:v>25.050854271384292</c:v>
                </c:pt>
                <c:pt idx="161">
                  <c:v>25.050854271384292</c:v>
                </c:pt>
                <c:pt idx="162">
                  <c:v>25.050854271384292</c:v>
                </c:pt>
                <c:pt idx="163">
                  <c:v>25.050854271384292</c:v>
                </c:pt>
                <c:pt idx="164">
                  <c:v>25.050854271384292</c:v>
                </c:pt>
                <c:pt idx="165">
                  <c:v>25.050854271384292</c:v>
                </c:pt>
                <c:pt idx="166">
                  <c:v>25.050854271384292</c:v>
                </c:pt>
                <c:pt idx="167">
                  <c:v>25.050854271384292</c:v>
                </c:pt>
                <c:pt idx="168">
                  <c:v>25.050854271384292</c:v>
                </c:pt>
                <c:pt idx="169">
                  <c:v>25.050854271384292</c:v>
                </c:pt>
                <c:pt idx="170">
                  <c:v>25.050854271384292</c:v>
                </c:pt>
                <c:pt idx="171">
                  <c:v>25.050854271384292</c:v>
                </c:pt>
                <c:pt idx="172">
                  <c:v>25.050854271384292</c:v>
                </c:pt>
                <c:pt idx="173">
                  <c:v>25.050854271384292</c:v>
                </c:pt>
                <c:pt idx="174">
                  <c:v>25.050854271384292</c:v>
                </c:pt>
                <c:pt idx="175">
                  <c:v>25.050854271384292</c:v>
                </c:pt>
                <c:pt idx="176">
                  <c:v>25.050854271384292</c:v>
                </c:pt>
                <c:pt idx="177">
                  <c:v>25.050854271384292</c:v>
                </c:pt>
                <c:pt idx="178">
                  <c:v>25.050854271384292</c:v>
                </c:pt>
                <c:pt idx="179">
                  <c:v>25.050854271384292</c:v>
                </c:pt>
                <c:pt idx="180">
                  <c:v>25.050854271384292</c:v>
                </c:pt>
                <c:pt idx="181">
                  <c:v>25.050854271384292</c:v>
                </c:pt>
                <c:pt idx="182">
                  <c:v>25.050854271384292</c:v>
                </c:pt>
                <c:pt idx="183">
                  <c:v>25.050854271384292</c:v>
                </c:pt>
                <c:pt idx="184">
                  <c:v>25.050854271384292</c:v>
                </c:pt>
                <c:pt idx="185">
                  <c:v>25.050854271384292</c:v>
                </c:pt>
                <c:pt idx="186">
                  <c:v>25.050854271384292</c:v>
                </c:pt>
                <c:pt idx="187">
                  <c:v>25.050854271384292</c:v>
                </c:pt>
                <c:pt idx="188">
                  <c:v>25.050854271384292</c:v>
                </c:pt>
                <c:pt idx="189">
                  <c:v>25.050854271384292</c:v>
                </c:pt>
                <c:pt idx="190">
                  <c:v>25.050854271384292</c:v>
                </c:pt>
                <c:pt idx="191">
                  <c:v>25.050854271384292</c:v>
                </c:pt>
                <c:pt idx="192">
                  <c:v>25.050854271384292</c:v>
                </c:pt>
                <c:pt idx="193">
                  <c:v>25.050854271384292</c:v>
                </c:pt>
                <c:pt idx="194">
                  <c:v>25.050854271384292</c:v>
                </c:pt>
                <c:pt idx="195">
                  <c:v>25.050854271384292</c:v>
                </c:pt>
                <c:pt idx="196">
                  <c:v>25.050854271384292</c:v>
                </c:pt>
                <c:pt idx="197">
                  <c:v>25.050854271384292</c:v>
                </c:pt>
                <c:pt idx="198">
                  <c:v>25.050854271384292</c:v>
                </c:pt>
                <c:pt idx="199">
                  <c:v>25.050854271384292</c:v>
                </c:pt>
                <c:pt idx="200">
                  <c:v>25.050854271384292</c:v>
                </c:pt>
                <c:pt idx="201">
                  <c:v>25.050854271384292</c:v>
                </c:pt>
                <c:pt idx="202">
                  <c:v>25.050854271384292</c:v>
                </c:pt>
                <c:pt idx="203">
                  <c:v>25.050854271384292</c:v>
                </c:pt>
                <c:pt idx="204">
                  <c:v>25.050854271384292</c:v>
                </c:pt>
                <c:pt idx="205">
                  <c:v>25.050854271384292</c:v>
                </c:pt>
                <c:pt idx="206">
                  <c:v>25.050854271384292</c:v>
                </c:pt>
                <c:pt idx="207">
                  <c:v>25.050854271384292</c:v>
                </c:pt>
                <c:pt idx="208">
                  <c:v>25.050854271384292</c:v>
                </c:pt>
                <c:pt idx="209">
                  <c:v>25.050854271384292</c:v>
                </c:pt>
                <c:pt idx="210">
                  <c:v>25.050854271384292</c:v>
                </c:pt>
                <c:pt idx="211">
                  <c:v>25.050854271384292</c:v>
                </c:pt>
                <c:pt idx="212">
                  <c:v>25.050854271384292</c:v>
                </c:pt>
                <c:pt idx="213">
                  <c:v>25.050854271384292</c:v>
                </c:pt>
                <c:pt idx="214">
                  <c:v>25.050854271384292</c:v>
                </c:pt>
                <c:pt idx="215">
                  <c:v>25.050854271384292</c:v>
                </c:pt>
                <c:pt idx="216">
                  <c:v>25.050854271384292</c:v>
                </c:pt>
                <c:pt idx="217">
                  <c:v>25.050854271384292</c:v>
                </c:pt>
                <c:pt idx="218">
                  <c:v>25.050854271384292</c:v>
                </c:pt>
                <c:pt idx="219">
                  <c:v>25.050854271384292</c:v>
                </c:pt>
                <c:pt idx="220">
                  <c:v>25.050854271384292</c:v>
                </c:pt>
                <c:pt idx="221">
                  <c:v>25.050854271384292</c:v>
                </c:pt>
                <c:pt idx="222">
                  <c:v>25.050854271384292</c:v>
                </c:pt>
                <c:pt idx="223">
                  <c:v>25.050854271384292</c:v>
                </c:pt>
                <c:pt idx="224">
                  <c:v>25.050854271384292</c:v>
                </c:pt>
                <c:pt idx="225">
                  <c:v>25.050854271384292</c:v>
                </c:pt>
                <c:pt idx="226">
                  <c:v>25.050854271384292</c:v>
                </c:pt>
                <c:pt idx="227">
                  <c:v>25.050854271384292</c:v>
                </c:pt>
                <c:pt idx="228">
                  <c:v>25.050854271384292</c:v>
                </c:pt>
                <c:pt idx="229">
                  <c:v>25.050854271384292</c:v>
                </c:pt>
                <c:pt idx="230">
                  <c:v>25.050854271384292</c:v>
                </c:pt>
                <c:pt idx="231">
                  <c:v>25.050854271384292</c:v>
                </c:pt>
                <c:pt idx="232">
                  <c:v>25.050854271384292</c:v>
                </c:pt>
                <c:pt idx="233">
                  <c:v>25.050854271384292</c:v>
                </c:pt>
                <c:pt idx="234">
                  <c:v>25.050854271384292</c:v>
                </c:pt>
                <c:pt idx="235">
                  <c:v>25.050854271384292</c:v>
                </c:pt>
                <c:pt idx="236">
                  <c:v>25.050854271384292</c:v>
                </c:pt>
                <c:pt idx="237">
                  <c:v>25.050854271384292</c:v>
                </c:pt>
                <c:pt idx="238">
                  <c:v>25.050854271384292</c:v>
                </c:pt>
                <c:pt idx="239">
                  <c:v>25.050854271384292</c:v>
                </c:pt>
                <c:pt idx="240">
                  <c:v>25.050854271384292</c:v>
                </c:pt>
                <c:pt idx="241">
                  <c:v>25.050854271384292</c:v>
                </c:pt>
                <c:pt idx="242">
                  <c:v>25.050854271384292</c:v>
                </c:pt>
                <c:pt idx="243">
                  <c:v>25.050854271384292</c:v>
                </c:pt>
                <c:pt idx="244">
                  <c:v>25.050854271384292</c:v>
                </c:pt>
                <c:pt idx="245">
                  <c:v>25.050854271384292</c:v>
                </c:pt>
                <c:pt idx="246">
                  <c:v>25.050854271384292</c:v>
                </c:pt>
                <c:pt idx="247">
                  <c:v>25.050854271384292</c:v>
                </c:pt>
                <c:pt idx="248">
                  <c:v>25.050854271384292</c:v>
                </c:pt>
                <c:pt idx="249">
                  <c:v>25.050854271384292</c:v>
                </c:pt>
                <c:pt idx="250">
                  <c:v>25.050854271384292</c:v>
                </c:pt>
                <c:pt idx="251">
                  <c:v>25.050854271384292</c:v>
                </c:pt>
                <c:pt idx="252">
                  <c:v>25.050854271384292</c:v>
                </c:pt>
                <c:pt idx="253">
                  <c:v>25.050854271384292</c:v>
                </c:pt>
                <c:pt idx="254">
                  <c:v>25.050854271384292</c:v>
                </c:pt>
                <c:pt idx="255">
                  <c:v>25.050854271384292</c:v>
                </c:pt>
                <c:pt idx="256">
                  <c:v>25.050854271384292</c:v>
                </c:pt>
                <c:pt idx="257">
                  <c:v>25.050854271384292</c:v>
                </c:pt>
                <c:pt idx="258">
                  <c:v>25.050854271384292</c:v>
                </c:pt>
                <c:pt idx="259">
                  <c:v>25.050854271384292</c:v>
                </c:pt>
                <c:pt idx="260">
                  <c:v>25.050854271384292</c:v>
                </c:pt>
                <c:pt idx="261">
                  <c:v>25.050854271384292</c:v>
                </c:pt>
                <c:pt idx="262">
                  <c:v>25.050854271384292</c:v>
                </c:pt>
                <c:pt idx="263">
                  <c:v>25.050854271384292</c:v>
                </c:pt>
                <c:pt idx="264">
                  <c:v>25.050854271384292</c:v>
                </c:pt>
                <c:pt idx="265">
                  <c:v>25.050854271384292</c:v>
                </c:pt>
                <c:pt idx="266">
                  <c:v>25.050854271384292</c:v>
                </c:pt>
                <c:pt idx="267">
                  <c:v>25.050854271384292</c:v>
                </c:pt>
                <c:pt idx="268">
                  <c:v>25.050854271384292</c:v>
                </c:pt>
                <c:pt idx="269">
                  <c:v>25.050854271384292</c:v>
                </c:pt>
                <c:pt idx="270">
                  <c:v>25.050854271384292</c:v>
                </c:pt>
                <c:pt idx="271">
                  <c:v>25.050854271384292</c:v>
                </c:pt>
                <c:pt idx="272">
                  <c:v>25.050854271384292</c:v>
                </c:pt>
                <c:pt idx="273">
                  <c:v>25.050854271384292</c:v>
                </c:pt>
                <c:pt idx="274">
                  <c:v>25.050854271384292</c:v>
                </c:pt>
                <c:pt idx="275">
                  <c:v>25.050854271384292</c:v>
                </c:pt>
                <c:pt idx="276">
                  <c:v>25.050854271384292</c:v>
                </c:pt>
                <c:pt idx="277">
                  <c:v>25.050854271384292</c:v>
                </c:pt>
                <c:pt idx="278">
                  <c:v>25.050854271384292</c:v>
                </c:pt>
                <c:pt idx="279">
                  <c:v>25.050854271384292</c:v>
                </c:pt>
                <c:pt idx="280">
                  <c:v>25.050854271384292</c:v>
                </c:pt>
                <c:pt idx="281">
                  <c:v>25.050854271384292</c:v>
                </c:pt>
                <c:pt idx="282">
                  <c:v>25.050854271384292</c:v>
                </c:pt>
                <c:pt idx="283">
                  <c:v>25.050854271384292</c:v>
                </c:pt>
                <c:pt idx="284">
                  <c:v>25.050854271384292</c:v>
                </c:pt>
                <c:pt idx="285">
                  <c:v>25.050854271384292</c:v>
                </c:pt>
                <c:pt idx="286">
                  <c:v>25.050854271384292</c:v>
                </c:pt>
                <c:pt idx="287">
                  <c:v>25.050854271384292</c:v>
                </c:pt>
                <c:pt idx="288">
                  <c:v>25.050854271384292</c:v>
                </c:pt>
                <c:pt idx="289">
                  <c:v>25.050854271384292</c:v>
                </c:pt>
                <c:pt idx="290">
                  <c:v>25.050854271384292</c:v>
                </c:pt>
                <c:pt idx="291">
                  <c:v>25.050854271384292</c:v>
                </c:pt>
                <c:pt idx="292">
                  <c:v>25.050854271384292</c:v>
                </c:pt>
                <c:pt idx="293">
                  <c:v>25.050854271384292</c:v>
                </c:pt>
                <c:pt idx="294">
                  <c:v>25.050854271384292</c:v>
                </c:pt>
                <c:pt idx="295">
                  <c:v>25.050854271384292</c:v>
                </c:pt>
                <c:pt idx="296">
                  <c:v>25.050854271384292</c:v>
                </c:pt>
                <c:pt idx="297">
                  <c:v>25.050854271384292</c:v>
                </c:pt>
                <c:pt idx="298">
                  <c:v>25.050854271384292</c:v>
                </c:pt>
                <c:pt idx="299">
                  <c:v>25.050854271384292</c:v>
                </c:pt>
                <c:pt idx="300">
                  <c:v>25.050854271384292</c:v>
                </c:pt>
                <c:pt idx="301">
                  <c:v>25.050854271384292</c:v>
                </c:pt>
                <c:pt idx="302">
                  <c:v>25.050854271384292</c:v>
                </c:pt>
                <c:pt idx="303">
                  <c:v>25.050854271384292</c:v>
                </c:pt>
                <c:pt idx="304">
                  <c:v>25.050854271384292</c:v>
                </c:pt>
                <c:pt idx="305">
                  <c:v>25.050854271384292</c:v>
                </c:pt>
                <c:pt idx="306">
                  <c:v>25.050854271384292</c:v>
                </c:pt>
                <c:pt idx="307">
                  <c:v>25.050854271384292</c:v>
                </c:pt>
                <c:pt idx="308">
                  <c:v>25.050854271384292</c:v>
                </c:pt>
                <c:pt idx="309">
                  <c:v>25.050854271384292</c:v>
                </c:pt>
                <c:pt idx="310">
                  <c:v>25.050854271384292</c:v>
                </c:pt>
                <c:pt idx="311">
                  <c:v>25.050854271384292</c:v>
                </c:pt>
                <c:pt idx="312">
                  <c:v>25.050854271384292</c:v>
                </c:pt>
                <c:pt idx="313">
                  <c:v>25.050854271384292</c:v>
                </c:pt>
                <c:pt idx="314">
                  <c:v>25.050854271384292</c:v>
                </c:pt>
                <c:pt idx="315">
                  <c:v>25.050854271384292</c:v>
                </c:pt>
                <c:pt idx="316">
                  <c:v>25.050854271384292</c:v>
                </c:pt>
                <c:pt idx="317">
                  <c:v>25.050854271384292</c:v>
                </c:pt>
                <c:pt idx="318">
                  <c:v>25.050854271384292</c:v>
                </c:pt>
                <c:pt idx="319">
                  <c:v>25.050854271384292</c:v>
                </c:pt>
                <c:pt idx="320">
                  <c:v>25.050854271384292</c:v>
                </c:pt>
                <c:pt idx="321">
                  <c:v>25.050854271384292</c:v>
                </c:pt>
                <c:pt idx="322">
                  <c:v>25.050854271384292</c:v>
                </c:pt>
                <c:pt idx="323">
                  <c:v>25.050854271384292</c:v>
                </c:pt>
                <c:pt idx="324">
                  <c:v>25.050854271384292</c:v>
                </c:pt>
                <c:pt idx="325">
                  <c:v>25.050854271384292</c:v>
                </c:pt>
                <c:pt idx="326">
                  <c:v>25.050854271384292</c:v>
                </c:pt>
                <c:pt idx="327">
                  <c:v>25.050854271384292</c:v>
                </c:pt>
                <c:pt idx="328">
                  <c:v>25.050854271384292</c:v>
                </c:pt>
                <c:pt idx="329">
                  <c:v>25.050854271384292</c:v>
                </c:pt>
                <c:pt idx="330">
                  <c:v>25.050854271384292</c:v>
                </c:pt>
                <c:pt idx="331">
                  <c:v>25.050854271384292</c:v>
                </c:pt>
                <c:pt idx="332">
                  <c:v>25.050854271384292</c:v>
                </c:pt>
                <c:pt idx="333">
                  <c:v>25.050854271384292</c:v>
                </c:pt>
                <c:pt idx="334">
                  <c:v>25.050854271384292</c:v>
                </c:pt>
                <c:pt idx="335">
                  <c:v>25.050854271384292</c:v>
                </c:pt>
                <c:pt idx="336">
                  <c:v>25.050854271384292</c:v>
                </c:pt>
                <c:pt idx="337">
                  <c:v>25.050854271384292</c:v>
                </c:pt>
                <c:pt idx="338">
                  <c:v>25.050854271384292</c:v>
                </c:pt>
                <c:pt idx="339">
                  <c:v>25.050854271384292</c:v>
                </c:pt>
                <c:pt idx="340">
                  <c:v>25.050854271384292</c:v>
                </c:pt>
                <c:pt idx="341">
                  <c:v>25.050854271384292</c:v>
                </c:pt>
                <c:pt idx="342">
                  <c:v>25.050854271384292</c:v>
                </c:pt>
                <c:pt idx="343">
                  <c:v>25.050854271384292</c:v>
                </c:pt>
                <c:pt idx="344">
                  <c:v>25.050854271384292</c:v>
                </c:pt>
                <c:pt idx="345">
                  <c:v>25.050854271384292</c:v>
                </c:pt>
                <c:pt idx="346">
                  <c:v>25.050854271384292</c:v>
                </c:pt>
                <c:pt idx="347">
                  <c:v>25.050854271384292</c:v>
                </c:pt>
                <c:pt idx="348">
                  <c:v>25.050854271384292</c:v>
                </c:pt>
                <c:pt idx="349">
                  <c:v>25.050854271384292</c:v>
                </c:pt>
                <c:pt idx="350">
                  <c:v>25.050854271384292</c:v>
                </c:pt>
                <c:pt idx="351">
                  <c:v>25.050854271384292</c:v>
                </c:pt>
                <c:pt idx="352">
                  <c:v>25.050854271384292</c:v>
                </c:pt>
                <c:pt idx="353">
                  <c:v>25.050854271384292</c:v>
                </c:pt>
                <c:pt idx="354">
                  <c:v>25.050854271384292</c:v>
                </c:pt>
                <c:pt idx="355">
                  <c:v>25.050854271384292</c:v>
                </c:pt>
                <c:pt idx="356">
                  <c:v>25.050854271384292</c:v>
                </c:pt>
                <c:pt idx="357">
                  <c:v>25.050854271384292</c:v>
                </c:pt>
                <c:pt idx="358">
                  <c:v>25.050854271384292</c:v>
                </c:pt>
                <c:pt idx="359">
                  <c:v>25.050854271384292</c:v>
                </c:pt>
                <c:pt idx="360">
                  <c:v>25.050854271384292</c:v>
                </c:pt>
                <c:pt idx="361">
                  <c:v>25.050854271384292</c:v>
                </c:pt>
                <c:pt idx="362">
                  <c:v>25.050854271384292</c:v>
                </c:pt>
                <c:pt idx="363">
                  <c:v>25.050854271384292</c:v>
                </c:pt>
                <c:pt idx="364">
                  <c:v>25.050854271384292</c:v>
                </c:pt>
                <c:pt idx="365">
                  <c:v>25.050854271384292</c:v>
                </c:pt>
                <c:pt idx="366">
                  <c:v>25.050854271384292</c:v>
                </c:pt>
                <c:pt idx="367">
                  <c:v>25.050854271384292</c:v>
                </c:pt>
                <c:pt idx="368">
                  <c:v>25.050854271384292</c:v>
                </c:pt>
                <c:pt idx="369">
                  <c:v>25.050854271384292</c:v>
                </c:pt>
                <c:pt idx="370">
                  <c:v>25.050854271384292</c:v>
                </c:pt>
                <c:pt idx="371">
                  <c:v>25.050854271384292</c:v>
                </c:pt>
                <c:pt idx="372">
                  <c:v>25.050854271384292</c:v>
                </c:pt>
                <c:pt idx="373">
                  <c:v>25.050854271384292</c:v>
                </c:pt>
                <c:pt idx="374">
                  <c:v>25.050854271384292</c:v>
                </c:pt>
                <c:pt idx="375">
                  <c:v>25.050854271384292</c:v>
                </c:pt>
                <c:pt idx="376">
                  <c:v>25.050854271384292</c:v>
                </c:pt>
                <c:pt idx="377">
                  <c:v>25.050854271384292</c:v>
                </c:pt>
                <c:pt idx="378">
                  <c:v>25.050854271384292</c:v>
                </c:pt>
                <c:pt idx="379">
                  <c:v>25.050854271384292</c:v>
                </c:pt>
                <c:pt idx="380">
                  <c:v>25.050854271384292</c:v>
                </c:pt>
                <c:pt idx="381">
                  <c:v>25.050854271384292</c:v>
                </c:pt>
                <c:pt idx="382">
                  <c:v>25.050854271384292</c:v>
                </c:pt>
                <c:pt idx="383">
                  <c:v>25.050854271384292</c:v>
                </c:pt>
                <c:pt idx="384">
                  <c:v>25.050854271384292</c:v>
                </c:pt>
                <c:pt idx="385">
                  <c:v>25.050854271384292</c:v>
                </c:pt>
                <c:pt idx="386">
                  <c:v>25.050854271384292</c:v>
                </c:pt>
                <c:pt idx="387">
                  <c:v>25.050854271384292</c:v>
                </c:pt>
                <c:pt idx="388">
                  <c:v>25.050854271384292</c:v>
                </c:pt>
                <c:pt idx="389">
                  <c:v>25.050854271384292</c:v>
                </c:pt>
                <c:pt idx="390">
                  <c:v>25.050854271384292</c:v>
                </c:pt>
                <c:pt idx="391">
                  <c:v>25.050854271384292</c:v>
                </c:pt>
                <c:pt idx="392">
                  <c:v>25.050854271384292</c:v>
                </c:pt>
                <c:pt idx="393">
                  <c:v>25.050854271384292</c:v>
                </c:pt>
                <c:pt idx="394">
                  <c:v>25.050854271384292</c:v>
                </c:pt>
                <c:pt idx="395">
                  <c:v>25.050854271384292</c:v>
                </c:pt>
              </c:numCache>
            </c:numRef>
          </c:val>
          <c:smooth val="0"/>
          <c:extLst>
            <c:ext xmlns:c16="http://schemas.microsoft.com/office/drawing/2014/chart" uri="{C3380CC4-5D6E-409C-BE32-E72D297353CC}">
              <c16:uniqueId val="{00000001-E850-417B-95DA-4ED900504230}"/>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yyyy"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60"/>
        <c:tickMarkSkip val="12"/>
        <c:noMultiLvlLbl val="0"/>
      </c:catAx>
      <c:valAx>
        <c:axId val="263608576"/>
        <c:scaling>
          <c:orientation val="minMax"/>
          <c:min val="20"/>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2312037605468808"/>
          <c:y val="0.1178681418363781"/>
          <c:w val="0.54984960778207814"/>
          <c:h val="5.6101061021763217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xMode val="edge"/>
          <c:yMode val="edge"/>
          <c:x val="0"/>
          <c:y val="0.12464589235127478"/>
          <c:w val="1"/>
          <c:h val="0.80830972615675167"/>
        </c:manualLayout>
      </c:layout>
      <c:lineChart>
        <c:grouping val="standard"/>
        <c:varyColors val="0"/>
        <c:ser>
          <c:idx val="0"/>
          <c:order val="0"/>
          <c:tx>
            <c:strRef>
              <c:f>'Chart Data'!$FX$3</c:f>
              <c:strCache>
                <c:ptCount val="1"/>
                <c:pt idx="0">
                  <c:v>5-year moving average</c:v>
                </c:pt>
              </c:strCache>
            </c:strRef>
          </c:tx>
          <c:spPr>
            <a:ln w="38100">
              <a:solidFill>
                <a:srgbClr val="BD1B21"/>
              </a:solidFill>
            </a:ln>
          </c:spPr>
          <c:marker>
            <c:symbol val="none"/>
          </c:marker>
          <c:cat>
            <c:numRef>
              <c:f>'Chart Data'!$FW$64:$FW$267</c:f>
              <c:numCache>
                <c:formatCode>General</c:formatCode>
                <c:ptCount val="204"/>
                <c:pt idx="0">
                  <c:v>1975</c:v>
                </c:pt>
                <c:pt idx="4">
                  <c:v>1976</c:v>
                </c:pt>
                <c:pt idx="8">
                  <c:v>1977</c:v>
                </c:pt>
                <c:pt idx="12">
                  <c:v>1978</c:v>
                </c:pt>
                <c:pt idx="16">
                  <c:v>1979</c:v>
                </c:pt>
                <c:pt idx="20">
                  <c:v>1980</c:v>
                </c:pt>
                <c:pt idx="24">
                  <c:v>1981</c:v>
                </c:pt>
                <c:pt idx="28">
                  <c:v>1982</c:v>
                </c:pt>
                <c:pt idx="32">
                  <c:v>1983</c:v>
                </c:pt>
                <c:pt idx="36">
                  <c:v>1984</c:v>
                </c:pt>
                <c:pt idx="40">
                  <c:v>1985</c:v>
                </c:pt>
                <c:pt idx="44">
                  <c:v>1986</c:v>
                </c:pt>
                <c:pt idx="48">
                  <c:v>1987</c:v>
                </c:pt>
                <c:pt idx="52">
                  <c:v>1988</c:v>
                </c:pt>
                <c:pt idx="56">
                  <c:v>1989</c:v>
                </c:pt>
                <c:pt idx="60">
                  <c:v>1990</c:v>
                </c:pt>
                <c:pt idx="64">
                  <c:v>1991</c:v>
                </c:pt>
                <c:pt idx="68">
                  <c:v>1992</c:v>
                </c:pt>
                <c:pt idx="72">
                  <c:v>1993</c:v>
                </c:pt>
                <c:pt idx="76">
                  <c:v>1994</c:v>
                </c:pt>
                <c:pt idx="80">
                  <c:v>1995</c:v>
                </c:pt>
                <c:pt idx="84">
                  <c:v>1996</c:v>
                </c:pt>
                <c:pt idx="88">
                  <c:v>1997</c:v>
                </c:pt>
                <c:pt idx="92">
                  <c:v>1998</c:v>
                </c:pt>
                <c:pt idx="96">
                  <c:v>1999</c:v>
                </c:pt>
                <c:pt idx="100">
                  <c:v>2000</c:v>
                </c:pt>
                <c:pt idx="104">
                  <c:v>2001</c:v>
                </c:pt>
                <c:pt idx="108">
                  <c:v>2002</c:v>
                </c:pt>
                <c:pt idx="112">
                  <c:v>2003</c:v>
                </c:pt>
                <c:pt idx="116">
                  <c:v>2004</c:v>
                </c:pt>
                <c:pt idx="120">
                  <c:v>2005</c:v>
                </c:pt>
                <c:pt idx="124">
                  <c:v>2006</c:v>
                </c:pt>
                <c:pt idx="128">
                  <c:v>2007</c:v>
                </c:pt>
                <c:pt idx="132">
                  <c:v>2008</c:v>
                </c:pt>
                <c:pt idx="136">
                  <c:v>2009</c:v>
                </c:pt>
                <c:pt idx="140">
                  <c:v>2010</c:v>
                </c:pt>
                <c:pt idx="144">
                  <c:v>2011</c:v>
                </c:pt>
                <c:pt idx="148">
                  <c:v>2012</c:v>
                </c:pt>
                <c:pt idx="152">
                  <c:v>2013</c:v>
                </c:pt>
                <c:pt idx="156">
                  <c:v>2014</c:v>
                </c:pt>
                <c:pt idx="160">
                  <c:v>2015</c:v>
                </c:pt>
                <c:pt idx="164">
                  <c:v>2016</c:v>
                </c:pt>
                <c:pt idx="168">
                  <c:v>2017</c:v>
                </c:pt>
                <c:pt idx="172">
                  <c:v>2018</c:v>
                </c:pt>
                <c:pt idx="176">
                  <c:v>2019</c:v>
                </c:pt>
                <c:pt idx="180">
                  <c:v>2020</c:v>
                </c:pt>
                <c:pt idx="184">
                  <c:v>2021</c:v>
                </c:pt>
                <c:pt idx="188">
                  <c:v>2022</c:v>
                </c:pt>
                <c:pt idx="192">
                  <c:v>2023</c:v>
                </c:pt>
                <c:pt idx="196">
                  <c:v>2024</c:v>
                </c:pt>
                <c:pt idx="200">
                  <c:v>2025</c:v>
                </c:pt>
              </c:numCache>
            </c:numRef>
          </c:cat>
          <c:val>
            <c:numRef>
              <c:f>'Chart Data'!$FX$64:$FX$267</c:f>
              <c:numCache>
                <c:formatCode>0.0</c:formatCode>
                <c:ptCount val="204"/>
                <c:pt idx="0">
                  <c:v>2.8785322648671396</c:v>
                </c:pt>
                <c:pt idx="1">
                  <c:v>2.6161573880284505</c:v>
                </c:pt>
                <c:pt idx="2">
                  <c:v>2.284764773081327</c:v>
                </c:pt>
                <c:pt idx="3">
                  <c:v>2.0637705087194202</c:v>
                </c:pt>
                <c:pt idx="4">
                  <c:v>1.8858255611356123</c:v>
                </c:pt>
                <c:pt idx="5">
                  <c:v>1.8050173363246991</c:v>
                </c:pt>
                <c:pt idx="6">
                  <c:v>1.7463701898669859</c:v>
                </c:pt>
                <c:pt idx="7">
                  <c:v>1.7389546051966187</c:v>
                </c:pt>
                <c:pt idx="8">
                  <c:v>1.7000301780504712</c:v>
                </c:pt>
                <c:pt idx="9">
                  <c:v>1.5726735450265261</c:v>
                </c:pt>
                <c:pt idx="10">
                  <c:v>1.4868775571300175</c:v>
                </c:pt>
                <c:pt idx="11">
                  <c:v>1.3812978237106144</c:v>
                </c:pt>
                <c:pt idx="12">
                  <c:v>1.0781404549950357</c:v>
                </c:pt>
                <c:pt idx="13">
                  <c:v>0.97633136094674722</c:v>
                </c:pt>
                <c:pt idx="14">
                  <c:v>0.99311701081612469</c:v>
                </c:pt>
                <c:pt idx="15">
                  <c:v>1.0390119584395396</c:v>
                </c:pt>
                <c:pt idx="16">
                  <c:v>1.3112829043937957</c:v>
                </c:pt>
                <c:pt idx="17">
                  <c:v>1.6993847055376765</c:v>
                </c:pt>
                <c:pt idx="18">
                  <c:v>1.83039626131829</c:v>
                </c:pt>
                <c:pt idx="19">
                  <c:v>2.0081490104773003</c:v>
                </c:pt>
                <c:pt idx="20">
                  <c:v>2.0380566019511326</c:v>
                </c:pt>
                <c:pt idx="21">
                  <c:v>1.9206760779794108</c:v>
                </c:pt>
                <c:pt idx="22">
                  <c:v>1.9791567071421712</c:v>
                </c:pt>
                <c:pt idx="23">
                  <c:v>1.8449833571088758</c:v>
                </c:pt>
                <c:pt idx="24">
                  <c:v>1.7322983718288443</c:v>
                </c:pt>
                <c:pt idx="25">
                  <c:v>1.6866107603882075</c:v>
                </c:pt>
                <c:pt idx="26">
                  <c:v>1.6407275454715986</c:v>
                </c:pt>
                <c:pt idx="27">
                  <c:v>1.6621533289756352</c:v>
                </c:pt>
                <c:pt idx="28">
                  <c:v>1.7214106262212425</c:v>
                </c:pt>
                <c:pt idx="29">
                  <c:v>1.8532246108228234</c:v>
                </c:pt>
                <c:pt idx="30">
                  <c:v>1.9739876395166611</c:v>
                </c:pt>
                <c:pt idx="31">
                  <c:v>2.1126113713603401</c:v>
                </c:pt>
                <c:pt idx="32">
                  <c:v>2.3600439077936297</c:v>
                </c:pt>
                <c:pt idx="33">
                  <c:v>2.4563318777292675</c:v>
                </c:pt>
                <c:pt idx="34">
                  <c:v>2.4875621890547039</c:v>
                </c:pt>
                <c:pt idx="35">
                  <c:v>2.5006746424395043</c:v>
                </c:pt>
                <c:pt idx="36">
                  <c:v>2.4754244861483699</c:v>
                </c:pt>
                <c:pt idx="37">
                  <c:v>2.1754572900017921</c:v>
                </c:pt>
                <c:pt idx="38">
                  <c:v>2.0211827007943661</c:v>
                </c:pt>
                <c:pt idx="39">
                  <c:v>1.9482229047828037</c:v>
                </c:pt>
                <c:pt idx="40">
                  <c:v>1.918548879393045</c:v>
                </c:pt>
                <c:pt idx="41">
                  <c:v>2.3377074824020072</c:v>
                </c:pt>
                <c:pt idx="42">
                  <c:v>2.612682758024043</c:v>
                </c:pt>
                <c:pt idx="43">
                  <c:v>2.8492726177154148</c:v>
                </c:pt>
                <c:pt idx="44">
                  <c:v>2.9691109780097591</c:v>
                </c:pt>
                <c:pt idx="45">
                  <c:v>2.9211956521739024</c:v>
                </c:pt>
                <c:pt idx="46">
                  <c:v>2.8581063991231836</c:v>
                </c:pt>
                <c:pt idx="47">
                  <c:v>2.7954469367257984</c:v>
                </c:pt>
                <c:pt idx="48">
                  <c:v>2.7422303473491727</c:v>
                </c:pt>
                <c:pt idx="49">
                  <c:v>2.6732673267326534</c:v>
                </c:pt>
                <c:pt idx="50">
                  <c:v>2.680327868852439</c:v>
                </c:pt>
                <c:pt idx="51">
                  <c:v>2.6298648428594751</c:v>
                </c:pt>
                <c:pt idx="52">
                  <c:v>2.4830152054351462</c:v>
                </c:pt>
                <c:pt idx="53">
                  <c:v>2.3304403728704681</c:v>
                </c:pt>
                <c:pt idx="54">
                  <c:v>2.163327213219457</c:v>
                </c:pt>
                <c:pt idx="55">
                  <c:v>2.054740182467274</c:v>
                </c:pt>
                <c:pt idx="56">
                  <c:v>2.0045773814221235</c:v>
                </c:pt>
                <c:pt idx="57">
                  <c:v>2.057483901366397</c:v>
                </c:pt>
                <c:pt idx="58">
                  <c:v>2.0940771995624052</c:v>
                </c:pt>
                <c:pt idx="59">
                  <c:v>2.0444651741293729</c:v>
                </c:pt>
                <c:pt idx="60">
                  <c:v>2.0116054158607843</c:v>
                </c:pt>
                <c:pt idx="61">
                  <c:v>1.8236380424746068</c:v>
                </c:pt>
                <c:pt idx="62">
                  <c:v>1.6225317618246082</c:v>
                </c:pt>
                <c:pt idx="63">
                  <c:v>1.5083415860440264</c:v>
                </c:pt>
                <c:pt idx="64">
                  <c:v>1.4106939704209065</c:v>
                </c:pt>
                <c:pt idx="65">
                  <c:v>1.3904632358497704</c:v>
                </c:pt>
                <c:pt idx="66">
                  <c:v>1.415875884922424</c:v>
                </c:pt>
                <c:pt idx="67">
                  <c:v>1.4108818011256963</c:v>
                </c:pt>
                <c:pt idx="68">
                  <c:v>1.4135068431680553</c:v>
                </c:pt>
                <c:pt idx="69">
                  <c:v>1.3863009614668131</c:v>
                </c:pt>
                <c:pt idx="70">
                  <c:v>1.3218476162186299</c:v>
                </c:pt>
                <c:pt idx="71">
                  <c:v>1.332050617923497</c:v>
                </c:pt>
                <c:pt idx="72">
                  <c:v>1.3495575221239342</c:v>
                </c:pt>
                <c:pt idx="73">
                  <c:v>1.4261559950011327</c:v>
                </c:pt>
                <c:pt idx="74">
                  <c:v>1.5391380826737411</c:v>
                </c:pt>
                <c:pt idx="75">
                  <c:v>1.6139633389323116</c:v>
                </c:pt>
                <c:pt idx="76">
                  <c:v>1.7317907298260771</c:v>
                </c:pt>
                <c:pt idx="77">
                  <c:v>1.8554758280785677</c:v>
                </c:pt>
                <c:pt idx="78">
                  <c:v>1.9777681536018221</c:v>
                </c:pt>
                <c:pt idx="79">
                  <c:v>2.0986057208566722</c:v>
                </c:pt>
                <c:pt idx="80">
                  <c:v>2.160074386667632</c:v>
                </c:pt>
                <c:pt idx="81">
                  <c:v>2.1490073293958467</c:v>
                </c:pt>
                <c:pt idx="82">
                  <c:v>2.1942242355606156</c:v>
                </c:pt>
                <c:pt idx="83">
                  <c:v>2.2103336618330083</c:v>
                </c:pt>
                <c:pt idx="84">
                  <c:v>2.2684310018903364</c:v>
                </c:pt>
                <c:pt idx="85">
                  <c:v>2.3336816440264752</c:v>
                </c:pt>
                <c:pt idx="86">
                  <c:v>2.2925612965784659</c:v>
                </c:pt>
                <c:pt idx="87">
                  <c:v>2.2589531680440755</c:v>
                </c:pt>
                <c:pt idx="88">
                  <c:v>2.2044225371397275</c:v>
                </c:pt>
                <c:pt idx="89">
                  <c:v>2.1851599727705784</c:v>
                </c:pt>
                <c:pt idx="90">
                  <c:v>2.1802423996208242</c:v>
                </c:pt>
                <c:pt idx="91">
                  <c:v>2.1686422413793149</c:v>
                </c:pt>
                <c:pt idx="92">
                  <c:v>2.1434791345702919</c:v>
                </c:pt>
                <c:pt idx="93">
                  <c:v>2.1184464725867658</c:v>
                </c:pt>
                <c:pt idx="94">
                  <c:v>2.0542044927440051</c:v>
                </c:pt>
                <c:pt idx="95">
                  <c:v>1.9841793012524755</c:v>
                </c:pt>
                <c:pt idx="96">
                  <c:v>1.9017640501016508</c:v>
                </c:pt>
                <c:pt idx="97">
                  <c:v>1.7874616739513405</c:v>
                </c:pt>
                <c:pt idx="98">
                  <c:v>1.779105252905655</c:v>
                </c:pt>
                <c:pt idx="99">
                  <c:v>1.8356925861288786</c:v>
                </c:pt>
                <c:pt idx="100">
                  <c:v>1.9499324280841668</c:v>
                </c:pt>
                <c:pt idx="101">
                  <c:v>2.1277959366788224</c:v>
                </c:pt>
                <c:pt idx="102">
                  <c:v>2.2328548644337864</c:v>
                </c:pt>
                <c:pt idx="103">
                  <c:v>2.3230720406220318</c:v>
                </c:pt>
                <c:pt idx="104">
                  <c:v>2.3481883600555475</c:v>
                </c:pt>
                <c:pt idx="105">
                  <c:v>2.3219328522121385</c:v>
                </c:pt>
                <c:pt idx="106">
                  <c:v>2.3151326053042265</c:v>
                </c:pt>
                <c:pt idx="107">
                  <c:v>2.2269090006823644</c:v>
                </c:pt>
                <c:pt idx="108">
                  <c:v>2.1462933267546669</c:v>
                </c:pt>
                <c:pt idx="109">
                  <c:v>2.054584483287325</c:v>
                </c:pt>
                <c:pt idx="110">
                  <c:v>1.9760917296901548</c:v>
                </c:pt>
                <c:pt idx="111">
                  <c:v>1.8871359223300965</c:v>
                </c:pt>
                <c:pt idx="112">
                  <c:v>1.8234512740007203</c:v>
                </c:pt>
                <c:pt idx="113">
                  <c:v>1.7848557692307532</c:v>
                </c:pt>
                <c:pt idx="114">
                  <c:v>1.7882775119617333</c:v>
                </c:pt>
                <c:pt idx="115">
                  <c:v>1.870049431242915</c:v>
                </c:pt>
                <c:pt idx="116">
                  <c:v>1.9093927893738316</c:v>
                </c:pt>
                <c:pt idx="117">
                  <c:v>1.9602054673200753</c:v>
                </c:pt>
                <c:pt idx="118">
                  <c:v>1.8920030554086864</c:v>
                </c:pt>
                <c:pt idx="119">
                  <c:v>1.7480268927214215</c:v>
                </c:pt>
                <c:pt idx="120">
                  <c:v>1.6059583381822451</c:v>
                </c:pt>
                <c:pt idx="121">
                  <c:v>1.4766344316405222</c:v>
                </c:pt>
                <c:pt idx="122">
                  <c:v>1.4243699901966389</c:v>
                </c:pt>
                <c:pt idx="123">
                  <c:v>1.459434612732724</c:v>
                </c:pt>
                <c:pt idx="124">
                  <c:v>1.494674149581976</c:v>
                </c:pt>
                <c:pt idx="125">
                  <c:v>1.5007989043597458</c:v>
                </c:pt>
                <c:pt idx="126">
                  <c:v>1.4669092563111219</c:v>
                </c:pt>
                <c:pt idx="127">
                  <c:v>1.4157888775625516</c:v>
                </c:pt>
                <c:pt idx="128">
                  <c:v>1.4500930993623928</c:v>
                </c:pt>
                <c:pt idx="129">
                  <c:v>1.51796255692358</c:v>
                </c:pt>
                <c:pt idx="130">
                  <c:v>1.6082035189958432</c:v>
                </c:pt>
                <c:pt idx="131">
                  <c:v>1.6919812374357912</c:v>
                </c:pt>
                <c:pt idx="132">
                  <c:v>1.6907675194660632</c:v>
                </c:pt>
                <c:pt idx="133">
                  <c:v>1.6115633826216946</c:v>
                </c:pt>
                <c:pt idx="134">
                  <c:v>1.4393646942039373</c:v>
                </c:pt>
                <c:pt idx="135">
                  <c:v>1.120202075668586</c:v>
                </c:pt>
                <c:pt idx="136">
                  <c:v>0.77663530956029181</c:v>
                </c:pt>
                <c:pt idx="137">
                  <c:v>0.49596686287336489</c:v>
                </c:pt>
                <c:pt idx="138">
                  <c:v>0.32619332390997346</c:v>
                </c:pt>
                <c:pt idx="139">
                  <c:v>0.30409991854467577</c:v>
                </c:pt>
                <c:pt idx="140">
                  <c:v>0.3744708563985677</c:v>
                </c:pt>
                <c:pt idx="141">
                  <c:v>0.41759314496445654</c:v>
                </c:pt>
                <c:pt idx="142">
                  <c:v>0.4226725913081264</c:v>
                </c:pt>
                <c:pt idx="143">
                  <c:v>0.36273076714847807</c:v>
                </c:pt>
                <c:pt idx="144">
                  <c:v>0.25412273587455125</c:v>
                </c:pt>
                <c:pt idx="145">
                  <c:v>0.16202203499675605</c:v>
                </c:pt>
                <c:pt idx="146">
                  <c:v>0.15109000647526294</c:v>
                </c:pt>
                <c:pt idx="147">
                  <c:v>0.17801273060740197</c:v>
                </c:pt>
                <c:pt idx="148">
                  <c:v>0.17797432855140016</c:v>
                </c:pt>
                <c:pt idx="149">
                  <c:v>0.11323196376578082</c:v>
                </c:pt>
                <c:pt idx="150">
                  <c:v>5.3879310345061882E-3</c:v>
                </c:pt>
                <c:pt idx="151">
                  <c:v>-0.1292337515480968</c:v>
                </c:pt>
                <c:pt idx="152">
                  <c:v>-0.22072678331092055</c:v>
                </c:pt>
                <c:pt idx="153">
                  <c:v>-0.19927828943825387</c:v>
                </c:pt>
                <c:pt idx="154">
                  <c:v>-0.13469101880287937</c:v>
                </c:pt>
                <c:pt idx="155">
                  <c:v>8.0875613306718996E-2</c:v>
                </c:pt>
                <c:pt idx="156">
                  <c:v>0.36149778784935194</c:v>
                </c:pt>
                <c:pt idx="157">
                  <c:v>0.58823529411762276</c:v>
                </c:pt>
                <c:pt idx="158">
                  <c:v>0.77686663789380273</c:v>
                </c:pt>
                <c:pt idx="159">
                  <c:v>0.85120137916172567</c:v>
                </c:pt>
                <c:pt idx="160">
                  <c:v>0.76877587226493738</c:v>
                </c:pt>
                <c:pt idx="161">
                  <c:v>0.69209721551586334</c:v>
                </c:pt>
                <c:pt idx="162">
                  <c:v>0.57815845824409351</c:v>
                </c:pt>
                <c:pt idx="163">
                  <c:v>0.45405982905981634</c:v>
                </c:pt>
                <c:pt idx="164">
                  <c:v>0.45881348698251223</c:v>
                </c:pt>
                <c:pt idx="165">
                  <c:v>0.4795396419437381</c:v>
                </c:pt>
                <c:pt idx="166">
                  <c:v>0.49499680647222544</c:v>
                </c:pt>
                <c:pt idx="167">
                  <c:v>0.55836213772932908</c:v>
                </c:pt>
                <c:pt idx="168">
                  <c:v>0.58417419012215532</c:v>
                </c:pt>
                <c:pt idx="169">
                  <c:v>0.65754586912716295</c:v>
                </c:pt>
                <c:pt idx="170">
                  <c:v>0.75207880938510385</c:v>
                </c:pt>
                <c:pt idx="171">
                  <c:v>0.86726599682711569</c:v>
                </c:pt>
                <c:pt idx="172">
                  <c:v>0.93453009503696727</c:v>
                </c:pt>
                <c:pt idx="173">
                  <c:v>0.92192603519123395</c:v>
                </c:pt>
                <c:pt idx="174">
                  <c:v>0.92519581559167285</c:v>
                </c:pt>
                <c:pt idx="175">
                  <c:v>0.84932368669392577</c:v>
                </c:pt>
                <c:pt idx="176">
                  <c:v>0.82648951195272158</c:v>
                </c:pt>
                <c:pt idx="177">
                  <c:v>0.78300360181657869</c:v>
                </c:pt>
                <c:pt idx="178">
                  <c:v>0.74483045991977637</c:v>
                </c:pt>
                <c:pt idx="179">
                  <c:v>0.70180910792261297</c:v>
                </c:pt>
                <c:pt idx="180">
                  <c:v>0.56031128404665509</c:v>
                </c:pt>
                <c:pt idx="181">
                  <c:v>-0.51276739006579364</c:v>
                </c:pt>
                <c:pt idx="182">
                  <c:v>-0.85306586702512677</c:v>
                </c:pt>
                <c:pt idx="183">
                  <c:v>-1.0686077125599991</c:v>
                </c:pt>
                <c:pt idx="184">
                  <c:v>-1.2794717020068958</c:v>
                </c:pt>
                <c:pt idx="185">
                  <c:v>-0.23427738442315382</c:v>
                </c:pt>
                <c:pt idx="186">
                  <c:v>9.3862439380498763E-2</c:v>
                </c:pt>
                <c:pt idx="187">
                  <c:v>0.36005009392610088</c:v>
                </c:pt>
                <c:pt idx="188">
                  <c:v>0.72119153383851664</c:v>
                </c:pt>
                <c:pt idx="189">
                  <c:v>0.74622971351041567</c:v>
                </c:pt>
                <c:pt idx="190">
                  <c:v>0.73456629330557188</c:v>
                </c:pt>
                <c:pt idx="191">
                  <c:v>0.65512400561533735</c:v>
                </c:pt>
                <c:pt idx="192">
                  <c:v>0.56555803455611287</c:v>
                </c:pt>
                <c:pt idx="193">
                  <c:v>0.50243447632860594</c:v>
                </c:pt>
                <c:pt idx="194">
                  <c:v>0.43959453868431808</c:v>
                </c:pt>
                <c:pt idx="195">
                  <c:v>0.41324448576889328</c:v>
                </c:pt>
                <c:pt idx="196">
                  <c:v>0.42823238055926804</c:v>
                </c:pt>
                <c:pt idx="197">
                  <c:v>0.47930732360974559</c:v>
                </c:pt>
                <c:pt idx="198">
                  <c:v>0.46856495546054866</c:v>
                </c:pt>
                <c:pt idx="199">
                  <c:v>0.47841967179380607</c:v>
                </c:pt>
                <c:pt idx="200">
                  <c:v>0.57539172874390143</c:v>
                </c:pt>
                <c:pt idx="201">
                  <c:v>1.5592942141977817</c:v>
                </c:pt>
                <c:pt idx="202">
                  <c:v>1.8698344878185669</c:v>
                </c:pt>
              </c:numCache>
            </c:numRef>
          </c:val>
          <c:smooth val="0"/>
          <c:extLst>
            <c:ext xmlns:c16="http://schemas.microsoft.com/office/drawing/2014/chart" uri="{C3380CC4-5D6E-409C-BE32-E72D297353CC}">
              <c16:uniqueId val="{00000000-E850-417B-95DA-4ED900504230}"/>
            </c:ext>
          </c:extLst>
        </c:ser>
        <c:ser>
          <c:idx val="1"/>
          <c:order val="1"/>
          <c:tx>
            <c:strRef>
              <c:f>'Chart Data'!$FZ$3</c:f>
              <c:strCache>
                <c:ptCount val="1"/>
                <c:pt idx="0">
                  <c:v>1970-2007 average</c:v>
                </c:pt>
              </c:strCache>
            </c:strRef>
          </c:tx>
          <c:spPr>
            <a:ln w="38100">
              <a:solidFill>
                <a:srgbClr val="003469"/>
              </a:solidFill>
            </a:ln>
          </c:spPr>
          <c:marker>
            <c:symbol val="none"/>
          </c:marker>
          <c:cat>
            <c:numRef>
              <c:f>'Chart Data'!$FW$64:$FW$267</c:f>
              <c:numCache>
                <c:formatCode>General</c:formatCode>
                <c:ptCount val="204"/>
                <c:pt idx="0">
                  <c:v>1975</c:v>
                </c:pt>
                <c:pt idx="4">
                  <c:v>1976</c:v>
                </c:pt>
                <c:pt idx="8">
                  <c:v>1977</c:v>
                </c:pt>
                <c:pt idx="12">
                  <c:v>1978</c:v>
                </c:pt>
                <c:pt idx="16">
                  <c:v>1979</c:v>
                </c:pt>
                <c:pt idx="20">
                  <c:v>1980</c:v>
                </c:pt>
                <c:pt idx="24">
                  <c:v>1981</c:v>
                </c:pt>
                <c:pt idx="28">
                  <c:v>1982</c:v>
                </c:pt>
                <c:pt idx="32">
                  <c:v>1983</c:v>
                </c:pt>
                <c:pt idx="36">
                  <c:v>1984</c:v>
                </c:pt>
                <c:pt idx="40">
                  <c:v>1985</c:v>
                </c:pt>
                <c:pt idx="44">
                  <c:v>1986</c:v>
                </c:pt>
                <c:pt idx="48">
                  <c:v>1987</c:v>
                </c:pt>
                <c:pt idx="52">
                  <c:v>1988</c:v>
                </c:pt>
                <c:pt idx="56">
                  <c:v>1989</c:v>
                </c:pt>
                <c:pt idx="60">
                  <c:v>1990</c:v>
                </c:pt>
                <c:pt idx="64">
                  <c:v>1991</c:v>
                </c:pt>
                <c:pt idx="68">
                  <c:v>1992</c:v>
                </c:pt>
                <c:pt idx="72">
                  <c:v>1993</c:v>
                </c:pt>
                <c:pt idx="76">
                  <c:v>1994</c:v>
                </c:pt>
                <c:pt idx="80">
                  <c:v>1995</c:v>
                </c:pt>
                <c:pt idx="84">
                  <c:v>1996</c:v>
                </c:pt>
                <c:pt idx="88">
                  <c:v>1997</c:v>
                </c:pt>
                <c:pt idx="92">
                  <c:v>1998</c:v>
                </c:pt>
                <c:pt idx="96">
                  <c:v>1999</c:v>
                </c:pt>
                <c:pt idx="100">
                  <c:v>2000</c:v>
                </c:pt>
                <c:pt idx="104">
                  <c:v>2001</c:v>
                </c:pt>
                <c:pt idx="108">
                  <c:v>2002</c:v>
                </c:pt>
                <c:pt idx="112">
                  <c:v>2003</c:v>
                </c:pt>
                <c:pt idx="116">
                  <c:v>2004</c:v>
                </c:pt>
                <c:pt idx="120">
                  <c:v>2005</c:v>
                </c:pt>
                <c:pt idx="124">
                  <c:v>2006</c:v>
                </c:pt>
                <c:pt idx="128">
                  <c:v>2007</c:v>
                </c:pt>
                <c:pt idx="132">
                  <c:v>2008</c:v>
                </c:pt>
                <c:pt idx="136">
                  <c:v>2009</c:v>
                </c:pt>
                <c:pt idx="140">
                  <c:v>2010</c:v>
                </c:pt>
                <c:pt idx="144">
                  <c:v>2011</c:v>
                </c:pt>
                <c:pt idx="148">
                  <c:v>2012</c:v>
                </c:pt>
                <c:pt idx="152">
                  <c:v>2013</c:v>
                </c:pt>
                <c:pt idx="156">
                  <c:v>2014</c:v>
                </c:pt>
                <c:pt idx="160">
                  <c:v>2015</c:v>
                </c:pt>
                <c:pt idx="164">
                  <c:v>2016</c:v>
                </c:pt>
                <c:pt idx="168">
                  <c:v>2017</c:v>
                </c:pt>
                <c:pt idx="172">
                  <c:v>2018</c:v>
                </c:pt>
                <c:pt idx="176">
                  <c:v>2019</c:v>
                </c:pt>
                <c:pt idx="180">
                  <c:v>2020</c:v>
                </c:pt>
                <c:pt idx="184">
                  <c:v>2021</c:v>
                </c:pt>
                <c:pt idx="188">
                  <c:v>2022</c:v>
                </c:pt>
                <c:pt idx="192">
                  <c:v>2023</c:v>
                </c:pt>
                <c:pt idx="196">
                  <c:v>2024</c:v>
                </c:pt>
                <c:pt idx="200">
                  <c:v>2025</c:v>
                </c:pt>
              </c:numCache>
            </c:numRef>
          </c:cat>
          <c:val>
            <c:numRef>
              <c:f>'Chart Data'!$FZ$64:$FZ$267</c:f>
              <c:numCache>
                <c:formatCode>0.0</c:formatCode>
                <c:ptCount val="204"/>
                <c:pt idx="0">
                  <c:v>2.0390522566444025</c:v>
                </c:pt>
                <c:pt idx="1">
                  <c:v>2.0390522566444025</c:v>
                </c:pt>
                <c:pt idx="2">
                  <c:v>2.0390522566444025</c:v>
                </c:pt>
                <c:pt idx="3">
                  <c:v>2.0390522566444025</c:v>
                </c:pt>
                <c:pt idx="4">
                  <c:v>2.0390522566444025</c:v>
                </c:pt>
                <c:pt idx="5">
                  <c:v>2.0390522566444025</c:v>
                </c:pt>
                <c:pt idx="6">
                  <c:v>2.0390522566444025</c:v>
                </c:pt>
                <c:pt idx="7">
                  <c:v>2.0390522566444025</c:v>
                </c:pt>
                <c:pt idx="8">
                  <c:v>2.0390522566444025</c:v>
                </c:pt>
                <c:pt idx="9">
                  <c:v>2.0390522566444025</c:v>
                </c:pt>
                <c:pt idx="10">
                  <c:v>2.0390522566444025</c:v>
                </c:pt>
                <c:pt idx="11">
                  <c:v>2.0390522566444025</c:v>
                </c:pt>
                <c:pt idx="12">
                  <c:v>2.0390522566444025</c:v>
                </c:pt>
                <c:pt idx="13">
                  <c:v>2.0390522566444025</c:v>
                </c:pt>
                <c:pt idx="14">
                  <c:v>2.0390522566444025</c:v>
                </c:pt>
                <c:pt idx="15">
                  <c:v>2.0390522566444025</c:v>
                </c:pt>
                <c:pt idx="16">
                  <c:v>2.0390522566444025</c:v>
                </c:pt>
                <c:pt idx="17">
                  <c:v>2.0390522566444025</c:v>
                </c:pt>
                <c:pt idx="18">
                  <c:v>2.0390522566444025</c:v>
                </c:pt>
                <c:pt idx="19">
                  <c:v>2.0390522566444025</c:v>
                </c:pt>
                <c:pt idx="20">
                  <c:v>2.0390522566444025</c:v>
                </c:pt>
                <c:pt idx="21">
                  <c:v>2.0390522566444025</c:v>
                </c:pt>
                <c:pt idx="22">
                  <c:v>2.0390522566444025</c:v>
                </c:pt>
                <c:pt idx="23">
                  <c:v>2.0390522566444025</c:v>
                </c:pt>
                <c:pt idx="24">
                  <c:v>2.0390522566444025</c:v>
                </c:pt>
                <c:pt idx="25">
                  <c:v>2.0390522566444025</c:v>
                </c:pt>
                <c:pt idx="26">
                  <c:v>2.0390522566444025</c:v>
                </c:pt>
                <c:pt idx="27">
                  <c:v>2.0390522566444025</c:v>
                </c:pt>
                <c:pt idx="28">
                  <c:v>2.0390522566444025</c:v>
                </c:pt>
                <c:pt idx="29">
                  <c:v>2.0390522566444025</c:v>
                </c:pt>
                <c:pt idx="30">
                  <c:v>2.0390522566444025</c:v>
                </c:pt>
                <c:pt idx="31">
                  <c:v>2.0390522566444025</c:v>
                </c:pt>
                <c:pt idx="32">
                  <c:v>2.0390522566444025</c:v>
                </c:pt>
                <c:pt idx="33">
                  <c:v>2.0390522566444025</c:v>
                </c:pt>
                <c:pt idx="34">
                  <c:v>2.0390522566444025</c:v>
                </c:pt>
                <c:pt idx="35">
                  <c:v>2.0390522566444025</c:v>
                </c:pt>
                <c:pt idx="36">
                  <c:v>2.0390522566444025</c:v>
                </c:pt>
                <c:pt idx="37">
                  <c:v>2.0390522566444025</c:v>
                </c:pt>
                <c:pt idx="38">
                  <c:v>2.0390522566444025</c:v>
                </c:pt>
                <c:pt idx="39">
                  <c:v>2.0390522566444025</c:v>
                </c:pt>
                <c:pt idx="40">
                  <c:v>2.0390522566444025</c:v>
                </c:pt>
                <c:pt idx="41">
                  <c:v>2.0390522566444025</c:v>
                </c:pt>
                <c:pt idx="42">
                  <c:v>2.0390522566444025</c:v>
                </c:pt>
                <c:pt idx="43">
                  <c:v>2.0390522566444025</c:v>
                </c:pt>
                <c:pt idx="44">
                  <c:v>2.0390522566444025</c:v>
                </c:pt>
                <c:pt idx="45">
                  <c:v>2.0390522566444025</c:v>
                </c:pt>
                <c:pt idx="46">
                  <c:v>2.0390522566444025</c:v>
                </c:pt>
                <c:pt idx="47">
                  <c:v>2.0390522566444025</c:v>
                </c:pt>
                <c:pt idx="48">
                  <c:v>2.0390522566444025</c:v>
                </c:pt>
                <c:pt idx="49">
                  <c:v>2.0390522566444025</c:v>
                </c:pt>
                <c:pt idx="50">
                  <c:v>2.0390522566444025</c:v>
                </c:pt>
                <c:pt idx="51">
                  <c:v>2.0390522566444025</c:v>
                </c:pt>
                <c:pt idx="52">
                  <c:v>2.0390522566444025</c:v>
                </c:pt>
                <c:pt idx="53">
                  <c:v>2.0390522566444025</c:v>
                </c:pt>
                <c:pt idx="54">
                  <c:v>2.0390522566444025</c:v>
                </c:pt>
                <c:pt idx="55">
                  <c:v>2.0390522566444025</c:v>
                </c:pt>
                <c:pt idx="56">
                  <c:v>2.0390522566444025</c:v>
                </c:pt>
                <c:pt idx="57">
                  <c:v>2.0390522566444025</c:v>
                </c:pt>
                <c:pt idx="58">
                  <c:v>2.0390522566444025</c:v>
                </c:pt>
                <c:pt idx="59">
                  <c:v>2.0390522566444025</c:v>
                </c:pt>
                <c:pt idx="60">
                  <c:v>2.0390522566444025</c:v>
                </c:pt>
                <c:pt idx="61">
                  <c:v>2.0390522566444025</c:v>
                </c:pt>
                <c:pt idx="62">
                  <c:v>2.0390522566444025</c:v>
                </c:pt>
                <c:pt idx="63">
                  <c:v>2.0390522566444025</c:v>
                </c:pt>
                <c:pt idx="64">
                  <c:v>2.0390522566444025</c:v>
                </c:pt>
                <c:pt idx="65">
                  <c:v>2.0390522566444025</c:v>
                </c:pt>
                <c:pt idx="66">
                  <c:v>2.0390522566444025</c:v>
                </c:pt>
                <c:pt idx="67">
                  <c:v>2.0390522566444025</c:v>
                </c:pt>
                <c:pt idx="68">
                  <c:v>2.0390522566444025</c:v>
                </c:pt>
                <c:pt idx="69">
                  <c:v>2.0390522566444025</c:v>
                </c:pt>
                <c:pt idx="70">
                  <c:v>2.0390522566444025</c:v>
                </c:pt>
                <c:pt idx="71">
                  <c:v>2.0390522566444025</c:v>
                </c:pt>
                <c:pt idx="72">
                  <c:v>2.0390522566444025</c:v>
                </c:pt>
                <c:pt idx="73">
                  <c:v>2.0390522566444025</c:v>
                </c:pt>
                <c:pt idx="74">
                  <c:v>2.0390522566444025</c:v>
                </c:pt>
                <c:pt idx="75">
                  <c:v>2.0390522566444025</c:v>
                </c:pt>
                <c:pt idx="76">
                  <c:v>2.0390522566444025</c:v>
                </c:pt>
                <c:pt idx="77">
                  <c:v>2.0390522566444025</c:v>
                </c:pt>
                <c:pt idx="78">
                  <c:v>2.0390522566444025</c:v>
                </c:pt>
                <c:pt idx="79">
                  <c:v>2.0390522566444025</c:v>
                </c:pt>
                <c:pt idx="80">
                  <c:v>2.0390522566444025</c:v>
                </c:pt>
                <c:pt idx="81">
                  <c:v>2.0390522566444025</c:v>
                </c:pt>
                <c:pt idx="82">
                  <c:v>2.0390522566444025</c:v>
                </c:pt>
                <c:pt idx="83">
                  <c:v>2.0390522566444025</c:v>
                </c:pt>
                <c:pt idx="84">
                  <c:v>2.0390522566444025</c:v>
                </c:pt>
                <c:pt idx="85">
                  <c:v>2.0390522566444025</c:v>
                </c:pt>
                <c:pt idx="86">
                  <c:v>2.0390522566444025</c:v>
                </c:pt>
                <c:pt idx="87">
                  <c:v>2.0390522566444025</c:v>
                </c:pt>
                <c:pt idx="88">
                  <c:v>2.0390522566444025</c:v>
                </c:pt>
                <c:pt idx="89">
                  <c:v>2.0390522566444025</c:v>
                </c:pt>
                <c:pt idx="90">
                  <c:v>2.0390522566444025</c:v>
                </c:pt>
                <c:pt idx="91">
                  <c:v>2.0390522566444025</c:v>
                </c:pt>
                <c:pt idx="92">
                  <c:v>2.0390522566444025</c:v>
                </c:pt>
                <c:pt idx="93">
                  <c:v>2.0390522566444025</c:v>
                </c:pt>
                <c:pt idx="94">
                  <c:v>2.0390522566444025</c:v>
                </c:pt>
                <c:pt idx="95">
                  <c:v>2.0390522566444025</c:v>
                </c:pt>
                <c:pt idx="96">
                  <c:v>2.0390522566444025</c:v>
                </c:pt>
                <c:pt idx="97">
                  <c:v>2.0390522566444025</c:v>
                </c:pt>
                <c:pt idx="98">
                  <c:v>2.0390522566444025</c:v>
                </c:pt>
                <c:pt idx="99">
                  <c:v>2.0390522566444025</c:v>
                </c:pt>
                <c:pt idx="100">
                  <c:v>2.0390522566444025</c:v>
                </c:pt>
                <c:pt idx="101">
                  <c:v>2.0390522566444025</c:v>
                </c:pt>
                <c:pt idx="102">
                  <c:v>2.0390522566444025</c:v>
                </c:pt>
                <c:pt idx="103">
                  <c:v>2.0390522566444025</c:v>
                </c:pt>
                <c:pt idx="104">
                  <c:v>2.0390522566444025</c:v>
                </c:pt>
                <c:pt idx="105">
                  <c:v>2.0390522566444025</c:v>
                </c:pt>
                <c:pt idx="106">
                  <c:v>2.0390522566444025</c:v>
                </c:pt>
                <c:pt idx="107">
                  <c:v>2.0390522566444025</c:v>
                </c:pt>
                <c:pt idx="108">
                  <c:v>2.0390522566444025</c:v>
                </c:pt>
                <c:pt idx="109">
                  <c:v>2.0390522566444025</c:v>
                </c:pt>
                <c:pt idx="110">
                  <c:v>2.0390522566444025</c:v>
                </c:pt>
                <c:pt idx="111">
                  <c:v>2.0390522566444025</c:v>
                </c:pt>
                <c:pt idx="112">
                  <c:v>2.0390522566444025</c:v>
                </c:pt>
                <c:pt idx="113">
                  <c:v>2.0390522566444025</c:v>
                </c:pt>
                <c:pt idx="114">
                  <c:v>2.0390522566444025</c:v>
                </c:pt>
                <c:pt idx="115">
                  <c:v>2.0390522566444025</c:v>
                </c:pt>
                <c:pt idx="116">
                  <c:v>2.0390522566444025</c:v>
                </c:pt>
                <c:pt idx="117">
                  <c:v>2.0390522566444025</c:v>
                </c:pt>
                <c:pt idx="118">
                  <c:v>2.0390522566444025</c:v>
                </c:pt>
                <c:pt idx="119">
                  <c:v>2.0390522566444025</c:v>
                </c:pt>
                <c:pt idx="120">
                  <c:v>2.0390522566444025</c:v>
                </c:pt>
                <c:pt idx="121">
                  <c:v>2.0390522566444025</c:v>
                </c:pt>
                <c:pt idx="122">
                  <c:v>2.0390522566444025</c:v>
                </c:pt>
                <c:pt idx="123">
                  <c:v>2.0390522566444025</c:v>
                </c:pt>
                <c:pt idx="124">
                  <c:v>2.0390522566444025</c:v>
                </c:pt>
                <c:pt idx="125">
                  <c:v>2.0390522566444025</c:v>
                </c:pt>
                <c:pt idx="126">
                  <c:v>2.0390522566444025</c:v>
                </c:pt>
                <c:pt idx="127">
                  <c:v>2.0390522566444025</c:v>
                </c:pt>
                <c:pt idx="128">
                  <c:v>2.0390522566444025</c:v>
                </c:pt>
                <c:pt idx="129">
                  <c:v>2.0390522566444025</c:v>
                </c:pt>
                <c:pt idx="130">
                  <c:v>2.0390522566444025</c:v>
                </c:pt>
                <c:pt idx="131">
                  <c:v>2.0390522566444025</c:v>
                </c:pt>
              </c:numCache>
            </c:numRef>
          </c:val>
          <c:smooth val="0"/>
          <c:extLst>
            <c:ext xmlns:c16="http://schemas.microsoft.com/office/drawing/2014/chart" uri="{C3380CC4-5D6E-409C-BE32-E72D297353CC}">
              <c16:uniqueId val="{00000001-E850-417B-95DA-4ED900504230}"/>
            </c:ext>
          </c:extLst>
        </c:ser>
        <c:ser>
          <c:idx val="2"/>
          <c:order val="2"/>
          <c:tx>
            <c:strRef>
              <c:f>'Chart Data'!$GA$3</c:f>
              <c:strCache>
                <c:ptCount val="1"/>
                <c:pt idx="0">
                  <c:v>2008-2019 average</c:v>
                </c:pt>
              </c:strCache>
            </c:strRef>
          </c:tx>
          <c:spPr>
            <a:ln w="38100">
              <a:solidFill>
                <a:srgbClr val="D1A21E"/>
              </a:solidFill>
            </a:ln>
          </c:spPr>
          <c:marker>
            <c:symbol val="none"/>
          </c:marker>
          <c:cat>
            <c:numRef>
              <c:f>'Chart Data'!$FW$64:$FW$267</c:f>
              <c:numCache>
                <c:formatCode>General</c:formatCode>
                <c:ptCount val="204"/>
                <c:pt idx="0">
                  <c:v>1975</c:v>
                </c:pt>
                <c:pt idx="4">
                  <c:v>1976</c:v>
                </c:pt>
                <c:pt idx="8">
                  <c:v>1977</c:v>
                </c:pt>
                <c:pt idx="12">
                  <c:v>1978</c:v>
                </c:pt>
                <c:pt idx="16">
                  <c:v>1979</c:v>
                </c:pt>
                <c:pt idx="20">
                  <c:v>1980</c:v>
                </c:pt>
                <c:pt idx="24">
                  <c:v>1981</c:v>
                </c:pt>
                <c:pt idx="28">
                  <c:v>1982</c:v>
                </c:pt>
                <c:pt idx="32">
                  <c:v>1983</c:v>
                </c:pt>
                <c:pt idx="36">
                  <c:v>1984</c:v>
                </c:pt>
                <c:pt idx="40">
                  <c:v>1985</c:v>
                </c:pt>
                <c:pt idx="44">
                  <c:v>1986</c:v>
                </c:pt>
                <c:pt idx="48">
                  <c:v>1987</c:v>
                </c:pt>
                <c:pt idx="52">
                  <c:v>1988</c:v>
                </c:pt>
                <c:pt idx="56">
                  <c:v>1989</c:v>
                </c:pt>
                <c:pt idx="60">
                  <c:v>1990</c:v>
                </c:pt>
                <c:pt idx="64">
                  <c:v>1991</c:v>
                </c:pt>
                <c:pt idx="68">
                  <c:v>1992</c:v>
                </c:pt>
                <c:pt idx="72">
                  <c:v>1993</c:v>
                </c:pt>
                <c:pt idx="76">
                  <c:v>1994</c:v>
                </c:pt>
                <c:pt idx="80">
                  <c:v>1995</c:v>
                </c:pt>
                <c:pt idx="84">
                  <c:v>1996</c:v>
                </c:pt>
                <c:pt idx="88">
                  <c:v>1997</c:v>
                </c:pt>
                <c:pt idx="92">
                  <c:v>1998</c:v>
                </c:pt>
                <c:pt idx="96">
                  <c:v>1999</c:v>
                </c:pt>
                <c:pt idx="100">
                  <c:v>2000</c:v>
                </c:pt>
                <c:pt idx="104">
                  <c:v>2001</c:v>
                </c:pt>
                <c:pt idx="108">
                  <c:v>2002</c:v>
                </c:pt>
                <c:pt idx="112">
                  <c:v>2003</c:v>
                </c:pt>
                <c:pt idx="116">
                  <c:v>2004</c:v>
                </c:pt>
                <c:pt idx="120">
                  <c:v>2005</c:v>
                </c:pt>
                <c:pt idx="124">
                  <c:v>2006</c:v>
                </c:pt>
                <c:pt idx="128">
                  <c:v>2007</c:v>
                </c:pt>
                <c:pt idx="132">
                  <c:v>2008</c:v>
                </c:pt>
                <c:pt idx="136">
                  <c:v>2009</c:v>
                </c:pt>
                <c:pt idx="140">
                  <c:v>2010</c:v>
                </c:pt>
                <c:pt idx="144">
                  <c:v>2011</c:v>
                </c:pt>
                <c:pt idx="148">
                  <c:v>2012</c:v>
                </c:pt>
                <c:pt idx="152">
                  <c:v>2013</c:v>
                </c:pt>
                <c:pt idx="156">
                  <c:v>2014</c:v>
                </c:pt>
                <c:pt idx="160">
                  <c:v>2015</c:v>
                </c:pt>
                <c:pt idx="164">
                  <c:v>2016</c:v>
                </c:pt>
                <c:pt idx="168">
                  <c:v>2017</c:v>
                </c:pt>
                <c:pt idx="172">
                  <c:v>2018</c:v>
                </c:pt>
                <c:pt idx="176">
                  <c:v>2019</c:v>
                </c:pt>
                <c:pt idx="180">
                  <c:v>2020</c:v>
                </c:pt>
                <c:pt idx="184">
                  <c:v>2021</c:v>
                </c:pt>
                <c:pt idx="188">
                  <c:v>2022</c:v>
                </c:pt>
                <c:pt idx="192">
                  <c:v>2023</c:v>
                </c:pt>
                <c:pt idx="196">
                  <c:v>2024</c:v>
                </c:pt>
                <c:pt idx="200">
                  <c:v>2025</c:v>
                </c:pt>
              </c:numCache>
            </c:numRef>
          </c:cat>
          <c:val>
            <c:numRef>
              <c:f>'Chart Data'!$GA$64:$GA$267</c:f>
              <c:numCache>
                <c:formatCode>General</c:formatCode>
                <c:ptCount val="204"/>
                <c:pt idx="132" formatCode="0.0">
                  <c:v>0.33872018568785744</c:v>
                </c:pt>
                <c:pt idx="133" formatCode="0.0">
                  <c:v>0.33872018568785744</c:v>
                </c:pt>
                <c:pt idx="134" formatCode="0.0">
                  <c:v>0.33872018568785744</c:v>
                </c:pt>
                <c:pt idx="135" formatCode="0.0">
                  <c:v>0.33872018568785744</c:v>
                </c:pt>
                <c:pt idx="136" formatCode="0.0">
                  <c:v>0.33872018568785744</c:v>
                </c:pt>
                <c:pt idx="137" formatCode="0.0">
                  <c:v>0.33872018568785744</c:v>
                </c:pt>
                <c:pt idx="138" formatCode="0.0">
                  <c:v>0.33872018568785744</c:v>
                </c:pt>
                <c:pt idx="139" formatCode="0.0">
                  <c:v>0.33872018568785744</c:v>
                </c:pt>
                <c:pt idx="140" formatCode="0.0">
                  <c:v>0.33872018568785744</c:v>
                </c:pt>
                <c:pt idx="141" formatCode="0.0">
                  <c:v>0.33872018568785744</c:v>
                </c:pt>
                <c:pt idx="142" formatCode="0.0">
                  <c:v>0.33872018568785744</c:v>
                </c:pt>
                <c:pt idx="143" formatCode="0.0">
                  <c:v>0.33872018568785744</c:v>
                </c:pt>
                <c:pt idx="144" formatCode="0.0">
                  <c:v>0.33872018568785744</c:v>
                </c:pt>
                <c:pt idx="145" formatCode="0.0">
                  <c:v>0.33872018568785744</c:v>
                </c:pt>
                <c:pt idx="146" formatCode="0.0">
                  <c:v>0.33872018568785744</c:v>
                </c:pt>
                <c:pt idx="147" formatCode="0.0">
                  <c:v>0.33872018568785744</c:v>
                </c:pt>
                <c:pt idx="148" formatCode="0.0">
                  <c:v>0.33872018568785744</c:v>
                </c:pt>
                <c:pt idx="149" formatCode="0.0">
                  <c:v>0.33872018568785744</c:v>
                </c:pt>
                <c:pt idx="150" formatCode="0.0">
                  <c:v>0.33872018568785744</c:v>
                </c:pt>
                <c:pt idx="151" formatCode="0.0">
                  <c:v>0.33872018568785744</c:v>
                </c:pt>
                <c:pt idx="152" formatCode="0.0">
                  <c:v>0.33872018568785744</c:v>
                </c:pt>
                <c:pt idx="153" formatCode="0.0">
                  <c:v>0.33872018568785744</c:v>
                </c:pt>
                <c:pt idx="154" formatCode="0.0">
                  <c:v>0.33872018568785744</c:v>
                </c:pt>
                <c:pt idx="155" formatCode="0.0">
                  <c:v>0.33872018568785744</c:v>
                </c:pt>
                <c:pt idx="156" formatCode="0.0">
                  <c:v>0.33872018568785744</c:v>
                </c:pt>
                <c:pt idx="157" formatCode="0.0">
                  <c:v>0.33872018568785744</c:v>
                </c:pt>
                <c:pt idx="158" formatCode="0.0">
                  <c:v>0.33872018568785744</c:v>
                </c:pt>
                <c:pt idx="159" formatCode="0.0">
                  <c:v>0.33872018568785744</c:v>
                </c:pt>
                <c:pt idx="160" formatCode="0.0">
                  <c:v>0.33872018568785744</c:v>
                </c:pt>
                <c:pt idx="161" formatCode="0.0">
                  <c:v>0.33872018568785744</c:v>
                </c:pt>
                <c:pt idx="162" formatCode="0.0">
                  <c:v>0.33872018568785744</c:v>
                </c:pt>
                <c:pt idx="163" formatCode="0.0">
                  <c:v>0.33872018568785744</c:v>
                </c:pt>
                <c:pt idx="164" formatCode="0.0">
                  <c:v>0.33872018568785744</c:v>
                </c:pt>
                <c:pt idx="165" formatCode="0.0">
                  <c:v>0.33872018568785744</c:v>
                </c:pt>
                <c:pt idx="166" formatCode="0.0">
                  <c:v>0.33872018568785744</c:v>
                </c:pt>
                <c:pt idx="167" formatCode="0.0">
                  <c:v>0.33872018568785744</c:v>
                </c:pt>
                <c:pt idx="168" formatCode="0.0">
                  <c:v>0.33872018568785744</c:v>
                </c:pt>
                <c:pt idx="169" formatCode="0.0">
                  <c:v>0.33872018568785744</c:v>
                </c:pt>
                <c:pt idx="170" formatCode="0.0">
                  <c:v>0.33872018568785744</c:v>
                </c:pt>
                <c:pt idx="171" formatCode="0.0">
                  <c:v>0.33872018568785744</c:v>
                </c:pt>
                <c:pt idx="172" formatCode="0.0">
                  <c:v>0.33872018568785744</c:v>
                </c:pt>
                <c:pt idx="173" formatCode="0.0">
                  <c:v>0.33872018568785744</c:v>
                </c:pt>
                <c:pt idx="174" formatCode="0.0">
                  <c:v>0.33872018568785744</c:v>
                </c:pt>
                <c:pt idx="175" formatCode="0.0">
                  <c:v>0.33872018568785744</c:v>
                </c:pt>
                <c:pt idx="176" formatCode="0.0">
                  <c:v>0.33872018568785744</c:v>
                </c:pt>
                <c:pt idx="177" formatCode="0.0">
                  <c:v>0.33872018568785744</c:v>
                </c:pt>
                <c:pt idx="178" formatCode="0.0">
                  <c:v>0.33872018568785744</c:v>
                </c:pt>
                <c:pt idx="179" formatCode="0.0">
                  <c:v>0.33872018568785744</c:v>
                </c:pt>
                <c:pt idx="180" formatCode="0.0">
                  <c:v>0.33872018568785744</c:v>
                </c:pt>
                <c:pt idx="181" formatCode="0.0">
                  <c:v>0.33872018568785744</c:v>
                </c:pt>
                <c:pt idx="182" formatCode="0.0">
                  <c:v>0.33872018568785744</c:v>
                </c:pt>
                <c:pt idx="183" formatCode="0.0">
                  <c:v>0.33872018568785744</c:v>
                </c:pt>
                <c:pt idx="184" formatCode="0.0">
                  <c:v>0.33872018568785744</c:v>
                </c:pt>
                <c:pt idx="185" formatCode="0.0">
                  <c:v>0.33872018568785744</c:v>
                </c:pt>
                <c:pt idx="186" formatCode="0.0">
                  <c:v>0.33872018568785744</c:v>
                </c:pt>
                <c:pt idx="187" formatCode="0.0">
                  <c:v>0.33872018568785744</c:v>
                </c:pt>
                <c:pt idx="188" formatCode="0.0">
                  <c:v>0.33872018568785744</c:v>
                </c:pt>
                <c:pt idx="189" formatCode="0.0">
                  <c:v>0.33872018568785744</c:v>
                </c:pt>
                <c:pt idx="190" formatCode="0.0">
                  <c:v>0.33872018568785744</c:v>
                </c:pt>
                <c:pt idx="191" formatCode="0.0">
                  <c:v>0.33872018568785744</c:v>
                </c:pt>
                <c:pt idx="192" formatCode="0.0">
                  <c:v>0.33872018568785744</c:v>
                </c:pt>
                <c:pt idx="193" formatCode="0.0">
                  <c:v>0.33872018568785744</c:v>
                </c:pt>
                <c:pt idx="194" formatCode="0.0">
                  <c:v>0.33872018568785744</c:v>
                </c:pt>
              </c:numCache>
            </c:numRef>
          </c:val>
          <c:smooth val="0"/>
          <c:extLst>
            <c:ext xmlns:c16="http://schemas.microsoft.com/office/drawing/2014/chart" uri="{C3380CC4-5D6E-409C-BE32-E72D297353CC}">
              <c16:uniqueId val="{00000002-E850-417B-95DA-4ED900504230}"/>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0"/>
        <c:auto val="0"/>
        <c:lblAlgn val="ctr"/>
        <c:lblOffset val="100"/>
        <c:tickLblSkip val="20"/>
        <c:tickMarkSkip val="4"/>
        <c:noMultiLvlLbl val="0"/>
      </c:catAx>
      <c:valAx>
        <c:axId val="263608576"/>
        <c:scaling>
          <c:orientation val="minMax"/>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13471263549683407"/>
          <c:y val="0.14430817960786063"/>
          <c:w val="0.77933715912629553"/>
          <c:h val="5.6101061021763217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2956833785607323E-2"/>
          <c:y val="0.14725688325786473"/>
          <c:w val="0.87876056170944739"/>
          <c:h val="0.71318700601518292"/>
        </c:manualLayout>
      </c:layout>
      <c:areaChart>
        <c:grouping val="stacked"/>
        <c:varyColors val="0"/>
        <c:ser>
          <c:idx val="3"/>
          <c:order val="3"/>
          <c:tx>
            <c:strRef>
              <c:f>'Chart Data'!$DQ$3</c:f>
              <c:strCache>
                <c:ptCount val="1"/>
                <c:pt idx="0">
                  <c:v>Consensus low</c:v>
                </c:pt>
              </c:strCache>
            </c:strRef>
          </c:tx>
          <c:spPr>
            <a:noFill/>
            <a:ln w="38100">
              <a:noFill/>
            </a:ln>
          </c:spPr>
          <c:cat>
            <c:numRef>
              <c:f>'Chart Data'!$DM$4:$DM$10</c:f>
              <c:numCache>
                <c:formatCode>General</c:formatCode>
                <c:ptCount val="7"/>
                <c:pt idx="0">
                  <c:v>2024</c:v>
                </c:pt>
                <c:pt idx="1">
                  <c:v>2025</c:v>
                </c:pt>
                <c:pt idx="2">
                  <c:v>2026</c:v>
                </c:pt>
                <c:pt idx="3">
                  <c:v>2027</c:v>
                </c:pt>
                <c:pt idx="4">
                  <c:v>2028</c:v>
                </c:pt>
                <c:pt idx="5">
                  <c:v>2029</c:v>
                </c:pt>
                <c:pt idx="6">
                  <c:v>2030</c:v>
                </c:pt>
              </c:numCache>
            </c:numRef>
          </c:cat>
          <c:val>
            <c:numRef>
              <c:f>'Chart Data'!$DQ$4:$DQ$9</c:f>
              <c:numCache>
                <c:formatCode>0.0</c:formatCode>
                <c:ptCount val="6"/>
                <c:pt idx="0">
                  <c:v>100</c:v>
                </c:pt>
                <c:pt idx="1">
                  <c:v>101.29999999999998</c:v>
                </c:pt>
                <c:pt idx="2">
                  <c:v>102.26486290446356</c:v>
                </c:pt>
                <c:pt idx="3">
                  <c:v>103.63216996014897</c:v>
                </c:pt>
                <c:pt idx="4">
                  <c:v>104.98847948159998</c:v>
                </c:pt>
                <c:pt idx="5">
                  <c:v>105.82838731745278</c:v>
                </c:pt>
              </c:numCache>
            </c:numRef>
          </c:val>
          <c:extLst>
            <c:ext xmlns:c16="http://schemas.microsoft.com/office/drawing/2014/chart" uri="{C3380CC4-5D6E-409C-BE32-E72D297353CC}">
              <c16:uniqueId val="{00000003-E850-417B-95DA-4ED900504230}"/>
            </c:ext>
          </c:extLst>
        </c:ser>
        <c:ser>
          <c:idx val="4"/>
          <c:order val="4"/>
          <c:tx>
            <c:strRef>
              <c:f>'Chart Data'!$DR$3</c:f>
              <c:strCache>
                <c:ptCount val="1"/>
                <c:pt idx="0">
                  <c:v>Consensus range</c:v>
                </c:pt>
              </c:strCache>
            </c:strRef>
          </c:tx>
          <c:spPr>
            <a:solidFill>
              <a:srgbClr val="7B7C77">
                <a:alpha val="70000"/>
              </a:srgbClr>
            </a:solidFill>
            <a:ln w="38100">
              <a:noFill/>
            </a:ln>
          </c:spPr>
          <c:cat>
            <c:numRef>
              <c:f>'Chart Data'!$DM$4:$DM$10</c:f>
              <c:numCache>
                <c:formatCode>General</c:formatCode>
                <c:ptCount val="7"/>
                <c:pt idx="0">
                  <c:v>2024</c:v>
                </c:pt>
                <c:pt idx="1">
                  <c:v>2025</c:v>
                </c:pt>
                <c:pt idx="2">
                  <c:v>2026</c:v>
                </c:pt>
                <c:pt idx="3">
                  <c:v>2027</c:v>
                </c:pt>
                <c:pt idx="4">
                  <c:v>2028</c:v>
                </c:pt>
                <c:pt idx="5">
                  <c:v>2029</c:v>
                </c:pt>
                <c:pt idx="6">
                  <c:v>2030</c:v>
                </c:pt>
              </c:numCache>
            </c:numRef>
          </c:cat>
          <c:val>
            <c:numRef>
              <c:f>'Chart Data'!$DR$4:$DR$9</c:f>
              <c:numCache>
                <c:formatCode>0.0</c:formatCode>
                <c:ptCount val="6"/>
                <c:pt idx="0">
                  <c:v>0</c:v>
                </c:pt>
                <c:pt idx="1">
                  <c:v>0.30000000000001137</c:v>
                </c:pt>
                <c:pt idx="2">
                  <c:v>0.75753709553643489</c:v>
                </c:pt>
                <c:pt idx="3">
                  <c:v>0.63202206583582665</c:v>
                </c:pt>
                <c:pt idx="4">
                  <c:v>0.98981321753929308</c:v>
                </c:pt>
                <c:pt idx="5">
                  <c:v>1.904335589740981</c:v>
                </c:pt>
              </c:numCache>
            </c:numRef>
          </c:val>
          <c:extLst>
            <c:ext xmlns:c16="http://schemas.microsoft.com/office/drawing/2014/chart" uri="{C3380CC4-5D6E-409C-BE32-E72D297353CC}">
              <c16:uniqueId val="{00000004-E850-417B-95DA-4ED900504230}"/>
            </c:ext>
          </c:extLst>
        </c:ser>
        <c:dLbls>
          <c:showLegendKey val="0"/>
          <c:showVal val="0"/>
          <c:showCatName val="0"/>
          <c:showSerName val="0"/>
          <c:showPercent val="0"/>
          <c:showBubbleSize val="0"/>
        </c:dLbls>
        <c:axId val="263607040"/>
        <c:axId val="263608576"/>
      </c:areaChart>
      <c:lineChart>
        <c:grouping val="standard"/>
        <c:varyColors val="0"/>
        <c:ser>
          <c:idx val="0"/>
          <c:order val="0"/>
          <c:tx>
            <c:strRef>
              <c:f>'Chart Data'!$DN$3</c:f>
              <c:strCache>
                <c:ptCount val="1"/>
                <c:pt idx="0">
                  <c:v>OE</c:v>
                </c:pt>
              </c:strCache>
            </c:strRef>
          </c:tx>
          <c:spPr>
            <a:ln w="38100">
              <a:solidFill>
                <a:srgbClr val="BD1B21"/>
              </a:solidFill>
            </a:ln>
          </c:spPr>
          <c:marker>
            <c:symbol val="none"/>
          </c:marker>
          <c:cat>
            <c:numRef>
              <c:f>'Chart Data'!$DM$4:$DM$10</c:f>
              <c:numCache>
                <c:formatCode>General</c:formatCode>
                <c:ptCount val="7"/>
                <c:pt idx="0">
                  <c:v>2024</c:v>
                </c:pt>
                <c:pt idx="1">
                  <c:v>2025</c:v>
                </c:pt>
                <c:pt idx="2">
                  <c:v>2026</c:v>
                </c:pt>
                <c:pt idx="3">
                  <c:v>2027</c:v>
                </c:pt>
                <c:pt idx="4">
                  <c:v>2028</c:v>
                </c:pt>
                <c:pt idx="5">
                  <c:v>2029</c:v>
                </c:pt>
                <c:pt idx="6">
                  <c:v>2030</c:v>
                </c:pt>
              </c:numCache>
            </c:numRef>
          </c:cat>
          <c:val>
            <c:numRef>
              <c:f>'Chart Data'!$DN$4:$DN$10</c:f>
              <c:numCache>
                <c:formatCode>0.0</c:formatCode>
                <c:ptCount val="7"/>
                <c:pt idx="0">
                  <c:v>100</c:v>
                </c:pt>
                <c:pt idx="1">
                  <c:v>101.38114546831525</c:v>
                </c:pt>
                <c:pt idx="2">
                  <c:v>102.26486290446356</c:v>
                </c:pt>
                <c:pt idx="3">
                  <c:v>103.63216996014897</c:v>
                </c:pt>
                <c:pt idx="4">
                  <c:v>105.1253526548725</c:v>
                </c:pt>
                <c:pt idx="5">
                  <c:v>106.64782965165659</c:v>
                </c:pt>
                <c:pt idx="6">
                  <c:v>108.2189028403252</c:v>
                </c:pt>
              </c:numCache>
            </c:numRef>
          </c:val>
          <c:smooth val="0"/>
          <c:extLst>
            <c:ext xmlns:c16="http://schemas.microsoft.com/office/drawing/2014/chart" uri="{C3380CC4-5D6E-409C-BE32-E72D297353CC}">
              <c16:uniqueId val="{00000000-E850-417B-95DA-4ED900504230}"/>
            </c:ext>
          </c:extLst>
        </c:ser>
        <c:ser>
          <c:idx val="1"/>
          <c:order val="1"/>
          <c:tx>
            <c:strRef>
              <c:f>'Chart Data'!$DO$3</c:f>
              <c:strCache>
                <c:ptCount val="1"/>
                <c:pt idx="0">
                  <c:v>OBR</c:v>
                </c:pt>
              </c:strCache>
            </c:strRef>
          </c:tx>
          <c:spPr>
            <a:ln w="38100">
              <a:solidFill>
                <a:srgbClr val="003469"/>
              </a:solidFill>
            </a:ln>
          </c:spPr>
          <c:marker>
            <c:symbol val="none"/>
          </c:marker>
          <c:cat>
            <c:numRef>
              <c:f>'Chart Data'!$DM$4:$DM$10</c:f>
              <c:numCache>
                <c:formatCode>General</c:formatCode>
                <c:ptCount val="7"/>
                <c:pt idx="0">
                  <c:v>2024</c:v>
                </c:pt>
                <c:pt idx="1">
                  <c:v>2025</c:v>
                </c:pt>
                <c:pt idx="2">
                  <c:v>2026</c:v>
                </c:pt>
                <c:pt idx="3">
                  <c:v>2027</c:v>
                </c:pt>
                <c:pt idx="4">
                  <c:v>2028</c:v>
                </c:pt>
                <c:pt idx="5">
                  <c:v>2029</c:v>
                </c:pt>
                <c:pt idx="6">
                  <c:v>2030</c:v>
                </c:pt>
              </c:numCache>
            </c:numRef>
          </c:cat>
          <c:val>
            <c:numRef>
              <c:f>'Chart Data'!$DO$4:$DO$10</c:f>
              <c:numCache>
                <c:formatCode>0.0</c:formatCode>
                <c:ptCount val="7"/>
                <c:pt idx="0">
                  <c:v>100</c:v>
                </c:pt>
                <c:pt idx="1">
                  <c:v>101.48334280185995</c:v>
                </c:pt>
                <c:pt idx="2">
                  <c:v>102.87515287635117</c:v>
                </c:pt>
                <c:pt idx="3">
                  <c:v>104.46214419260274</c:v>
                </c:pt>
                <c:pt idx="4">
                  <c:v>105.99505946016063</c:v>
                </c:pt>
                <c:pt idx="5">
                  <c:v>107.60945456029529</c:v>
                </c:pt>
                <c:pt idx="6">
                  <c:v>109.27671643217576</c:v>
                </c:pt>
              </c:numCache>
            </c:numRef>
          </c:val>
          <c:smooth val="0"/>
          <c:extLst>
            <c:ext xmlns:c16="http://schemas.microsoft.com/office/drawing/2014/chart" uri="{C3380CC4-5D6E-409C-BE32-E72D297353CC}">
              <c16:uniqueId val="{00000001-E850-417B-95DA-4ED900504230}"/>
            </c:ext>
          </c:extLst>
        </c:ser>
        <c:ser>
          <c:idx val="2"/>
          <c:order val="2"/>
          <c:tx>
            <c:strRef>
              <c:f>'Chart Data'!$DP$3</c:f>
              <c:strCache>
                <c:ptCount val="1"/>
                <c:pt idx="0">
                  <c:v>Consensus</c:v>
                </c:pt>
              </c:strCache>
            </c:strRef>
          </c:tx>
          <c:spPr>
            <a:ln w="38100">
              <a:solidFill>
                <a:srgbClr val="D1A21E"/>
              </a:solidFill>
            </a:ln>
          </c:spPr>
          <c:marker>
            <c:symbol val="none"/>
          </c:marker>
          <c:cat>
            <c:numRef>
              <c:f>'Chart Data'!$DM$4:$DM$10</c:f>
              <c:numCache>
                <c:formatCode>General</c:formatCode>
                <c:ptCount val="7"/>
                <c:pt idx="0">
                  <c:v>2024</c:v>
                </c:pt>
                <c:pt idx="1">
                  <c:v>2025</c:v>
                </c:pt>
                <c:pt idx="2">
                  <c:v>2026</c:v>
                </c:pt>
                <c:pt idx="3">
                  <c:v>2027</c:v>
                </c:pt>
                <c:pt idx="4">
                  <c:v>2028</c:v>
                </c:pt>
                <c:pt idx="5">
                  <c:v>2029</c:v>
                </c:pt>
                <c:pt idx="6">
                  <c:v>2030</c:v>
                </c:pt>
              </c:numCache>
            </c:numRef>
          </c:cat>
          <c:val>
            <c:numRef>
              <c:f>'Chart Data'!$DP$4:$DP$10</c:f>
              <c:numCache>
                <c:formatCode>0.0</c:formatCode>
                <c:ptCount val="7"/>
                <c:pt idx="0">
                  <c:v>100</c:v>
                </c:pt>
                <c:pt idx="1">
                  <c:v>101.45765941294248</c:v>
                </c:pt>
                <c:pt idx="2">
                  <c:v>102.63935841449245</c:v>
                </c:pt>
                <c:pt idx="3">
                  <c:v>104.03722746565568</c:v>
                </c:pt>
                <c:pt idx="4">
                  <c:v>105.48613799640441</c:v>
                </c:pt>
                <c:pt idx="5">
                  <c:v>106.9611581163158</c:v>
                </c:pt>
              </c:numCache>
            </c:numRef>
          </c:val>
          <c:smooth val="0"/>
          <c:extLst>
            <c:ext xmlns:c16="http://schemas.microsoft.com/office/drawing/2014/chart" uri="{C3380CC4-5D6E-409C-BE32-E72D297353CC}">
              <c16:uniqueId val="{00000002-E850-417B-95DA-4ED900504230}"/>
            </c:ext>
          </c:extLst>
        </c:ser>
        <c:dLbls>
          <c:showLegendKey val="0"/>
          <c:showVal val="0"/>
          <c:showCatName val="0"/>
          <c:showSerName val="0"/>
          <c:showPercent val="0"/>
          <c:showBubbleSize val="0"/>
        </c:dLbls>
        <c:marker val="1"/>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noMultiLvlLbl val="0"/>
      </c:catAx>
      <c:valAx>
        <c:axId val="263608576"/>
        <c:scaling>
          <c:orientation val="minMax"/>
          <c:min val="99"/>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majorUnit val="1"/>
      </c:valAx>
      <c:spPr>
        <a:noFill/>
        <a:ln w="25400">
          <a:noFill/>
        </a:ln>
      </c:spPr>
    </c:plotArea>
    <c:legend>
      <c:legendPos val="t"/>
      <c:legendEntry>
        <c:idx val="0"/>
        <c:delete val="1"/>
      </c:legendEntry>
      <c:layout>
        <c:manualLayout>
          <c:xMode val="edge"/>
          <c:yMode val="edge"/>
          <c:x val="0.16913990835891277"/>
          <c:y val="6.4988066293413055E-2"/>
          <c:w val="0.71781354449337897"/>
          <c:h val="5.6101061021763217E-2"/>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6.bin"/></Relationships>
</file>

<file path=xl/chartsheets/_rels/sheet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8.bin"/></Relationships>
</file>

<file path=xl/chartsheets/_rels/sheet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9.bin"/></Relationships>
</file>

<file path=xl/chartsheets/_rels/sheet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chartsheets/_rels/sheet10.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chartsheets/_rels/sheet11.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2.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AAC9A670-A052-41CF-AF04-702BE296E220}">
  <sheetPr/>
  <sheetViews>
    <sheetView zoomScale="50" workbookViewId="0" zoomToFit="1"/>
  </sheetViews>
  <pageMargins left="1.1811023622047201" right="1.1811023622047201" top="0.39370078740157499" bottom="0.39370078740157499" header="0.78740157480314998" footer="0.78740157480314998"/>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9902F86-16C9-4D19-91D6-B955682B3729}">
  <sheetPr/>
  <sheetViews>
    <sheetView zoomScale="50" workbookViewId="0" zoomToFit="1"/>
  </sheetViews>
  <pageMargins left="1.1811023622047201" right="1.1811023622047201" top="0.39370078740157499" bottom="0.39370078740157499" header="0.78740157480314998" footer="0.78740157480314998"/>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4E42212-37AE-425A-91BF-E84BE55FB798}">
  <sheetPr/>
  <sheetViews>
    <sheetView zoomScale="50" workbookViewId="0" zoomToFit="1"/>
  </sheetViews>
  <pageMargins left="1.1811023622047201" right="1.1811023622047201" top="0.39370078740157499" bottom="0.39370078740157499" header="0.78740157480314998" footer="0.78740157480314998"/>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43DF84B-5F5F-4F9B-9D34-30ADF07303B9}">
  <sheetPr/>
  <sheetViews>
    <sheetView zoomScale="50" workbookViewId="0" zoomToFit="1"/>
  </sheetViews>
  <pageMargins left="1.1811023622047201" right="1.1811023622047201" top="0.39370078740157499" bottom="0.39370078740157499" header="0.78740157480314998" footer="0.78740157480314998"/>
  <pageSetup paperSize="9" orientation="landscape" r:id="rId1"/>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AA69A95-88FA-4F2A-9120-3009B4205A63}">
  <sheetPr/>
  <sheetViews>
    <sheetView zoomScale="50" workbookViewId="0" zoomToFit="1"/>
  </sheetViews>
  <pageMargins left="1.1811023622047201" right="1.1811023622047201" top="0.39370078740157499" bottom="0.39370078740157499" header="0.78740157480314998" footer="0.78740157480314998"/>
  <pageSetup paperSize="9" orientation="landscape" r:id="rId1"/>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94D33DC-BEC9-415B-B29A-9A21317F0947}">
  <sheetPr/>
  <sheetViews>
    <sheetView zoomScale="50" workbookViewId="0" zoomToFit="1"/>
  </sheetViews>
  <pageMargins left="1.1811023622047201" right="1.1811023622047201" top="0.39370078740157499" bottom="0.39370078740157499" header="0.78740157480314998" footer="0.78740157480314998"/>
  <pageSetup paperSize="9" orientation="landscape" r:id="rId1"/>
  <drawing r:id="rId2"/>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089E786-6B4F-4E71-AA04-ECD61AAFF63C}">
  <sheetPr/>
  <sheetViews>
    <sheetView workbookViewId="0" zoomToFit="1"/>
  </sheetViews>
  <pageMargins left="1.1811023622047201" right="1.1811023622047201" top="0.39370078740157499" bottom="0.39370078740157499" header="0.78740157480314998" footer="0.78740157480314998"/>
  <pageSetup paperSize="9" orientation="landscape" r:id="rId1"/>
  <drawing r:id="rId2"/>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D9A04E3-D836-4AFB-8EA9-B2C659784A6C}">
  <sheetPr/>
  <sheetViews>
    <sheetView workbookViewId="0" zoomToFit="1"/>
  </sheetViews>
  <pageMargins left="1.1811023622047201" right="1.1811023622047201" top="0.39370078740157499" bottom="0.39370078740157499" header="0.78740157480314998" footer="0.78740157480314998"/>
  <pageSetup paperSize="9" orientation="landscape" r:id="rId1"/>
  <drawing r:id="rId2"/>
</chartsheet>
</file>

<file path=xl/chartsheets/sheet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C37312B-1343-48BD-97C4-8F515943BAF8}">
  <sheetPr/>
  <sheetViews>
    <sheetView workbookViewId="0" zoomToFit="1"/>
  </sheetViews>
  <pageMargins left="1.1811023622047201" right="1.1811023622047201" top="0.39370078740157499" bottom="0.39370078740157499" header="0.78740157480314998" footer="0.78740157480314998"/>
  <pageSetup paperSize="9" orientation="landscape" r:id="rId1"/>
  <drawing r:id="rId2"/>
</chartsheet>
</file>

<file path=xl/chartsheets/sheet1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2CAC39DC-0800-4D4C-A699-6F6075EF5E7A}">
  <sheetPr/>
  <sheetViews>
    <sheetView workbookViewId="0" zoomToFit="1"/>
  </sheetViews>
  <pageMargins left="1.1811023622047201" right="1.1811023622047201" top="0.39370078740157499" bottom="0.39370078740157499" header="0.78740157480314998" footer="0.78740157480314998"/>
  <pageSetup paperSize="9" orientation="landscape" r:id="rId1"/>
  <drawing r:id="rId2"/>
</chartsheet>
</file>

<file path=xl/chartsheets/sheet1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FE192EC-DA94-467B-BA8B-43CFCA673978}">
  <sheetPr/>
  <sheetViews>
    <sheetView zoomScale="50" workbookViewId="0" zoomToFit="1"/>
  </sheetViews>
  <pageMargins left="1.1811023622047201" right="1.1811023622047201" top="0.39370078740157499" bottom="0.39370078740157499" header="0.78740157480314998" footer="0.78740157480314998"/>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absoluteAnchor>
    <xdr:pos x="0" y="0"/>
    <xdr:ext cx="8401050" cy="6724650"/>
    <xdr:graphicFrame macro="">
      <xdr:nvGraphicFramePr>
        <xdr:cNvPr id="2" name="Chart 1">
          <a:extLst>
            <a:ext uri="{FF2B5EF4-FFF2-40B4-BE49-F238E27FC236}">
              <a16:creationId xmlns:a16="http://schemas.microsoft.com/office/drawing/2014/main" id="{2DF3FC3F-D84A-8865-2C11-D475A2D3AEA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cdr:x>
      <cdr:y>0.00806</cdr:y>
    </cdr:from>
    <cdr:to>
      <cdr:x>1</cdr:x>
      <cdr:y>0.08866</cdr:y>
    </cdr:to>
    <cdr:sp macro="" textlink="">
      <cdr:nvSpPr>
        <cdr:cNvPr id="2" name="TextBox 1">
          <a:extLst xmlns:a="http://schemas.openxmlformats.org/drawingml/2006/main">
            <a:ext uri="{FF2B5EF4-FFF2-40B4-BE49-F238E27FC236}">
              <a16:creationId xmlns:a16="http://schemas.microsoft.com/office/drawing/2014/main" id="{013DC952-31BE-B678-5DF9-D727AB572E2E}"/>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kern="1200">
              <a:solidFill>
                <a:srgbClr val="495057"/>
              </a:solidFill>
              <a:latin typeface="Segoe UI" panose="020B0502040204020203" pitchFamily="34" charset="0"/>
              <a:cs typeface="Segoe UI" panose="020B0502040204020203" pitchFamily="34" charset="0"/>
            </a:rPr>
            <a:t>UK: Net inward migration</a:t>
          </a:r>
        </a:p>
      </cdr:txBody>
    </cdr:sp>
  </cdr:relSizeAnchor>
  <cdr:relSizeAnchor xmlns:cdr="http://schemas.openxmlformats.org/drawingml/2006/chartDrawing">
    <cdr:from>
      <cdr:x>1.30104E-17</cdr:x>
      <cdr:y>0.93935</cdr:y>
    </cdr:from>
    <cdr:to>
      <cdr:x>1</cdr:x>
      <cdr:y>1</cdr:y>
    </cdr:to>
    <cdr:sp macro="" textlink="">
      <cdr:nvSpPr>
        <cdr:cNvPr id="3" name="Rectangle 2">
          <a:extLst xmlns:a="http://schemas.openxmlformats.org/drawingml/2006/main">
            <a:ext uri="{FF2B5EF4-FFF2-40B4-BE49-F238E27FC236}">
              <a16:creationId xmlns:a16="http://schemas.microsoft.com/office/drawing/2014/main" id="{EFE1F30C-4E85-80F1-419E-26BC29C452E7}"/>
            </a:ext>
          </a:extLst>
        </cdr:cNvPr>
        <cdr:cNvSpPr/>
      </cdr:nvSpPr>
      <cdr:spPr>
        <a:xfrm xmlns:a="http://schemas.openxmlformats.org/drawingml/2006/main">
          <a:off x="50800" y="5920253"/>
          <a:ext cx="8670421"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600" b="0" i="0" u="none" strike="noStrike" kern="1200" baseline="0">
              <a:solidFill>
                <a:srgbClr val="495057"/>
              </a:solidFill>
              <a:latin typeface="Segoe UI" panose="020B0502040204020203" pitchFamily="34" charset="0"/>
            </a:rPr>
            <a:t>Sources: Oxford Economics, ONS</a:t>
          </a:r>
        </a:p>
      </cdr:txBody>
    </cdr:sp>
  </cdr:relSizeAnchor>
  <cdr:relSizeAnchor xmlns:cdr="http://schemas.openxmlformats.org/drawingml/2006/chartDrawing">
    <cdr:from>
      <cdr:x>0.71262</cdr:x>
      <cdr:y>0.15109</cdr:y>
    </cdr:from>
    <cdr:to>
      <cdr:x>0.71262</cdr:x>
      <cdr:y>0.86309</cdr:y>
    </cdr:to>
    <cdr:cxnSp macro="">
      <cdr:nvCxnSpPr>
        <cdr:cNvPr id="4" name="Straight Connector 3">
          <a:extLst xmlns:a="http://schemas.openxmlformats.org/drawingml/2006/main">
            <a:ext uri="{FF2B5EF4-FFF2-40B4-BE49-F238E27FC236}">
              <a16:creationId xmlns:a16="http://schemas.microsoft.com/office/drawing/2014/main" id="{DF3D485F-BBAD-4F08-305B-C0928810BF0D}"/>
            </a:ext>
          </a:extLst>
        </cdr:cNvPr>
        <cdr:cNvCxnSpPr/>
      </cdr:nvCxnSpPr>
      <cdr:spPr>
        <a:xfrm xmlns:a="http://schemas.openxmlformats.org/drawingml/2006/main">
          <a:off x="6007100" y="1016000"/>
          <a:ext cx="0" cy="4788000"/>
        </a:xfrm>
        <a:prstGeom xmlns:a="http://schemas.openxmlformats.org/drawingml/2006/main" prst="line">
          <a:avLst/>
        </a:prstGeom>
        <a:ln xmlns:a="http://schemas.openxmlformats.org/drawingml/2006/main" w="12700" cap="flat" cmpd="sng" algn="ctr">
          <a:solidFill>
            <a:srgbClr val="495057">
              <a:lumMod val="100000"/>
            </a:srgbClr>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blurRad="40000" dist="20000" dir="5400000" rotWithShape="0">
                  <a:srgbClr val="000000">
                    <a:alpha val="38000"/>
                  </a:srgbClr>
                </a:outerShdw>
              </a:effectLst>
            </a14:hiddenEffects>
          </a:ext>
        </a:extLst>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0.78606</cdr:x>
      <cdr:y>0.23985</cdr:y>
    </cdr:from>
    <cdr:to>
      <cdr:x>0.93672</cdr:x>
      <cdr:y>0.31917</cdr:y>
    </cdr:to>
    <cdr:sp macro="" textlink="">
      <cdr:nvSpPr>
        <cdr:cNvPr id="5" name="TextBox 4">
          <a:extLst xmlns:a="http://schemas.openxmlformats.org/drawingml/2006/main">
            <a:ext uri="{FF2B5EF4-FFF2-40B4-BE49-F238E27FC236}">
              <a16:creationId xmlns:a16="http://schemas.microsoft.com/office/drawing/2014/main" id="{685638E6-E218-213D-0CBB-39B3ED7EDB23}"/>
            </a:ext>
          </a:extLst>
        </cdr:cNvPr>
        <cdr:cNvSpPr txBox="1"/>
      </cdr:nvSpPr>
      <cdr:spPr>
        <a:xfrm xmlns:a="http://schemas.openxmlformats.org/drawingml/2006/main">
          <a:off x="6626225" y="1612900"/>
          <a:ext cx="1270000"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kern="1200">
              <a:solidFill>
                <a:srgbClr val="495057"/>
              </a:solidFill>
              <a:latin typeface="Segoe UI" panose="020B0502040204020203" pitchFamily="34" charset="0"/>
            </a:rPr>
            <a:t>Forecast</a:t>
          </a:r>
        </a:p>
      </cdr:txBody>
    </cdr:sp>
  </cdr:relSizeAnchor>
  <cdr:relSizeAnchor xmlns:cdr="http://schemas.openxmlformats.org/drawingml/2006/chartDrawing">
    <cdr:from>
      <cdr:x>0</cdr:x>
      <cdr:y>0.07554</cdr:y>
    </cdr:from>
    <cdr:to>
      <cdr:x>0.29895</cdr:x>
      <cdr:y>0.12653</cdr:y>
    </cdr:to>
    <cdr:sp macro="" textlink="">
      <cdr:nvSpPr>
        <cdr:cNvPr id="6" name="TextBox 5">
          <a:extLst xmlns:a="http://schemas.openxmlformats.org/drawingml/2006/main">
            <a:ext uri="{FF2B5EF4-FFF2-40B4-BE49-F238E27FC236}">
              <a16:creationId xmlns:a16="http://schemas.microsoft.com/office/drawing/2014/main" id="{D839105C-9ED0-BE03-4F57-6226704B7203}"/>
            </a:ext>
          </a:extLst>
        </cdr:cNvPr>
        <cdr:cNvSpPr txBox="1"/>
      </cdr:nvSpPr>
      <cdr:spPr>
        <a:xfrm xmlns:a="http://schemas.openxmlformats.org/drawingml/2006/main">
          <a:off x="0" y="508000"/>
          <a:ext cx="252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kern="1200">
              <a:solidFill>
                <a:srgbClr val="495057"/>
              </a:solidFill>
              <a:latin typeface="Segoe UI" panose="020B0502040204020203" pitchFamily="34" charset="0"/>
              <a:cs typeface="Segoe UI" panose="020B0502040204020203" pitchFamily="34" charset="0"/>
            </a:rPr>
            <a:t>Year</a:t>
          </a:r>
          <a:r>
            <a:rPr lang="en-GB" sz="1800" b="0" kern="1200" baseline="0">
              <a:solidFill>
                <a:srgbClr val="495057"/>
              </a:solidFill>
              <a:latin typeface="Segoe UI" panose="020B0502040204020203" pitchFamily="34" charset="0"/>
              <a:cs typeface="Segoe UI" panose="020B0502040204020203" pitchFamily="34" charset="0"/>
            </a:rPr>
            <a:t> to June, 000s</a:t>
          </a:r>
          <a:endParaRPr lang="en-GB" sz="1800" b="0" kern="1200">
            <a:solidFill>
              <a:srgbClr val="495057"/>
            </a:solidFill>
            <a:latin typeface="Segoe UI" panose="020B0502040204020203" pitchFamily="34" charset="0"/>
            <a:cs typeface="Segoe UI" panose="020B0502040204020203" pitchFamily="34" charset="0"/>
          </a:endParaRP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8401050" cy="6724650"/>
    <xdr:graphicFrame macro="">
      <xdr:nvGraphicFramePr>
        <xdr:cNvPr id="2" name="Chart 1">
          <a:extLst>
            <a:ext uri="{FF2B5EF4-FFF2-40B4-BE49-F238E27FC236}">
              <a16:creationId xmlns:a16="http://schemas.microsoft.com/office/drawing/2014/main" id="{4D009E2F-1069-4AE0-9155-2C8F8171852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cdr:x>
      <cdr:y>0.00806</cdr:y>
    </cdr:from>
    <cdr:to>
      <cdr:x>1</cdr:x>
      <cdr:y>0.08866</cdr:y>
    </cdr:to>
    <cdr:sp macro="" textlink="">
      <cdr:nvSpPr>
        <cdr:cNvPr id="2" name="TextBox 1">
          <a:extLst xmlns:a="http://schemas.openxmlformats.org/drawingml/2006/main">
            <a:ext uri="{FF2B5EF4-FFF2-40B4-BE49-F238E27FC236}">
              <a16:creationId xmlns:a16="http://schemas.microsoft.com/office/drawing/2014/main" id="{4FAA8A08-808E-3D16-DC1D-37A5340CC2C0}"/>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kern="1200">
              <a:solidFill>
                <a:srgbClr val="495057"/>
              </a:solidFill>
              <a:latin typeface="Segoe UI" panose="020B0502040204020203" pitchFamily="34" charset="0"/>
              <a:cs typeface="Segoe UI" panose="020B0502040204020203" pitchFamily="34" charset="0"/>
            </a:rPr>
            <a:t>UK: Immigration by reason</a:t>
          </a:r>
        </a:p>
      </cdr:txBody>
    </cdr:sp>
  </cdr:relSizeAnchor>
  <cdr:relSizeAnchor xmlns:cdr="http://schemas.openxmlformats.org/drawingml/2006/chartDrawing">
    <cdr:from>
      <cdr:x>1.30104E-17</cdr:x>
      <cdr:y>0.93935</cdr:y>
    </cdr:from>
    <cdr:to>
      <cdr:x>1</cdr:x>
      <cdr:y>1</cdr:y>
    </cdr:to>
    <cdr:sp macro="" textlink="">
      <cdr:nvSpPr>
        <cdr:cNvPr id="3" name="Rectangle 2">
          <a:extLst xmlns:a="http://schemas.openxmlformats.org/drawingml/2006/main">
            <a:ext uri="{FF2B5EF4-FFF2-40B4-BE49-F238E27FC236}">
              <a16:creationId xmlns:a16="http://schemas.microsoft.com/office/drawing/2014/main" id="{E50F48DD-D58B-6772-25D7-088B5F54FE0D}"/>
            </a:ext>
          </a:extLst>
        </cdr:cNvPr>
        <cdr:cNvSpPr/>
      </cdr:nvSpPr>
      <cdr:spPr>
        <a:xfrm xmlns:a="http://schemas.openxmlformats.org/drawingml/2006/main">
          <a:off x="50800" y="5920253"/>
          <a:ext cx="8670421"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600" b="0" i="0" u="none" strike="noStrike" kern="1200" baseline="0">
              <a:solidFill>
                <a:srgbClr val="495057"/>
              </a:solidFill>
              <a:latin typeface="Segoe UI" panose="020B0502040204020203" pitchFamily="34" charset="0"/>
            </a:rPr>
            <a:t>Sources: Oxford Economics, ONS</a:t>
          </a:r>
        </a:p>
      </cdr:txBody>
    </cdr:sp>
  </cdr:relSizeAnchor>
  <cdr:relSizeAnchor xmlns:cdr="http://schemas.openxmlformats.org/drawingml/2006/chartDrawing">
    <cdr:from>
      <cdr:x>0</cdr:x>
      <cdr:y>0.07554</cdr:y>
    </cdr:from>
    <cdr:to>
      <cdr:x>0.21353</cdr:x>
      <cdr:y>0.12653</cdr:y>
    </cdr:to>
    <cdr:sp macro="" textlink="">
      <cdr:nvSpPr>
        <cdr:cNvPr id="4" name="TextBox 3">
          <a:extLst xmlns:a="http://schemas.openxmlformats.org/drawingml/2006/main">
            <a:ext uri="{FF2B5EF4-FFF2-40B4-BE49-F238E27FC236}">
              <a16:creationId xmlns:a16="http://schemas.microsoft.com/office/drawing/2014/main" id="{FB398DD8-DEEC-5015-2D60-2D1A5D72D161}"/>
            </a:ext>
          </a:extLst>
        </cdr:cNvPr>
        <cdr:cNvSpPr txBox="1"/>
      </cdr:nvSpPr>
      <cdr:spPr>
        <a:xfrm xmlns:a="http://schemas.openxmlformats.org/drawingml/2006/main">
          <a:off x="0" y="508000"/>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kern="1200">
              <a:solidFill>
                <a:srgbClr val="495057"/>
              </a:solidFill>
              <a:latin typeface="Segoe UI" panose="020B0502040204020203" pitchFamily="34" charset="0"/>
              <a:cs typeface="Segoe UI" panose="020B0502040204020203" pitchFamily="34" charset="0"/>
            </a:rPr>
            <a:t>000s</a:t>
          </a:r>
        </a:p>
      </cdr:txBody>
    </cdr:sp>
  </cdr:relSizeAnchor>
  <cdr:relSizeAnchor xmlns:cdr="http://schemas.openxmlformats.org/drawingml/2006/chartDrawing">
    <cdr:from>
      <cdr:x>0.41017</cdr:x>
      <cdr:y>0.13314</cdr:y>
    </cdr:from>
    <cdr:to>
      <cdr:x>0.41017</cdr:x>
      <cdr:y>0.86968</cdr:y>
    </cdr:to>
    <cdr:cxnSp macro="">
      <cdr:nvCxnSpPr>
        <cdr:cNvPr id="6" name="Straight Connector 5">
          <a:extLst xmlns:a="http://schemas.openxmlformats.org/drawingml/2006/main">
            <a:ext uri="{FF2B5EF4-FFF2-40B4-BE49-F238E27FC236}">
              <a16:creationId xmlns:a16="http://schemas.microsoft.com/office/drawing/2014/main" id="{ED72EC52-8B4A-C19B-3A29-773BAFE41F5C}"/>
            </a:ext>
          </a:extLst>
        </cdr:cNvPr>
        <cdr:cNvCxnSpPr/>
      </cdr:nvCxnSpPr>
      <cdr:spPr>
        <a:xfrm xmlns:a="http://schemas.openxmlformats.org/drawingml/2006/main">
          <a:off x="3457609" y="896618"/>
          <a:ext cx="0" cy="4959989"/>
        </a:xfrm>
        <a:prstGeom xmlns:a="http://schemas.openxmlformats.org/drawingml/2006/main" prst="line">
          <a:avLst/>
        </a:prstGeom>
        <a:ln xmlns:a="http://schemas.openxmlformats.org/drawingml/2006/main" w="9525">
          <a:solidFill>
            <a:srgbClr val="495057"/>
          </a:solidFill>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0.59021</cdr:x>
      <cdr:y>0.33469</cdr:y>
    </cdr:from>
    <cdr:to>
      <cdr:x>0.74087</cdr:x>
      <cdr:y>0.41412</cdr:y>
    </cdr:to>
    <cdr:sp macro="" textlink="">
      <cdr:nvSpPr>
        <cdr:cNvPr id="7" name="TextBox 1">
          <a:extLst xmlns:a="http://schemas.openxmlformats.org/drawingml/2006/main">
            <a:ext uri="{FF2B5EF4-FFF2-40B4-BE49-F238E27FC236}">
              <a16:creationId xmlns:a16="http://schemas.microsoft.com/office/drawing/2014/main" id="{7BD8B2CA-5E5B-2F7C-95A3-1D54C16574DF}"/>
            </a:ext>
          </a:extLst>
        </cdr:cNvPr>
        <cdr:cNvSpPr txBox="1"/>
      </cdr:nvSpPr>
      <cdr:spPr>
        <a:xfrm xmlns:a="http://schemas.openxmlformats.org/drawingml/2006/main">
          <a:off x="4975259" y="2253883"/>
          <a:ext cx="1270007" cy="534895"/>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800" kern="1200">
              <a:solidFill>
                <a:srgbClr val="495057"/>
              </a:solidFill>
              <a:latin typeface="Segoe UI" panose="020B0502040204020203" pitchFamily="34" charset="0"/>
            </a:rPr>
            <a:t>Forecast</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8401050" cy="6724650"/>
    <xdr:graphicFrame macro="">
      <xdr:nvGraphicFramePr>
        <xdr:cNvPr id="2" name="Chart 1">
          <a:extLst>
            <a:ext uri="{FF2B5EF4-FFF2-40B4-BE49-F238E27FC236}">
              <a16:creationId xmlns:a16="http://schemas.microsoft.com/office/drawing/2014/main" id="{FD0546C1-1A6C-ACAD-F290-73F03DC6AA1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0.41496</cdr:x>
      <cdr:y>0.55604</cdr:y>
    </cdr:from>
    <cdr:to>
      <cdr:x>0.41936</cdr:x>
      <cdr:y>0.6054</cdr:y>
    </cdr:to>
    <cdr:sp macro="" textlink="">
      <cdr:nvSpPr>
        <cdr:cNvPr id="221190" name="Text 2"/>
        <cdr:cNvSpPr txBox="1">
          <a:spLocks xmlns:a="http://schemas.openxmlformats.org/drawingml/2006/main" noChangeArrowheads="1"/>
        </cdr:cNvSpPr>
      </cdr:nvSpPr>
      <cdr:spPr bwMode="auto">
        <a:xfrm xmlns:a="http://schemas.openxmlformats.org/drawingml/2006/main">
          <a:off x="3486093" y="3739196"/>
          <a:ext cx="36998" cy="331886"/>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txBody>
        <a:bodyPr xmlns:a="http://schemas.openxmlformats.org/drawingml/2006/main" wrap="none" lIns="36576" tIns="36576" rIns="0" bIns="0" anchor="t" upright="1">
          <a:spAutoFit/>
        </a:bodyPr>
        <a:lstStyle xmlns:a="http://schemas.openxmlformats.org/drawingml/2006/main"/>
        <a:p xmlns:a="http://schemas.openxmlformats.org/drawingml/2006/main">
          <a:pPr algn="l" rtl="0">
            <a:defRPr sz="1000"/>
          </a:pPr>
          <a:endParaRPr lang="en-GB" sz="2000" b="0" i="0" u="none" strike="noStrike" baseline="0">
            <a:solidFill>
              <a:srgbClr val="000000"/>
            </a:solidFill>
            <a:latin typeface="Arial" panose="020B0604020202020204" pitchFamily="34" charset="0"/>
            <a:cs typeface="Arial"/>
          </a:endParaRPr>
        </a:p>
      </cdr:txBody>
    </cdr:sp>
  </cdr:relSizeAnchor>
  <cdr:relSizeAnchor xmlns:cdr="http://schemas.openxmlformats.org/drawingml/2006/chartDrawing">
    <cdr:from>
      <cdr:x>0</cdr:x>
      <cdr:y>0.00806</cdr:y>
    </cdr:from>
    <cdr:to>
      <cdr:x>1</cdr:x>
      <cdr:y>0.08866</cdr:y>
    </cdr:to>
    <cdr:sp macro="" textlink="">
      <cdr:nvSpPr>
        <cdr:cNvPr id="2" name="TextBox 1">
          <a:extLst xmlns:a="http://schemas.openxmlformats.org/drawingml/2006/main">
            <a:ext uri="{FF2B5EF4-FFF2-40B4-BE49-F238E27FC236}">
              <a16:creationId xmlns:a16="http://schemas.microsoft.com/office/drawing/2014/main" id="{4FAA8A08-808E-3D16-DC1D-37A5340CC2C0}"/>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kern="1200">
              <a:solidFill>
                <a:srgbClr val="495057"/>
              </a:solidFill>
              <a:latin typeface="Segoe UI" panose="020B0502040204020203" pitchFamily="34" charset="0"/>
              <a:cs typeface="Segoe UI" panose="020B0502040204020203" pitchFamily="34" charset="0"/>
            </a:rPr>
            <a:t>UK: Emigration by reason</a:t>
          </a:r>
        </a:p>
      </cdr:txBody>
    </cdr:sp>
  </cdr:relSizeAnchor>
  <cdr:relSizeAnchor xmlns:cdr="http://schemas.openxmlformats.org/drawingml/2006/chartDrawing">
    <cdr:from>
      <cdr:x>1.30104E-17</cdr:x>
      <cdr:y>0.93935</cdr:y>
    </cdr:from>
    <cdr:to>
      <cdr:x>1</cdr:x>
      <cdr:y>1</cdr:y>
    </cdr:to>
    <cdr:sp macro="" textlink="">
      <cdr:nvSpPr>
        <cdr:cNvPr id="3" name="Rectangle 2">
          <a:extLst xmlns:a="http://schemas.openxmlformats.org/drawingml/2006/main">
            <a:ext uri="{FF2B5EF4-FFF2-40B4-BE49-F238E27FC236}">
              <a16:creationId xmlns:a16="http://schemas.microsoft.com/office/drawing/2014/main" id="{E50F48DD-D58B-6772-25D7-088B5F54FE0D}"/>
            </a:ext>
          </a:extLst>
        </cdr:cNvPr>
        <cdr:cNvSpPr/>
      </cdr:nvSpPr>
      <cdr:spPr>
        <a:xfrm xmlns:a="http://schemas.openxmlformats.org/drawingml/2006/main">
          <a:off x="50800" y="5920253"/>
          <a:ext cx="8670421"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600" b="0" i="0" u="none" strike="noStrike" kern="1200" baseline="0">
              <a:solidFill>
                <a:srgbClr val="495057"/>
              </a:solidFill>
              <a:latin typeface="Segoe UI" panose="020B0502040204020203" pitchFamily="34" charset="0"/>
            </a:rPr>
            <a:t>Sources: Oxford Economics, ONS</a:t>
          </a:r>
        </a:p>
      </cdr:txBody>
    </cdr:sp>
  </cdr:relSizeAnchor>
  <cdr:relSizeAnchor xmlns:cdr="http://schemas.openxmlformats.org/drawingml/2006/chartDrawing">
    <cdr:from>
      <cdr:x>0</cdr:x>
      <cdr:y>0.07554</cdr:y>
    </cdr:from>
    <cdr:to>
      <cdr:x>0.21353</cdr:x>
      <cdr:y>0.12653</cdr:y>
    </cdr:to>
    <cdr:sp macro="" textlink="">
      <cdr:nvSpPr>
        <cdr:cNvPr id="4" name="TextBox 3">
          <a:extLst xmlns:a="http://schemas.openxmlformats.org/drawingml/2006/main">
            <a:ext uri="{FF2B5EF4-FFF2-40B4-BE49-F238E27FC236}">
              <a16:creationId xmlns:a16="http://schemas.microsoft.com/office/drawing/2014/main" id="{FB398DD8-DEEC-5015-2D60-2D1A5D72D161}"/>
            </a:ext>
          </a:extLst>
        </cdr:cNvPr>
        <cdr:cNvSpPr txBox="1"/>
      </cdr:nvSpPr>
      <cdr:spPr>
        <a:xfrm xmlns:a="http://schemas.openxmlformats.org/drawingml/2006/main">
          <a:off x="0" y="508000"/>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kern="1200">
              <a:solidFill>
                <a:srgbClr val="495057"/>
              </a:solidFill>
              <a:latin typeface="Segoe UI" panose="020B0502040204020203" pitchFamily="34" charset="0"/>
              <a:cs typeface="Segoe UI" panose="020B0502040204020203" pitchFamily="34" charset="0"/>
            </a:rPr>
            <a:t>000s</a:t>
          </a:r>
        </a:p>
      </cdr:txBody>
    </cdr:sp>
  </cdr:relSizeAnchor>
  <cdr:relSizeAnchor xmlns:cdr="http://schemas.openxmlformats.org/drawingml/2006/chartDrawing">
    <cdr:from>
      <cdr:x>0.40339</cdr:x>
      <cdr:y>0.12607</cdr:y>
    </cdr:from>
    <cdr:to>
      <cdr:x>0.40339</cdr:x>
      <cdr:y>0.86262</cdr:y>
    </cdr:to>
    <cdr:cxnSp macro="">
      <cdr:nvCxnSpPr>
        <cdr:cNvPr id="6" name="Straight Connector 5">
          <a:extLst xmlns:a="http://schemas.openxmlformats.org/drawingml/2006/main">
            <a:ext uri="{FF2B5EF4-FFF2-40B4-BE49-F238E27FC236}">
              <a16:creationId xmlns:a16="http://schemas.microsoft.com/office/drawing/2014/main" id="{ED72EC52-8B4A-C19B-3A29-773BAFE41F5C}"/>
            </a:ext>
          </a:extLst>
        </cdr:cNvPr>
        <cdr:cNvCxnSpPr/>
      </cdr:nvCxnSpPr>
      <cdr:spPr>
        <a:xfrm xmlns:a="http://schemas.openxmlformats.org/drawingml/2006/main">
          <a:off x="3400456" y="849001"/>
          <a:ext cx="0" cy="4960056"/>
        </a:xfrm>
        <a:prstGeom xmlns:a="http://schemas.openxmlformats.org/drawingml/2006/main" prst="line">
          <a:avLst/>
        </a:prstGeom>
        <a:ln xmlns:a="http://schemas.openxmlformats.org/drawingml/2006/main" w="9525">
          <a:solidFill>
            <a:srgbClr val="495057"/>
          </a:solidFill>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0.53032</cdr:x>
      <cdr:y>0.12944</cdr:y>
    </cdr:from>
    <cdr:to>
      <cdr:x>0.68098</cdr:x>
      <cdr:y>0.20888</cdr:y>
    </cdr:to>
    <cdr:sp macro="" textlink="">
      <cdr:nvSpPr>
        <cdr:cNvPr id="5" name="TextBox 1">
          <a:extLst xmlns:a="http://schemas.openxmlformats.org/drawingml/2006/main">
            <a:ext uri="{FF2B5EF4-FFF2-40B4-BE49-F238E27FC236}">
              <a16:creationId xmlns:a16="http://schemas.microsoft.com/office/drawing/2014/main" id="{7BD8B2CA-5E5B-2F7C-95A3-1D54C16574DF}"/>
            </a:ext>
          </a:extLst>
        </cdr:cNvPr>
        <cdr:cNvSpPr txBox="1"/>
      </cdr:nvSpPr>
      <cdr:spPr>
        <a:xfrm xmlns:a="http://schemas.openxmlformats.org/drawingml/2006/main">
          <a:off x="4470427" y="871691"/>
          <a:ext cx="1270007" cy="534963"/>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800" kern="1200">
              <a:solidFill>
                <a:srgbClr val="495057"/>
              </a:solidFill>
              <a:latin typeface="Segoe UI" panose="020B0502040204020203" pitchFamily="34" charset="0"/>
            </a:rPr>
            <a:t>Forecast</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8401050" cy="6724650"/>
    <xdr:graphicFrame macro="">
      <xdr:nvGraphicFramePr>
        <xdr:cNvPr id="2" name="Chart 1">
          <a:extLst>
            <a:ext uri="{FF2B5EF4-FFF2-40B4-BE49-F238E27FC236}">
              <a16:creationId xmlns:a16="http://schemas.microsoft.com/office/drawing/2014/main" id="{9A9E0850-FB8F-9AA8-6B7D-5F54AD967C1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c:userShapes xmlns:c="http://schemas.openxmlformats.org/drawingml/2006/chart">
  <cdr:relSizeAnchor xmlns:cdr="http://schemas.openxmlformats.org/drawingml/2006/chartDrawing">
    <cdr:from>
      <cdr:x>0</cdr:x>
      <cdr:y>0.00806</cdr:y>
    </cdr:from>
    <cdr:to>
      <cdr:x>1</cdr:x>
      <cdr:y>0.08866</cdr:y>
    </cdr:to>
    <cdr:sp macro="" textlink="">
      <cdr:nvSpPr>
        <cdr:cNvPr id="2" name="TextBox 1">
          <a:extLst xmlns:a="http://schemas.openxmlformats.org/drawingml/2006/main">
            <a:ext uri="{FF2B5EF4-FFF2-40B4-BE49-F238E27FC236}">
              <a16:creationId xmlns:a16="http://schemas.microsoft.com/office/drawing/2014/main" id="{ED1E31CA-2B70-76A1-C744-A7699F61F7E2}"/>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kern="1200">
              <a:solidFill>
                <a:srgbClr val="495057"/>
              </a:solidFill>
              <a:latin typeface="Segoe UI" panose="020B0502040204020203" pitchFamily="34" charset="0"/>
              <a:cs typeface="Segoe UI" panose="020B0502040204020203" pitchFamily="34" charset="0"/>
            </a:rPr>
            <a:t>UK: Output per hour worked</a:t>
          </a:r>
        </a:p>
      </cdr:txBody>
    </cdr:sp>
  </cdr:relSizeAnchor>
  <cdr:relSizeAnchor xmlns:cdr="http://schemas.openxmlformats.org/drawingml/2006/chartDrawing">
    <cdr:from>
      <cdr:x>1.30104E-17</cdr:x>
      <cdr:y>0.93935</cdr:y>
    </cdr:from>
    <cdr:to>
      <cdr:x>1</cdr:x>
      <cdr:y>1</cdr:y>
    </cdr:to>
    <cdr:sp macro="" textlink="">
      <cdr:nvSpPr>
        <cdr:cNvPr id="3" name="Rectangle 2">
          <a:extLst xmlns:a="http://schemas.openxmlformats.org/drawingml/2006/main">
            <a:ext uri="{FF2B5EF4-FFF2-40B4-BE49-F238E27FC236}">
              <a16:creationId xmlns:a16="http://schemas.microsoft.com/office/drawing/2014/main" id="{B8F45393-9216-41FE-0FEC-AFCDF07F4002}"/>
            </a:ext>
          </a:extLst>
        </cdr:cNvPr>
        <cdr:cNvSpPr/>
      </cdr:nvSpPr>
      <cdr:spPr>
        <a:xfrm xmlns:a="http://schemas.openxmlformats.org/drawingml/2006/main">
          <a:off x="50800" y="5920253"/>
          <a:ext cx="8670421"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600" b="0" i="0" u="none" strike="noStrike" kern="1200" baseline="0">
              <a:solidFill>
                <a:srgbClr val="495057"/>
              </a:solidFill>
              <a:latin typeface="Segoe UI" panose="020B0502040204020203" pitchFamily="34" charset="0"/>
            </a:rPr>
            <a:t>Sources: Oxford Economics, Haver Analytics</a:t>
          </a:r>
        </a:p>
      </cdr:txBody>
    </cdr:sp>
  </cdr:relSizeAnchor>
  <cdr:relSizeAnchor xmlns:cdr="http://schemas.openxmlformats.org/drawingml/2006/chartDrawing">
    <cdr:from>
      <cdr:x>0</cdr:x>
      <cdr:y>0.07554</cdr:y>
    </cdr:from>
    <cdr:to>
      <cdr:x>0.42707</cdr:x>
      <cdr:y>0.12653</cdr:y>
    </cdr:to>
    <cdr:sp macro="" textlink="">
      <cdr:nvSpPr>
        <cdr:cNvPr id="6" name="TextBox 5">
          <a:extLst xmlns:a="http://schemas.openxmlformats.org/drawingml/2006/main">
            <a:ext uri="{FF2B5EF4-FFF2-40B4-BE49-F238E27FC236}">
              <a16:creationId xmlns:a16="http://schemas.microsoft.com/office/drawing/2014/main" id="{C56E25D0-8EA6-6E72-2E11-9A24761EEBC4}"/>
            </a:ext>
          </a:extLst>
        </cdr:cNvPr>
        <cdr:cNvSpPr txBox="1"/>
      </cdr:nvSpPr>
      <cdr:spPr>
        <a:xfrm xmlns:a="http://schemas.openxmlformats.org/drawingml/2006/main">
          <a:off x="0" y="508000"/>
          <a:ext cx="36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kern="1200">
              <a:solidFill>
                <a:srgbClr val="495057"/>
              </a:solidFill>
              <a:latin typeface="Segoe UI" panose="020B0502040204020203" pitchFamily="34" charset="0"/>
              <a:cs typeface="Segoe UI" panose="020B0502040204020203" pitchFamily="34" charset="0"/>
            </a:rPr>
            <a:t>% year</a:t>
          </a:r>
        </a:p>
      </cdr:txBody>
    </cdr:sp>
  </cdr:relSizeAnchor>
</c:userShapes>
</file>

<file path=xl/drawings/drawing9.xml><?xml version="1.0" encoding="utf-8"?>
<xdr:wsDr xmlns:xdr="http://schemas.openxmlformats.org/drawingml/2006/spreadsheetDrawing" xmlns:a="http://schemas.openxmlformats.org/drawingml/2006/main">
  <xdr:absoluteAnchor>
    <xdr:pos x="0" y="0"/>
    <xdr:ext cx="8401050" cy="6724650"/>
    <xdr:graphicFrame macro="">
      <xdr:nvGraphicFramePr>
        <xdr:cNvPr id="2" name="Chart 1">
          <a:extLst>
            <a:ext uri="{FF2B5EF4-FFF2-40B4-BE49-F238E27FC236}">
              <a16:creationId xmlns:a16="http://schemas.microsoft.com/office/drawing/2014/main" id="{AB78B6CF-0D81-2DC8-02D6-CC70DF36D70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c:userShapes xmlns:c="http://schemas.openxmlformats.org/drawingml/2006/chart">
  <cdr:relSizeAnchor xmlns:cdr="http://schemas.openxmlformats.org/drawingml/2006/chartDrawing">
    <cdr:from>
      <cdr:x>0</cdr:x>
      <cdr:y>0.00806</cdr:y>
    </cdr:from>
    <cdr:to>
      <cdr:x>1</cdr:x>
      <cdr:y>0.08866</cdr:y>
    </cdr:to>
    <cdr:sp macro="" textlink="">
      <cdr:nvSpPr>
        <cdr:cNvPr id="2" name="TextBox 1">
          <a:extLst xmlns:a="http://schemas.openxmlformats.org/drawingml/2006/main">
            <a:ext uri="{FF2B5EF4-FFF2-40B4-BE49-F238E27FC236}">
              <a16:creationId xmlns:a16="http://schemas.microsoft.com/office/drawing/2014/main" id="{94D1F9F7-E848-A4FC-4FAD-2D785AEF4882}"/>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kern="1200">
              <a:solidFill>
                <a:srgbClr val="495057"/>
              </a:solidFill>
              <a:latin typeface="Segoe UI" panose="020B0502040204020203" pitchFamily="34" charset="0"/>
              <a:cs typeface="Segoe UI" panose="020B0502040204020203" pitchFamily="34" charset="0"/>
            </a:rPr>
            <a:t>UK: Potential output growth</a:t>
          </a:r>
        </a:p>
      </cdr:txBody>
    </cdr:sp>
  </cdr:relSizeAnchor>
  <cdr:relSizeAnchor xmlns:cdr="http://schemas.openxmlformats.org/drawingml/2006/chartDrawing">
    <cdr:from>
      <cdr:x>1.30104E-17</cdr:x>
      <cdr:y>0.93935</cdr:y>
    </cdr:from>
    <cdr:to>
      <cdr:x>1</cdr:x>
      <cdr:y>1</cdr:y>
    </cdr:to>
    <cdr:sp macro="" textlink="">
      <cdr:nvSpPr>
        <cdr:cNvPr id="3" name="Rectangle 2">
          <a:extLst xmlns:a="http://schemas.openxmlformats.org/drawingml/2006/main">
            <a:ext uri="{FF2B5EF4-FFF2-40B4-BE49-F238E27FC236}">
              <a16:creationId xmlns:a16="http://schemas.microsoft.com/office/drawing/2014/main" id="{130775B5-C1B3-04DB-231D-5BE5B8F34984}"/>
            </a:ext>
          </a:extLst>
        </cdr:cNvPr>
        <cdr:cNvSpPr/>
      </cdr:nvSpPr>
      <cdr:spPr>
        <a:xfrm xmlns:a="http://schemas.openxmlformats.org/drawingml/2006/main">
          <a:off x="50800" y="5920253"/>
          <a:ext cx="8670421"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600" b="0" i="0" u="none" strike="noStrike" kern="1200" baseline="0">
              <a:solidFill>
                <a:srgbClr val="495057"/>
              </a:solidFill>
              <a:latin typeface="Segoe UI" panose="020B0502040204020203" pitchFamily="34" charset="0"/>
            </a:rPr>
            <a:t>Sources: Oxford Economics, Haver Analytics</a:t>
          </a:r>
        </a:p>
      </cdr:txBody>
    </cdr:sp>
  </cdr:relSizeAnchor>
  <cdr:relSizeAnchor xmlns:cdr="http://schemas.openxmlformats.org/drawingml/2006/chartDrawing">
    <cdr:from>
      <cdr:x>0.47081</cdr:x>
      <cdr:y>0.15675</cdr:y>
    </cdr:from>
    <cdr:to>
      <cdr:x>0.47081</cdr:x>
      <cdr:y>0.86341</cdr:y>
    </cdr:to>
    <cdr:cxnSp macro="">
      <cdr:nvCxnSpPr>
        <cdr:cNvPr id="4" name="Straight Connector 3">
          <a:extLst xmlns:a="http://schemas.openxmlformats.org/drawingml/2006/main">
            <a:ext uri="{FF2B5EF4-FFF2-40B4-BE49-F238E27FC236}">
              <a16:creationId xmlns:a16="http://schemas.microsoft.com/office/drawing/2014/main" id="{86ABCE08-0D54-DC21-217B-D264C1009BF6}"/>
            </a:ext>
          </a:extLst>
        </cdr:cNvPr>
        <cdr:cNvCxnSpPr/>
      </cdr:nvCxnSpPr>
      <cdr:spPr>
        <a:xfrm xmlns:a="http://schemas.openxmlformats.org/drawingml/2006/main">
          <a:off x="3968750" y="1054100"/>
          <a:ext cx="0" cy="4752000"/>
        </a:xfrm>
        <a:prstGeom xmlns:a="http://schemas.openxmlformats.org/drawingml/2006/main" prst="line">
          <a:avLst/>
        </a:prstGeom>
        <a:ln xmlns:a="http://schemas.openxmlformats.org/drawingml/2006/main" w="12700" cap="flat" cmpd="sng" algn="ctr">
          <a:solidFill>
            <a:srgbClr val="495057">
              <a:lumMod val="100000"/>
            </a:srgbClr>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blurRad="40000" dist="20000" dir="5400000" rotWithShape="0">
                  <a:srgbClr val="000000">
                    <a:alpha val="38000"/>
                  </a:srgbClr>
                </a:outerShdw>
              </a:effectLst>
            </a14:hiddenEffects>
          </a:ext>
        </a:extLst>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0.67043</cdr:x>
      <cdr:y>0.77951</cdr:y>
    </cdr:from>
    <cdr:to>
      <cdr:x>0.82109</cdr:x>
      <cdr:y>0.85883</cdr:y>
    </cdr:to>
    <cdr:sp macro="" textlink="">
      <cdr:nvSpPr>
        <cdr:cNvPr id="5" name="TextBox 4">
          <a:extLst xmlns:a="http://schemas.openxmlformats.org/drawingml/2006/main">
            <a:ext uri="{FF2B5EF4-FFF2-40B4-BE49-F238E27FC236}">
              <a16:creationId xmlns:a16="http://schemas.microsoft.com/office/drawing/2014/main" id="{A23A7130-33E5-150F-E7FF-C95E72EAB162}"/>
            </a:ext>
          </a:extLst>
        </cdr:cNvPr>
        <cdr:cNvSpPr txBox="1"/>
      </cdr:nvSpPr>
      <cdr:spPr>
        <a:xfrm xmlns:a="http://schemas.openxmlformats.org/drawingml/2006/main">
          <a:off x="5651500" y="5241925"/>
          <a:ext cx="1270000"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kern="1200">
              <a:solidFill>
                <a:srgbClr val="495057"/>
              </a:solidFill>
              <a:latin typeface="Segoe UI" panose="020B0502040204020203" pitchFamily="34" charset="0"/>
            </a:rPr>
            <a:t>Forecast</a:t>
          </a:r>
        </a:p>
      </cdr:txBody>
    </cdr:sp>
  </cdr:relSizeAnchor>
  <cdr:relSizeAnchor xmlns:cdr="http://schemas.openxmlformats.org/drawingml/2006/chartDrawing">
    <cdr:from>
      <cdr:x>0</cdr:x>
      <cdr:y>0.07554</cdr:y>
    </cdr:from>
    <cdr:to>
      <cdr:x>0.21353</cdr:x>
      <cdr:y>0.12653</cdr:y>
    </cdr:to>
    <cdr:sp macro="" textlink="">
      <cdr:nvSpPr>
        <cdr:cNvPr id="6" name="TextBox 5">
          <a:extLst xmlns:a="http://schemas.openxmlformats.org/drawingml/2006/main">
            <a:ext uri="{FF2B5EF4-FFF2-40B4-BE49-F238E27FC236}">
              <a16:creationId xmlns:a16="http://schemas.microsoft.com/office/drawing/2014/main" id="{716A755A-854B-28EE-6C8A-428834FB8EBF}"/>
            </a:ext>
          </a:extLst>
        </cdr:cNvPr>
        <cdr:cNvSpPr txBox="1"/>
      </cdr:nvSpPr>
      <cdr:spPr>
        <a:xfrm xmlns:a="http://schemas.openxmlformats.org/drawingml/2006/main">
          <a:off x="0" y="508000"/>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kern="1200">
              <a:solidFill>
                <a:srgbClr val="495057"/>
              </a:solidFill>
              <a:latin typeface="Segoe UI" panose="020B0502040204020203" pitchFamily="34" charset="0"/>
              <a:cs typeface="Segoe UI" panose="020B0502040204020203" pitchFamily="34" charset="0"/>
            </a:rPr>
            <a:t>% year</a:t>
          </a:r>
        </a:p>
      </cdr:txBody>
    </cdr:sp>
  </cdr:relSizeAnchor>
</c:userShapes>
</file>

<file path=xl/drawings/drawing11.xml><?xml version="1.0" encoding="utf-8"?>
<xdr:wsDr xmlns:xdr="http://schemas.openxmlformats.org/drawingml/2006/spreadsheetDrawing" xmlns:a="http://schemas.openxmlformats.org/drawingml/2006/main">
  <xdr:absoluteAnchor>
    <xdr:pos x="0" y="0"/>
    <xdr:ext cx="8401050" cy="6724650"/>
    <xdr:graphicFrame macro="">
      <xdr:nvGraphicFramePr>
        <xdr:cNvPr id="2" name="Chart 1">
          <a:extLst>
            <a:ext uri="{FF2B5EF4-FFF2-40B4-BE49-F238E27FC236}">
              <a16:creationId xmlns:a16="http://schemas.microsoft.com/office/drawing/2014/main" id="{0D22A150-1F44-1268-7E94-53EEDA556BB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xml><?xml version="1.0" encoding="utf-8"?>
<c:userShapes xmlns:c="http://schemas.openxmlformats.org/drawingml/2006/chart">
  <cdr:relSizeAnchor xmlns:cdr="http://schemas.openxmlformats.org/drawingml/2006/chartDrawing">
    <cdr:from>
      <cdr:x>0</cdr:x>
      <cdr:y>0.00806</cdr:y>
    </cdr:from>
    <cdr:to>
      <cdr:x>1</cdr:x>
      <cdr:y>0.08866</cdr:y>
    </cdr:to>
    <cdr:sp macro="" textlink="">
      <cdr:nvSpPr>
        <cdr:cNvPr id="2" name="TextBox 1">
          <a:extLst xmlns:a="http://schemas.openxmlformats.org/drawingml/2006/main">
            <a:ext uri="{FF2B5EF4-FFF2-40B4-BE49-F238E27FC236}">
              <a16:creationId xmlns:a16="http://schemas.microsoft.com/office/drawing/2014/main" id="{8F07C926-6CC1-EE16-FEC8-2A23C8E46146}"/>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kern="1200">
              <a:solidFill>
                <a:srgbClr val="495057"/>
              </a:solidFill>
              <a:latin typeface="Segoe UI" panose="020B0502040204020203" pitchFamily="34" charset="0"/>
              <a:cs typeface="Segoe UI" panose="020B0502040204020203" pitchFamily="34" charset="0"/>
            </a:rPr>
            <a:t>UK: Long-term GDP forecasts</a:t>
          </a:r>
        </a:p>
      </cdr:txBody>
    </cdr:sp>
  </cdr:relSizeAnchor>
  <cdr:relSizeAnchor xmlns:cdr="http://schemas.openxmlformats.org/drawingml/2006/chartDrawing">
    <cdr:from>
      <cdr:x>1.30104E-17</cdr:x>
      <cdr:y>0.93935</cdr:y>
    </cdr:from>
    <cdr:to>
      <cdr:x>1</cdr:x>
      <cdr:y>1</cdr:y>
    </cdr:to>
    <cdr:sp macro="" textlink="">
      <cdr:nvSpPr>
        <cdr:cNvPr id="3" name="Rectangle 2">
          <a:extLst xmlns:a="http://schemas.openxmlformats.org/drawingml/2006/main">
            <a:ext uri="{FF2B5EF4-FFF2-40B4-BE49-F238E27FC236}">
              <a16:creationId xmlns:a16="http://schemas.microsoft.com/office/drawing/2014/main" id="{C8EEB5AB-397E-446A-22F8-C3DE447E4DF1}"/>
            </a:ext>
          </a:extLst>
        </cdr:cNvPr>
        <cdr:cNvSpPr/>
      </cdr:nvSpPr>
      <cdr:spPr>
        <a:xfrm xmlns:a="http://schemas.openxmlformats.org/drawingml/2006/main">
          <a:off x="50800" y="5920253"/>
          <a:ext cx="8670421"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600" b="0" i="0" u="none" strike="noStrike" kern="1200" baseline="0">
              <a:solidFill>
                <a:srgbClr val="495057"/>
              </a:solidFill>
              <a:latin typeface="Segoe UI" panose="020B0502040204020203" pitchFamily="34" charset="0"/>
            </a:rPr>
            <a:t>Sources: Oxford Economics, Haver Analytics</a:t>
          </a:r>
        </a:p>
      </cdr:txBody>
    </cdr:sp>
  </cdr:relSizeAnchor>
  <cdr:relSizeAnchor xmlns:cdr="http://schemas.openxmlformats.org/drawingml/2006/chartDrawing">
    <cdr:from>
      <cdr:x>0.24595</cdr:x>
      <cdr:y>0.14542</cdr:y>
    </cdr:from>
    <cdr:to>
      <cdr:x>0.24595</cdr:x>
      <cdr:y>0.86278</cdr:y>
    </cdr:to>
    <cdr:cxnSp macro="">
      <cdr:nvCxnSpPr>
        <cdr:cNvPr id="4" name="Straight Connector 3">
          <a:extLst xmlns:a="http://schemas.openxmlformats.org/drawingml/2006/main">
            <a:ext uri="{FF2B5EF4-FFF2-40B4-BE49-F238E27FC236}">
              <a16:creationId xmlns:a16="http://schemas.microsoft.com/office/drawing/2014/main" id="{971EF6FD-68D7-ACFD-8549-1A99A165B9C8}"/>
            </a:ext>
          </a:extLst>
        </cdr:cNvPr>
        <cdr:cNvCxnSpPr/>
      </cdr:nvCxnSpPr>
      <cdr:spPr>
        <a:xfrm xmlns:a="http://schemas.openxmlformats.org/drawingml/2006/main">
          <a:off x="2073275" y="977900"/>
          <a:ext cx="0" cy="4824000"/>
        </a:xfrm>
        <a:prstGeom xmlns:a="http://schemas.openxmlformats.org/drawingml/2006/main" prst="line">
          <a:avLst/>
        </a:prstGeom>
        <a:ln xmlns:a="http://schemas.openxmlformats.org/drawingml/2006/main" w="12700" cap="flat" cmpd="sng" algn="ctr">
          <a:solidFill>
            <a:srgbClr val="495057">
              <a:lumMod val="100000"/>
            </a:srgbClr>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blurRad="40000" dist="20000" dir="5400000" rotWithShape="0">
                  <a:srgbClr val="000000">
                    <a:alpha val="38000"/>
                  </a:srgbClr>
                </a:outerShdw>
              </a:effectLst>
            </a14:hiddenEffects>
          </a:ext>
        </a:extLst>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0.43766</cdr:x>
      <cdr:y>0.2271</cdr:y>
    </cdr:from>
    <cdr:to>
      <cdr:x>0.58832</cdr:x>
      <cdr:y>0.30642</cdr:y>
    </cdr:to>
    <cdr:sp macro="" textlink="">
      <cdr:nvSpPr>
        <cdr:cNvPr id="5" name="TextBox 4">
          <a:extLst xmlns:a="http://schemas.openxmlformats.org/drawingml/2006/main">
            <a:ext uri="{FF2B5EF4-FFF2-40B4-BE49-F238E27FC236}">
              <a16:creationId xmlns:a16="http://schemas.microsoft.com/office/drawing/2014/main" id="{CC9F683C-D2A3-C43D-EB4C-74240D2EB791}"/>
            </a:ext>
          </a:extLst>
        </cdr:cNvPr>
        <cdr:cNvSpPr txBox="1"/>
      </cdr:nvSpPr>
      <cdr:spPr>
        <a:xfrm xmlns:a="http://schemas.openxmlformats.org/drawingml/2006/main">
          <a:off x="3689350" y="1527175"/>
          <a:ext cx="1270000"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kern="1200">
              <a:solidFill>
                <a:srgbClr val="495057"/>
              </a:solidFill>
              <a:latin typeface="Segoe UI" panose="020B0502040204020203" pitchFamily="34" charset="0"/>
            </a:rPr>
            <a:t>Forecast</a:t>
          </a:r>
        </a:p>
      </cdr:txBody>
    </cdr:sp>
  </cdr:relSizeAnchor>
  <cdr:relSizeAnchor xmlns:cdr="http://schemas.openxmlformats.org/drawingml/2006/chartDrawing">
    <cdr:from>
      <cdr:x>0</cdr:x>
      <cdr:y>0.07554</cdr:y>
    </cdr:from>
    <cdr:to>
      <cdr:x>0.29895</cdr:x>
      <cdr:y>0.12653</cdr:y>
    </cdr:to>
    <cdr:sp macro="" textlink="">
      <cdr:nvSpPr>
        <cdr:cNvPr id="6" name="TextBox 5">
          <a:extLst xmlns:a="http://schemas.openxmlformats.org/drawingml/2006/main">
            <a:ext uri="{FF2B5EF4-FFF2-40B4-BE49-F238E27FC236}">
              <a16:creationId xmlns:a16="http://schemas.microsoft.com/office/drawing/2014/main" id="{F9197481-BDE2-60FE-DF18-0C57254D36D4}"/>
            </a:ext>
          </a:extLst>
        </cdr:cNvPr>
        <cdr:cNvSpPr txBox="1"/>
      </cdr:nvSpPr>
      <cdr:spPr>
        <a:xfrm xmlns:a="http://schemas.openxmlformats.org/drawingml/2006/main">
          <a:off x="0" y="508000"/>
          <a:ext cx="252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kern="1200">
              <a:solidFill>
                <a:srgbClr val="495057"/>
              </a:solidFill>
              <a:latin typeface="Segoe UI" panose="020B0502040204020203" pitchFamily="34" charset="0"/>
              <a:cs typeface="Segoe UI" panose="020B0502040204020203" pitchFamily="34" charset="0"/>
            </a:rPr>
            <a:t>Index, 2023=100</a:t>
          </a:r>
        </a:p>
      </cdr:txBody>
    </cdr:sp>
  </cdr:relSizeAnchor>
  <cdr:relSizeAnchor xmlns:cdr="http://schemas.openxmlformats.org/drawingml/2006/chartDrawing">
    <cdr:from>
      <cdr:x>0.91525</cdr:x>
      <cdr:y>0.2068</cdr:y>
    </cdr:from>
    <cdr:to>
      <cdr:x>0.91525</cdr:x>
      <cdr:y>0.34703</cdr:y>
    </cdr:to>
    <cdr:cxnSp macro="">
      <cdr:nvCxnSpPr>
        <cdr:cNvPr id="8" name="Straight Arrow Connector 7">
          <a:extLst xmlns:a="http://schemas.openxmlformats.org/drawingml/2006/main">
            <a:ext uri="{FF2B5EF4-FFF2-40B4-BE49-F238E27FC236}">
              <a16:creationId xmlns:a16="http://schemas.microsoft.com/office/drawing/2014/main" id="{62DBC36E-C247-B97B-628D-7A045166C7D8}"/>
            </a:ext>
          </a:extLst>
        </cdr:cNvPr>
        <cdr:cNvCxnSpPr/>
      </cdr:nvCxnSpPr>
      <cdr:spPr>
        <a:xfrm xmlns:a="http://schemas.openxmlformats.org/drawingml/2006/main">
          <a:off x="7715250" y="1390650"/>
          <a:ext cx="0" cy="942975"/>
        </a:xfrm>
        <a:prstGeom xmlns:a="http://schemas.openxmlformats.org/drawingml/2006/main" prst="straightConnector1">
          <a:avLst/>
        </a:prstGeom>
        <a:ln xmlns:a="http://schemas.openxmlformats.org/drawingml/2006/main" w="12700">
          <a:solidFill>
            <a:srgbClr val="495057"/>
          </a:solidFill>
          <a:headEnd type="triangle" w="lg" len="med"/>
          <a:tailEnd type="triangle" w="lg" len="med"/>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0.83315</cdr:x>
      <cdr:y>0.23702</cdr:y>
    </cdr:from>
    <cdr:to>
      <cdr:x>0.9838</cdr:x>
      <cdr:y>0.31634</cdr:y>
    </cdr:to>
    <cdr:sp macro="" textlink="">
      <cdr:nvSpPr>
        <cdr:cNvPr id="9" name="TextBox 1">
          <a:extLst xmlns:a="http://schemas.openxmlformats.org/drawingml/2006/main">
            <a:ext uri="{FF2B5EF4-FFF2-40B4-BE49-F238E27FC236}">
              <a16:creationId xmlns:a16="http://schemas.microsoft.com/office/drawing/2014/main" id="{D8C937BF-A154-645C-706A-88FDF0ED9052}"/>
            </a:ext>
          </a:extLst>
        </cdr:cNvPr>
        <cdr:cNvSpPr txBox="1"/>
      </cdr:nvSpPr>
      <cdr:spPr>
        <a:xfrm xmlns:a="http://schemas.openxmlformats.org/drawingml/2006/main">
          <a:off x="7023100" y="1593850"/>
          <a:ext cx="1270000" cy="5334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r"/>
          <a:r>
            <a:rPr lang="en-GB" sz="1800" kern="1200">
              <a:solidFill>
                <a:srgbClr val="495057"/>
              </a:solidFill>
              <a:latin typeface="Segoe UI" panose="020B0502040204020203" pitchFamily="34" charset="0"/>
            </a:rPr>
            <a:t>15%</a:t>
          </a:r>
        </a:p>
      </cdr:txBody>
    </cdr:sp>
  </cdr:relSizeAnchor>
</c:userShapes>
</file>

<file path=xl/drawings/drawing13.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9</xdr:col>
      <xdr:colOff>10384</xdr:colOff>
      <xdr:row>21</xdr:row>
      <xdr:rowOff>133775</xdr:rowOff>
    </xdr:to>
    <xdr:pic>
      <xdr:nvPicPr>
        <xdr:cNvPr id="2" name="Picture 1">
          <a:extLst>
            <a:ext uri="{FF2B5EF4-FFF2-40B4-BE49-F238E27FC236}">
              <a16:creationId xmlns:a16="http://schemas.microsoft.com/office/drawing/2014/main" id="{70F83AFC-0178-459F-B481-0D10E20DC1FD}"/>
            </a:ext>
          </a:extLst>
        </xdr:cNvPr>
        <xdr:cNvPicPr>
          <a:picLocks noChangeAspect="1"/>
        </xdr:cNvPicPr>
      </xdr:nvPicPr>
      <xdr:blipFill>
        <a:blip xmlns:r="http://schemas.openxmlformats.org/officeDocument/2006/relationships" r:embed="rId1"/>
        <a:stretch>
          <a:fillRect/>
        </a:stretch>
      </xdr:blipFill>
      <xdr:spPr>
        <a:xfrm>
          <a:off x="676275" y="885825"/>
          <a:ext cx="5468209" cy="304842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9</xdr:col>
      <xdr:colOff>200025</xdr:colOff>
      <xdr:row>22</xdr:row>
      <xdr:rowOff>149552</xdr:rowOff>
    </xdr:to>
    <xdr:pic>
      <xdr:nvPicPr>
        <xdr:cNvPr id="2" name="Picture 1">
          <a:extLst>
            <a:ext uri="{FF2B5EF4-FFF2-40B4-BE49-F238E27FC236}">
              <a16:creationId xmlns:a16="http://schemas.microsoft.com/office/drawing/2014/main" id="{DC6967D6-96B1-47B1-9001-F1EFF41A8B60}"/>
            </a:ext>
          </a:extLst>
        </xdr:cNvPr>
        <xdr:cNvPicPr>
          <a:picLocks noChangeAspect="1"/>
        </xdr:cNvPicPr>
      </xdr:nvPicPr>
      <xdr:blipFill>
        <a:blip xmlns:r="http://schemas.openxmlformats.org/officeDocument/2006/relationships" r:embed="rId1"/>
        <a:stretch>
          <a:fillRect/>
        </a:stretch>
      </xdr:blipFill>
      <xdr:spPr>
        <a:xfrm>
          <a:off x="676275" y="885825"/>
          <a:ext cx="5610225" cy="322612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57CE09EC-434C-8527-F235-62C1194E97B5}"/>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xml><?xml version="1.0" encoding="utf-8"?>
<c:userShapes xmlns:c="http://schemas.openxmlformats.org/drawingml/2006/chart">
  <cdr:relSizeAnchor xmlns:cdr="http://schemas.openxmlformats.org/drawingml/2006/chartDrawing">
    <cdr:from>
      <cdr:x>0</cdr:x>
      <cdr:y>0.00806</cdr:y>
    </cdr:from>
    <cdr:to>
      <cdr:x>1</cdr:x>
      <cdr:y>0.08866</cdr:y>
    </cdr:to>
    <cdr:sp macro="" textlink="">
      <cdr:nvSpPr>
        <cdr:cNvPr id="2" name="TextBox 1">
          <a:extLst xmlns:a="http://schemas.openxmlformats.org/drawingml/2006/main">
            <a:ext uri="{FF2B5EF4-FFF2-40B4-BE49-F238E27FC236}">
              <a16:creationId xmlns:a16="http://schemas.microsoft.com/office/drawing/2014/main" id="{E0545812-DCC6-52F4-77BB-3DC5F47CF893}"/>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kern="1200">
              <a:solidFill>
                <a:srgbClr val="495057"/>
              </a:solidFill>
              <a:latin typeface="Segoe UI" panose="020B0502040204020203" pitchFamily="34" charset="0"/>
              <a:cs typeface="Segoe UI" panose="020B0502040204020203" pitchFamily="34" charset="0"/>
            </a:rPr>
            <a:t>UK: Net inward migration</a:t>
          </a:r>
        </a:p>
      </cdr:txBody>
    </cdr:sp>
  </cdr:relSizeAnchor>
  <cdr:relSizeAnchor xmlns:cdr="http://schemas.openxmlformats.org/drawingml/2006/chartDrawing">
    <cdr:from>
      <cdr:x>1.30104E-17</cdr:x>
      <cdr:y>0.93935</cdr:y>
    </cdr:from>
    <cdr:to>
      <cdr:x>1</cdr:x>
      <cdr:y>1</cdr:y>
    </cdr:to>
    <cdr:sp macro="" textlink="">
      <cdr:nvSpPr>
        <cdr:cNvPr id="3" name="Rectangle 2">
          <a:extLst xmlns:a="http://schemas.openxmlformats.org/drawingml/2006/main">
            <a:ext uri="{FF2B5EF4-FFF2-40B4-BE49-F238E27FC236}">
              <a16:creationId xmlns:a16="http://schemas.microsoft.com/office/drawing/2014/main" id="{322AFA6B-53E2-99E3-086C-919303A239D8}"/>
            </a:ext>
          </a:extLst>
        </cdr:cNvPr>
        <cdr:cNvSpPr/>
      </cdr:nvSpPr>
      <cdr:spPr>
        <a:xfrm xmlns:a="http://schemas.openxmlformats.org/drawingml/2006/main">
          <a:off x="50800" y="5920253"/>
          <a:ext cx="8670421"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600" b="0" i="0" u="none" strike="noStrike" kern="1200" baseline="0">
              <a:solidFill>
                <a:srgbClr val="495057"/>
              </a:solidFill>
              <a:latin typeface="Segoe UI" panose="020B0502040204020203" pitchFamily="34" charset="0"/>
            </a:rPr>
            <a:t>Sources: Oxford Economics, ONS</a:t>
          </a:r>
        </a:p>
      </cdr:txBody>
    </cdr:sp>
  </cdr:relSizeAnchor>
  <cdr:relSizeAnchor xmlns:cdr="http://schemas.openxmlformats.org/drawingml/2006/chartDrawing">
    <cdr:from>
      <cdr:x>0</cdr:x>
      <cdr:y>0.07554</cdr:y>
    </cdr:from>
    <cdr:to>
      <cdr:x>1</cdr:x>
      <cdr:y>0.12653</cdr:y>
    </cdr:to>
    <cdr:sp macro="" textlink="">
      <cdr:nvSpPr>
        <cdr:cNvPr id="6" name="TextBox 5">
          <a:extLst xmlns:a="http://schemas.openxmlformats.org/drawingml/2006/main">
            <a:ext uri="{FF2B5EF4-FFF2-40B4-BE49-F238E27FC236}">
              <a16:creationId xmlns:a16="http://schemas.microsoft.com/office/drawing/2014/main" id="{89DE0E3C-5DDE-E419-79D9-920BB1D5F851}"/>
            </a:ext>
          </a:extLst>
        </cdr:cNvPr>
        <cdr:cNvSpPr txBox="1"/>
      </cdr:nvSpPr>
      <cdr:spPr>
        <a:xfrm xmlns:a="http://schemas.openxmlformats.org/drawingml/2006/main">
          <a:off x="50800" y="508000"/>
          <a:ext cx="889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kern="1200">
              <a:solidFill>
                <a:srgbClr val="495057"/>
              </a:solidFill>
              <a:latin typeface="Segoe UI" panose="020B0502040204020203" pitchFamily="34" charset="0"/>
              <a:cs typeface="Segoe UI" panose="020B0502040204020203" pitchFamily="34" charset="0"/>
            </a:rPr>
            <a:t>000s</a:t>
          </a:r>
        </a:p>
      </cdr:txBody>
    </cdr:sp>
  </cdr:relSizeAnchor>
  <cdr:relSizeAnchor xmlns:cdr="http://schemas.openxmlformats.org/drawingml/2006/chartDrawing">
    <cdr:from>
      <cdr:x>0.687</cdr:x>
      <cdr:y>0.16548</cdr:y>
    </cdr:from>
    <cdr:to>
      <cdr:x>0.687</cdr:x>
      <cdr:y>0.86704</cdr:y>
    </cdr:to>
    <cdr:cxnSp macro="">
      <cdr:nvCxnSpPr>
        <cdr:cNvPr id="5" name="Straight Connector 4">
          <a:extLst xmlns:a="http://schemas.openxmlformats.org/drawingml/2006/main">
            <a:ext uri="{FF2B5EF4-FFF2-40B4-BE49-F238E27FC236}">
              <a16:creationId xmlns:a16="http://schemas.microsoft.com/office/drawing/2014/main" id="{196C608C-A242-0804-F271-885C9F68F118}"/>
            </a:ext>
          </a:extLst>
        </cdr:cNvPr>
        <cdr:cNvCxnSpPr/>
      </cdr:nvCxnSpPr>
      <cdr:spPr>
        <a:xfrm xmlns:a="http://schemas.openxmlformats.org/drawingml/2006/main">
          <a:off x="5791179" y="1114393"/>
          <a:ext cx="0" cy="4724428"/>
        </a:xfrm>
        <a:prstGeom xmlns:a="http://schemas.openxmlformats.org/drawingml/2006/main" prst="line">
          <a:avLst/>
        </a:prstGeom>
        <a:ln xmlns:a="http://schemas.openxmlformats.org/drawingml/2006/main" w="12700">
          <a:solidFill>
            <a:srgbClr val="495057"/>
          </a:solidFill>
        </a:ln>
        <a:effectLst xmlns:a="http://schemas.openxmlformats.org/drawingml/2006/mai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0.77778</cdr:x>
      <cdr:y>0.248</cdr:y>
    </cdr:from>
    <cdr:to>
      <cdr:x>0.92844</cdr:x>
      <cdr:y>0.32732</cdr:y>
    </cdr:to>
    <cdr:sp macro="" textlink="">
      <cdr:nvSpPr>
        <cdr:cNvPr id="7" name="TextBox 1">
          <a:extLst xmlns:a="http://schemas.openxmlformats.org/drawingml/2006/main">
            <a:ext uri="{FF2B5EF4-FFF2-40B4-BE49-F238E27FC236}">
              <a16:creationId xmlns:a16="http://schemas.microsoft.com/office/drawing/2014/main" id="{7BD8B2CA-5E5B-2F7C-95A3-1D54C16574DF}"/>
            </a:ext>
          </a:extLst>
        </cdr:cNvPr>
        <cdr:cNvSpPr txBox="1"/>
      </cdr:nvSpPr>
      <cdr:spPr>
        <a:xfrm xmlns:a="http://schemas.openxmlformats.org/drawingml/2006/main">
          <a:off x="6556405" y="1670080"/>
          <a:ext cx="1270007" cy="534155"/>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800" kern="1200">
              <a:solidFill>
                <a:srgbClr val="495057"/>
              </a:solidFill>
              <a:latin typeface="Segoe UI" panose="020B0502040204020203" pitchFamily="34" charset="0"/>
            </a:rPr>
            <a:t>Forecast</a:t>
          </a:r>
        </a:p>
      </cdr:txBody>
    </cdr:sp>
  </cdr:relSizeAnchor>
</c:userShapes>
</file>

<file path=xl/drawings/drawing17.xml><?xml version="1.0" encoding="utf-8"?>
<xdr:wsDr xmlns:xdr="http://schemas.openxmlformats.org/drawingml/2006/spreadsheetDrawing" xmlns:a="http://schemas.openxmlformats.org/drawingml/2006/main">
  <xdr:absoluteAnchor>
    <xdr:pos x="0" y="0"/>
    <xdr:ext cx="8429625" cy="6724650"/>
    <xdr:graphicFrame macro="">
      <xdr:nvGraphicFramePr>
        <xdr:cNvPr id="2" name="Chart 1">
          <a:extLst>
            <a:ext uri="{FF2B5EF4-FFF2-40B4-BE49-F238E27FC236}">
              <a16:creationId xmlns:a16="http://schemas.microsoft.com/office/drawing/2014/main" id="{A2109818-9723-A416-2752-802AC1FA4CD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xml><?xml version="1.0" encoding="utf-8"?>
<c:userShapes xmlns:c="http://schemas.openxmlformats.org/drawingml/2006/chart">
  <cdr:relSizeAnchor xmlns:cdr="http://schemas.openxmlformats.org/drawingml/2006/chartDrawing">
    <cdr:from>
      <cdr:x>0</cdr:x>
      <cdr:y>0.00806</cdr:y>
    </cdr:from>
    <cdr:to>
      <cdr:x>1</cdr:x>
      <cdr:y>0.08866</cdr:y>
    </cdr:to>
    <cdr:sp macro="" textlink="">
      <cdr:nvSpPr>
        <cdr:cNvPr id="2" name="TextBox 1">
          <a:extLst xmlns:a="http://schemas.openxmlformats.org/drawingml/2006/main">
            <a:ext uri="{FF2B5EF4-FFF2-40B4-BE49-F238E27FC236}">
              <a16:creationId xmlns:a16="http://schemas.microsoft.com/office/drawing/2014/main" id="{26FE5488-6705-D574-A23F-E62339636BB9}"/>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kern="1200">
              <a:solidFill>
                <a:srgbClr val="495057"/>
              </a:solidFill>
              <a:latin typeface="Segoe UI" panose="020B0502040204020203" pitchFamily="34" charset="0"/>
              <a:cs typeface="Segoe UI" panose="020B0502040204020203" pitchFamily="34" charset="0"/>
            </a:rPr>
            <a:t>UK: Working age population &amp; state pension age</a:t>
          </a:r>
        </a:p>
      </cdr:txBody>
    </cdr:sp>
  </cdr:relSizeAnchor>
  <cdr:relSizeAnchor xmlns:cdr="http://schemas.openxmlformats.org/drawingml/2006/chartDrawing">
    <cdr:from>
      <cdr:x>1.30104E-17</cdr:x>
      <cdr:y>0.93935</cdr:y>
    </cdr:from>
    <cdr:to>
      <cdr:x>1</cdr:x>
      <cdr:y>1</cdr:y>
    </cdr:to>
    <cdr:sp macro="" textlink="">
      <cdr:nvSpPr>
        <cdr:cNvPr id="3" name="Rectangle 2">
          <a:extLst xmlns:a="http://schemas.openxmlformats.org/drawingml/2006/main">
            <a:ext uri="{FF2B5EF4-FFF2-40B4-BE49-F238E27FC236}">
              <a16:creationId xmlns:a16="http://schemas.microsoft.com/office/drawing/2014/main" id="{52BC6D00-8281-7BAD-3FCE-DB404FA5C48E}"/>
            </a:ext>
          </a:extLst>
        </cdr:cNvPr>
        <cdr:cNvSpPr/>
      </cdr:nvSpPr>
      <cdr:spPr>
        <a:xfrm xmlns:a="http://schemas.openxmlformats.org/drawingml/2006/main">
          <a:off x="50800" y="5920253"/>
          <a:ext cx="8670421"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600" b="0" i="0" u="none" strike="noStrike" kern="1200" baseline="0">
              <a:solidFill>
                <a:srgbClr val="495057"/>
              </a:solidFill>
              <a:latin typeface="Segoe UI" panose="020B0502040204020203" pitchFamily="34" charset="0"/>
            </a:rPr>
            <a:t>Sources: Oxford Economics, ONS</a:t>
          </a:r>
        </a:p>
      </cdr:txBody>
    </cdr:sp>
  </cdr:relSizeAnchor>
  <cdr:relSizeAnchor xmlns:cdr="http://schemas.openxmlformats.org/drawingml/2006/chartDrawing">
    <cdr:from>
      <cdr:x>0.56121</cdr:x>
      <cdr:y>0.14542</cdr:y>
    </cdr:from>
    <cdr:to>
      <cdr:x>0.56121</cdr:x>
      <cdr:y>0.86278</cdr:y>
    </cdr:to>
    <cdr:cxnSp macro="">
      <cdr:nvCxnSpPr>
        <cdr:cNvPr id="4" name="Straight Connector 3">
          <a:extLst xmlns:a="http://schemas.openxmlformats.org/drawingml/2006/main">
            <a:ext uri="{FF2B5EF4-FFF2-40B4-BE49-F238E27FC236}">
              <a16:creationId xmlns:a16="http://schemas.microsoft.com/office/drawing/2014/main" id="{568ED79F-0DDF-3835-C139-B0EC9E65B4ED}"/>
            </a:ext>
          </a:extLst>
        </cdr:cNvPr>
        <cdr:cNvCxnSpPr/>
      </cdr:nvCxnSpPr>
      <cdr:spPr>
        <a:xfrm xmlns:a="http://schemas.openxmlformats.org/drawingml/2006/main">
          <a:off x="4730750" y="977900"/>
          <a:ext cx="0" cy="4824000"/>
        </a:xfrm>
        <a:prstGeom xmlns:a="http://schemas.openxmlformats.org/drawingml/2006/main" prst="line">
          <a:avLst/>
        </a:prstGeom>
        <a:ln xmlns:a="http://schemas.openxmlformats.org/drawingml/2006/main" w="12700" cap="flat" cmpd="sng" algn="ctr">
          <a:solidFill>
            <a:srgbClr val="495057">
              <a:lumMod val="100000"/>
            </a:srgbClr>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blurRad="40000" dist="20000" dir="5400000" rotWithShape="0">
                  <a:srgbClr val="000000">
                    <a:alpha val="38000"/>
                  </a:srgbClr>
                </a:outerShdw>
              </a:effectLst>
            </a14:hiddenEffects>
          </a:ext>
        </a:extLst>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0.70885</cdr:x>
      <cdr:y>0.16761</cdr:y>
    </cdr:from>
    <cdr:to>
      <cdr:x>0.85951</cdr:x>
      <cdr:y>0.24693</cdr:y>
    </cdr:to>
    <cdr:sp macro="" textlink="">
      <cdr:nvSpPr>
        <cdr:cNvPr id="5" name="TextBox 4">
          <a:extLst xmlns:a="http://schemas.openxmlformats.org/drawingml/2006/main">
            <a:ext uri="{FF2B5EF4-FFF2-40B4-BE49-F238E27FC236}">
              <a16:creationId xmlns:a16="http://schemas.microsoft.com/office/drawing/2014/main" id="{C3AA2EB4-064C-6B96-FFE3-8CF98D354B81}"/>
            </a:ext>
          </a:extLst>
        </cdr:cNvPr>
        <cdr:cNvSpPr txBox="1"/>
      </cdr:nvSpPr>
      <cdr:spPr>
        <a:xfrm xmlns:a="http://schemas.openxmlformats.org/drawingml/2006/main">
          <a:off x="5975350" y="1127125"/>
          <a:ext cx="1270000"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kern="1200">
              <a:solidFill>
                <a:srgbClr val="495057"/>
              </a:solidFill>
              <a:latin typeface="Segoe UI" panose="020B0502040204020203" pitchFamily="34" charset="0"/>
            </a:rPr>
            <a:t>Forecast</a:t>
          </a:r>
        </a:p>
      </cdr:txBody>
    </cdr:sp>
  </cdr:relSizeAnchor>
  <cdr:relSizeAnchor xmlns:cdr="http://schemas.openxmlformats.org/drawingml/2006/chartDrawing">
    <cdr:from>
      <cdr:x>0</cdr:x>
      <cdr:y>0.07554</cdr:y>
    </cdr:from>
    <cdr:to>
      <cdr:x>0.21353</cdr:x>
      <cdr:y>0.12653</cdr:y>
    </cdr:to>
    <cdr:sp macro="" textlink="">
      <cdr:nvSpPr>
        <cdr:cNvPr id="6" name="TextBox 5">
          <a:extLst xmlns:a="http://schemas.openxmlformats.org/drawingml/2006/main">
            <a:ext uri="{FF2B5EF4-FFF2-40B4-BE49-F238E27FC236}">
              <a16:creationId xmlns:a16="http://schemas.microsoft.com/office/drawing/2014/main" id="{076164C2-A525-C750-F69A-7A33CCAB6778}"/>
            </a:ext>
          </a:extLst>
        </cdr:cNvPr>
        <cdr:cNvSpPr txBox="1"/>
      </cdr:nvSpPr>
      <cdr:spPr>
        <a:xfrm xmlns:a="http://schemas.openxmlformats.org/drawingml/2006/main">
          <a:off x="0" y="508000"/>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kern="1200">
              <a:solidFill>
                <a:srgbClr val="495057"/>
              </a:solidFill>
              <a:latin typeface="Segoe UI" panose="020B0502040204020203" pitchFamily="34" charset="0"/>
              <a:cs typeface="Segoe UI" panose="020B0502040204020203" pitchFamily="34" charset="0"/>
            </a:rPr>
            <a:t>% year</a:t>
          </a:r>
        </a:p>
      </cdr:txBody>
    </cdr:sp>
  </cdr:relSizeAnchor>
  <cdr:relSizeAnchor xmlns:cdr="http://schemas.openxmlformats.org/drawingml/2006/chartDrawing">
    <cdr:from>
      <cdr:x>0.78647</cdr:x>
      <cdr:y>0.07271</cdr:y>
    </cdr:from>
    <cdr:to>
      <cdr:x>1</cdr:x>
      <cdr:y>0.1237</cdr:y>
    </cdr:to>
    <cdr:sp macro="" textlink="">
      <cdr:nvSpPr>
        <cdr:cNvPr id="7" name="TextBox 1">
          <a:extLst xmlns:a="http://schemas.openxmlformats.org/drawingml/2006/main">
            <a:ext uri="{FF2B5EF4-FFF2-40B4-BE49-F238E27FC236}">
              <a16:creationId xmlns:a16="http://schemas.microsoft.com/office/drawing/2014/main" id="{0FEE3DC0-BFF9-D453-6224-0177D2305339}"/>
            </a:ext>
          </a:extLst>
        </cdr:cNvPr>
        <cdr:cNvSpPr txBox="1"/>
      </cdr:nvSpPr>
      <cdr:spPr>
        <a:xfrm xmlns:a="http://schemas.openxmlformats.org/drawingml/2006/main">
          <a:off x="6629625" y="488950"/>
          <a:ext cx="1800000" cy="3429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r"/>
          <a:r>
            <a:rPr lang="en-GB" sz="1800" b="0" kern="1200">
              <a:solidFill>
                <a:srgbClr val="495057"/>
              </a:solidFill>
              <a:latin typeface="Segoe UI" panose="020B0502040204020203" pitchFamily="34" charset="0"/>
              <a:cs typeface="Segoe UI" panose="020B0502040204020203" pitchFamily="34" charset="0"/>
            </a:rPr>
            <a:t>Years</a:t>
          </a:r>
        </a:p>
      </cdr:txBody>
    </cdr:sp>
  </cdr:relSizeAnchor>
</c:userShapes>
</file>

<file path=xl/drawings/drawing19.xml><?xml version="1.0" encoding="utf-8"?>
<xdr:wsDr xmlns:xdr="http://schemas.openxmlformats.org/drawingml/2006/spreadsheetDrawing" xmlns:a="http://schemas.openxmlformats.org/drawingml/2006/main">
  <xdr:absoluteAnchor>
    <xdr:pos x="0" y="0"/>
    <xdr:ext cx="8429625" cy="6724650"/>
    <xdr:graphicFrame macro="">
      <xdr:nvGraphicFramePr>
        <xdr:cNvPr id="2" name="Chart 1">
          <a:extLst>
            <a:ext uri="{FF2B5EF4-FFF2-40B4-BE49-F238E27FC236}">
              <a16:creationId xmlns:a16="http://schemas.microsoft.com/office/drawing/2014/main" id="{410F7E5C-A83B-7425-B818-12793171213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xml><?xml version="1.0" encoding="utf-8"?>
<c:userShapes xmlns:c="http://schemas.openxmlformats.org/drawingml/2006/chart">
  <cdr:relSizeAnchor xmlns:cdr="http://schemas.openxmlformats.org/drawingml/2006/chartDrawing">
    <cdr:from>
      <cdr:x>0</cdr:x>
      <cdr:y>0.00806</cdr:y>
    </cdr:from>
    <cdr:to>
      <cdr:x>1</cdr:x>
      <cdr:y>0.08866</cdr:y>
    </cdr:to>
    <cdr:sp macro="" textlink="">
      <cdr:nvSpPr>
        <cdr:cNvPr id="2" name="TextBox 1">
          <a:extLst xmlns:a="http://schemas.openxmlformats.org/drawingml/2006/main">
            <a:ext uri="{FF2B5EF4-FFF2-40B4-BE49-F238E27FC236}">
              <a16:creationId xmlns:a16="http://schemas.microsoft.com/office/drawing/2014/main" id="{9D0B782D-0919-CA0D-5FBB-370F77BEBDED}"/>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kern="1200">
              <a:solidFill>
                <a:srgbClr val="495057"/>
              </a:solidFill>
              <a:latin typeface="Segoe UI" panose="020B0502040204020203" pitchFamily="34" charset="0"/>
              <a:cs typeface="Segoe UI" panose="020B0502040204020203" pitchFamily="34" charset="0"/>
            </a:rPr>
            <a:t>UK: Long-term sickness as a share of all inactive aged 16-64</a:t>
          </a:r>
        </a:p>
      </cdr:txBody>
    </cdr:sp>
  </cdr:relSizeAnchor>
  <cdr:relSizeAnchor xmlns:cdr="http://schemas.openxmlformats.org/drawingml/2006/chartDrawing">
    <cdr:from>
      <cdr:x>1.30104E-17</cdr:x>
      <cdr:y>0.93935</cdr:y>
    </cdr:from>
    <cdr:to>
      <cdr:x>1</cdr:x>
      <cdr:y>1</cdr:y>
    </cdr:to>
    <cdr:sp macro="" textlink="">
      <cdr:nvSpPr>
        <cdr:cNvPr id="3" name="Rectangle 2">
          <a:extLst xmlns:a="http://schemas.openxmlformats.org/drawingml/2006/main">
            <a:ext uri="{FF2B5EF4-FFF2-40B4-BE49-F238E27FC236}">
              <a16:creationId xmlns:a16="http://schemas.microsoft.com/office/drawing/2014/main" id="{0F3D92AF-626A-F6FF-2AB4-147A29A4955A}"/>
            </a:ext>
          </a:extLst>
        </cdr:cNvPr>
        <cdr:cNvSpPr/>
      </cdr:nvSpPr>
      <cdr:spPr>
        <a:xfrm xmlns:a="http://schemas.openxmlformats.org/drawingml/2006/main">
          <a:off x="50800" y="5920253"/>
          <a:ext cx="8670421"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600" b="0" i="0" u="none" strike="noStrike" kern="1200" baseline="0">
              <a:solidFill>
                <a:srgbClr val="495057"/>
              </a:solidFill>
              <a:latin typeface="Segoe UI" panose="020B0502040204020203" pitchFamily="34" charset="0"/>
            </a:rPr>
            <a:t>Sources: Oxford Economics, Haver Analytics</a:t>
          </a:r>
        </a:p>
      </cdr:txBody>
    </cdr:sp>
  </cdr:relSizeAnchor>
  <cdr:relSizeAnchor xmlns:cdr="http://schemas.openxmlformats.org/drawingml/2006/chartDrawing">
    <cdr:from>
      <cdr:x>0</cdr:x>
      <cdr:y>0.07554</cdr:y>
    </cdr:from>
    <cdr:to>
      <cdr:x>0.24068</cdr:x>
      <cdr:y>0.12653</cdr:y>
    </cdr:to>
    <cdr:sp macro="" textlink="">
      <cdr:nvSpPr>
        <cdr:cNvPr id="6" name="TextBox 5">
          <a:extLst xmlns:a="http://schemas.openxmlformats.org/drawingml/2006/main">
            <a:ext uri="{FF2B5EF4-FFF2-40B4-BE49-F238E27FC236}">
              <a16:creationId xmlns:a16="http://schemas.microsoft.com/office/drawing/2014/main" id="{5B3E5EF0-F442-FA74-094E-13B7FC8FE51E}"/>
            </a:ext>
          </a:extLst>
        </cdr:cNvPr>
        <cdr:cNvSpPr txBox="1"/>
      </cdr:nvSpPr>
      <cdr:spPr>
        <a:xfrm xmlns:a="http://schemas.openxmlformats.org/drawingml/2006/main">
          <a:off x="0" y="508000"/>
          <a:ext cx="2028824"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kern="1200">
              <a:solidFill>
                <a:srgbClr val="495057"/>
              </a:solidFill>
              <a:latin typeface="Segoe UI" panose="020B0502040204020203" pitchFamily="34" charset="0"/>
              <a:cs typeface="Segoe UI" panose="020B0502040204020203" pitchFamily="34" charset="0"/>
            </a:rPr>
            <a:t>% of all inactive</a:t>
          </a:r>
        </a:p>
      </cdr:txBody>
    </cdr:sp>
  </cdr:relSizeAnchor>
</c:userShapes>
</file>

<file path=xl/drawings/drawing21.xml><?xml version="1.0" encoding="utf-8"?>
<xdr:wsDr xmlns:xdr="http://schemas.openxmlformats.org/drawingml/2006/spreadsheetDrawing" xmlns:a="http://schemas.openxmlformats.org/drawingml/2006/main">
  <xdr:absoluteAnchor>
    <xdr:pos x="0" y="0"/>
    <xdr:ext cx="8429625" cy="6724650"/>
    <xdr:graphicFrame macro="">
      <xdr:nvGraphicFramePr>
        <xdr:cNvPr id="2" name="Chart 1">
          <a:extLst>
            <a:ext uri="{FF2B5EF4-FFF2-40B4-BE49-F238E27FC236}">
              <a16:creationId xmlns:a16="http://schemas.microsoft.com/office/drawing/2014/main" id="{F51F4B5D-AEA7-F57F-C1B1-7D9A7B58C9E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2.xml><?xml version="1.0" encoding="utf-8"?>
<c:userShapes xmlns:c="http://schemas.openxmlformats.org/drawingml/2006/chart">
  <cdr:relSizeAnchor xmlns:cdr="http://schemas.openxmlformats.org/drawingml/2006/chartDrawing">
    <cdr:from>
      <cdr:x>0</cdr:x>
      <cdr:y>0.00806</cdr:y>
    </cdr:from>
    <cdr:to>
      <cdr:x>1</cdr:x>
      <cdr:y>0.08866</cdr:y>
    </cdr:to>
    <cdr:sp macro="" textlink="">
      <cdr:nvSpPr>
        <cdr:cNvPr id="2" name="TextBox 1">
          <a:extLst xmlns:a="http://schemas.openxmlformats.org/drawingml/2006/main">
            <a:ext uri="{FF2B5EF4-FFF2-40B4-BE49-F238E27FC236}">
              <a16:creationId xmlns:a16="http://schemas.microsoft.com/office/drawing/2014/main" id="{ED1E31CA-2B70-76A1-C744-A7699F61F7E2}"/>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kern="1200">
              <a:solidFill>
                <a:srgbClr val="495057"/>
              </a:solidFill>
              <a:latin typeface="Segoe UI" panose="020B0502040204020203" pitchFamily="34" charset="0"/>
              <a:cs typeface="Segoe UI" panose="020B0502040204020203" pitchFamily="34" charset="0"/>
            </a:rPr>
            <a:t>UK: Output per hour worked</a:t>
          </a:r>
        </a:p>
      </cdr:txBody>
    </cdr:sp>
  </cdr:relSizeAnchor>
  <cdr:relSizeAnchor xmlns:cdr="http://schemas.openxmlformats.org/drawingml/2006/chartDrawing">
    <cdr:from>
      <cdr:x>1.30104E-17</cdr:x>
      <cdr:y>0.93935</cdr:y>
    </cdr:from>
    <cdr:to>
      <cdr:x>1</cdr:x>
      <cdr:y>1</cdr:y>
    </cdr:to>
    <cdr:sp macro="" textlink="">
      <cdr:nvSpPr>
        <cdr:cNvPr id="3" name="Rectangle 2">
          <a:extLst xmlns:a="http://schemas.openxmlformats.org/drawingml/2006/main">
            <a:ext uri="{FF2B5EF4-FFF2-40B4-BE49-F238E27FC236}">
              <a16:creationId xmlns:a16="http://schemas.microsoft.com/office/drawing/2014/main" id="{B8F45393-9216-41FE-0FEC-AFCDF07F4002}"/>
            </a:ext>
          </a:extLst>
        </cdr:cNvPr>
        <cdr:cNvSpPr/>
      </cdr:nvSpPr>
      <cdr:spPr>
        <a:xfrm xmlns:a="http://schemas.openxmlformats.org/drawingml/2006/main">
          <a:off x="50800" y="5920253"/>
          <a:ext cx="8670421"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600" b="0" i="0" u="none" strike="noStrike" kern="1200" baseline="0">
              <a:solidFill>
                <a:srgbClr val="495057"/>
              </a:solidFill>
              <a:latin typeface="Segoe UI" panose="020B0502040204020203" pitchFamily="34" charset="0"/>
            </a:rPr>
            <a:t>Sources: Oxford Economics, Haver Analytics</a:t>
          </a:r>
        </a:p>
      </cdr:txBody>
    </cdr:sp>
  </cdr:relSizeAnchor>
  <cdr:relSizeAnchor xmlns:cdr="http://schemas.openxmlformats.org/drawingml/2006/chartDrawing">
    <cdr:from>
      <cdr:x>0</cdr:x>
      <cdr:y>0.07554</cdr:y>
    </cdr:from>
    <cdr:to>
      <cdr:x>0.42707</cdr:x>
      <cdr:y>0.12653</cdr:y>
    </cdr:to>
    <cdr:sp macro="" textlink="">
      <cdr:nvSpPr>
        <cdr:cNvPr id="6" name="TextBox 5">
          <a:extLst xmlns:a="http://schemas.openxmlformats.org/drawingml/2006/main">
            <a:ext uri="{FF2B5EF4-FFF2-40B4-BE49-F238E27FC236}">
              <a16:creationId xmlns:a16="http://schemas.microsoft.com/office/drawing/2014/main" id="{C56E25D0-8EA6-6E72-2E11-9A24761EEBC4}"/>
            </a:ext>
          </a:extLst>
        </cdr:cNvPr>
        <cdr:cNvSpPr txBox="1"/>
      </cdr:nvSpPr>
      <cdr:spPr>
        <a:xfrm xmlns:a="http://schemas.openxmlformats.org/drawingml/2006/main">
          <a:off x="0" y="508000"/>
          <a:ext cx="36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kern="1200">
              <a:solidFill>
                <a:srgbClr val="495057"/>
              </a:solidFill>
              <a:latin typeface="Segoe UI" panose="020B0502040204020203" pitchFamily="34" charset="0"/>
              <a:cs typeface="Segoe UI" panose="020B0502040204020203" pitchFamily="34" charset="0"/>
            </a:rPr>
            <a:t>% year (5yr moving average)</a:t>
          </a:r>
        </a:p>
      </cdr:txBody>
    </cdr:sp>
  </cdr:relSizeAnchor>
</c:userShapes>
</file>

<file path=xl/drawings/drawing23.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B9E0A9F9-03D3-4FA7-9EB7-1515808E4F16}"/>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4.xml><?xml version="1.0" encoding="utf-8"?>
<c:userShapes xmlns:c="http://schemas.openxmlformats.org/drawingml/2006/chart">
  <cdr:relSizeAnchor xmlns:cdr="http://schemas.openxmlformats.org/drawingml/2006/chartDrawing">
    <cdr:from>
      <cdr:x>0</cdr:x>
      <cdr:y>0.00806</cdr:y>
    </cdr:from>
    <cdr:to>
      <cdr:x>1</cdr:x>
      <cdr:y>0.08866</cdr:y>
    </cdr:to>
    <cdr:sp macro="" textlink="">
      <cdr:nvSpPr>
        <cdr:cNvPr id="2" name="TextBox 1">
          <a:extLst xmlns:a="http://schemas.openxmlformats.org/drawingml/2006/main">
            <a:ext uri="{FF2B5EF4-FFF2-40B4-BE49-F238E27FC236}">
              <a16:creationId xmlns:a16="http://schemas.microsoft.com/office/drawing/2014/main" id="{FD0BEC5C-DBC7-999E-32BE-C7A64C43CAE6}"/>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kern="1200">
              <a:solidFill>
                <a:srgbClr val="495057"/>
              </a:solidFill>
              <a:latin typeface="Segoe UI" panose="020B0502040204020203" pitchFamily="34" charset="0"/>
              <a:cs typeface="Segoe UI" panose="020B0502040204020203" pitchFamily="34" charset="0"/>
            </a:rPr>
            <a:t>UK: GDP</a:t>
          </a:r>
        </a:p>
      </cdr:txBody>
    </cdr:sp>
  </cdr:relSizeAnchor>
  <cdr:relSizeAnchor xmlns:cdr="http://schemas.openxmlformats.org/drawingml/2006/chartDrawing">
    <cdr:from>
      <cdr:x>1.30104E-17</cdr:x>
      <cdr:y>0.93935</cdr:y>
    </cdr:from>
    <cdr:to>
      <cdr:x>1</cdr:x>
      <cdr:y>1</cdr:y>
    </cdr:to>
    <cdr:sp macro="" textlink="">
      <cdr:nvSpPr>
        <cdr:cNvPr id="3" name="Rectangle 2">
          <a:extLst xmlns:a="http://schemas.openxmlformats.org/drawingml/2006/main">
            <a:ext uri="{FF2B5EF4-FFF2-40B4-BE49-F238E27FC236}">
              <a16:creationId xmlns:a16="http://schemas.microsoft.com/office/drawing/2014/main" id="{91FFE0E0-1C52-5656-E33D-BB8FF0F0FE4C}"/>
            </a:ext>
          </a:extLst>
        </cdr:cNvPr>
        <cdr:cNvSpPr/>
      </cdr:nvSpPr>
      <cdr:spPr>
        <a:xfrm xmlns:a="http://schemas.openxmlformats.org/drawingml/2006/main">
          <a:off x="50800" y="5920253"/>
          <a:ext cx="8670421"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GB" sz="1600" b="0" i="0" u="none" strike="noStrike" kern="1200" baseline="0">
              <a:solidFill>
                <a:srgbClr val="495057"/>
              </a:solidFill>
              <a:latin typeface="Segoe UI" panose="020B0502040204020203" pitchFamily="34" charset="0"/>
            </a:rPr>
            <a:t>Sources: Oxford Economics, Office for Budget Responsibility</a:t>
          </a:r>
        </a:p>
      </cdr:txBody>
    </cdr:sp>
  </cdr:relSizeAnchor>
  <cdr:relSizeAnchor xmlns:cdr="http://schemas.openxmlformats.org/drawingml/2006/chartDrawing">
    <cdr:from>
      <cdr:x>0.229</cdr:x>
      <cdr:y>0.15109</cdr:y>
    </cdr:from>
    <cdr:to>
      <cdr:x>0.229</cdr:x>
      <cdr:y>0.86309</cdr:y>
    </cdr:to>
    <cdr:cxnSp macro="">
      <cdr:nvCxnSpPr>
        <cdr:cNvPr id="4" name="Straight Connector 3">
          <a:extLst xmlns:a="http://schemas.openxmlformats.org/drawingml/2006/main">
            <a:ext uri="{FF2B5EF4-FFF2-40B4-BE49-F238E27FC236}">
              <a16:creationId xmlns:a16="http://schemas.microsoft.com/office/drawing/2014/main" id="{CAF7814F-D31B-6B3B-2827-051B570F3959}"/>
            </a:ext>
          </a:extLst>
        </cdr:cNvPr>
        <cdr:cNvCxnSpPr/>
      </cdr:nvCxnSpPr>
      <cdr:spPr>
        <a:xfrm xmlns:a="http://schemas.openxmlformats.org/drawingml/2006/main">
          <a:off x="1930400" y="1016000"/>
          <a:ext cx="0" cy="4788000"/>
        </a:xfrm>
        <a:prstGeom xmlns:a="http://schemas.openxmlformats.org/drawingml/2006/main" prst="line">
          <a:avLst/>
        </a:prstGeom>
        <a:ln xmlns:a="http://schemas.openxmlformats.org/drawingml/2006/main" w="12700" cap="flat" cmpd="sng" algn="ctr">
          <a:solidFill>
            <a:srgbClr val="495057">
              <a:lumMod val="100000"/>
            </a:srgbClr>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blurRad="40000" dist="20000" dir="5400000" rotWithShape="0">
                  <a:srgbClr val="000000">
                    <a:alpha val="38000"/>
                  </a:srgbClr>
                </a:outerShdw>
              </a:effectLst>
            </a14:hiddenEffects>
          </a:ext>
        </a:extLst>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0.55292</cdr:x>
      <cdr:y>0.66053</cdr:y>
    </cdr:from>
    <cdr:to>
      <cdr:x>0.70358</cdr:x>
      <cdr:y>0.73985</cdr:y>
    </cdr:to>
    <cdr:sp macro="" textlink="">
      <cdr:nvSpPr>
        <cdr:cNvPr id="5" name="TextBox 4">
          <a:extLst xmlns:a="http://schemas.openxmlformats.org/drawingml/2006/main">
            <a:ext uri="{FF2B5EF4-FFF2-40B4-BE49-F238E27FC236}">
              <a16:creationId xmlns:a16="http://schemas.microsoft.com/office/drawing/2014/main" id="{E1D4E2B1-7A8F-1F59-BA90-998BBC696340}"/>
            </a:ext>
          </a:extLst>
        </cdr:cNvPr>
        <cdr:cNvSpPr txBox="1"/>
      </cdr:nvSpPr>
      <cdr:spPr>
        <a:xfrm xmlns:a="http://schemas.openxmlformats.org/drawingml/2006/main">
          <a:off x="4660900" y="4441825"/>
          <a:ext cx="1270000" cy="5334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r>
            <a:rPr lang="en-GB" sz="1800" kern="1200">
              <a:solidFill>
                <a:srgbClr val="495057"/>
              </a:solidFill>
              <a:latin typeface="Segoe UI" panose="020B0502040204020203" pitchFamily="34" charset="0"/>
            </a:rPr>
            <a:t>Forecast</a:t>
          </a:r>
        </a:p>
      </cdr:txBody>
    </cdr:sp>
  </cdr:relSizeAnchor>
  <cdr:relSizeAnchor xmlns:cdr="http://schemas.openxmlformats.org/drawingml/2006/chartDrawing">
    <cdr:from>
      <cdr:x>0</cdr:x>
      <cdr:y>0.07554</cdr:y>
    </cdr:from>
    <cdr:to>
      <cdr:x>0.21353</cdr:x>
      <cdr:y>0.12653</cdr:y>
    </cdr:to>
    <cdr:sp macro="" textlink="">
      <cdr:nvSpPr>
        <cdr:cNvPr id="6" name="TextBox 5">
          <a:extLst xmlns:a="http://schemas.openxmlformats.org/drawingml/2006/main">
            <a:ext uri="{FF2B5EF4-FFF2-40B4-BE49-F238E27FC236}">
              <a16:creationId xmlns:a16="http://schemas.microsoft.com/office/drawing/2014/main" id="{0DEB3CD8-C91F-3AF2-7810-E16F0B839EDF}"/>
            </a:ext>
          </a:extLst>
        </cdr:cNvPr>
        <cdr:cNvSpPr txBox="1"/>
      </cdr:nvSpPr>
      <cdr:spPr>
        <a:xfrm xmlns:a="http://schemas.openxmlformats.org/drawingml/2006/main">
          <a:off x="0" y="508000"/>
          <a:ext cx="18000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kern="1200">
              <a:solidFill>
                <a:srgbClr val="495057"/>
              </a:solidFill>
              <a:latin typeface="Segoe UI" panose="020B0502040204020203" pitchFamily="34" charset="0"/>
              <a:cs typeface="Segoe UI" panose="020B0502040204020203" pitchFamily="34" charset="0"/>
            </a:rPr>
            <a:t>2024=100</a:t>
          </a:r>
        </a:p>
      </cdr:txBody>
    </cdr:sp>
  </cdr:relSizeAnchor>
</c:userShapes>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0"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now\Feb26\Population%20Calculations.xlsx" TargetMode="External"/><Relationship Id="rId1" Type="http://schemas.openxmlformats.org/officeDocument/2006/relationships/externalLinkPath" Target="file:///C:\now\Feb26\Population%20Calculation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0"/>
      <sheetName val="validation"/>
      <sheetName val="Risk-Types"/>
      <sheetName val="Raw Data"/>
      <sheetName val="Sector Story"/>
      <sheetName val="Job Growth_ALL"/>
      <sheetName val="GDP Growth_ALL"/>
      <sheetName val="GDP Growth_Largest 50"/>
      <sheetName val="Pop Growth_ALL"/>
      <sheetName val="Regions"/>
      <sheetName val="Codes"/>
      <sheetName val="Extra Data"/>
      <sheetName val="Key"/>
      <sheetName val="Annual_Census"/>
      <sheetName val="BLS_Data"/>
      <sheetName val="Annual_Data"/>
      <sheetName val="BEA_Shares"/>
      <sheetName val="Historical Data Set ANN"/>
      <sheetName val="Int_Output"/>
      <sheetName val="Final_Output"/>
      <sheetName val="Melbourne Metro Employ Table"/>
      <sheetName val="Melb Metro WtCo Employ Table"/>
      <sheetName val="Melb Metro OWF Employ Table"/>
      <sheetName val="Melb Metro SAOWF Table"/>
      <sheetName val="data&amp;trend"/>
      <sheetName val="Risk_Detail"/>
      <sheetName val="Raw_Data"/>
      <sheetName val="Sector_Story"/>
      <sheetName val="Job_Growth_ALL"/>
      <sheetName val="GDP_Growth_ALL"/>
      <sheetName val="GDP_Growth_Largest_50"/>
      <sheetName val="Pop_Growth_ALL"/>
      <sheetName val="Extra_Data"/>
      <sheetName val="Historical_Data_Set_ANN"/>
      <sheetName val="Melbourne_Metro_Employ_Table"/>
      <sheetName val="Melb_Metro_WtCo_Employ_Table"/>
      <sheetName val="Melb_Metro_OWF_Employ_Table"/>
      <sheetName val="Melb_Metro_SAOWF_Table"/>
      <sheetName val="Sheet2"/>
      <sheetName val="Const"/>
      <sheetName val="Control Panel"/>
      <sheetName val="Var"/>
      <sheetName val="Toggle Sheet"/>
      <sheetName val="Dashboard 2"/>
      <sheetName val="CF_CPRICEGRFHM"/>
      <sheetName val="SR"/>
      <sheetName val="Global benchmarking"/>
      <sheetName val="Search"/>
      <sheetName val="Country conversions"/>
      <sheetName val="Transformations"/>
      <sheetName val="Data"/>
      <sheetName val="Data OE"/>
      <sheetName val="Calculations"/>
      <sheetName val="Data McK"/>
      <sheetName val="Fixes"/>
      <sheetName val="Country List"/>
      <sheetName val="Sheet9"/>
      <sheetName val="MACRO CHARTS"/>
      <sheetName val="Income_Statement"/>
      <sheetName val="Income_Statement1"/>
      <sheetName val="Income_Statement2"/>
      <sheetName val="Income_Statement3"/>
      <sheetName val="Income_Statement4"/>
      <sheetName val="Income_Statement5"/>
      <sheetName val="Income_Statement6"/>
      <sheetName val="Income_Statement7"/>
      <sheetName val="Income_Statement8"/>
      <sheetName val="Income Statement"/>
      <sheetName val="Income_Statement10"/>
      <sheetName val="Income_Statement9"/>
      <sheetName val="US_IP 12 (2)"/>
      <sheetName val="ALOKASI"/>
      <sheetName val="In"/>
      <sheetName val="BUDG98 (summary)"/>
      <sheetName val="Rango Valor"/>
      <sheetName val="FCD"/>
      <sheetName val="A Sc1"/>
      <sheetName val="SIS Data"/>
      <sheetName val="A"/>
      <sheetName val="ICIS Price History"/>
      <sheetName val="Lookup"/>
      <sheetName val="Divisional List"/>
      <sheetName val="FY16 and FY17 FX rates"/>
      <sheetName val="Divisional_List"/>
      <sheetName val="FY16_and_FY17_FX_rates"/>
      <sheetName val="Tableau de saisie"/>
      <sheetName val="EXPORT n-1"/>
      <sheetName val="EXPORT n-2"/>
      <sheetName val="nominal codes"/>
      <sheetName val="FAQs about AdCertifier"/>
      <sheetName val="Instructions for BF"/>
      <sheetName val="Booking Form"/>
      <sheetName val="CS Module Brief- WIP"/>
      <sheetName val="FC RateCard 2"/>
      <sheetName val="Form 40R dropdown"/>
      <sheetName val="Change Log"/>
      <sheetName val="Sheet1"/>
      <sheetName val="Briefing for special markets"/>
      <sheetName val="Original Source"/>
      <sheetName val="FC Rate Card"/>
      <sheetName val="CS module Rate Card"/>
      <sheetName val="India Test Bed"/>
      <sheetName val="China CAWI Test Beds"/>
      <sheetName val="Summary"/>
      <sheetName val="India Test Bed Sample Calc"/>
      <sheetName val="Sectors (M)"/>
      <sheetName val="FS-97"/>
      <sheetName val="name"/>
      <sheetName val="Brooklyn"/>
      <sheetName val="Train.set"/>
    </sheetNames>
    <sheetDataSet>
      <sheetData sheetId="0" refreshError="1"/>
      <sheetData sheetId="1" refreshError="1"/>
      <sheetData sheetId="2" refreshError="1"/>
      <sheetData sheetId="3">
        <row r="2">
          <cell r="C2">
            <v>1991</v>
          </cell>
        </row>
      </sheetData>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row r="2">
          <cell r="C2" t="str">
            <v>Rank based on largest spend on FDNABev as a % of total OpEx spend</v>
          </cell>
        </row>
      </sheetData>
      <sheetData sheetId="18"/>
      <sheetData sheetId="19"/>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refreshError="1"/>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refreshError="1"/>
      <sheetData sheetId="86" refreshError="1"/>
      <sheetData sheetId="87" refreshError="1"/>
      <sheetData sheetId="88" refreshError="1"/>
      <sheetData sheetId="89"/>
      <sheetData sheetId="90"/>
      <sheetData sheetId="91">
        <row r="2">
          <cell r="C2" t="str">
            <v>CMI BPI/Marketing</v>
          </cell>
        </row>
      </sheetData>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DATA"/>
      <sheetName val="COVID"/>
      <sheetName val="&gt;&gt;2022-BASED"/>
      <sheetName val="2022-based"/>
      <sheetName val="Migration calculations"/>
      <sheetName val="2022 calcs"/>
      <sheetName val="2022 popproj"/>
      <sheetName val="2022 popproj migration"/>
      <sheetName val="&gt;&gt;2021-BASED"/>
      <sheetName val="2021-based"/>
      <sheetName val="2021 calcs"/>
      <sheetName val="2021 popproj"/>
      <sheetName val="2021 popproj migration"/>
      <sheetName val="2023 estimation"/>
      <sheetName val="MYEUK12-22"/>
      <sheetName val="EW history"/>
      <sheetName val="&gt;&gt;2020-BASED"/>
      <sheetName val="2020-based"/>
      <sheetName val="2020 calcs"/>
      <sheetName val="2020 PERSONS"/>
      <sheetName val="2020 MALES"/>
      <sheetName val="2020 FEMALES"/>
      <sheetName val="Pension calculations - females"/>
      <sheetName val="Pension calculations - Males"/>
    </sheetNames>
    <sheetDataSet>
      <sheetData sheetId="0" refreshError="1"/>
      <sheetData sheetId="1" refreshError="1"/>
      <sheetData sheetId="2" refreshError="1"/>
      <sheetData sheetId="3">
        <row r="2">
          <cell r="I2">
            <v>0.83318867084577586</v>
          </cell>
        </row>
        <row r="4">
          <cell r="I4">
            <v>6.4720172494414675E-3</v>
          </cell>
        </row>
        <row r="7">
          <cell r="L7">
            <v>139.30000000000001</v>
          </cell>
        </row>
        <row r="8">
          <cell r="L8">
            <v>153.19999999999999</v>
          </cell>
        </row>
        <row r="9">
          <cell r="L9">
            <v>190.9</v>
          </cell>
        </row>
        <row r="10">
          <cell r="L10">
            <v>194.3</v>
          </cell>
        </row>
        <row r="11">
          <cell r="L11">
            <v>209.5</v>
          </cell>
        </row>
        <row r="12">
          <cell r="L12">
            <v>335.6</v>
          </cell>
        </row>
        <row r="13">
          <cell r="L13">
            <v>254.5</v>
          </cell>
        </row>
        <row r="14">
          <cell r="L14">
            <v>304.60000000000002</v>
          </cell>
        </row>
        <row r="15">
          <cell r="L15">
            <v>283.60000000000002</v>
          </cell>
        </row>
        <row r="16">
          <cell r="L16">
            <v>219.8</v>
          </cell>
        </row>
        <row r="17">
          <cell r="L17">
            <v>255.4</v>
          </cell>
        </row>
        <row r="18">
          <cell r="L18">
            <v>270.3</v>
          </cell>
        </row>
        <row r="27">
          <cell r="Q27">
            <v>66739.866999999998</v>
          </cell>
        </row>
        <row r="28">
          <cell r="Q28">
            <v>66977.987999999998</v>
          </cell>
        </row>
        <row r="29">
          <cell r="Q29">
            <v>67636.134000000005</v>
          </cell>
        </row>
        <row r="30">
          <cell r="Q30">
            <v>68526.183000000005</v>
          </cell>
        </row>
        <row r="31">
          <cell r="Q31">
            <v>69281.437000000005</v>
          </cell>
        </row>
        <row r="32">
          <cell r="Q32">
            <v>69487</v>
          </cell>
        </row>
        <row r="33">
          <cell r="L33">
            <v>93.400344269696802</v>
          </cell>
          <cell r="Q33">
            <v>69592.921344269693</v>
          </cell>
        </row>
        <row r="34">
          <cell r="L34">
            <v>139.06537737978783</v>
          </cell>
          <cell r="Q34">
            <v>69742.899721649475</v>
          </cell>
        </row>
        <row r="35">
          <cell r="L35">
            <v>177.48164459327268</v>
          </cell>
          <cell r="Q35">
            <v>69926.569366242722</v>
          </cell>
        </row>
        <row r="36">
          <cell r="L36">
            <v>204.08699676424123</v>
          </cell>
          <cell r="Q36">
            <v>70130.217363006974</v>
          </cell>
        </row>
        <row r="37">
          <cell r="L37">
            <v>228.95652419294163</v>
          </cell>
          <cell r="Q37">
            <v>70351.499887199927</v>
          </cell>
        </row>
        <row r="38">
          <cell r="L38">
            <v>250.57003687260146</v>
          </cell>
          <cell r="Q38">
            <v>70586.655924072489</v>
          </cell>
        </row>
        <row r="39">
          <cell r="L39">
            <v>271.97854202724068</v>
          </cell>
          <cell r="Q39">
            <v>70835.233466099744</v>
          </cell>
        </row>
        <row r="40">
          <cell r="L40">
            <v>271.97854202724068</v>
          </cell>
          <cell r="Q40">
            <v>71076.06000812698</v>
          </cell>
        </row>
        <row r="41">
          <cell r="L41">
            <v>271.97854202724068</v>
          </cell>
          <cell r="Q41">
            <v>71309.61455015422</v>
          </cell>
        </row>
        <row r="42">
          <cell r="L42">
            <v>271.97854202724068</v>
          </cell>
          <cell r="Q42">
            <v>71536.164092181454</v>
          </cell>
        </row>
        <row r="43">
          <cell r="L43">
            <v>271.97854202724068</v>
          </cell>
          <cell r="Q43">
            <v>71756.063634208695</v>
          </cell>
        </row>
        <row r="44">
          <cell r="L44">
            <v>271.97854202724068</v>
          </cell>
          <cell r="Q44">
            <v>71969.894176235917</v>
          </cell>
        </row>
        <row r="45">
          <cell r="L45">
            <v>271.97854202724068</v>
          </cell>
          <cell r="Q45">
            <v>72178.265718263166</v>
          </cell>
        </row>
        <row r="46">
          <cell r="L46">
            <v>271.97854202724068</v>
          </cell>
          <cell r="Q46">
            <v>72381.648260290414</v>
          </cell>
        </row>
        <row r="47">
          <cell r="L47">
            <v>271.97854202724068</v>
          </cell>
          <cell r="Q47">
            <v>72580.366802317658</v>
          </cell>
        </row>
        <row r="48">
          <cell r="L48">
            <v>271.97854202724068</v>
          </cell>
          <cell r="Q48">
            <v>72774.7593443449</v>
          </cell>
        </row>
        <row r="49">
          <cell r="L49">
            <v>271.97854202724068</v>
          </cell>
          <cell r="Q49">
            <v>72965.054886372149</v>
          </cell>
        </row>
        <row r="50">
          <cell r="L50">
            <v>271.97854202724068</v>
          </cell>
          <cell r="Q50">
            <v>73151.060428399389</v>
          </cell>
        </row>
        <row r="51">
          <cell r="L51">
            <v>271.97854202724068</v>
          </cell>
          <cell r="Q51">
            <v>73332.309970426635</v>
          </cell>
        </row>
        <row r="52">
          <cell r="L52">
            <v>271.97854202724068</v>
          </cell>
          <cell r="Q52">
            <v>73508.467512453892</v>
          </cell>
        </row>
        <row r="53">
          <cell r="L53">
            <v>271.97854202724068</v>
          </cell>
          <cell r="Q53">
            <v>73679.240054481124</v>
          </cell>
        </row>
        <row r="54">
          <cell r="L54">
            <v>271.97854202724068</v>
          </cell>
          <cell r="Q54">
            <v>73844.273596508356</v>
          </cell>
        </row>
        <row r="55">
          <cell r="L55">
            <v>271.97854202724068</v>
          </cell>
          <cell r="Q55">
            <v>74002.177138535597</v>
          </cell>
        </row>
        <row r="56">
          <cell r="L56">
            <v>271.97854202724068</v>
          </cell>
          <cell r="Q56">
            <v>74151.332680562817</v>
          </cell>
        </row>
        <row r="57">
          <cell r="L57">
            <v>271.97854202724068</v>
          </cell>
          <cell r="Q57">
            <v>74291.157222590045</v>
          </cell>
        </row>
        <row r="58">
          <cell r="L58">
            <v>271.97854202724068</v>
          </cell>
          <cell r="Q58">
            <v>74421.29776461728</v>
          </cell>
        </row>
        <row r="59">
          <cell r="L59">
            <v>271.97854202724068</v>
          </cell>
          <cell r="Q59">
            <v>74541.680306644514</v>
          </cell>
        </row>
        <row r="60">
          <cell r="L60">
            <v>271.97854202724068</v>
          </cell>
          <cell r="Q60">
            <v>74652.31984867173</v>
          </cell>
        </row>
        <row r="61">
          <cell r="L61">
            <v>271.97854202724068</v>
          </cell>
          <cell r="Q61">
            <v>74753.422390698979</v>
          </cell>
        </row>
        <row r="62">
          <cell r="L62">
            <v>271.97854202724068</v>
          </cell>
          <cell r="Q62">
            <v>74845.699932726217</v>
          </cell>
        </row>
        <row r="63">
          <cell r="L63">
            <v>271.97854202724068</v>
          </cell>
          <cell r="Q63">
            <v>74930.303474753455</v>
          </cell>
        </row>
        <row r="64">
          <cell r="L64">
            <v>271.97854202724068</v>
          </cell>
          <cell r="Q64">
            <v>75008.420016780699</v>
          </cell>
        </row>
        <row r="65">
          <cell r="L65">
            <v>271.97854202724068</v>
          </cell>
          <cell r="Q65">
            <v>75081.112558807945</v>
          </cell>
        </row>
        <row r="66">
          <cell r="L66">
            <v>271.97854202724068</v>
          </cell>
          <cell r="Q66">
            <v>75149.517100835175</v>
          </cell>
        </row>
        <row r="67">
          <cell r="L67">
            <v>271.97854202724068</v>
          </cell>
          <cell r="Q67">
            <v>75214.776642862445</v>
          </cell>
        </row>
      </sheetData>
      <sheetData sheetId="4">
        <row r="17">
          <cell r="L17">
            <v>769.20180412371144</v>
          </cell>
          <cell r="M17">
            <v>675.80145985401464</v>
          </cell>
          <cell r="U17">
            <v>75</v>
          </cell>
          <cell r="W17">
            <v>39.200000000000003</v>
          </cell>
          <cell r="X17">
            <v>44.5</v>
          </cell>
          <cell r="Y17">
            <v>288</v>
          </cell>
          <cell r="Z17">
            <v>13</v>
          </cell>
          <cell r="AA17">
            <v>63</v>
          </cell>
          <cell r="AB17">
            <v>32</v>
          </cell>
          <cell r="AC17">
            <v>90</v>
          </cell>
          <cell r="AD17">
            <v>20</v>
          </cell>
          <cell r="AL17">
            <v>250</v>
          </cell>
          <cell r="AN17">
            <v>45</v>
          </cell>
          <cell r="AO17">
            <v>23.400000000000002</v>
          </cell>
          <cell r="AP17">
            <v>120</v>
          </cell>
          <cell r="AQ17">
            <v>20</v>
          </cell>
          <cell r="AR17">
            <v>45</v>
          </cell>
          <cell r="AS17">
            <v>20</v>
          </cell>
          <cell r="AT17">
            <v>6</v>
          </cell>
          <cell r="AU17">
            <v>5</v>
          </cell>
        </row>
        <row r="18">
          <cell r="L18">
            <v>779.96391752577324</v>
          </cell>
          <cell r="M18">
            <v>640.89854014598541</v>
          </cell>
          <cell r="U18">
            <v>80</v>
          </cell>
          <cell r="W18">
            <v>70</v>
          </cell>
          <cell r="X18">
            <v>35</v>
          </cell>
          <cell r="Y18">
            <v>288</v>
          </cell>
          <cell r="Z18">
            <v>13</v>
          </cell>
          <cell r="AA18">
            <v>60</v>
          </cell>
          <cell r="AB18">
            <v>23</v>
          </cell>
          <cell r="AC18">
            <v>85</v>
          </cell>
          <cell r="AD18">
            <v>20</v>
          </cell>
          <cell r="AL18">
            <v>250</v>
          </cell>
          <cell r="AN18">
            <v>40</v>
          </cell>
          <cell r="AO18">
            <v>20.8</v>
          </cell>
          <cell r="AP18">
            <v>120</v>
          </cell>
          <cell r="AQ18">
            <v>20</v>
          </cell>
          <cell r="AR18">
            <v>40</v>
          </cell>
          <cell r="AS18">
            <v>10</v>
          </cell>
          <cell r="AT18">
            <v>4</v>
          </cell>
          <cell r="AU18">
            <v>2</v>
          </cell>
        </row>
        <row r="19">
          <cell r="L19">
            <v>789.80025773195882</v>
          </cell>
          <cell r="M19">
            <v>612.31861313868615</v>
          </cell>
          <cell r="U19">
            <v>80</v>
          </cell>
          <cell r="W19">
            <v>85</v>
          </cell>
          <cell r="X19">
            <v>42.5</v>
          </cell>
          <cell r="Y19">
            <v>288</v>
          </cell>
          <cell r="Z19">
            <v>13</v>
          </cell>
          <cell r="AA19">
            <v>60</v>
          </cell>
          <cell r="AB19">
            <v>14</v>
          </cell>
          <cell r="AC19">
            <v>80</v>
          </cell>
          <cell r="AD19">
            <v>20</v>
          </cell>
          <cell r="AL19">
            <v>250</v>
          </cell>
          <cell r="AN19">
            <v>35</v>
          </cell>
          <cell r="AO19">
            <v>18.2</v>
          </cell>
          <cell r="AP19">
            <v>120</v>
          </cell>
          <cell r="AQ19">
            <v>20</v>
          </cell>
          <cell r="AR19">
            <v>37</v>
          </cell>
          <cell r="AS19">
            <v>0</v>
          </cell>
          <cell r="AT19">
            <v>2</v>
          </cell>
          <cell r="AU19">
            <v>2</v>
          </cell>
        </row>
        <row r="20">
          <cell r="L20">
            <v>804.26546391752595</v>
          </cell>
          <cell r="M20">
            <v>600.17846715328471</v>
          </cell>
          <cell r="U20">
            <v>80</v>
          </cell>
          <cell r="W20">
            <v>100</v>
          </cell>
          <cell r="X20">
            <v>50</v>
          </cell>
          <cell r="Y20">
            <v>292</v>
          </cell>
          <cell r="Z20">
            <v>13</v>
          </cell>
          <cell r="AA20">
            <v>60</v>
          </cell>
          <cell r="AB20">
            <v>5</v>
          </cell>
          <cell r="AC20">
            <v>75</v>
          </cell>
          <cell r="AD20">
            <v>20</v>
          </cell>
          <cell r="AL20">
            <v>250</v>
          </cell>
          <cell r="AN20">
            <v>30</v>
          </cell>
          <cell r="AO20">
            <v>15.600000000000001</v>
          </cell>
          <cell r="AP20">
            <v>120</v>
          </cell>
          <cell r="AQ20">
            <v>20</v>
          </cell>
          <cell r="AR20">
            <v>37</v>
          </cell>
          <cell r="AS20">
            <v>0</v>
          </cell>
          <cell r="AT20">
            <v>0</v>
          </cell>
          <cell r="AU20">
            <v>2</v>
          </cell>
        </row>
        <row r="21">
          <cell r="L21">
            <v>816.99484536082491</v>
          </cell>
          <cell r="M21">
            <v>588.03832116788328</v>
          </cell>
          <cell r="U21">
            <v>80</v>
          </cell>
          <cell r="W21">
            <v>110</v>
          </cell>
          <cell r="X21">
            <v>55</v>
          </cell>
          <cell r="Y21">
            <v>297</v>
          </cell>
          <cell r="Z21">
            <v>13</v>
          </cell>
          <cell r="AA21">
            <v>61</v>
          </cell>
          <cell r="AB21">
            <v>0</v>
          </cell>
          <cell r="AC21">
            <v>70</v>
          </cell>
          <cell r="AD21">
            <v>20</v>
          </cell>
          <cell r="AL21">
            <v>250</v>
          </cell>
          <cell r="AN21">
            <v>25</v>
          </cell>
          <cell r="AO21">
            <v>13</v>
          </cell>
          <cell r="AP21">
            <v>120</v>
          </cell>
          <cell r="AQ21">
            <v>20</v>
          </cell>
          <cell r="AR21">
            <v>35</v>
          </cell>
          <cell r="AS21">
            <v>0</v>
          </cell>
          <cell r="AT21">
            <v>0</v>
          </cell>
          <cell r="AU21">
            <v>2</v>
          </cell>
        </row>
        <row r="22">
          <cell r="L22">
            <v>833.19587628865997</v>
          </cell>
          <cell r="M22">
            <v>582.62583941605851</v>
          </cell>
          <cell r="U22">
            <v>80</v>
          </cell>
          <cell r="W22">
            <v>120</v>
          </cell>
          <cell r="X22">
            <v>60</v>
          </cell>
          <cell r="Y22">
            <v>300</v>
          </cell>
          <cell r="Z22">
            <v>13</v>
          </cell>
          <cell r="AA22">
            <v>62</v>
          </cell>
          <cell r="AB22">
            <v>0</v>
          </cell>
          <cell r="AC22">
            <v>65</v>
          </cell>
          <cell r="AD22">
            <v>20</v>
          </cell>
          <cell r="AL22">
            <v>250</v>
          </cell>
          <cell r="AN22">
            <v>23.5</v>
          </cell>
          <cell r="AO22">
            <v>12.22</v>
          </cell>
          <cell r="AP22">
            <v>120</v>
          </cell>
          <cell r="AQ22">
            <v>20</v>
          </cell>
          <cell r="AR22">
            <v>33</v>
          </cell>
          <cell r="AS22">
            <v>0</v>
          </cell>
          <cell r="AT22">
            <v>0</v>
          </cell>
          <cell r="AU22">
            <v>2</v>
          </cell>
        </row>
        <row r="23">
          <cell r="L23">
            <v>854.60438144329919</v>
          </cell>
          <cell r="M23">
            <v>582.62583941605851</v>
          </cell>
          <cell r="U23">
            <v>80</v>
          </cell>
          <cell r="W23">
            <v>135</v>
          </cell>
          <cell r="X23">
            <v>67.5</v>
          </cell>
          <cell r="Y23">
            <v>300</v>
          </cell>
          <cell r="Z23">
            <v>13</v>
          </cell>
          <cell r="AA23">
            <v>63</v>
          </cell>
          <cell r="AB23">
            <v>0</v>
          </cell>
          <cell r="AC23">
            <v>60</v>
          </cell>
          <cell r="AD23">
            <v>20</v>
          </cell>
          <cell r="AL23">
            <v>250</v>
          </cell>
          <cell r="AN23">
            <v>23.5</v>
          </cell>
          <cell r="AO23">
            <v>12.22</v>
          </cell>
          <cell r="AP23">
            <v>120</v>
          </cell>
          <cell r="AQ23">
            <v>20</v>
          </cell>
          <cell r="AR23">
            <v>33</v>
          </cell>
          <cell r="AS23">
            <v>0</v>
          </cell>
          <cell r="AT23">
            <v>0</v>
          </cell>
          <cell r="AU23">
            <v>2</v>
          </cell>
        </row>
      </sheetData>
      <sheetData sheetId="5">
        <row r="33">
          <cell r="B33">
            <v>66</v>
          </cell>
          <cell r="C33">
            <v>66</v>
          </cell>
          <cell r="D33">
            <v>66</v>
          </cell>
          <cell r="E33">
            <v>66</v>
          </cell>
          <cell r="F33">
            <v>66.15300546448087</v>
          </cell>
          <cell r="G33">
            <v>66.649315068493152</v>
          </cell>
          <cell r="H33">
            <v>67</v>
          </cell>
          <cell r="I33">
            <v>67</v>
          </cell>
          <cell r="J33">
            <v>67</v>
          </cell>
          <cell r="K33">
            <v>67</v>
          </cell>
          <cell r="L33">
            <v>67</v>
          </cell>
          <cell r="M33">
            <v>67</v>
          </cell>
          <cell r="N33">
            <v>67</v>
          </cell>
          <cell r="O33">
            <v>67</v>
          </cell>
          <cell r="P33">
            <v>67</v>
          </cell>
          <cell r="Q33">
            <v>67</v>
          </cell>
          <cell r="R33">
            <v>67</v>
          </cell>
          <cell r="S33">
            <v>67</v>
          </cell>
          <cell r="T33">
            <v>67</v>
          </cell>
          <cell r="U33">
            <v>67</v>
          </cell>
          <cell r="V33">
            <v>67</v>
          </cell>
          <cell r="W33">
            <v>67</v>
          </cell>
          <cell r="X33">
            <v>67.153424657534245</v>
          </cell>
          <cell r="Y33">
            <v>67.649315068493152</v>
          </cell>
          <cell r="Z33">
            <v>68</v>
          </cell>
          <cell r="AA33">
            <v>68</v>
          </cell>
          <cell r="AB33">
            <v>68</v>
          </cell>
          <cell r="AC33">
            <v>68</v>
          </cell>
          <cell r="AD33">
            <v>68</v>
          </cell>
          <cell r="AE33">
            <v>68</v>
          </cell>
          <cell r="AF33">
            <v>68</v>
          </cell>
          <cell r="AG33">
            <v>68</v>
          </cell>
          <cell r="AH33">
            <v>68</v>
          </cell>
          <cell r="AI33">
            <v>68</v>
          </cell>
          <cell r="AJ33">
            <v>68</v>
          </cell>
          <cell r="AK33">
            <v>68</v>
          </cell>
          <cell r="AL33">
            <v>68</v>
          </cell>
          <cell r="AM33">
            <v>68</v>
          </cell>
          <cell r="AN33">
            <v>68</v>
          </cell>
        </row>
        <row r="34">
          <cell r="B34">
            <v>66</v>
          </cell>
          <cell r="C34">
            <v>66</v>
          </cell>
          <cell r="D34">
            <v>66</v>
          </cell>
          <cell r="E34">
            <v>66</v>
          </cell>
          <cell r="F34">
            <v>66.15300546448087</v>
          </cell>
          <cell r="G34">
            <v>66.649315068493152</v>
          </cell>
          <cell r="H34">
            <v>67</v>
          </cell>
          <cell r="I34">
            <v>67</v>
          </cell>
          <cell r="J34">
            <v>67</v>
          </cell>
          <cell r="K34">
            <v>67</v>
          </cell>
          <cell r="L34">
            <v>67</v>
          </cell>
          <cell r="M34">
            <v>67</v>
          </cell>
          <cell r="N34">
            <v>67</v>
          </cell>
          <cell r="O34">
            <v>67</v>
          </cell>
          <cell r="P34">
            <v>67</v>
          </cell>
          <cell r="Q34">
            <v>67</v>
          </cell>
          <cell r="R34">
            <v>67</v>
          </cell>
          <cell r="S34">
            <v>67</v>
          </cell>
          <cell r="T34">
            <v>67</v>
          </cell>
          <cell r="U34">
            <v>67</v>
          </cell>
          <cell r="V34">
            <v>67</v>
          </cell>
          <cell r="W34">
            <v>67</v>
          </cell>
          <cell r="X34">
            <v>67.153424657534245</v>
          </cell>
          <cell r="Y34">
            <v>67.649315068493152</v>
          </cell>
          <cell r="Z34">
            <v>68</v>
          </cell>
          <cell r="AA34">
            <v>68</v>
          </cell>
          <cell r="AB34">
            <v>68</v>
          </cell>
          <cell r="AC34">
            <v>68</v>
          </cell>
          <cell r="AD34">
            <v>68</v>
          </cell>
          <cell r="AE34">
            <v>68</v>
          </cell>
          <cell r="AF34">
            <v>68</v>
          </cell>
          <cell r="AG34">
            <v>68</v>
          </cell>
          <cell r="AH34">
            <v>68</v>
          </cell>
          <cell r="AI34">
            <v>68</v>
          </cell>
          <cell r="AJ34">
            <v>68</v>
          </cell>
          <cell r="AK34">
            <v>68</v>
          </cell>
          <cell r="AL34">
            <v>68</v>
          </cell>
          <cell r="AM34">
            <v>68</v>
          </cell>
          <cell r="AN34">
            <v>68</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289E033-C00C-45D1-8F9E-0E3B29E9173A}" name="Table17" displayName="Table17" ref="A7:CX24" totalsRowShown="0" headerRowDxfId="679" dataDxfId="678" dataCellStyle="Normal_WebframesCC">
  <autoFilter ref="A7:CX24"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autoFilter>
  <tableColumns count="102">
    <tableColumn id="1" xr3:uid="{15021BB0-D8A2-4B6A-A122-8329FBF159B1}" name="Components" dataDxfId="677"/>
    <tableColumn id="2" xr3:uid="{942BAE24-53E4-49B5-8282-37EC2DD9B588}" name="2022 [note 2]" dataDxfId="676" dataCellStyle="Normal_WebframesCC"/>
    <tableColumn id="3" xr3:uid="{F8822AEE-5D39-4E0C-9AC2-53073C924198}" name="2023" dataDxfId="675" dataCellStyle="Normal_WebframesCC"/>
    <tableColumn id="4" xr3:uid="{1DD08C7A-BE7B-450D-9E40-CEFD89CF941B}" name="2024" dataDxfId="674" dataCellStyle="Normal_WebframesCC"/>
    <tableColumn id="5" xr3:uid="{CEA3E11C-A12D-4886-A097-8AF697679704}" name="2025" dataDxfId="673" dataCellStyle="Normal_WebframesCC"/>
    <tableColumn id="6" xr3:uid="{AF8F1DCA-B17A-4991-9895-2BC26BDCB580}" name="2026" dataDxfId="672" dataCellStyle="Normal_WebframesCC"/>
    <tableColumn id="7" xr3:uid="{51CC2435-D473-48DF-8642-FF51E24797D1}" name="2027" dataDxfId="671" dataCellStyle="Normal_WebframesCC"/>
    <tableColumn id="8" xr3:uid="{83739549-D18B-4AD0-8A04-CBFEF627A7D6}" name="2028" dataDxfId="670" dataCellStyle="Normal_WebframesCC"/>
    <tableColumn id="9" xr3:uid="{FC358C47-DB68-49D0-B7B9-48496D7F9FDA}" name="2029" dataDxfId="669" dataCellStyle="Normal_WebframesCC"/>
    <tableColumn id="10" xr3:uid="{51FF0ABA-F0EE-4B83-A704-A8928886EF34}" name="2030" dataDxfId="668" dataCellStyle="Normal_WebframesCC"/>
    <tableColumn id="11" xr3:uid="{D710BC98-639E-431F-865B-9815AB93618E}" name="2031" dataDxfId="667" dataCellStyle="Normal_WebframesCC"/>
    <tableColumn id="12" xr3:uid="{A2398301-CD67-43AC-9DF5-44F5603B5C24}" name="2032" dataDxfId="666" dataCellStyle="Normal_WebframesCC"/>
    <tableColumn id="13" xr3:uid="{589F07CC-AF32-42B9-BD9F-0371AA73518C}" name="2033" dataDxfId="665" dataCellStyle="Normal_WebframesCC"/>
    <tableColumn id="14" xr3:uid="{33B7FADA-74F3-493A-B143-6533C13DB725}" name="2034" dataDxfId="664" dataCellStyle="Normal_WebframesCC"/>
    <tableColumn id="15" xr3:uid="{90C5DA0E-6D62-4B4E-97F9-6B4137FB6C30}" name="2035" dataDxfId="663" dataCellStyle="Normal_WebframesCC"/>
    <tableColumn id="16" xr3:uid="{35AFB806-726E-4C11-8234-F4AAF8F87F4E}" name="2036" dataDxfId="662" dataCellStyle="Normal_WebframesCC"/>
    <tableColumn id="17" xr3:uid="{DF253107-F5A2-4306-9620-62C85935743A}" name="2037" dataDxfId="661" dataCellStyle="Normal_WebframesCC"/>
    <tableColumn id="18" xr3:uid="{A008D959-AC47-462B-83AA-1D2FD8DAC0BE}" name="2038" dataDxfId="660" dataCellStyle="Normal_WebframesCC"/>
    <tableColumn id="19" xr3:uid="{DC72F331-6516-4F8C-AC09-9FF8E32DD879}" name="2039" dataDxfId="659" dataCellStyle="Normal_WebframesCC"/>
    <tableColumn id="20" xr3:uid="{1ED89E9D-E594-4653-9C11-0C186AAF5040}" name="2040" dataDxfId="658" dataCellStyle="Normal_WebframesCC"/>
    <tableColumn id="21" xr3:uid="{8A025B1E-F94C-4A3F-A1CF-AFD99B84B393}" name="2041" dataDxfId="657" dataCellStyle="Normal_WebframesCC"/>
    <tableColumn id="22" xr3:uid="{E1B9AD54-41E4-4271-B298-935DF97DE349}" name="2042" dataDxfId="656" dataCellStyle="Normal_WebframesCC"/>
    <tableColumn id="23" xr3:uid="{6FD7ED7F-4671-430A-994C-54116F61DCE7}" name="2043" dataDxfId="655" dataCellStyle="Normal_WebframesCC"/>
    <tableColumn id="24" xr3:uid="{9478AF52-6CFD-4C8F-A2F9-5E642BAE5C48}" name="2044" dataDxfId="654" dataCellStyle="Normal_WebframesCC"/>
    <tableColumn id="25" xr3:uid="{F4566F50-B1A2-4325-AE55-E7D57CA9E7FD}" name="2045" dataDxfId="653" dataCellStyle="Normal_WebframesCC"/>
    <tableColumn id="26" xr3:uid="{173C4535-FB6A-448D-8B18-4624674665B3}" name="2046" dataDxfId="652" dataCellStyle="Normal_WebframesCC"/>
    <tableColumn id="27" xr3:uid="{4F2FCDF0-2597-4B24-86A1-FA567AF682FA}" name="2047" dataDxfId="651" dataCellStyle="Normal_WebframesCC"/>
    <tableColumn id="28" xr3:uid="{E6261BA4-9E4A-4F93-8D88-64DCEB32B147}" name="2048" dataDxfId="650" dataCellStyle="Normal_WebframesCC"/>
    <tableColumn id="29" xr3:uid="{29EE6427-47DD-48E7-A3BC-DC6D8B42CF2F}" name="2049" dataDxfId="649" dataCellStyle="Normal_WebframesCC"/>
    <tableColumn id="30" xr3:uid="{CD27F6A8-028B-47C5-81E4-ABC71F203B37}" name="2050" dataDxfId="648" dataCellStyle="Normal_WebframesCC"/>
    <tableColumn id="31" xr3:uid="{D5448F93-49C5-4DF3-B08B-9DFBEDE08CDA}" name="2051" dataDxfId="647" dataCellStyle="Normal_WebframesCC"/>
    <tableColumn id="32" xr3:uid="{18381CD1-41E5-4773-949F-71FD73BEEA90}" name="2052" dataDxfId="646" dataCellStyle="Normal_WebframesCC"/>
    <tableColumn id="33" xr3:uid="{6D88A00A-203D-474C-854F-007BCB24CF3E}" name="2053" dataDxfId="645" dataCellStyle="Normal_WebframesCC"/>
    <tableColumn id="34" xr3:uid="{5DDC954B-5D7A-482B-BA8A-335F0172EBB0}" name="2054" dataDxfId="644" dataCellStyle="Normal_WebframesCC"/>
    <tableColumn id="35" xr3:uid="{586B10F1-7EA8-46E3-85CE-232A5EEA939D}" name="2055" dataDxfId="643" dataCellStyle="Normal_WebframesCC"/>
    <tableColumn id="36" xr3:uid="{A79C2E54-1DA9-40EC-808E-31AA4C937394}" name="2056" dataDxfId="642" dataCellStyle="Normal_WebframesCC"/>
    <tableColumn id="37" xr3:uid="{DE4FA1D5-984F-44CD-ADCE-F69BDA288749}" name="2057" dataDxfId="641" dataCellStyle="Normal_WebframesCC"/>
    <tableColumn id="38" xr3:uid="{2DF04C71-9BDE-4FF5-B30A-BC2296B1CAFA}" name="2058" dataDxfId="640" dataCellStyle="Normal_WebframesCC"/>
    <tableColumn id="39" xr3:uid="{58561F82-2E76-451E-B73C-A5382D7D29B6}" name="2059" dataDxfId="639" dataCellStyle="Normal_WebframesCC"/>
    <tableColumn id="40" xr3:uid="{C9699B46-3886-4DA1-ABD8-66833C31CE73}" name="2060" dataDxfId="638" dataCellStyle="Normal_WebframesCC"/>
    <tableColumn id="41" xr3:uid="{B1494E94-48AB-439C-8D07-DBBBDE4F3BF0}" name="2061" dataDxfId="637" dataCellStyle="Normal_WebframesCC"/>
    <tableColumn id="42" xr3:uid="{F37BB06D-D7BB-4F8C-965F-86A9CE8860CA}" name="2062" dataDxfId="636" dataCellStyle="Normal_WebframesCC"/>
    <tableColumn id="43" xr3:uid="{DAAF869B-F3EA-4CD6-9765-38E584D41DB9}" name="2063" dataDxfId="635" dataCellStyle="Normal_WebframesCC"/>
    <tableColumn id="44" xr3:uid="{26ECA1F4-1D5E-4453-9EF8-1B6C6B9B34D0}" name="2064" dataDxfId="634" dataCellStyle="Normal_WebframesCC"/>
    <tableColumn id="45" xr3:uid="{CE427A3F-8628-475A-9F85-3B69EFB4E37D}" name="2065" dataDxfId="633" dataCellStyle="Normal_WebframesCC"/>
    <tableColumn id="46" xr3:uid="{352D217E-2441-4645-A921-9AFD71897A52}" name="2066" dataDxfId="632" dataCellStyle="Normal_WebframesCC"/>
    <tableColumn id="47" xr3:uid="{5E5DCE02-B506-435E-9CDD-2D0F7AA6F94A}" name="2067" dataDxfId="631" dataCellStyle="Normal_WebframesCC"/>
    <tableColumn id="48" xr3:uid="{F80D904F-C41C-4E23-8D1A-5AE61261774D}" name="2068" dataDxfId="630" dataCellStyle="Normal_WebframesCC"/>
    <tableColumn id="49" xr3:uid="{DD73EC7A-638E-416B-AA85-5D225844613F}" name="2069" dataDxfId="629" dataCellStyle="Normal_WebframesCC"/>
    <tableColumn id="50" xr3:uid="{DB7EE975-E864-46B6-AEA8-7DB27A53A2A0}" name="2070" dataDxfId="628" dataCellStyle="Normal_WebframesCC"/>
    <tableColumn id="51" xr3:uid="{80C5E944-426A-45FC-B170-5D81DCE2DD06}" name="2071" dataDxfId="627" dataCellStyle="Normal_WebframesCC"/>
    <tableColumn id="52" xr3:uid="{5B6EFE04-256C-4F72-93F5-1D1FB138DA94}" name="2072" dataDxfId="626" dataCellStyle="Normal_WebframesCC"/>
    <tableColumn id="53" xr3:uid="{0E4DA144-F276-4B5A-B375-02387B71618A}" name="2073" dataDxfId="625" dataCellStyle="Normal_WebframesCC"/>
    <tableColumn id="54" xr3:uid="{3447136B-7985-4B9F-BCE1-4458EBF0A392}" name="2074" dataDxfId="624" dataCellStyle="Normal_WebframesCC"/>
    <tableColumn id="55" xr3:uid="{B0CC643D-DF4F-4D15-AED2-0330CF985647}" name="2075" dataDxfId="623" dataCellStyle="Normal_WebframesCC"/>
    <tableColumn id="56" xr3:uid="{CFBE4AEA-FB4F-4B61-AC31-5FB3A362AFDF}" name="2076" dataDxfId="622" dataCellStyle="Normal_WebframesCC"/>
    <tableColumn id="57" xr3:uid="{89980B5F-E6C6-4E93-BEBD-F18E0B99D6CA}" name="2077" dataDxfId="621" dataCellStyle="Normal_WebframesCC"/>
    <tableColumn id="58" xr3:uid="{67DCE8CE-9F5D-4962-9CE6-DA31FA8A4507}" name="2078" dataDxfId="620" dataCellStyle="Normal_WebframesCC"/>
    <tableColumn id="59" xr3:uid="{76CA303C-A491-4D0D-BF84-602D3B1BD857}" name="2079" dataDxfId="619" dataCellStyle="Normal_WebframesCC"/>
    <tableColumn id="60" xr3:uid="{7AE1F8D7-B063-4545-9DB4-C89EF57DD6D8}" name="2080" dataDxfId="618" dataCellStyle="Normal_WebframesCC"/>
    <tableColumn id="61" xr3:uid="{58D89EF9-7101-4550-BCCE-419A508EC7DE}" name="2081" dataDxfId="617" dataCellStyle="Normal_WebframesCC"/>
    <tableColumn id="62" xr3:uid="{E819AAF5-A221-422C-A4BD-E07C3CD4BD76}" name="2082" dataDxfId="616" dataCellStyle="Normal_WebframesCC"/>
    <tableColumn id="63" xr3:uid="{E50A930E-0CEB-405A-85FA-9CE72856B74F}" name="2083" dataDxfId="615" dataCellStyle="Normal_WebframesCC"/>
    <tableColumn id="64" xr3:uid="{4B8E6690-DA65-4318-AD9D-804AB3235D24}" name="2084" dataDxfId="614" dataCellStyle="Normal_WebframesCC"/>
    <tableColumn id="65" xr3:uid="{BB8AA26B-4235-4BF2-97AB-B9471D4BB3DE}" name="2085" dataDxfId="613" dataCellStyle="Normal_WebframesCC"/>
    <tableColumn id="66" xr3:uid="{9BDF335E-4225-451F-9B15-77C47254B021}" name="2086" dataDxfId="612" dataCellStyle="Normal_WebframesCC"/>
    <tableColumn id="67" xr3:uid="{9BE8FA8E-38FF-420D-B387-5FCFF1C75C3F}" name="2087" dataDxfId="611" dataCellStyle="Normal_WebframesCC"/>
    <tableColumn id="68" xr3:uid="{357246D1-D016-4F84-8C96-BB973569F5AD}" name="2088" dataDxfId="610" dataCellStyle="Normal_WebframesCC"/>
    <tableColumn id="69" xr3:uid="{3F785C0D-8850-469B-9619-2150578BB4C6}" name="2089" dataDxfId="609" dataCellStyle="Normal_WebframesCC"/>
    <tableColumn id="70" xr3:uid="{CC1223B7-9E28-4966-B8FC-EFB42B857E53}" name="2090" dataDxfId="608" dataCellStyle="Normal_WebframesCC"/>
    <tableColumn id="71" xr3:uid="{3015B480-DDB3-4D60-A058-06143AE5A3BE}" name="2091" dataDxfId="607" dataCellStyle="Normal_WebframesCC"/>
    <tableColumn id="72" xr3:uid="{256B6527-7CF9-4A4D-A95A-7AF6876EE9E0}" name="2092" dataDxfId="606" dataCellStyle="Normal_WebframesCC"/>
    <tableColumn id="73" xr3:uid="{73781A97-38BE-4150-9A40-640EA3A0012F}" name="2093" dataDxfId="605" dataCellStyle="Normal_WebframesCC"/>
    <tableColumn id="74" xr3:uid="{2C6DE0FF-2CE6-47A6-A2EA-857378BB53E9}" name="2094" dataDxfId="604" dataCellStyle="Normal_WebframesCC"/>
    <tableColumn id="75" xr3:uid="{D43B9B3A-CE4C-40B5-B8ED-FEB7566801B4}" name="2095" dataDxfId="603" dataCellStyle="Normal_WebframesCC"/>
    <tableColumn id="76" xr3:uid="{93D15381-3559-42AA-A1B5-10C1B64797F8}" name="2096" dataDxfId="602" dataCellStyle="Normal_WebframesCC"/>
    <tableColumn id="77" xr3:uid="{5CD8F5B0-2FE9-4FE0-B035-23FE9F7A5014}" name="2097" dataDxfId="601" dataCellStyle="Normal_WebframesCC"/>
    <tableColumn id="78" xr3:uid="{A82A74C8-E3EA-4A30-8306-111005851D25}" name="2098" dataDxfId="600" dataCellStyle="Normal_WebframesCC"/>
    <tableColumn id="79" xr3:uid="{84F3D4E4-817F-47D4-811B-3A0EBE6C202A}" name="2099" dataDxfId="599" dataCellStyle="Normal_WebframesCC"/>
    <tableColumn id="80" xr3:uid="{5F142AA2-EABE-4E23-BCE4-7A256F29EAAB}" name="2100" dataDxfId="598" dataCellStyle="Normal_WebframesCC"/>
    <tableColumn id="81" xr3:uid="{01E11ABA-21E5-4BA7-8481-A7A987D57C91}" name="2101" dataDxfId="597" dataCellStyle="Normal_WebframesCC"/>
    <tableColumn id="82" xr3:uid="{2F2F69AD-890C-4030-A22A-9980A00E5BED}" name="2102" dataDxfId="596" dataCellStyle="Normal_WebframesCC"/>
    <tableColumn id="83" xr3:uid="{D3296BE0-8DB2-4346-9968-9E143224A68A}" name="2103" dataDxfId="595" dataCellStyle="Normal_WebframesCC"/>
    <tableColumn id="84" xr3:uid="{DBA97F74-5C1B-4513-9D13-2E7EAA71E629}" name="2104" dataDxfId="594" dataCellStyle="Normal_WebframesCC"/>
    <tableColumn id="85" xr3:uid="{E058FF41-7BE5-4A0B-B408-EE358E9C03E7}" name="2105" dataDxfId="593" dataCellStyle="Normal_WebframesCC"/>
    <tableColumn id="86" xr3:uid="{BB091757-F74A-4E5C-804F-5699548C23DC}" name="2106" dataDxfId="592" dataCellStyle="Normal_WebframesCC"/>
    <tableColumn id="87" xr3:uid="{E0C4742F-119F-4527-8690-36926AD3D3BA}" name="2107" dataDxfId="591" dataCellStyle="Normal_WebframesCC"/>
    <tableColumn id="88" xr3:uid="{99932B62-7E44-444D-854C-4B9C9690B1D8}" name="2108" dataDxfId="590" dataCellStyle="Normal_WebframesCC"/>
    <tableColumn id="89" xr3:uid="{DC4BFD5C-EFA3-4E1F-992B-42F569934039}" name="2109" dataDxfId="589" dataCellStyle="Normal_WebframesCC"/>
    <tableColumn id="90" xr3:uid="{E7166DCA-6839-4B7E-B17F-8FA0B29456B9}" name="2110" dataDxfId="588" dataCellStyle="Normal_WebframesCC"/>
    <tableColumn id="91" xr3:uid="{B06A57DC-7865-4206-998F-0277A07A9404}" name="2111" dataDxfId="587" dataCellStyle="Normal_WebframesCC"/>
    <tableColumn id="92" xr3:uid="{DBF191BF-BCFC-4ADF-9CBA-07B7297098B9}" name="2112" dataDxfId="586" dataCellStyle="Normal_WebframesCC"/>
    <tableColumn id="93" xr3:uid="{846D9A38-C120-47E7-A330-56B67DC582A4}" name="2113" dataDxfId="585" dataCellStyle="Normal_WebframesCC"/>
    <tableColumn id="94" xr3:uid="{385C8523-77A8-4102-B2FE-A9B57862DA4E}" name="2114" dataDxfId="584" dataCellStyle="Normal_WebframesCC"/>
    <tableColumn id="95" xr3:uid="{F65C2A1D-5A58-408E-92E2-44FF562879B7}" name="2115" dataDxfId="583" dataCellStyle="Normal_WebframesCC"/>
    <tableColumn id="96" xr3:uid="{EF0C77D1-CF29-45BA-97B3-E571DBAEB6E4}" name="2116" dataDxfId="582" dataCellStyle="Normal_WebframesCC"/>
    <tableColumn id="97" xr3:uid="{56260A31-3937-4BEA-838F-29AB0FF600F1}" name="2117" dataDxfId="581" dataCellStyle="Normal_WebframesCC"/>
    <tableColumn id="98" xr3:uid="{E572C996-DD29-4FED-8321-8777E1F515E0}" name="2118" dataDxfId="580" dataCellStyle="Normal_WebframesCC"/>
    <tableColumn id="99" xr3:uid="{F915D8E8-0DDD-445F-A14E-B082CB439FB6}" name="2119" dataDxfId="579" dataCellStyle="Normal_WebframesCC"/>
    <tableColumn id="100" xr3:uid="{11297F5C-9CE0-47FA-B8B5-42DDA3847681}" name="2120" dataDxfId="578" dataCellStyle="Normal_WebframesCC"/>
    <tableColumn id="101" xr3:uid="{89C95CDF-63C6-4765-8854-C2C8C3B18851}" name="2121" dataDxfId="577" dataCellStyle="Normal_WebframesCC"/>
    <tableColumn id="102" xr3:uid="{14622291-39F0-434D-ADCF-27265DBE9452}" name="2122" dataDxfId="576" dataCellStyle="Normal_WebframesCC"/>
  </tableColumns>
  <tableStyleInfo name="TableStyleLight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16EE7AA-CC55-4D08-AE05-62025B9AAA3D}" name="Table2" displayName="Table2" ref="A27:CX43" totalsRowShown="0" headerRowDxfId="575" dataDxfId="574">
  <autoFilter ref="A27:CX43"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autoFilter>
  <tableColumns count="102">
    <tableColumn id="1" xr3:uid="{3B323EC6-FCAC-407B-B4F8-B2BC31D06D1E}" name="Ages" dataDxfId="573"/>
    <tableColumn id="2" xr3:uid="{7E923D49-E57B-4DAE-B8DD-15A72C2A3F66}" name="2022" dataDxfId="572"/>
    <tableColumn id="3" xr3:uid="{2D156AAF-74B8-4D6B-ACAE-786077870493}" name="2023" dataDxfId="571"/>
    <tableColumn id="4" xr3:uid="{1ACD3D61-4B38-4037-AD5E-7939FF1D0140}" name="2024" dataDxfId="570"/>
    <tableColumn id="5" xr3:uid="{307B55AF-6DFB-4671-B28A-847D2955B024}" name="2025" dataDxfId="569"/>
    <tableColumn id="6" xr3:uid="{B2E6DCF2-5278-4044-B825-A5C8F056FD8B}" name="2026" dataDxfId="568"/>
    <tableColumn id="7" xr3:uid="{4D771FF2-C204-480F-8583-5CD96C1AA4C6}" name="2027" dataDxfId="567"/>
    <tableColumn id="8" xr3:uid="{DE7BB220-727F-4016-9148-E92A5A0B6DDA}" name="2028" dataDxfId="566"/>
    <tableColumn id="9" xr3:uid="{0D3D0E30-591D-4FAC-943D-699DDE1869A4}" name="2029" dataDxfId="565"/>
    <tableColumn id="10" xr3:uid="{96CB20C7-B1A1-4C7F-B942-8B73ED0BC030}" name="2030" dataDxfId="564"/>
    <tableColumn id="11" xr3:uid="{EAF63143-3606-4BD4-83D8-A2D0F087F24E}" name="2031" dataDxfId="563"/>
    <tableColumn id="12" xr3:uid="{E2649243-BEE7-4FA4-A2C3-CF87D480CF1E}" name="2032" dataDxfId="562"/>
    <tableColumn id="13" xr3:uid="{9886A403-4E61-4700-BBC2-A8E92C8E2842}" name="2033" dataDxfId="561"/>
    <tableColumn id="14" xr3:uid="{6A96ABD4-7DB6-46E6-999B-F4AF9B359644}" name="2034" dataDxfId="560"/>
    <tableColumn id="15" xr3:uid="{64D4654E-8EF5-4B12-99A4-1650EB1F2057}" name="2035" dataDxfId="559"/>
    <tableColumn id="16" xr3:uid="{799D08EE-31A5-4C88-AAA6-7CF96B439A4F}" name="2036" dataDxfId="558"/>
    <tableColumn id="17" xr3:uid="{75A6C1AC-C655-43FF-A942-057BDAAD6776}" name="2037" dataDxfId="557"/>
    <tableColumn id="18" xr3:uid="{57476F36-7A82-4CA0-AFB5-12F72D2ACF35}" name="2038" dataDxfId="556"/>
    <tableColumn id="19" xr3:uid="{2A63C9B2-FA8D-4710-973A-DD020055C89D}" name="2039" dataDxfId="555"/>
    <tableColumn id="20" xr3:uid="{45E0FEC1-4142-4775-8E56-05AC985D6D07}" name="2040" dataDxfId="554"/>
    <tableColumn id="21" xr3:uid="{1988DC03-F4F3-4EFD-8125-B7CA4A85910D}" name="2041" dataDxfId="553"/>
    <tableColumn id="22" xr3:uid="{9F4AF4C5-EA44-4744-A365-533DE3A38307}" name="2042" dataDxfId="552"/>
    <tableColumn id="23" xr3:uid="{68F194C6-F261-44A7-8073-21546E82510D}" name="2043" dataDxfId="551"/>
    <tableColumn id="24" xr3:uid="{AC97969B-4BB6-4CF5-8832-B3296208BA1C}" name="2044" dataDxfId="550"/>
    <tableColumn id="25" xr3:uid="{C823E994-48A1-4563-87EE-F1FD6D030573}" name="2045" dataDxfId="549"/>
    <tableColumn id="26" xr3:uid="{A58ECE1D-F591-47D9-B042-298A30D28EFA}" name="2046" dataDxfId="548"/>
    <tableColumn id="27" xr3:uid="{1D797EF9-FF50-449D-A39A-9E6B350DE930}" name="2047" dataDxfId="547"/>
    <tableColumn id="28" xr3:uid="{E597E2C9-A406-44BF-B33D-23E91E3E3224}" name="2048" dataDxfId="546"/>
    <tableColumn id="29" xr3:uid="{C4F9A6C3-54A5-4237-A14E-A2E6A1389423}" name="2049" dataDxfId="545"/>
    <tableColumn id="30" xr3:uid="{5D5D1A2D-DB3C-4623-A72C-701B2C2B5471}" name="2050" dataDxfId="544"/>
    <tableColumn id="31" xr3:uid="{1D4910E9-72B0-496B-BBAD-770FB581B488}" name="2051" dataDxfId="543"/>
    <tableColumn id="32" xr3:uid="{3D871217-D1E0-49EB-8DBC-3DF91CC6672F}" name="2052" dataDxfId="542"/>
    <tableColumn id="33" xr3:uid="{B2AE33FE-1051-4A70-BADE-83B5901C34E5}" name="2053" dataDxfId="541"/>
    <tableColumn id="34" xr3:uid="{E880DFD1-708C-4FBA-B1EC-7DE76D2F9590}" name="2054" dataDxfId="540"/>
    <tableColumn id="35" xr3:uid="{613A878A-01C2-48EA-92A9-47F4F17304DF}" name="2055" dataDxfId="539"/>
    <tableColumn id="36" xr3:uid="{9D30F7F5-F584-4C32-A753-968FCC3EBB20}" name="2056" dataDxfId="538"/>
    <tableColumn id="37" xr3:uid="{8C7CF602-1739-452C-9A0F-15927FC6F300}" name="2057" dataDxfId="537"/>
    <tableColumn id="38" xr3:uid="{D958B8B1-DC08-4B16-B9C6-E8C7BFAF7223}" name="2058" dataDxfId="536"/>
    <tableColumn id="39" xr3:uid="{195F3BED-BCD5-4E73-A334-629B44062FA6}" name="2059" dataDxfId="535"/>
    <tableColumn id="40" xr3:uid="{D91D66BE-BED8-4C76-B5B0-5E6C817748D8}" name="2060" dataDxfId="534"/>
    <tableColumn id="41" xr3:uid="{F7D3C3F0-D9DD-4C10-A2E3-09DB10BA2297}" name="2061" dataDxfId="533"/>
    <tableColumn id="42" xr3:uid="{AD6F48D5-0C44-4E39-8A10-8CFEA5E5C1A2}" name="2062" dataDxfId="532"/>
    <tableColumn id="43" xr3:uid="{9FAC52F5-4860-4C3B-9D4D-5EAE21629477}" name="2063" dataDxfId="531"/>
    <tableColumn id="44" xr3:uid="{EBC14F38-1E4A-4E7E-8682-A09B7498FEA6}" name="2064" dataDxfId="530"/>
    <tableColumn id="45" xr3:uid="{A9201E48-97E9-4BF0-9AFC-17CFB8A3632F}" name="2065" dataDxfId="529"/>
    <tableColumn id="46" xr3:uid="{69CD2A5B-32F1-4844-8C06-910CC0B60474}" name="2066" dataDxfId="528"/>
    <tableColumn id="47" xr3:uid="{154A835E-33E4-47D7-A0D4-97EC1B13FA8D}" name="2067" dataDxfId="527"/>
    <tableColumn id="48" xr3:uid="{61DC89AD-45EC-49CB-BEFE-825242181101}" name="2068" dataDxfId="526"/>
    <tableColumn id="49" xr3:uid="{B6C407F6-A3FE-4B58-9846-1B00B673F8B6}" name="2069" dataDxfId="525"/>
    <tableColumn id="50" xr3:uid="{1ADBE469-B3C3-4B0D-A905-43094CD49711}" name="2070" dataDxfId="524"/>
    <tableColumn id="51" xr3:uid="{50754715-ADE0-4EFD-ABB0-7A68187235FA}" name="2071" dataDxfId="523"/>
    <tableColumn id="52" xr3:uid="{1D9210E6-BD80-4B60-9459-628BD55863B0}" name="2072" dataDxfId="522"/>
    <tableColumn id="53" xr3:uid="{8C688E53-A855-429F-96F3-58EF5A391E76}" name="2073" dataDxfId="521"/>
    <tableColumn id="54" xr3:uid="{6DEB8001-6D9E-4926-82A2-39A1D89BBCD9}" name="2074" dataDxfId="520"/>
    <tableColumn id="55" xr3:uid="{CB5A328F-F310-4CC9-A2A2-07B68CA29B64}" name="2075" dataDxfId="519"/>
    <tableColumn id="56" xr3:uid="{657A77B7-6FA0-4060-A551-03444931E0F7}" name="2076" dataDxfId="518"/>
    <tableColumn id="57" xr3:uid="{162AFB48-BF4F-49C8-A077-E14796356F84}" name="2077" dataDxfId="517"/>
    <tableColumn id="58" xr3:uid="{09365790-1EA0-48FB-B779-A7EB44734904}" name="2078" dataDxfId="516"/>
    <tableColumn id="59" xr3:uid="{D101789D-3A98-4E40-98AB-3AC737E1CDE7}" name="2079" dataDxfId="515"/>
    <tableColumn id="60" xr3:uid="{A764E7F1-F6C8-442A-89E9-7F84F8A6621E}" name="2080" dataDxfId="514"/>
    <tableColumn id="61" xr3:uid="{309288D8-A94B-4453-B789-292B54F6C6F2}" name="2081" dataDxfId="513"/>
    <tableColumn id="62" xr3:uid="{ED734637-69EA-48A0-B6F0-2B9B88524BB5}" name="2082" dataDxfId="512"/>
    <tableColumn id="63" xr3:uid="{406AEB97-3274-415B-9D74-7BC21CCE5D8B}" name="2083" dataDxfId="511"/>
    <tableColumn id="64" xr3:uid="{EB0C3F88-3739-431A-A9B8-A1FDA8B1120C}" name="2084" dataDxfId="510"/>
    <tableColumn id="65" xr3:uid="{C08D37D3-B61D-4EEC-9485-55E1E18B13DB}" name="2085" dataDxfId="509"/>
    <tableColumn id="66" xr3:uid="{E506E382-20F5-4A46-A184-8A8DA2ED7E71}" name="2086" dataDxfId="508"/>
    <tableColumn id="67" xr3:uid="{00EF36D3-CB1F-4B19-83AB-04CDBDC9F50F}" name="2087" dataDxfId="507"/>
    <tableColumn id="68" xr3:uid="{B79C8F0D-613F-44B9-A863-293C143CBA79}" name="2088" dataDxfId="506"/>
    <tableColumn id="69" xr3:uid="{06EA32B7-C2C8-4021-9188-E7DB9CA60B17}" name="2089" dataDxfId="505"/>
    <tableColumn id="70" xr3:uid="{42A4DCB3-37E9-40CE-A881-F75F2D6D2088}" name="2090" dataDxfId="504"/>
    <tableColumn id="71" xr3:uid="{8824AE0D-5E4E-43CA-8F42-9A2BB2EFF668}" name="2091" dataDxfId="503"/>
    <tableColumn id="72" xr3:uid="{C7AB2787-4F39-4937-B18C-C89470BA1B76}" name="2092" dataDxfId="502"/>
    <tableColumn id="73" xr3:uid="{A0424C5E-519E-4A50-B9ED-5D0D9B22EAB5}" name="2093" dataDxfId="501"/>
    <tableColumn id="74" xr3:uid="{8A4E382C-DC86-4902-8360-F9AB51A5F4D8}" name="2094" dataDxfId="500"/>
    <tableColumn id="75" xr3:uid="{11A0E40A-7F9D-4831-8C6E-EB21B8F80781}" name="2095" dataDxfId="499"/>
    <tableColumn id="76" xr3:uid="{1BF5686F-54F2-44AF-A310-FD14BD6F9438}" name="2096" dataDxfId="498"/>
    <tableColumn id="77" xr3:uid="{DBC4CCE7-E26F-4F45-97E4-2D1029C1BC5A}" name="2097" dataDxfId="497"/>
    <tableColumn id="78" xr3:uid="{EE07D5F2-7CEF-44B2-9DB2-369AA35394E2}" name="2098" dataDxfId="496"/>
    <tableColumn id="79" xr3:uid="{C8D49501-0C56-4B19-949B-DB30040DE1E2}" name="2099" dataDxfId="495"/>
    <tableColumn id="80" xr3:uid="{4AEE301B-FA2B-40F6-87CC-A814A994A336}" name="2100" dataDxfId="494"/>
    <tableColumn id="81" xr3:uid="{47E7500A-2301-457E-ADC8-553489162F4C}" name="2101" dataDxfId="493"/>
    <tableColumn id="82" xr3:uid="{AE504F60-27E1-40F7-B5D8-2BB1A46918BB}" name="2102" dataDxfId="492"/>
    <tableColumn id="83" xr3:uid="{7E72ED85-C4FA-4183-A4B6-F41AB44596CD}" name="2103" dataDxfId="491"/>
    <tableColumn id="84" xr3:uid="{67D01113-28DA-4C82-8BF4-F87E99ECAD54}" name="2104" dataDxfId="490"/>
    <tableColumn id="85" xr3:uid="{CBE1241A-957B-4E6C-A37D-9D027A3E1710}" name="2105" dataDxfId="489"/>
    <tableColumn id="86" xr3:uid="{5BADE425-7911-4E7E-AB70-33D622CAC0C0}" name="2106" dataDxfId="488"/>
    <tableColumn id="87" xr3:uid="{4A9A31D7-3681-460E-95AF-F78BC3D92C74}" name="2107" dataDxfId="487"/>
    <tableColumn id="88" xr3:uid="{1F9D4399-A353-4F33-86C2-93643187B792}" name="2108" dataDxfId="486"/>
    <tableColumn id="89" xr3:uid="{5E0C3953-3B17-4CD0-8F9E-9D187BAF4A96}" name="2109" dataDxfId="485"/>
    <tableColumn id="90" xr3:uid="{AEAD36F0-BD63-4621-8A1A-A648A5662FDC}" name="2110" dataDxfId="484"/>
    <tableColumn id="91" xr3:uid="{ADA56C59-6A4B-46EF-90F4-562C4C341DD2}" name="2111" dataDxfId="483"/>
    <tableColumn id="92" xr3:uid="{1A53A1F2-4FE1-4BBE-866B-BE9374234240}" name="2112" dataDxfId="482"/>
    <tableColumn id="93" xr3:uid="{8892E0F0-2630-4C9A-A62E-3592CA09E2D5}" name="2113" dataDxfId="481"/>
    <tableColumn id="94" xr3:uid="{805D6D32-F085-4619-A19A-C7151B0B9F55}" name="2114" dataDxfId="480"/>
    <tableColumn id="95" xr3:uid="{AE5D4B58-52D3-4064-97AF-240E12388595}" name="2115" dataDxfId="479"/>
    <tableColumn id="96" xr3:uid="{18843F07-90BC-4A02-B468-5F718B29FD46}" name="2116" dataDxfId="478"/>
    <tableColumn id="97" xr3:uid="{EB8B4732-CB10-4C2A-9005-0E581AFE36E7}" name="2117" dataDxfId="477"/>
    <tableColumn id="98" xr3:uid="{0BA96050-5B05-4F65-A3A8-3FD57A8D3427}" name="2118" dataDxfId="476"/>
    <tableColumn id="99" xr3:uid="{64BD1E03-E78D-47D5-8175-D5F06AE30F9E}" name="2119" dataDxfId="475"/>
    <tableColumn id="100" xr3:uid="{47AC5141-885A-4279-99AB-AC81189FFB4A}" name="2120" dataDxfId="474"/>
    <tableColumn id="101" xr3:uid="{102302DE-1440-4FA7-BB2A-5335F44526C0}" name="2121" dataDxfId="473"/>
    <tableColumn id="102" xr3:uid="{2952E0CE-C5EA-4A44-8B4B-AA4DA79E8514}" name="2122" dataDxfId="472"/>
  </tableColumns>
  <tableStyleInfo name="TableStyleLight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9975121-C831-422E-9659-DF3443C9215E}" name="Table3" displayName="Table3" ref="A46:CX57" totalsRowShown="0" headerRowDxfId="471" dataDxfId="470">
  <autoFilter ref="A46:CX57"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autoFilter>
  <tableColumns count="102">
    <tableColumn id="1" xr3:uid="{5E873C8A-E353-45F1-BF56-20FA25873652}" name="Age groups" dataDxfId="469"/>
    <tableColumn id="2" xr3:uid="{D8048E8F-18EC-482D-AFA3-1B8E59D4AC5C}" name="2022" dataDxfId="468"/>
    <tableColumn id="3" xr3:uid="{DA34747C-59E6-4341-87E5-3962160087F9}" name="2023" dataDxfId="467"/>
    <tableColumn id="4" xr3:uid="{5E0F1579-6820-4461-9059-294E73A7FCA2}" name="2024" dataDxfId="466"/>
    <tableColumn id="5" xr3:uid="{CBA0B2D9-F386-4272-B5F0-0D98D54122C3}" name="2025" dataDxfId="465"/>
    <tableColumn id="6" xr3:uid="{3B621A56-FA1F-4470-8922-42885F8E24BF}" name="2026" dataDxfId="464"/>
    <tableColumn id="7" xr3:uid="{90B73DEB-7753-4DF8-9204-98EA3542BBFE}" name="2027" dataDxfId="463"/>
    <tableColumn id="8" xr3:uid="{E75148A3-36B5-4E92-B12B-AF718FB44B3A}" name="2028" dataDxfId="462"/>
    <tableColumn id="9" xr3:uid="{981F34F0-91AE-413C-917E-80C5DC858163}" name="2029" dataDxfId="461"/>
    <tableColumn id="10" xr3:uid="{02A28B5E-BC7B-498A-9597-BD289664DC61}" name="2030" dataDxfId="460"/>
    <tableColumn id="11" xr3:uid="{23422C5E-D183-450C-B03C-DD41D11B77DC}" name="2031" dataDxfId="459"/>
    <tableColumn id="12" xr3:uid="{3F14DA38-921F-4604-B664-6B835152E852}" name="2032" dataDxfId="458"/>
    <tableColumn id="13" xr3:uid="{5824269B-74F2-4729-90CA-C4DF337DA974}" name="2033" dataDxfId="457"/>
    <tableColumn id="14" xr3:uid="{6E73DF35-E7FB-4F8A-B2FF-7E685FF78DA6}" name="2034" dataDxfId="456"/>
    <tableColumn id="15" xr3:uid="{594BB863-B9B3-46A2-B60B-342AAE984E94}" name="2035" dataDxfId="455"/>
    <tableColumn id="16" xr3:uid="{55B13C8F-9400-4239-8C38-4D14F4B3928F}" name="2036" dataDxfId="454"/>
    <tableColumn id="17" xr3:uid="{62577B4B-2474-4DA1-BA1F-BC524A42A460}" name="2037" dataDxfId="453"/>
    <tableColumn id="18" xr3:uid="{884312CA-806C-4674-9575-5388B2D29E85}" name="2038" dataDxfId="452"/>
    <tableColumn id="19" xr3:uid="{82A1FD6A-19C0-4B8B-B55E-00A8373F2822}" name="2039" dataDxfId="451"/>
    <tableColumn id="20" xr3:uid="{CF0DB67B-36CC-451B-A111-96DA935F5712}" name="2040" dataDxfId="450"/>
    <tableColumn id="21" xr3:uid="{66CAF9F3-6C8D-49E0-8A71-D3D6CC8C7CA8}" name="2041" dataDxfId="449"/>
    <tableColumn id="22" xr3:uid="{F4235FF1-D0FC-4B8C-82E1-E5C72C3081CD}" name="2042" dataDxfId="448"/>
    <tableColumn id="23" xr3:uid="{5F9BDAEB-02AC-420A-959C-12602CA4235C}" name="2043" dataDxfId="447"/>
    <tableColumn id="24" xr3:uid="{09B17C75-CBD2-41CB-B19A-F1D9A49388F0}" name="2044" dataDxfId="446"/>
    <tableColumn id="25" xr3:uid="{AFDE9996-2AEC-45BA-8286-A2E9BEDD099E}" name="2045" dataDxfId="445"/>
    <tableColumn id="26" xr3:uid="{46947065-9082-45C7-BFC0-9A896AF3BD31}" name="2046" dataDxfId="444"/>
    <tableColumn id="27" xr3:uid="{662C62C9-08E8-4521-B2B0-F6F2F026EE14}" name="2047" dataDxfId="443"/>
    <tableColumn id="28" xr3:uid="{76C5B388-387B-4D0A-A70E-1D8C3117204E}" name="2048" dataDxfId="442"/>
    <tableColumn id="29" xr3:uid="{FB4B6517-F514-43C9-A444-8E2F52EAE326}" name="2049" dataDxfId="441"/>
    <tableColumn id="30" xr3:uid="{F44C8697-3C12-4A28-B01C-521CA1AFFFA1}" name="2050" dataDxfId="440"/>
    <tableColumn id="31" xr3:uid="{8A6A0F1C-C52C-4AA3-8E20-9A6011430E70}" name="2051" dataDxfId="439"/>
    <tableColumn id="32" xr3:uid="{172243E4-6706-48F5-A07E-081F37225D8E}" name="2052" dataDxfId="438"/>
    <tableColumn id="33" xr3:uid="{D78BFDBF-B0A9-4109-B16C-5FE024AA1D26}" name="2053" dataDxfId="437"/>
    <tableColumn id="34" xr3:uid="{BDA09ED6-969D-431A-BA29-5DBFC9833CD2}" name="2054" dataDxfId="436"/>
    <tableColumn id="35" xr3:uid="{2C4EF785-738F-46E3-8E1D-7C14FF9BE47E}" name="2055" dataDxfId="435"/>
    <tableColumn id="36" xr3:uid="{751BF57A-FB21-4AE2-83CE-132C8A9F320C}" name="2056" dataDxfId="434"/>
    <tableColumn id="37" xr3:uid="{C66519A1-00E6-4646-B240-DEEF1318A2B5}" name="2057" dataDxfId="433"/>
    <tableColumn id="38" xr3:uid="{51657700-2897-4A9C-87C2-E66701305754}" name="2058" dataDxfId="432"/>
    <tableColumn id="39" xr3:uid="{D3FBB038-108A-477C-BEEA-DA6A592DF60F}" name="2059" dataDxfId="431"/>
    <tableColumn id="40" xr3:uid="{E753179D-6846-45AC-8E58-76B6FAF71B5C}" name="2060" dataDxfId="430"/>
    <tableColumn id="41" xr3:uid="{A2F43E5A-C8DD-428D-A2AC-42BD70107790}" name="2061" dataDxfId="429"/>
    <tableColumn id="42" xr3:uid="{AC955070-640D-4ADE-B731-7C222AC9D93C}" name="2062" dataDxfId="428"/>
    <tableColumn id="43" xr3:uid="{F48B9814-DFF6-4AB5-9C26-485C1C65F7B3}" name="2063" dataDxfId="427"/>
    <tableColumn id="44" xr3:uid="{11135D30-65B0-4CBF-A401-9002F5FC167E}" name="2064" dataDxfId="426"/>
    <tableColumn id="45" xr3:uid="{3F1DB987-C751-4B6C-93E7-A0B999308BC0}" name="2065" dataDxfId="425"/>
    <tableColumn id="46" xr3:uid="{BF0B7F0A-6771-4135-9DDA-3BB975D4A2A8}" name="2066" dataDxfId="424"/>
    <tableColumn id="47" xr3:uid="{E0216E47-053B-4FD4-93F5-26FE2CAB0950}" name="2067" dataDxfId="423"/>
    <tableColumn id="48" xr3:uid="{492B4376-D848-443F-A1AD-FF92FCF1E5E4}" name="2068" dataDxfId="422"/>
    <tableColumn id="49" xr3:uid="{47935A98-50C4-4D70-ABA3-7C57BFA6EEBE}" name="2069" dataDxfId="421"/>
    <tableColumn id="50" xr3:uid="{3A33BFB9-50A0-4845-A461-CCA233165201}" name="2070" dataDxfId="420"/>
    <tableColumn id="51" xr3:uid="{2D1EE038-84E6-451B-9B31-5A21DA5EFF47}" name="2071" dataDxfId="419"/>
    <tableColumn id="52" xr3:uid="{9AB13DD0-0B0B-48E7-A829-90E26BCFEF1D}" name="2072" dataDxfId="418"/>
    <tableColumn id="53" xr3:uid="{4B51211F-A3BE-48D5-94DF-430E8A11BBE7}" name="2073" dataDxfId="417"/>
    <tableColumn id="54" xr3:uid="{7D0B7246-519A-4BA7-864E-41C65308206C}" name="2074" dataDxfId="416"/>
    <tableColumn id="55" xr3:uid="{393E402A-CCCA-469C-8859-7234FBAE4637}" name="2075" dataDxfId="415"/>
    <tableColumn id="56" xr3:uid="{128240D3-F400-45FB-B3E7-C26DF6412A81}" name="2076" dataDxfId="414"/>
    <tableColumn id="57" xr3:uid="{CA50631E-1529-49FD-8724-9991B37EF88A}" name="2077" dataDxfId="413"/>
    <tableColumn id="58" xr3:uid="{55E72F9E-3704-4404-B384-C7BF084897E7}" name="2078" dataDxfId="412"/>
    <tableColumn id="59" xr3:uid="{37971295-809B-4139-A6C7-C5793AED65CE}" name="2079" dataDxfId="411"/>
    <tableColumn id="60" xr3:uid="{917DF3BF-1F4E-43F3-AC27-DD2C3E4092EE}" name="2080" dataDxfId="410"/>
    <tableColumn id="61" xr3:uid="{9C28443B-4952-4561-B14F-D067B98071AD}" name="2081" dataDxfId="409"/>
    <tableColumn id="62" xr3:uid="{974788FE-722F-45AC-8EB4-8327BF5B0DC4}" name="2082" dataDxfId="408"/>
    <tableColumn id="63" xr3:uid="{AEA54680-CB23-48C1-AD80-9946A495444E}" name="2083" dataDxfId="407"/>
    <tableColumn id="64" xr3:uid="{9F4D3965-C792-4385-8D25-6698C33DCFEE}" name="2084" dataDxfId="406"/>
    <tableColumn id="65" xr3:uid="{90C11204-A8D7-433F-A0B3-34579AB1055D}" name="2085" dataDxfId="405"/>
    <tableColumn id="66" xr3:uid="{4F39A121-BB1E-4298-BFDD-C7D11DB73B0F}" name="2086" dataDxfId="404"/>
    <tableColumn id="67" xr3:uid="{F9AC4028-3DF0-4ABD-A9E6-C0DB44AC7E2B}" name="2087" dataDxfId="403"/>
    <tableColumn id="68" xr3:uid="{E209D60A-CD92-4E26-B601-3D666C1F3D96}" name="2088" dataDxfId="402"/>
    <tableColumn id="69" xr3:uid="{08F7C60B-D9FD-4F3B-8122-B60DD0EB0203}" name="2089" dataDxfId="401"/>
    <tableColumn id="70" xr3:uid="{9D4DF679-D096-486F-AE2D-249A62BA13CA}" name="2090" dataDxfId="400"/>
    <tableColumn id="71" xr3:uid="{1126C6E5-E7F1-4308-94CF-B3E955E433C6}" name="2091" dataDxfId="399"/>
    <tableColumn id="72" xr3:uid="{7FA014B6-BA64-449C-8FF9-4A9C744572DD}" name="2092" dataDxfId="398"/>
    <tableColumn id="73" xr3:uid="{6D118254-DA2D-40C7-910D-7B63BB4F37EA}" name="2093" dataDxfId="397"/>
    <tableColumn id="74" xr3:uid="{2B454B85-4D3D-434D-8DC0-CE61580B7147}" name="2094" dataDxfId="396"/>
    <tableColumn id="75" xr3:uid="{F865D907-B0F3-4DC3-9E64-4DE201C2374A}" name="2095" dataDxfId="395"/>
    <tableColumn id="76" xr3:uid="{ED14EBAD-F62F-4CB9-89D8-3A9E3094958B}" name="2096" dataDxfId="394"/>
    <tableColumn id="77" xr3:uid="{70ABF043-363E-42FE-91ED-9A4ADB0612FC}" name="2097" dataDxfId="393"/>
    <tableColumn id="78" xr3:uid="{6378D892-7D58-48AA-B402-7E7FE93A4023}" name="2098" dataDxfId="392"/>
    <tableColumn id="79" xr3:uid="{45EA329A-C6A5-4608-97F4-2DC01D490B5E}" name="2099" dataDxfId="391"/>
    <tableColumn id="80" xr3:uid="{155701B4-BD1D-4F0F-B6CB-C319B261091B}" name="2100" dataDxfId="390"/>
    <tableColumn id="81" xr3:uid="{9F4134A7-C8BC-4FDB-98B5-0234EC533A4B}" name="2101" dataDxfId="389"/>
    <tableColumn id="82" xr3:uid="{90F7D34B-D8EA-4BAE-9ABA-F7AE43C4CEEA}" name="2102" dataDxfId="388"/>
    <tableColumn id="83" xr3:uid="{5479826B-610E-4502-BACC-825FC1FE3FD7}" name="2103" dataDxfId="387"/>
    <tableColumn id="84" xr3:uid="{3E231738-F742-461E-9B9A-E2B739D760D6}" name="2104" dataDxfId="386"/>
    <tableColumn id="85" xr3:uid="{8E44EA4C-6644-4F23-AAE9-C92693220997}" name="2105" dataDxfId="385"/>
    <tableColumn id="86" xr3:uid="{3129AFBF-D8B9-4A1E-BD86-4952613E4B4A}" name="2106" dataDxfId="384"/>
    <tableColumn id="87" xr3:uid="{E9673A68-D643-4EC0-A3E3-7F5BB8B2BCA7}" name="2107" dataDxfId="383"/>
    <tableColumn id="88" xr3:uid="{86D259F3-6048-4A2C-A891-CE02C05E029A}" name="2108" dataDxfId="382"/>
    <tableColumn id="89" xr3:uid="{D420D5C0-B974-4064-A12E-A176B6BD1DC9}" name="2109" dataDxfId="381"/>
    <tableColumn id="90" xr3:uid="{DA81ED92-4157-43C6-A2DF-605DAEE6BEC0}" name="2110" dataDxfId="380"/>
    <tableColumn id="91" xr3:uid="{0C675E12-3134-4BE5-92EF-7EE448288E72}" name="2111" dataDxfId="379"/>
    <tableColumn id="92" xr3:uid="{90EC7652-CC23-4BE1-AC41-AAAF6AA7F50C}" name="2112" dataDxfId="378"/>
    <tableColumn id="93" xr3:uid="{671AB0C3-26EA-4F12-BA68-262F67F2498D}" name="2113" dataDxfId="377"/>
    <tableColumn id="94" xr3:uid="{1E467896-BC55-47EC-B12F-FAB250F61176}" name="2114" dataDxfId="376"/>
    <tableColumn id="95" xr3:uid="{C995D423-2EB4-4D01-A2AD-25C48856C470}" name="2115" dataDxfId="375"/>
    <tableColumn id="96" xr3:uid="{8A7C9018-274D-4BA6-BBE2-98673FA16B81}" name="2116" dataDxfId="374"/>
    <tableColumn id="97" xr3:uid="{447C09C3-79F7-493A-B6EC-FAB5F346D2B0}" name="2117" dataDxfId="373"/>
    <tableColumn id="98" xr3:uid="{F345704A-ADF4-4B43-8D85-8E41E73BF582}" name="2118" dataDxfId="372"/>
    <tableColumn id="99" xr3:uid="{BBCB5BED-3F43-46F7-8DA0-7A32AEEA8715}" name="2119" dataDxfId="371"/>
    <tableColumn id="100" xr3:uid="{C493B057-E73B-42E3-ADBC-125120C8ABEC}" name="2120" dataDxfId="370"/>
    <tableColumn id="101" xr3:uid="{FF54E6C0-6101-4DCA-8AEA-86EC065212FE}" name="2121" dataDxfId="369"/>
    <tableColumn id="102" xr3:uid="{6183917B-4E08-457B-905A-67325A26406C}" name="2122" dataDxfId="368"/>
  </tableColumns>
  <tableStyleInfo name="TableStyleLight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9679273-AE86-426B-90A7-196FEC29BD36}" name="Table110" displayName="Table110" ref="A7:CX24" totalsRowShown="0" headerRowDxfId="367" dataDxfId="366" dataCellStyle="Normal_WebframesCC">
  <autoFilter ref="A7:CX24"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autoFilter>
  <tableColumns count="102">
    <tableColumn id="1" xr3:uid="{8FDC8B02-DB07-4C01-9CB3-4E54AAB69392}" name="Components" dataDxfId="365"/>
    <tableColumn id="2" xr3:uid="{932ACDD5-AD15-4751-9E71-CF265DBC9C8B}" name="2022 [note 2]" dataDxfId="364" dataCellStyle="Normal_WebframesCC"/>
    <tableColumn id="3" xr3:uid="{7A7D8E09-C16D-434A-90A8-2A61911DF8FB}" name="2023" dataDxfId="363" dataCellStyle="Normal_WebframesCC"/>
    <tableColumn id="4" xr3:uid="{49A22FE9-0A90-4703-B4B9-5931961D0873}" name="2024" dataDxfId="362" dataCellStyle="Normal_WebframesCC"/>
    <tableColumn id="5" xr3:uid="{1D87FFD4-E1A5-4FF8-A337-1AB5D1B97083}" name="2025" dataDxfId="361" dataCellStyle="Normal_WebframesCC"/>
    <tableColumn id="6" xr3:uid="{C503A9C5-FDF4-4A5D-B998-47C446100374}" name="2026" dataDxfId="360" dataCellStyle="Normal_WebframesCC"/>
    <tableColumn id="7" xr3:uid="{36031093-2039-4087-AA5F-B466C4F0BC6F}" name="2027" dataDxfId="359" dataCellStyle="Normal_WebframesCC"/>
    <tableColumn id="8" xr3:uid="{6F31E5D1-3A32-4199-AAE5-348BE5C7F52B}" name="2028" dataDxfId="358" dataCellStyle="Normal_WebframesCC"/>
    <tableColumn id="9" xr3:uid="{5E566D3E-47D2-4B15-B3AA-6F0A3D32BE59}" name="2029" dataDxfId="357" dataCellStyle="Normal_WebframesCC"/>
    <tableColumn id="10" xr3:uid="{5375A71B-AF62-41CA-9A55-6CFFD4F65FF4}" name="2030" dataDxfId="356" dataCellStyle="Normal_WebframesCC"/>
    <tableColumn id="11" xr3:uid="{CF084C25-1AB6-4D94-B634-91F6A15701A9}" name="2031" dataDxfId="355" dataCellStyle="Normal_WebframesCC"/>
    <tableColumn id="12" xr3:uid="{895B93C5-B513-47ED-8148-BD093E2764D3}" name="2032" dataDxfId="354" dataCellStyle="Normal_WebframesCC"/>
    <tableColumn id="13" xr3:uid="{B4787715-B537-42AC-A9E1-0B0B60014168}" name="2033" dataDxfId="353" dataCellStyle="Normal_WebframesCC"/>
    <tableColumn id="14" xr3:uid="{FA2EB12B-ED0D-4276-A040-06334779E975}" name="2034" dataDxfId="352" dataCellStyle="Normal_WebframesCC"/>
    <tableColumn id="15" xr3:uid="{C50E4B71-DE07-45F1-875D-5837BC527774}" name="2035" dataDxfId="351" dataCellStyle="Normal_WebframesCC"/>
    <tableColumn id="16" xr3:uid="{E81CF0FF-CCCB-4909-A75E-BC08F6B65B28}" name="2036" dataDxfId="350" dataCellStyle="Normal_WebframesCC"/>
    <tableColumn id="17" xr3:uid="{AD6B5842-C444-4E0C-B011-95D6F4CA5F64}" name="2037" dataDxfId="349" dataCellStyle="Normal_WebframesCC"/>
    <tableColumn id="18" xr3:uid="{18E5DEC0-1B03-4DBE-9593-CDD9A5DAE715}" name="2038" dataDxfId="348" dataCellStyle="Normal_WebframesCC"/>
    <tableColumn id="19" xr3:uid="{1AD495CE-F310-4226-A34C-D292F5258BE9}" name="2039" dataDxfId="347" dataCellStyle="Normal_WebframesCC"/>
    <tableColumn id="20" xr3:uid="{28F5487E-2F68-4E03-AFD4-FE73E56BE836}" name="2040" dataDxfId="346" dataCellStyle="Normal_WebframesCC"/>
    <tableColumn id="21" xr3:uid="{458F88F4-2B34-436B-99CC-B6C8E1AD57E3}" name="2041" dataDxfId="345" dataCellStyle="Normal_WebframesCC"/>
    <tableColumn id="22" xr3:uid="{BC3B39FC-C6C8-42A1-85F7-E7F999F20C30}" name="2042" dataDxfId="344" dataCellStyle="Normal_WebframesCC"/>
    <tableColumn id="23" xr3:uid="{8A2BEC11-A7EF-4C27-A1EB-4C9AC60D61C8}" name="2043" dataDxfId="343" dataCellStyle="Normal_WebframesCC"/>
    <tableColumn id="24" xr3:uid="{FC264116-6AA6-40A2-9818-1124A41288F5}" name="2044" dataDxfId="342" dataCellStyle="Normal_WebframesCC"/>
    <tableColumn id="25" xr3:uid="{A5119CBA-979E-4272-A202-6FCCDBFCA39D}" name="2045" dataDxfId="341" dataCellStyle="Normal_WebframesCC"/>
    <tableColumn id="26" xr3:uid="{AEE36177-CA9D-40C5-9A24-9D393B57FF22}" name="2046" dataDxfId="340" dataCellStyle="Normal_WebframesCC"/>
    <tableColumn id="27" xr3:uid="{F51E9D0F-EE7F-4BBA-AFB7-B86D24ADFAD4}" name="2047" dataDxfId="339" dataCellStyle="Normal_WebframesCC"/>
    <tableColumn id="28" xr3:uid="{3E4D3303-D4C5-4E94-98B1-998457F2431B}" name="2048" dataDxfId="338" dataCellStyle="Normal_WebframesCC"/>
    <tableColumn id="29" xr3:uid="{3755DB97-AE86-4A61-91AF-6C8071B44C68}" name="2049" dataDxfId="337" dataCellStyle="Normal_WebframesCC"/>
    <tableColumn id="30" xr3:uid="{30C469F7-4327-47D9-9EC5-C7CB21F1009E}" name="2050" dataDxfId="336" dataCellStyle="Normal_WebframesCC"/>
    <tableColumn id="31" xr3:uid="{5DF79135-0CAA-45D7-A6CB-6B8579AEF9F9}" name="2051" dataDxfId="335" dataCellStyle="Normal_WebframesCC"/>
    <tableColumn id="32" xr3:uid="{06D9A03F-7035-4C80-9C81-C4FA942DBD33}" name="2052" dataDxfId="334" dataCellStyle="Normal_WebframesCC"/>
    <tableColumn id="33" xr3:uid="{737E7AE5-E0BA-4AC2-8135-D3F303170422}" name="2053" dataDxfId="333" dataCellStyle="Normal_WebframesCC"/>
    <tableColumn id="34" xr3:uid="{234A68CE-B292-44C5-97E8-B37486903874}" name="2054" dataDxfId="332" dataCellStyle="Normal_WebframesCC"/>
    <tableColumn id="35" xr3:uid="{C8277CF3-02F3-4BA9-A00C-E1BB93A0FF57}" name="2055" dataDxfId="331" dataCellStyle="Normal_WebframesCC"/>
    <tableColumn id="36" xr3:uid="{41C46BAC-D66E-42F4-B6DA-104D108B8937}" name="2056" dataDxfId="330" dataCellStyle="Normal_WebframesCC"/>
    <tableColumn id="37" xr3:uid="{BF7C31FA-2A4E-4349-AC62-75E272319044}" name="2057" dataDxfId="329" dataCellStyle="Normal_WebframesCC"/>
    <tableColumn id="38" xr3:uid="{BE5E5DCB-AB57-4DAD-850A-0DDEDFC5DEE0}" name="2058" dataDxfId="328" dataCellStyle="Normal_WebframesCC"/>
    <tableColumn id="39" xr3:uid="{D6DC80E6-AA07-44C4-9501-EC5203030EAD}" name="2059" dataDxfId="327" dataCellStyle="Normal_WebframesCC"/>
    <tableColumn id="40" xr3:uid="{97057D28-6DB9-4138-9E9C-1BD8B9542A3D}" name="2060" dataDxfId="326" dataCellStyle="Normal_WebframesCC"/>
    <tableColumn id="41" xr3:uid="{15499DB9-A5AA-479D-A9C3-5D497D7C82B9}" name="2061" dataDxfId="325" dataCellStyle="Normal_WebframesCC"/>
    <tableColumn id="42" xr3:uid="{871BB97F-B104-40CB-9EA1-2B883FA882D1}" name="2062" dataDxfId="324" dataCellStyle="Normal_WebframesCC"/>
    <tableColumn id="43" xr3:uid="{5814FF6E-9BCF-4649-BD9F-692CCCD457E7}" name="2063" dataDxfId="323" dataCellStyle="Normal_WebframesCC"/>
    <tableColumn id="44" xr3:uid="{A5FB9D1A-869E-4EA4-956A-F68E9137EB5C}" name="2064" dataDxfId="322" dataCellStyle="Normal_WebframesCC"/>
    <tableColumn id="45" xr3:uid="{C0418DCE-F305-4847-B454-96CB1E0269F9}" name="2065" dataDxfId="321" dataCellStyle="Normal_WebframesCC"/>
    <tableColumn id="46" xr3:uid="{52A1D5EF-F261-4EDC-B5F3-EEF43F87DFE0}" name="2066" dataDxfId="320" dataCellStyle="Normal_WebframesCC"/>
    <tableColumn id="47" xr3:uid="{8AC622D3-E3EC-4975-917D-D7ED35ED0AAC}" name="2067" dataDxfId="319" dataCellStyle="Normal_WebframesCC"/>
    <tableColumn id="48" xr3:uid="{5FB9B6D5-F9C2-44E2-9619-B4BDE303B1B2}" name="2068" dataDxfId="318" dataCellStyle="Normal_WebframesCC"/>
    <tableColumn id="49" xr3:uid="{A87F3FC0-6073-4833-ABF8-D4240F7390E4}" name="2069" dataDxfId="317" dataCellStyle="Normal_WebframesCC"/>
    <tableColumn id="50" xr3:uid="{6C73070F-92DC-48FB-9F31-E84AD9DF7DBA}" name="2070" dataDxfId="316" dataCellStyle="Normal_WebframesCC"/>
    <tableColumn id="51" xr3:uid="{5B75B244-1862-4891-A027-3BDB82976470}" name="2071" dataDxfId="315" dataCellStyle="Normal_WebframesCC"/>
    <tableColumn id="52" xr3:uid="{6EC938C8-48E7-4419-8029-EFF5005ED1E0}" name="2072" dataDxfId="314" dataCellStyle="Normal_WebframesCC"/>
    <tableColumn id="53" xr3:uid="{EA6E5152-EAD5-41D9-8DEC-06675144B7BE}" name="2073" dataDxfId="313" dataCellStyle="Normal_WebframesCC"/>
    <tableColumn id="54" xr3:uid="{0D5EC0E5-3E8E-404D-B008-5BFB1A760A77}" name="2074" dataDxfId="312" dataCellStyle="Normal_WebframesCC"/>
    <tableColumn id="55" xr3:uid="{90429505-0266-44D6-BE2C-858E384AD100}" name="2075" dataDxfId="311" dataCellStyle="Normal_WebframesCC"/>
    <tableColumn id="56" xr3:uid="{98323D39-EF91-49ED-B136-4A167669F46D}" name="2076" dataDxfId="310" dataCellStyle="Normal_WebframesCC"/>
    <tableColumn id="57" xr3:uid="{AE433509-5343-45E1-97FA-9B22D55D50E2}" name="2077" dataDxfId="309" dataCellStyle="Normal_WebframesCC"/>
    <tableColumn id="58" xr3:uid="{35F7EF9E-0B66-418E-B67B-64FD9815AD9C}" name="2078" dataDxfId="308" dataCellStyle="Normal_WebframesCC"/>
    <tableColumn id="59" xr3:uid="{7EE33CC4-5704-43B4-8E69-CC7D276F3C55}" name="2079" dataDxfId="307" dataCellStyle="Normal_WebframesCC"/>
    <tableColumn id="60" xr3:uid="{6AB5DCDC-31A6-4069-81A1-83AE23011022}" name="2080" dataDxfId="306" dataCellStyle="Normal_WebframesCC"/>
    <tableColumn id="61" xr3:uid="{2483B077-0A26-48A9-B269-DB94A56FD603}" name="2081" dataDxfId="305" dataCellStyle="Normal_WebframesCC"/>
    <tableColumn id="62" xr3:uid="{EFF5B9A5-F510-4892-9AFE-B78360CCCE0E}" name="2082" dataDxfId="304" dataCellStyle="Normal_WebframesCC"/>
    <tableColumn id="63" xr3:uid="{95B9BC2A-6D0E-430C-A38A-04618C4AE38A}" name="2083" dataDxfId="303" dataCellStyle="Normal_WebframesCC"/>
    <tableColumn id="64" xr3:uid="{75819C3B-AE74-4424-A835-16D0B4D31B38}" name="2084" dataDxfId="302" dataCellStyle="Normal_WebframesCC"/>
    <tableColumn id="65" xr3:uid="{23DD232E-D5B8-4B7F-B085-97C85E052BAE}" name="2085" dataDxfId="301" dataCellStyle="Normal_WebframesCC"/>
    <tableColumn id="66" xr3:uid="{40AA16CF-19BA-4AEB-85D6-5AFAF7A42603}" name="2086" dataDxfId="300" dataCellStyle="Normal_WebframesCC"/>
    <tableColumn id="67" xr3:uid="{F87883B5-6B85-4A22-B5BA-67834DB51FEC}" name="2087" dataDxfId="299" dataCellStyle="Normal_WebframesCC"/>
    <tableColumn id="68" xr3:uid="{A9D5B8D0-AD9D-4F68-B2C7-85FD5080C61C}" name="2088" dataDxfId="298" dataCellStyle="Normal_WebframesCC"/>
    <tableColumn id="69" xr3:uid="{07B4AF29-7670-443A-922E-7E2A2A9065AB}" name="2089" dataDxfId="297" dataCellStyle="Normal_WebframesCC"/>
    <tableColumn id="70" xr3:uid="{C91E3E9B-A107-40C5-8BC2-7A3ED7D6985B}" name="2090" dataDxfId="296" dataCellStyle="Normal_WebframesCC"/>
    <tableColumn id="71" xr3:uid="{3CE57790-71DA-4298-95E4-82069BFE59A4}" name="2091" dataDxfId="295" dataCellStyle="Normal_WebframesCC"/>
    <tableColumn id="72" xr3:uid="{1B5B76F8-0C0B-428B-ACD5-E6C2F1AFBFC0}" name="2092" dataDxfId="294" dataCellStyle="Normal_WebframesCC"/>
    <tableColumn id="73" xr3:uid="{8BB98F63-3A86-4AA3-B84A-7232CB2354CE}" name="2093" dataDxfId="293" dataCellStyle="Normal_WebframesCC"/>
    <tableColumn id="74" xr3:uid="{B646FBED-98D5-4A7A-B5A2-D319F1EB5442}" name="2094" dataDxfId="292" dataCellStyle="Normal_WebframesCC"/>
    <tableColumn id="75" xr3:uid="{6081834C-1570-442B-A586-4AA98155E89E}" name="2095" dataDxfId="291" dataCellStyle="Normal_WebframesCC"/>
    <tableColumn id="76" xr3:uid="{1952D4F5-E1D9-4AF4-98BB-D04FF97F4E80}" name="2096" dataDxfId="290" dataCellStyle="Normal_WebframesCC"/>
    <tableColumn id="77" xr3:uid="{4B032264-85A4-47FA-86E5-7F24D23E4A9D}" name="2097" dataDxfId="289" dataCellStyle="Normal_WebframesCC"/>
    <tableColumn id="78" xr3:uid="{896D5F9B-8D40-4657-BA0D-E6F07A47FCFD}" name="2098" dataDxfId="288" dataCellStyle="Normal_WebframesCC"/>
    <tableColumn id="79" xr3:uid="{CC9055D5-566E-4BA9-A346-DD53055F80ED}" name="2099" dataDxfId="287" dataCellStyle="Normal_WebframesCC"/>
    <tableColumn id="80" xr3:uid="{2F350D39-850E-4BC2-AB4B-34B582E706D7}" name="2100" dataDxfId="286" dataCellStyle="Normal_WebframesCC"/>
    <tableColumn id="81" xr3:uid="{26884A50-1C1A-4FA3-97CD-099027DDEE21}" name="2101" dataDxfId="285" dataCellStyle="Normal_WebframesCC"/>
    <tableColumn id="82" xr3:uid="{C2DA2C2A-A098-4FB3-8ADB-384F513174A0}" name="2102" dataDxfId="284" dataCellStyle="Normal_WebframesCC"/>
    <tableColumn id="83" xr3:uid="{52608C49-AE78-4542-8AE5-1797A4BCAB59}" name="2103" dataDxfId="283" dataCellStyle="Normal_WebframesCC"/>
    <tableColumn id="84" xr3:uid="{FD0D5F04-06BB-4B89-BFB9-176364F4D248}" name="2104" dataDxfId="282" dataCellStyle="Normal_WebframesCC"/>
    <tableColumn id="85" xr3:uid="{AEFB04D3-370D-4227-9E59-72100708E880}" name="2105" dataDxfId="281" dataCellStyle="Normal_WebframesCC"/>
    <tableColumn id="86" xr3:uid="{A6C9AFF4-F707-4168-B0BF-8595C220B0A1}" name="2106" dataDxfId="280" dataCellStyle="Normal_WebframesCC"/>
    <tableColumn id="87" xr3:uid="{02A34590-B719-4CBB-83A7-C8326C7E63DA}" name="2107" dataDxfId="279" dataCellStyle="Normal_WebframesCC"/>
    <tableColumn id="88" xr3:uid="{79229879-DF2B-44B3-980F-BE3FA5CA684A}" name="2108" dataDxfId="278" dataCellStyle="Normal_WebframesCC"/>
    <tableColumn id="89" xr3:uid="{AB04CD7A-1A9D-4E09-A669-94DEF089DCBE}" name="2109" dataDxfId="277" dataCellStyle="Normal_WebframesCC"/>
    <tableColumn id="90" xr3:uid="{49E4D7A2-0AF5-4009-A2E1-CC8A48DEB119}" name="2110" dataDxfId="276" dataCellStyle="Normal_WebframesCC"/>
    <tableColumn id="91" xr3:uid="{6667A00E-3189-4277-B3AC-BB960BE3D75F}" name="2111" dataDxfId="275" dataCellStyle="Normal_WebframesCC"/>
    <tableColumn id="92" xr3:uid="{66A120E3-0C30-4153-899F-51501CF78D4C}" name="2112" dataDxfId="274" dataCellStyle="Normal_WebframesCC"/>
    <tableColumn id="93" xr3:uid="{41B7FFA6-98B9-4964-B599-3F613F8AA4BF}" name="2113" dataDxfId="273" dataCellStyle="Normal_WebframesCC"/>
    <tableColumn id="94" xr3:uid="{5ACA4BA8-F2A7-4D85-96CC-ECF949B91316}" name="2114" dataDxfId="272" dataCellStyle="Normal_WebframesCC"/>
    <tableColumn id="95" xr3:uid="{EAC17BB1-8B5D-4CAB-B479-9C48FE411E6C}" name="2115" dataDxfId="271" dataCellStyle="Normal_WebframesCC"/>
    <tableColumn id="96" xr3:uid="{BED41A81-7441-459A-A9DE-5D6700421E86}" name="2116" dataDxfId="270" dataCellStyle="Normal_WebframesCC"/>
    <tableColumn id="97" xr3:uid="{E0416592-C375-4BFF-9A51-49593C44FDB4}" name="2117" dataDxfId="269" dataCellStyle="Normal_WebframesCC"/>
    <tableColumn id="98" xr3:uid="{424D9820-214C-494E-BA26-C097A11FD3F1}" name="2118" dataDxfId="268" dataCellStyle="Normal_WebframesCC"/>
    <tableColumn id="99" xr3:uid="{C320F0DC-EA54-4D7B-AA59-44DA1C917172}" name="2119" dataDxfId="267" dataCellStyle="Normal_WebframesCC"/>
    <tableColumn id="100" xr3:uid="{CF79C60A-7AB6-4841-83B7-D036DD56D08F}" name="2120" dataDxfId="266" dataCellStyle="Normal_WebframesCC"/>
    <tableColumn id="101" xr3:uid="{F1931A52-C650-4299-815A-437ACC8C59A9}" name="2121" dataDxfId="265" dataCellStyle="Normal_WebframesCC"/>
    <tableColumn id="102" xr3:uid="{72E6352D-3793-44A8-850C-08F4E037471F}" name="2122" dataDxfId="264" dataCellStyle="Normal_WebframesCC"/>
  </tableColumns>
  <tableStyleInfo name="TableStyleLight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0204CA9-1B94-49A6-9AB2-F01B42A83444}" name="Table211" displayName="Table211" ref="A27:CX43" totalsRowShown="0" headerRowDxfId="263" dataDxfId="262">
  <autoFilter ref="A27:CX43"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autoFilter>
  <tableColumns count="102">
    <tableColumn id="1" xr3:uid="{0B075F31-D4DF-42CD-8531-3049B6F23175}" name="Ages" dataDxfId="261"/>
    <tableColumn id="2" xr3:uid="{1B46E799-F0B4-4EEE-8C78-768411B568CE}" name="2022" dataDxfId="260"/>
    <tableColumn id="3" xr3:uid="{AD81466E-BA1F-407E-8AED-F32C9557B70C}" name="2023" dataDxfId="259"/>
    <tableColumn id="4" xr3:uid="{1B4288D8-C8D4-4DEB-90CB-2A0B33C5E956}" name="2024" dataDxfId="258"/>
    <tableColumn id="5" xr3:uid="{1B3407E7-DE6B-4A02-97A6-E7089D402D2F}" name="2025" dataDxfId="257"/>
    <tableColumn id="6" xr3:uid="{77FE6716-5E4D-4F0A-86F2-AB9FF97359A1}" name="2026" dataDxfId="256"/>
    <tableColumn id="7" xr3:uid="{89C7A351-FFBB-4A8D-872F-647224886795}" name="2027" dataDxfId="255"/>
    <tableColumn id="8" xr3:uid="{444EB288-A394-4BBB-A662-8955EAAC58F6}" name="2028" dataDxfId="254"/>
    <tableColumn id="9" xr3:uid="{FBF8BE82-136B-4082-B629-D06A3A950A95}" name="2029" dataDxfId="253"/>
    <tableColumn id="10" xr3:uid="{A22C92C4-BF58-482D-8EF7-0C771598F0D5}" name="2030" dataDxfId="252"/>
    <tableColumn id="11" xr3:uid="{16E82975-8AC4-410C-831B-186A38B11EFD}" name="2031" dataDxfId="251"/>
    <tableColumn id="12" xr3:uid="{4DA8EFBD-5B6C-4E6A-B9A5-0DA74F5F7B37}" name="2032" dataDxfId="250"/>
    <tableColumn id="13" xr3:uid="{B0056723-728B-4B35-9514-0CAA1D0F2215}" name="2033" dataDxfId="249"/>
    <tableColumn id="14" xr3:uid="{6C1C5B67-B583-4BEA-B5DA-5197966166D9}" name="2034" dataDxfId="248"/>
    <tableColumn id="15" xr3:uid="{167A3A36-22F4-4C1A-9A02-10CD1D43C0EF}" name="2035" dataDxfId="247"/>
    <tableColumn id="16" xr3:uid="{87D72D18-71CD-438A-B021-B9F5C902044D}" name="2036" dataDxfId="246"/>
    <tableColumn id="17" xr3:uid="{091162B1-B9AC-401E-A3A1-F4351ABFED6C}" name="2037" dataDxfId="245"/>
    <tableColumn id="18" xr3:uid="{F9182285-DC93-4637-9123-064605A6478B}" name="2038" dataDxfId="244"/>
    <tableColumn id="19" xr3:uid="{5F7BA8F5-D07A-44B8-AAED-5DD844A1055F}" name="2039" dataDxfId="243"/>
    <tableColumn id="20" xr3:uid="{09936E69-375F-4293-9595-4A40BDBB9EE9}" name="2040" dataDxfId="242"/>
    <tableColumn id="21" xr3:uid="{C4C00FBD-3B81-4FB2-84E3-F0CAF61D480A}" name="2041" dataDxfId="241"/>
    <tableColumn id="22" xr3:uid="{542C8ECE-C8D5-4577-A096-6B57B72F7E79}" name="2042" dataDxfId="240"/>
    <tableColumn id="23" xr3:uid="{7BA16011-47D6-465C-8786-A71D161DDA8B}" name="2043" dataDxfId="239"/>
    <tableColumn id="24" xr3:uid="{28C90AEE-DF1C-417B-A64F-BEB7309B895E}" name="2044" dataDxfId="238"/>
    <tableColumn id="25" xr3:uid="{306F6D5B-8EE5-407F-A6B9-94C784D1804A}" name="2045" dataDxfId="237"/>
    <tableColumn id="26" xr3:uid="{D19939DD-CD7E-42EA-B4AC-4BA042E60587}" name="2046" dataDxfId="236"/>
    <tableColumn id="27" xr3:uid="{772CD2E6-4770-43D1-B248-68C70685DE75}" name="2047" dataDxfId="235"/>
    <tableColumn id="28" xr3:uid="{5091C9DB-BAD8-423A-9BF3-0B3958F5F29B}" name="2048" dataDxfId="234"/>
    <tableColumn id="29" xr3:uid="{363921D1-D447-464D-9E18-1EF87D3784C3}" name="2049" dataDxfId="233"/>
    <tableColumn id="30" xr3:uid="{F4DD402E-4624-40B2-BC70-78FA18D5399E}" name="2050" dataDxfId="232"/>
    <tableColumn id="31" xr3:uid="{1C352847-B3C0-4925-A378-27089B514AF0}" name="2051" dataDxfId="231"/>
    <tableColumn id="32" xr3:uid="{27AC5825-CA4C-41A6-81BA-785D66DFFAF1}" name="2052" dataDxfId="230"/>
    <tableColumn id="33" xr3:uid="{AC47CD62-8A1E-484F-9915-D4C0B01F8417}" name="2053" dataDxfId="229"/>
    <tableColumn id="34" xr3:uid="{A20E287E-17CA-4C88-A1F7-A6A7E676345B}" name="2054" dataDxfId="228"/>
    <tableColumn id="35" xr3:uid="{C68CCD6B-F17E-4FED-B6AF-5F7FEE9843D7}" name="2055" dataDxfId="227"/>
    <tableColumn id="36" xr3:uid="{6219E4DC-A839-4317-A04A-3230639FA4E2}" name="2056" dataDxfId="226"/>
    <tableColumn id="37" xr3:uid="{23792B2A-4A32-455D-80B2-AEBD8F2F88F0}" name="2057" dataDxfId="225"/>
    <tableColumn id="38" xr3:uid="{BD86E49B-0382-494E-8C46-8D10AF502C8C}" name="2058" dataDxfId="224"/>
    <tableColumn id="39" xr3:uid="{05308F80-6685-48D2-81D6-951F02E59FF9}" name="2059" dataDxfId="223"/>
    <tableColumn id="40" xr3:uid="{AE189F15-A6CA-4E10-B0FA-516504FC3907}" name="2060" dataDxfId="222"/>
    <tableColumn id="41" xr3:uid="{DE021FBF-3611-4D56-A99D-8A836DFF30E1}" name="2061" dataDxfId="221"/>
    <tableColumn id="42" xr3:uid="{5FD35286-2DF9-45D3-83E0-D5563C894A01}" name="2062" dataDxfId="220"/>
    <tableColumn id="43" xr3:uid="{A637B559-0C18-4B59-9A95-E97D33E6B776}" name="2063" dataDxfId="219"/>
    <tableColumn id="44" xr3:uid="{D42A84F4-A8C5-43D8-A970-49FE6B8A6152}" name="2064" dataDxfId="218"/>
    <tableColumn id="45" xr3:uid="{7CD7C22A-29B6-4F58-AAD3-C1B0962556C8}" name="2065" dataDxfId="217"/>
    <tableColumn id="46" xr3:uid="{E39F9903-C3F4-4625-BB1E-091E655A49A3}" name="2066" dataDxfId="216"/>
    <tableColumn id="47" xr3:uid="{6558B5C2-8A54-465D-9B02-E8144354229A}" name="2067" dataDxfId="215"/>
    <tableColumn id="48" xr3:uid="{91920627-D620-4BE8-B63E-3A330D62933F}" name="2068" dataDxfId="214"/>
    <tableColumn id="49" xr3:uid="{24F83D7A-AF11-42A6-A490-C9A82FCB4AB3}" name="2069" dataDxfId="213"/>
    <tableColumn id="50" xr3:uid="{4D5E611F-DD2F-48DB-9312-E7248417F243}" name="2070" dataDxfId="212"/>
    <tableColumn id="51" xr3:uid="{591E37BE-50A8-4A71-820D-07F0E4B98544}" name="2071" dataDxfId="211"/>
    <tableColumn id="52" xr3:uid="{5AC7810B-E1A4-4D3B-95BB-CF04D869DAEA}" name="2072" dataDxfId="210"/>
    <tableColumn id="53" xr3:uid="{C6593269-9160-4737-A938-68BE5199064A}" name="2073" dataDxfId="209"/>
    <tableColumn id="54" xr3:uid="{D1F884B5-2664-442D-A6F3-0ED0B8DEF82B}" name="2074" dataDxfId="208"/>
    <tableColumn id="55" xr3:uid="{D6660F95-E2F4-44A2-AFAE-04F884CA79DF}" name="2075" dataDxfId="207"/>
    <tableColumn id="56" xr3:uid="{9C5E7EC9-BC7B-4269-9939-D06E6878E6EB}" name="2076" dataDxfId="206"/>
    <tableColumn id="57" xr3:uid="{A424B451-4C98-43A0-8303-53B09541D4E6}" name="2077" dataDxfId="205"/>
    <tableColumn id="58" xr3:uid="{DE331DE3-474F-4C22-9FE5-DFFC3FD22597}" name="2078" dataDxfId="204"/>
    <tableColumn id="59" xr3:uid="{52264678-2170-4492-9DAB-E8B854906325}" name="2079" dataDxfId="203"/>
    <tableColumn id="60" xr3:uid="{AB8E0C1A-79EB-41D3-B932-26FE54B09C3C}" name="2080" dataDxfId="202"/>
    <tableColumn id="61" xr3:uid="{118F4B37-D0EB-4581-90A8-74EDE62A5CD8}" name="2081" dataDxfId="201"/>
    <tableColumn id="62" xr3:uid="{287294E7-252B-498F-9FDC-D35170C43716}" name="2082" dataDxfId="200"/>
    <tableColumn id="63" xr3:uid="{797554AC-A21F-4FE3-9F83-223D951A7603}" name="2083" dataDxfId="199"/>
    <tableColumn id="64" xr3:uid="{5E8BB139-4329-4649-A9DA-B8F18CE766B0}" name="2084" dataDxfId="198"/>
    <tableColumn id="65" xr3:uid="{06476A5A-60C5-4A66-A0CA-C210BA898030}" name="2085" dataDxfId="197"/>
    <tableColumn id="66" xr3:uid="{554C3CFE-CD33-4D80-8846-B3E17C9874E9}" name="2086" dataDxfId="196"/>
    <tableColumn id="67" xr3:uid="{78137A57-F72D-48BE-9174-93608CE423D3}" name="2087" dataDxfId="195"/>
    <tableColumn id="68" xr3:uid="{ABEFB233-D6B6-4538-83EA-EC98C30B89C3}" name="2088" dataDxfId="194"/>
    <tableColumn id="69" xr3:uid="{2B9E43B5-D090-45CD-BD26-11C3545A85C6}" name="2089" dataDxfId="193"/>
    <tableColumn id="70" xr3:uid="{C8066AD8-3C72-4826-9D39-1F4C534FAC08}" name="2090" dataDxfId="192"/>
    <tableColumn id="71" xr3:uid="{3637164B-95BD-470D-B7E2-B7999A9E386F}" name="2091" dataDxfId="191"/>
    <tableColumn id="72" xr3:uid="{8F95ACC4-5E46-44EA-A18F-4E278690BEBC}" name="2092" dataDxfId="190"/>
    <tableColumn id="73" xr3:uid="{8C412E42-A6BD-4259-8805-0DEFCE0E927E}" name="2093" dataDxfId="189"/>
    <tableColumn id="74" xr3:uid="{6DAEF37F-842B-4C28-BA03-DECB2A347812}" name="2094" dataDxfId="188"/>
    <tableColumn id="75" xr3:uid="{AC189EA0-87F0-4754-84E7-65AA2E94E3ED}" name="2095" dataDxfId="187"/>
    <tableColumn id="76" xr3:uid="{57C87128-04C1-424B-8D3B-13E568668007}" name="2096" dataDxfId="186"/>
    <tableColumn id="77" xr3:uid="{2EC0D203-0515-49F8-8FC2-E5E4B90BC6BA}" name="2097" dataDxfId="185"/>
    <tableColumn id="78" xr3:uid="{1EFB06B3-FA37-4DEC-B269-205A8D1D16FF}" name="2098" dataDxfId="184"/>
    <tableColumn id="79" xr3:uid="{44274659-7E85-4040-B04C-F65026CB8F37}" name="2099" dataDxfId="183"/>
    <tableColumn id="80" xr3:uid="{C6757014-6A0D-4368-A6DC-B07D16302923}" name="2100" dataDxfId="182"/>
    <tableColumn id="81" xr3:uid="{E7383880-C2B5-4DB1-AF2A-EF2C826E9D2E}" name="2101" dataDxfId="181"/>
    <tableColumn id="82" xr3:uid="{DAF111AD-425C-4558-9E38-3C68D79901B8}" name="2102" dataDxfId="180"/>
    <tableColumn id="83" xr3:uid="{6EAE7A99-0EE7-460C-8E03-1B277DE7D200}" name="2103" dataDxfId="179"/>
    <tableColumn id="84" xr3:uid="{E7F4A00C-E98E-47F3-A1B3-1193C488BE0D}" name="2104" dataDxfId="178"/>
    <tableColumn id="85" xr3:uid="{DB028C5A-9307-41C3-8E6D-94C324B37BEC}" name="2105" dataDxfId="177"/>
    <tableColumn id="86" xr3:uid="{15CC69BE-7278-4357-B44B-74CB498DE9D9}" name="2106" dataDxfId="176"/>
    <tableColumn id="87" xr3:uid="{DB87F980-7F2B-4206-9486-EF8C8561E2D4}" name="2107" dataDxfId="175"/>
    <tableColumn id="88" xr3:uid="{7FBEA614-6CCD-4608-BD4D-8FEA9639B7A0}" name="2108" dataDxfId="174"/>
    <tableColumn id="89" xr3:uid="{DCBC4E0D-A45C-4963-82B0-2582B8E736A0}" name="2109" dataDxfId="173"/>
    <tableColumn id="90" xr3:uid="{CB6BA9C1-5E1E-40E7-B09A-AA8668E33E4F}" name="2110" dataDxfId="172"/>
    <tableColumn id="91" xr3:uid="{5095FC77-43CA-4DB8-B3AE-8607023F0655}" name="2111" dataDxfId="171"/>
    <tableColumn id="92" xr3:uid="{A01E274E-A70E-4185-9492-0C7CD4B3CA75}" name="2112" dataDxfId="170"/>
    <tableColumn id="93" xr3:uid="{60467809-D504-463C-8CDC-145755CFF5D9}" name="2113" dataDxfId="169"/>
    <tableColumn id="94" xr3:uid="{26C7B835-47E0-44B5-9450-26BEE4D60B86}" name="2114" dataDxfId="168"/>
    <tableColumn id="95" xr3:uid="{2BCD48BB-9D93-47C7-ADB9-C73FF03E063B}" name="2115" dataDxfId="167"/>
    <tableColumn id="96" xr3:uid="{099E9EA8-15E4-4E94-ADF5-CB1EC93AC179}" name="2116" dataDxfId="166"/>
    <tableColumn id="97" xr3:uid="{25D92255-CCFE-4BBB-A6BF-317BA0BE74E4}" name="2117" dataDxfId="165"/>
    <tableColumn id="98" xr3:uid="{70FA2E77-CBBE-4F6D-B715-A3C174D81B61}" name="2118" dataDxfId="164"/>
    <tableColumn id="99" xr3:uid="{9BD63DE1-0378-46AF-ACAF-9F977AFD39F1}" name="2119" dataDxfId="163"/>
    <tableColumn id="100" xr3:uid="{6FFC5D01-4369-40EF-9455-F29C0A78BBE9}" name="2120" dataDxfId="162"/>
    <tableColumn id="101" xr3:uid="{FEDED4E4-6EA0-452D-A576-8884DB9BFA28}" name="2121" dataDxfId="161"/>
    <tableColumn id="102" xr3:uid="{5B1A0439-2EAA-450E-A0B2-39A169B13BC3}" name="2122" dataDxfId="160"/>
  </tableColumns>
  <tableStyleInfo name="TableStyleLight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FDB3A25-893D-41AA-A3A1-1258699362C4}" name="Table312" displayName="Table312" ref="A46:CX57" totalsRowShown="0" headerRowDxfId="159" dataDxfId="158">
  <autoFilter ref="A46:CX57"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autoFilter>
  <tableColumns count="102">
    <tableColumn id="1" xr3:uid="{3712F072-9303-4915-A046-613AA477A469}" name="Age groups" dataDxfId="157"/>
    <tableColumn id="2" xr3:uid="{8BA327E3-5DB5-44B9-BB62-A5E03882F243}" name="2022" dataDxfId="156"/>
    <tableColumn id="3" xr3:uid="{C95D2479-7DD4-45C9-92AC-032A07FBF2D1}" name="2023" dataDxfId="155"/>
    <tableColumn id="4" xr3:uid="{0661D31F-5E13-46D7-AFAF-33021174C7CD}" name="2024" dataDxfId="154"/>
    <tableColumn id="5" xr3:uid="{FAB076AA-6590-42E0-8A5D-B5F8D088B6D9}" name="2025" dataDxfId="153"/>
    <tableColumn id="6" xr3:uid="{6C0C8BD3-9A64-49B4-A3F9-F5C936280830}" name="2026" dataDxfId="152"/>
    <tableColumn id="7" xr3:uid="{0FE19D76-2B5C-4B52-8D3D-61EDC4A7D29C}" name="2027" dataDxfId="151"/>
    <tableColumn id="8" xr3:uid="{35731A65-FAA4-4C1C-9A05-89CBD0A22117}" name="2028" dataDxfId="150"/>
    <tableColumn id="9" xr3:uid="{DB46DB43-ACAC-4476-A277-33B57289F981}" name="2029" dataDxfId="149"/>
    <tableColumn id="10" xr3:uid="{8E2F12CB-FEDB-4356-8A94-DCE5F8109F9C}" name="2030" dataDxfId="148"/>
    <tableColumn id="11" xr3:uid="{1F2D1572-EBFA-48FA-8242-8EC6D46CE90A}" name="2031" dataDxfId="147"/>
    <tableColumn id="12" xr3:uid="{EE74820F-8ED6-4FF3-9732-9FB1911A4ED5}" name="2032" dataDxfId="146"/>
    <tableColumn id="13" xr3:uid="{F8795578-38AC-4447-B220-6E8B9475769E}" name="2033" dataDxfId="145"/>
    <tableColumn id="14" xr3:uid="{FE7D0674-11D7-4925-88DD-CEC02C1FE2C2}" name="2034" dataDxfId="144"/>
    <tableColumn id="15" xr3:uid="{6821DED3-94ED-400C-B997-D6E9FD4FBF93}" name="2035" dataDxfId="143"/>
    <tableColumn id="16" xr3:uid="{5E2ACEDE-54BC-49D9-ADC7-A8EA2CFA713E}" name="2036" dataDxfId="142"/>
    <tableColumn id="17" xr3:uid="{4816A08C-B49E-4536-88A8-654005C87507}" name="2037" dataDxfId="141"/>
    <tableColumn id="18" xr3:uid="{0D788B3D-6A0A-4195-86AD-0686C2DA29C4}" name="2038" dataDxfId="140"/>
    <tableColumn id="19" xr3:uid="{ED62D8FB-772E-44BD-9D56-9E069BF52D78}" name="2039" dataDxfId="139"/>
    <tableColumn id="20" xr3:uid="{56D13B58-7246-48B7-9664-E6866777240B}" name="2040" dataDxfId="138"/>
    <tableColumn id="21" xr3:uid="{E663B884-8F4B-40E1-8BDE-49A79318B52D}" name="2041" dataDxfId="137"/>
    <tableColumn id="22" xr3:uid="{AECB0097-76B9-498C-A9EE-4D6FDC0C915B}" name="2042" dataDxfId="136"/>
    <tableColumn id="23" xr3:uid="{C8E0052C-F47D-45B3-B44B-72FA69A52182}" name="2043" dataDxfId="135"/>
    <tableColumn id="24" xr3:uid="{1488C298-889E-47FA-B83B-BA65D94EFD62}" name="2044" dataDxfId="134"/>
    <tableColumn id="25" xr3:uid="{0C689889-E7AA-4957-B44A-5A878911417A}" name="2045" dataDxfId="133"/>
    <tableColumn id="26" xr3:uid="{F2E2ADF6-E2E6-464F-8BAA-0B39511ABC1A}" name="2046" dataDxfId="132"/>
    <tableColumn id="27" xr3:uid="{61248A86-18E9-4988-8A95-26F0D774FEF5}" name="2047" dataDxfId="131"/>
    <tableColumn id="28" xr3:uid="{BBC41A15-49AE-4E32-B1F8-946074E9213D}" name="2048" dataDxfId="130"/>
    <tableColumn id="29" xr3:uid="{98EF0C88-3799-4DDD-A97F-69DEE93592CB}" name="2049" dataDxfId="129"/>
    <tableColumn id="30" xr3:uid="{C8044848-B443-483D-90E2-ECBBC81FAD9D}" name="2050" dataDxfId="128"/>
    <tableColumn id="31" xr3:uid="{96161BFB-E1D4-440C-A515-FA11F6DA3B34}" name="2051" dataDxfId="127"/>
    <tableColumn id="32" xr3:uid="{4AAA99BD-B1D7-49FE-ACB2-633807F5B5F5}" name="2052" dataDxfId="126"/>
    <tableColumn id="33" xr3:uid="{37E6AFFE-6CAA-4469-B04C-07C384EF94D5}" name="2053" dataDxfId="125"/>
    <tableColumn id="34" xr3:uid="{C74E831B-7651-40E1-A014-F607F09FAFC4}" name="2054" dataDxfId="124"/>
    <tableColumn id="35" xr3:uid="{DD60A0CB-9533-4A41-8626-3C875E15C362}" name="2055" dataDxfId="123"/>
    <tableColumn id="36" xr3:uid="{BB395DCC-399B-4DC8-BF30-8526EB851097}" name="2056" dataDxfId="122"/>
    <tableColumn id="37" xr3:uid="{BD3E6393-3AA0-49CC-B6ED-B02AED8FCD72}" name="2057" dataDxfId="121"/>
    <tableColumn id="38" xr3:uid="{F76291BB-3C0A-4469-95D2-70BBC4E427FB}" name="2058" dataDxfId="120"/>
    <tableColumn id="39" xr3:uid="{64A5BCC2-B0D1-4D98-9547-F530BE55AA1F}" name="2059" dataDxfId="119"/>
    <tableColumn id="40" xr3:uid="{9665FAC5-ADE2-40E8-9111-341270AEAFE8}" name="2060" dataDxfId="118"/>
    <tableColumn id="41" xr3:uid="{D918AE1E-9898-484F-AFAC-C97C550D3C41}" name="2061" dataDxfId="117"/>
    <tableColumn id="42" xr3:uid="{70990D42-9C26-488B-9DF4-7662DE6DFE0D}" name="2062" dataDxfId="116"/>
    <tableColumn id="43" xr3:uid="{E72D4E4C-B6EE-43DE-A551-45660FF1DD40}" name="2063" dataDxfId="115"/>
    <tableColumn id="44" xr3:uid="{76C1BFD4-B336-4ADD-B5B4-049B68C6E7D7}" name="2064" dataDxfId="114"/>
    <tableColumn id="45" xr3:uid="{431F48C5-1DCC-4F9D-A2F1-76317493E14C}" name="2065" dataDxfId="113"/>
    <tableColumn id="46" xr3:uid="{89E4EBFB-0E41-4933-9492-220467595B49}" name="2066" dataDxfId="112"/>
    <tableColumn id="47" xr3:uid="{618919CD-B61F-49EF-820F-224D5BE84253}" name="2067" dataDxfId="111"/>
    <tableColumn id="48" xr3:uid="{053CFCD5-A329-460A-9CE6-2BFBF0CC171F}" name="2068" dataDxfId="110"/>
    <tableColumn id="49" xr3:uid="{51BE5D55-6A4F-4D50-B214-4DFE34DAA9A8}" name="2069" dataDxfId="109"/>
    <tableColumn id="50" xr3:uid="{2783DE7E-28ED-4259-B2A4-8ABD155F15C7}" name="2070" dataDxfId="108"/>
    <tableColumn id="51" xr3:uid="{40CABC72-AEC4-4E1D-A60C-60B4259C8DB1}" name="2071" dataDxfId="107"/>
    <tableColumn id="52" xr3:uid="{130C0929-C659-4265-A1F5-FC3CE66A1510}" name="2072" dataDxfId="106"/>
    <tableColumn id="53" xr3:uid="{1B488D90-86D6-4DF7-8A3C-647696FFEE06}" name="2073" dataDxfId="105"/>
    <tableColumn id="54" xr3:uid="{738B08F6-12A3-4699-B75E-CAB57127E70B}" name="2074" dataDxfId="104"/>
    <tableColumn id="55" xr3:uid="{5AF8FE51-AF12-4659-BBE8-6DFB7E9E58C5}" name="2075" dataDxfId="103"/>
    <tableColumn id="56" xr3:uid="{756E12EE-B92C-4457-8506-08E965356FD7}" name="2076" dataDxfId="102"/>
    <tableColumn id="57" xr3:uid="{53225FBF-C620-49F8-89DD-FDA5495346FD}" name="2077" dataDxfId="101"/>
    <tableColumn id="58" xr3:uid="{7A0F49A1-8C3A-4E2A-881A-4B1A9B387D76}" name="2078" dataDxfId="100"/>
    <tableColumn id="59" xr3:uid="{00E2F411-5058-4148-B4FF-3A38D007BA36}" name="2079" dataDxfId="99"/>
    <tableColumn id="60" xr3:uid="{842C9419-2FA8-42F8-AD76-124857435922}" name="2080" dataDxfId="98"/>
    <tableColumn id="61" xr3:uid="{27B46E17-24B5-4FCD-9BEA-095E7FBAC885}" name="2081" dataDxfId="97"/>
    <tableColumn id="62" xr3:uid="{91BD6E40-6DF1-4657-81B6-9ED27CD8DF34}" name="2082" dataDxfId="96"/>
    <tableColumn id="63" xr3:uid="{8C37903D-A0AD-43FD-827D-29D516DF3FD5}" name="2083" dataDxfId="95"/>
    <tableColumn id="64" xr3:uid="{1BBB2542-8062-4595-ADBB-C50157FD4375}" name="2084" dataDxfId="94"/>
    <tableColumn id="65" xr3:uid="{8DE76936-9544-49C4-AB92-BFB304002EFC}" name="2085" dataDxfId="93"/>
    <tableColumn id="66" xr3:uid="{37536A87-D86A-4850-8232-35EDEA3E05A0}" name="2086" dataDxfId="92"/>
    <tableColumn id="67" xr3:uid="{E763B1E9-2B34-45E9-AE07-24127BB8DC85}" name="2087" dataDxfId="91"/>
    <tableColumn id="68" xr3:uid="{40809506-6CF8-472E-BCF0-D9E7501D03FC}" name="2088" dataDxfId="90"/>
    <tableColumn id="69" xr3:uid="{1D709016-0792-4985-8F4B-52109C0FA054}" name="2089" dataDxfId="89"/>
    <tableColumn id="70" xr3:uid="{B6CE661C-192D-4610-B53E-A8D4B39C08E9}" name="2090" dataDxfId="88"/>
    <tableColumn id="71" xr3:uid="{40E883F7-BDB8-4767-A002-9CED740CCCE4}" name="2091" dataDxfId="87"/>
    <tableColumn id="72" xr3:uid="{0ECEC70A-7389-4101-A09D-5D943DCFD0AA}" name="2092" dataDxfId="86"/>
    <tableColumn id="73" xr3:uid="{0DD5C33A-5FE0-4AB9-B286-D0D02055CAD7}" name="2093" dataDxfId="85"/>
    <tableColumn id="74" xr3:uid="{75FB66FF-C08F-49D9-9AAF-A27EA2FC7830}" name="2094" dataDxfId="84"/>
    <tableColumn id="75" xr3:uid="{64B45A46-09FC-483B-A266-C8B35FF60544}" name="2095" dataDxfId="83"/>
    <tableColumn id="76" xr3:uid="{2F4DDCDA-8A4D-4BCB-B551-FD3582C9F2ED}" name="2096" dataDxfId="82"/>
    <tableColumn id="77" xr3:uid="{6559AF7E-D9B0-41F7-A918-69FF50842B86}" name="2097" dataDxfId="81"/>
    <tableColumn id="78" xr3:uid="{87BF7F53-2E25-44B0-8EAA-C98413407144}" name="2098" dataDxfId="80"/>
    <tableColumn id="79" xr3:uid="{4DDDDE88-30CC-4C74-8A5F-AE5B257AAC30}" name="2099" dataDxfId="79"/>
    <tableColumn id="80" xr3:uid="{DB4CA735-B673-4C07-865E-2BDBDBE18CA3}" name="2100" dataDxfId="78"/>
    <tableColumn id="81" xr3:uid="{5D06A7FB-AECB-4F44-85BC-1A7A45A95B7F}" name="2101" dataDxfId="77"/>
    <tableColumn id="82" xr3:uid="{C007834E-C752-4FC9-938C-4C4E75D47AFA}" name="2102" dataDxfId="76"/>
    <tableColumn id="83" xr3:uid="{796A2FBA-968D-48E6-9D73-67F3942B5EA4}" name="2103" dataDxfId="75"/>
    <tableColumn id="84" xr3:uid="{47CF4B92-3230-4C8A-819B-DA29C27565CF}" name="2104" dataDxfId="74"/>
    <tableColumn id="85" xr3:uid="{B6AA4BC6-54FA-4108-9A18-B4AA94F759D0}" name="2105" dataDxfId="73"/>
    <tableColumn id="86" xr3:uid="{694A433F-EBEE-4A90-9C06-578CDBBE0D7E}" name="2106" dataDxfId="72"/>
    <tableColumn id="87" xr3:uid="{37A284D9-D57D-46CB-BF9C-563B0B9FE85A}" name="2107" dataDxfId="71"/>
    <tableColumn id="88" xr3:uid="{131FDB07-EFF8-468A-97A8-C2BB20475C4E}" name="2108" dataDxfId="70"/>
    <tableColumn id="89" xr3:uid="{2B625040-C029-412B-8ADA-2F68CA681C76}" name="2109" dataDxfId="69"/>
    <tableColumn id="90" xr3:uid="{F0D98698-53B0-476E-B720-9F3922ECA4F7}" name="2110" dataDxfId="68"/>
    <tableColumn id="91" xr3:uid="{7C980F6F-34C1-4BAF-9503-29A7B3B63141}" name="2111" dataDxfId="67"/>
    <tableColumn id="92" xr3:uid="{37CC7C03-C699-4148-87C2-5B4E51F3BA3A}" name="2112" dataDxfId="66"/>
    <tableColumn id="93" xr3:uid="{E2BD1B00-882F-4C39-BD3F-0656F17433A3}" name="2113" dataDxfId="65"/>
    <tableColumn id="94" xr3:uid="{27DB5B9D-9E71-41C3-8086-4767945FA7CE}" name="2114" dataDxfId="64"/>
    <tableColumn id="95" xr3:uid="{B7D274A7-3F3E-4133-9819-96A4E972F002}" name="2115" dataDxfId="63"/>
    <tableColumn id="96" xr3:uid="{33BBB88A-EF83-405B-8D41-1C89DE03B188}" name="2116" dataDxfId="62"/>
    <tableColumn id="97" xr3:uid="{CC3A126E-17C3-4B36-A48C-825B6E9B4AFA}" name="2117" dataDxfId="61"/>
    <tableColumn id="98" xr3:uid="{898E0656-3970-444B-9CE1-29F2611F5557}" name="2118" dataDxfId="60"/>
    <tableColumn id="99" xr3:uid="{623B455C-E2FA-4A6D-88C3-3451BA796520}" name="2119" dataDxfId="59"/>
    <tableColumn id="100" xr3:uid="{36D25A4C-8575-4B42-9A50-15DE9321D4A5}" name="2120" dataDxfId="58"/>
    <tableColumn id="101" xr3:uid="{1D521FB3-15A4-40CF-BF82-01C8597BDE30}" name="2121" dataDxfId="57"/>
    <tableColumn id="102" xr3:uid="{B145CC90-2FBB-47E8-BD51-E33A9F9026E2}" name="2122" dataDxfId="56"/>
  </tableColumns>
  <tableStyleInfo name="TableStyleLight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A0EA866-EA6E-461A-ACA5-1890E1B625AF}" name="monthly_vis_01" displayName="monthly_vis_01" ref="A4:K52" totalsRowShown="0">
  <autoFilter ref="A4:K52" xr:uid="{9BB134B0-F657-4C12-8A09-994DEE4505AD}"/>
  <tableColumns count="11">
    <tableColumn id="1" xr3:uid="{504C1792-5261-499F-AD5A-A83A334F04A8}" name="Year"/>
    <tableColumn id="2" xr3:uid="{63E3D0CF-5173-41B6-9E97-AED6E1193BF3}" name="Month"/>
    <tableColumn id="3" xr3:uid="{02CB836D-4B4A-4375-9627-0FFE94D20A43}" name="Skilled Worker - Main applicants"/>
    <tableColumn id="4" xr3:uid="{045DD65F-F4BA-4F04-A68B-FBA26E55E380}" name="Skilled Worker - Dependants"/>
    <tableColumn id="5" xr3:uid="{5F3327C8-38DA-43E3-8380-A4684C1906FD}" name="Health and Care Worker - Main applicants"/>
    <tableColumn id="6" xr3:uid="{DC5F2FA9-D7C8-4FBC-98C9-637BC6FE9589}" name="Health and Care Worker - Dependants"/>
    <tableColumn id="7" xr3:uid="{9DE2D0CE-9DB4-4781-88CE-CEDEF31874FA}" name="Sponsored Study - Main applicants"/>
    <tableColumn id="8" xr3:uid="{F0B18E18-A49A-45B0-8645-BD57D2F74898}" name="Sponsored Study - Dependants"/>
    <tableColumn id="9" xr3:uid="{0FA935D3-A179-4253-901E-E7FF5CF61BA6}" name="Seasonal Worker - Main applicants"/>
    <tableColumn id="10" xr3:uid="{6389964E-6020-47E4-A25C-379E1E3BA446}" name="Youth Mobility Scheme - Main applicants"/>
    <tableColumn id="11" xr3:uid="{CAAFC650-0367-48CF-BEF7-B3B2307612A7}" name="Family - All applicants"/>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D4E948-5032-49C8-ABB4-2C50E841BA83}" name="Table1" displayName="Table1" ref="A6:F165" totalsRowShown="0" headerRowDxfId="55" dataDxfId="54">
  <autoFilter ref="A6:F165" xr:uid="{1A4FB06A-6BB0-4898-B79F-9A74D403B80B}">
    <filterColumn colId="0" hiddenButton="1"/>
    <filterColumn colId="1" hiddenButton="1"/>
    <filterColumn colId="2" hiddenButton="1"/>
    <filterColumn colId="3" hiddenButton="1"/>
    <filterColumn colId="4" hiddenButton="1"/>
    <filterColumn colId="5" hiddenButton="1"/>
  </autoFilter>
  <tableColumns count="6">
    <tableColumn id="1" xr3:uid="{EF0ACF74-A586-4617-AF69-EB57F84A09F6}" name="Flow_x000a_[note 2]" dataDxfId="53"/>
    <tableColumn id="2" xr3:uid="{FB185F1C-08F3-422E-B11C-9166E31F593B}" name="Period_x000a_[note 10]" dataDxfId="52"/>
    <tableColumn id="3" xr3:uid="{7397CCD0-163F-4891-AFA6-A5AB4E35968B}" name="All Nationalities_x000a_[note 1]" dataDxfId="51"/>
    <tableColumn id="4" xr3:uid="{1EA5E513-F381-4C58-AF43-F9E6FA011089}" name="British_x000a_[definition 2]" dataDxfId="50"/>
    <tableColumn id="5" xr3:uid="{23573C7D-091A-4BA0-A7D6-59B71F74FF43}" name="EU+_x000a_[definition 3]" dataDxfId="49"/>
    <tableColumn id="6" xr3:uid="{969D1F9D-061C-416A-9E2A-6A8A6B63EF7E}" name="Non-EU+_x000a_[definition 4]" dataDxfId="48"/>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F8D3BA-D259-42CB-8358-FB2244E7BB83}" name="Table4a" displayName="Table4a" ref="A6:L57" totalsRowShown="0" headerRowDxfId="47" dataDxfId="46">
  <autoFilter ref="A6:L57" xr:uid="{1D7906B8-76C5-4976-B49C-FA8367B2B1E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9EF4F0F4-66F5-4309-8D43-E2A3DB92CDE6}" name="Flow_x000a_[note 2]" dataDxfId="45"/>
    <tableColumn id="2" xr3:uid="{0E5F4554-AF28-402B-8293-342D6B5D7DE4}" name="Period_x000a_[note 10]" dataDxfId="44"/>
    <tableColumn id="3" xr3:uid="{A0B910B8-0183-489E-AB8A-8595557B17BC}" name="All reasons_x000a_[note 5]" dataDxfId="43"/>
    <tableColumn id="4" xr3:uid="{E1140295-7BA5-401C-AA3F-89D63B845792}" name="All Work Related" dataDxfId="42"/>
    <tableColumn id="5" xr3:uid="{2029425A-347D-4E98-9513-EF3409A15684}" name="Work: Main applicant" dataDxfId="41"/>
    <tableColumn id="6" xr3:uid="{DBE89D5F-E504-480F-A2D6-14DE0304B448}" name="Work: Dependant" dataDxfId="40"/>
    <tableColumn id="7" xr3:uid="{838E29CA-60EE-41FF-A8E8-9A6F5EA27756}" name="All Study Related" dataDxfId="39"/>
    <tableColumn id="8" xr3:uid="{9FAB7613-4C57-4297-9D6B-5DAA056C644F}" name="Study: Main applicant" dataDxfId="38"/>
    <tableColumn id="9" xr3:uid="{4EA5DBA1-D366-4248-9E4E-9416782015D8}" name="Study: Dependant" dataDxfId="37"/>
    <tableColumn id="10" xr3:uid="{697B1F32-3A9A-4FD2-999A-F0E171FD7F0E}" name="Family" dataDxfId="36"/>
    <tableColumn id="11" xr3:uid="{B899BD8B-A9AA-4294-ACAB-92C86D47C051}" name="Other_x000a_[definition 12]" dataDxfId="35"/>
    <tableColumn id="12" xr3:uid="{DC07ADB8-C349-49E3-84D5-857C76C75613}" name="Asylum" dataDxfId="34"/>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5FE2292-B40C-4DAF-9CB5-3FBBF6603C81}" name="Table4b" displayName="Table4b" ref="A6:P81" totalsRowShown="0" headerRowDxfId="33" dataDxfId="32">
  <autoFilter ref="A6:P81" xr:uid="{16F309C9-7E96-4B13-A2DF-6C5E8E69102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882F3F1-50D5-403B-A64C-1506D47BEB8E}" name="Flow_x000a_[note 2]" dataDxfId="31"/>
    <tableColumn id="2" xr3:uid="{4B01B995-631B-444C-8E9A-ED73882AB119}" name="Period_x000a_[note 10]" dataDxfId="30"/>
    <tableColumn id="3" xr3:uid="{0D61B268-B5A7-4AE0-B5EF-CA7D2E8E64EA}" name="All reasons_x000a_[note 5]" dataDxfId="29"/>
    <tableColumn id="4" xr3:uid="{34B7F73C-7C4D-48D1-9903-F128E55F3074}" name="All Work Related" dataDxfId="28"/>
    <tableColumn id="5" xr3:uid="{3CA996ED-73D9-4A60-A41A-E04ABB7573A9}" name="Work: Main applicant" dataDxfId="27"/>
    <tableColumn id="6" xr3:uid="{6A3F34B5-903F-40A1-A4A2-666EFF7B0C3C}" name="Work: Dependant" dataDxfId="26"/>
    <tableColumn id="7" xr3:uid="{614CA723-F46E-4798-96FD-0851BBAF1CC2}" name="All Study Related" dataDxfId="25"/>
    <tableColumn id="8" xr3:uid="{FD59D073-D6BE-46C5-BA89-AB0ABBC25BE0}" name="Study: Main applicant" dataDxfId="24"/>
    <tableColumn id="9" xr3:uid="{C2929673-9CD2-42BF-A9BD-1B8E371EB789}" name="Study: Dependant" dataDxfId="23"/>
    <tableColumn id="10" xr3:uid="{41A62198-06B7-42C4-8206-9969501C3D54}" name="Family" dataDxfId="22"/>
    <tableColumn id="11" xr3:uid="{42E6B6A8-FFC6-49E1-AA82-8B5344DB5DC0}" name="All Humanitarian" dataDxfId="21"/>
    <tableColumn id="12" xr3:uid="{8992AA65-9327-48FC-94E6-797F5DC72ABE}" name="Humanitarian: BNO_x000a_[definition 8]" dataDxfId="20"/>
    <tableColumn id="13" xr3:uid="{6E922D4B-F7D5-4A8B-A78E-413ED3701F6D}" name="Humanitarian:_x000a_Resettlement_x000a_[definition 9] " dataDxfId="19"/>
    <tableColumn id="14" xr3:uid="{FB80A2DC-0D0C-4FF8-BD47-0EECED165BD2}" name="Humanitarian:_x000a_Ukraine_x000a_[definition 10]" dataDxfId="18"/>
    <tableColumn id="15" xr3:uid="{B9A1670D-25B4-4302-96B4-B0E6CBF045A4}" name="Asylum_x000a_[definition 11]" dataDxfId="17"/>
    <tableColumn id="16" xr3:uid="{14699B3C-2165-4FA3-9F9F-D4B90B87E8EB}" name="Other_x000a_[definition 13] " dataDxfId="16"/>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632895A-6194-45E1-BB9B-5066DE99018C}" name="Table6a" displayName="Table6a" ref="A5:F22" totalsRowShown="0" headerRowDxfId="15" dataDxfId="14">
  <autoFilter ref="A5:F22" xr:uid="{D7AD8F3E-7268-4907-9223-2C3C474ECEA7}">
    <filterColumn colId="0" hiddenButton="1"/>
    <filterColumn colId="1" hiddenButton="1"/>
    <filterColumn colId="2" hiddenButton="1"/>
    <filterColumn colId="3" hiddenButton="1"/>
    <filterColumn colId="4" hiddenButton="1"/>
    <filterColumn colId="5" hiddenButton="1"/>
  </autoFilter>
  <tableColumns count="6">
    <tableColumn id="1" xr3:uid="{76DF4480-000C-494A-9C48-28B890D1E7F0}" name="Period" dataDxfId="13"/>
    <tableColumn id="2" xr3:uid="{9CBD3527-C615-4A56-BE75-CBC71B534CF6}" name="EU+ visa holder_x000a_immigration estimates from_x000a_Office for National Statistics" dataDxfId="12"/>
    <tableColumn id="3" xr3:uid="{371BCE7C-75CC-407F-9DE1-0A4176271D95}" name="EU+ visas granted_x000a_(Home Office) " dataDxfId="11"/>
    <tableColumn id="4" xr3:uid="{060F9CAB-FD28-4EBB-8691-9784CD4EB1D6}" name="All EU+ estimates from Registration and Population Interaction Database (RAPID) " dataDxfId="10"/>
    <tableColumn id="5" xr3:uid="{2789DFC7-3604-4217-986F-547B550AF50C}" name="All EU+_x000a_National Insurance number_x000a_allocations (DWP)" dataDxfId="9"/>
    <tableColumn id="6" xr3:uid="{599E4641-BBBA-4A28-9C00-26997D4B5CF6}" name="All EU+_x000a_immigration estimates from _x000a_Office for National Statistics" dataDxfId="8"/>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397635C-9EA9-402C-A52D-0245056DA1CD}" name="Table6b" displayName="Table6b" ref="A5:F30" totalsRowShown="0" headerRowDxfId="7" dataDxfId="6">
  <autoFilter ref="A5:F30" xr:uid="{BA767F2B-B47F-4062-A353-6D4283C34CCE}">
    <filterColumn colId="0" hiddenButton="1"/>
    <filterColumn colId="1" hiddenButton="1"/>
    <filterColumn colId="2" hiddenButton="1"/>
    <filterColumn colId="3" hiddenButton="1"/>
    <filterColumn colId="4" hiddenButton="1"/>
    <filterColumn colId="5" hiddenButton="1"/>
  </autoFilter>
  <tableColumns count="6">
    <tableColumn id="1" xr3:uid="{4509531E-71AF-4AD5-AA90-7088DD4C016B}" name="Period_x000a_[note 10]" dataDxfId="5"/>
    <tableColumn id="2" xr3:uid="{A54188A9-80ED-4077-A86B-10EEDCBA094D}" name="Long-term immigration estimates from _x000a_Office for National Statistics" dataDxfId="4"/>
    <tableColumn id="3" xr3:uid="{F3AE6577-0AB4-4FBA-BE9B-83480C092DD2}" name="Number of _x000a_visas granted (Home Office) " dataDxfId="3"/>
    <tableColumn id="4" xr3:uid="{2204F9E5-F1E8-4AA6-9431-9A41B6333E2E}" name="Census 2021" dataDxfId="2"/>
    <tableColumn id="5" xr3:uid="{2E217762-058A-4D5A-B614-A3701AB32A40}" name="Estimates from Registration and Population Interaction Database (RAPID) " dataDxfId="1"/>
    <tableColumn id="6" xr3:uid="{F3DB9D6D-4C98-468A-BEB5-E075F2EF87B4}" name="_x000a_ National Insurance number allocations (DWP)" dataDxfId="0"/>
  </tableColumns>
  <tableStyleInfo showFirstColumn="0" showLastColumn="0" showRowStripes="1" showColumnStripes="0"/>
</table>
</file>

<file path=xl/theme/theme1.xml><?xml version="1.0" encoding="utf-8"?>
<a:theme xmlns:a="http://schemas.openxmlformats.org/drawingml/2006/main" name="Office Theme">
  <a:themeElements>
    <a:clrScheme name="OE">
      <a:dk1>
        <a:srgbClr val="495057"/>
      </a:dk1>
      <a:lt1>
        <a:sysClr val="window" lastClr="FFFFFF"/>
      </a:lt1>
      <a:dk2>
        <a:srgbClr val="003469"/>
      </a:dk2>
      <a:lt2>
        <a:srgbClr val="EEECE1"/>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OE">
    <a:dk1>
      <a:sysClr val="windowText" lastClr="000000"/>
    </a:dk1>
    <a:lt1>
      <a:sysClr val="window" lastClr="FFFFFF"/>
    </a:lt1>
    <a:dk2>
      <a:srgbClr val="003469"/>
    </a:dk2>
    <a:lt2>
      <a:srgbClr val="EEECE1"/>
    </a:lt2>
    <a:accent1>
      <a:srgbClr val="BD1B21"/>
    </a:accent1>
    <a:accent2>
      <a:srgbClr val="003469"/>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ustomProperty" Target="../customProperty3.bin"/><Relationship Id="rId2" Type="http://schemas.openxmlformats.org/officeDocument/2006/relationships/customProperty" Target="../customProperty2.bin"/><Relationship Id="rId1" Type="http://schemas.openxmlformats.org/officeDocument/2006/relationships/customProperty" Target="../customProperty1.bin"/></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A6BE3-75DD-4410-A315-FF6406E0D53A}">
  <sheetPr>
    <tabColor rgb="FFC00000"/>
  </sheetPr>
  <dimension ref="A1"/>
  <sheetViews>
    <sheetView workbookViewId="0"/>
  </sheetViews>
  <sheetFormatPr defaultRowHeig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ACC23-9A15-42B0-B9CA-000A83778F28}">
  <sheetPr>
    <tabColor rgb="FFC00000"/>
  </sheetPr>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F8E83-4C30-4DEC-83FF-318FF5A691C7}">
  <dimension ref="A1:HF410"/>
  <sheetViews>
    <sheetView tabSelected="1" workbookViewId="0">
      <pane xSplit="1" ySplit="3" topLeftCell="I58" activePane="bottomRight" state="frozen"/>
      <selection pane="topRight" activeCell="B1" sqref="B1"/>
      <selection pane="bottomLeft" activeCell="A4" sqref="A4"/>
      <selection pane="bottomRight" activeCell="M64" sqref="M64"/>
    </sheetView>
  </sheetViews>
  <sheetFormatPr defaultRowHeight="15"/>
  <cols>
    <col min="2" max="7" width="16.7109375" customWidth="1"/>
    <col min="8" max="8" width="2.7109375" customWidth="1"/>
    <col min="9" max="10" width="16.7109375" customWidth="1"/>
    <col min="11" max="11" width="2.7109375" customWidth="1"/>
    <col min="17" max="17" width="2.7109375" customWidth="1"/>
    <col min="18" max="23" width="9.140625" customWidth="1"/>
    <col min="24" max="24" width="2.7109375" customWidth="1"/>
    <col min="30" max="30" width="2.7109375" customWidth="1"/>
    <col min="39" max="39" width="2.7109375" customWidth="1"/>
    <col min="54" max="54" width="2.7109375" customWidth="1"/>
    <col min="62" max="62" width="2.7109375" customWidth="1"/>
    <col min="73" max="73" width="2.7109375" customWidth="1"/>
    <col min="82" max="82" width="2.7109375" customWidth="1"/>
    <col min="97" max="97" width="2.7109375" customWidth="1"/>
    <col min="105" max="105" width="2.7109375" customWidth="1"/>
    <col min="116" max="116" width="2.7109375" customWidth="1"/>
    <col min="123" max="123" width="2.7109375" customWidth="1"/>
    <col min="130" max="130" width="2.7109375" customWidth="1"/>
    <col min="131" max="131" width="10.7109375" customWidth="1"/>
    <col min="134" max="134" width="2.7109375" customWidth="1"/>
    <col min="137" max="137" width="2.7109375" customWidth="1"/>
    <col min="178" max="178" width="2.7109375" customWidth="1"/>
    <col min="184" max="184" width="2.7109375" customWidth="1"/>
    <col min="187" max="187" width="2.7109375" customWidth="1"/>
    <col min="190" max="190" width="2.7109375" customWidth="1"/>
    <col min="193" max="193" width="2.7109375" customWidth="1"/>
    <col min="197" max="197" width="2.7109375" customWidth="1"/>
    <col min="207" max="207" width="2.7109375" customWidth="1"/>
    <col min="211" max="211" width="2.7109375" customWidth="1"/>
    <col min="213" max="213" width="2.7109375" customWidth="1"/>
  </cols>
  <sheetData>
    <row r="1" spans="1:214">
      <c r="A1" s="29" t="s">
        <v>288</v>
      </c>
      <c r="F1" s="29"/>
      <c r="G1" s="29"/>
      <c r="H1" s="30"/>
      <c r="I1" s="29"/>
      <c r="J1" s="29"/>
      <c r="K1" s="30"/>
      <c r="L1" s="37" t="s">
        <v>329</v>
      </c>
      <c r="Q1" s="30"/>
      <c r="R1" s="221" t="s">
        <v>1459</v>
      </c>
      <c r="T1" s="30"/>
      <c r="U1" s="30"/>
      <c r="V1" s="30"/>
      <c r="W1" s="30"/>
      <c r="X1" s="30"/>
      <c r="Y1" s="37" t="s">
        <v>442</v>
      </c>
      <c r="AD1" s="30"/>
      <c r="AE1" s="37" t="s">
        <v>493</v>
      </c>
      <c r="AM1" s="30"/>
      <c r="AN1" s="37" t="s">
        <v>443</v>
      </c>
      <c r="AO1" s="37"/>
      <c r="AP1" s="37"/>
      <c r="AQ1" s="37"/>
      <c r="AR1" s="37"/>
      <c r="AS1" s="37"/>
      <c r="AT1" s="37"/>
      <c r="AU1" s="37"/>
      <c r="AV1" s="37"/>
      <c r="AW1" s="37"/>
      <c r="AX1" s="37"/>
      <c r="AY1" s="37"/>
      <c r="AZ1" s="37"/>
      <c r="BU1" s="30"/>
      <c r="BV1" s="37" t="s">
        <v>497</v>
      </c>
      <c r="CD1" s="30"/>
      <c r="CE1" s="37" t="s">
        <v>486</v>
      </c>
      <c r="CF1" s="37"/>
      <c r="CG1" s="37"/>
      <c r="CH1" s="37"/>
      <c r="CI1" s="37"/>
      <c r="CJ1" s="37"/>
      <c r="CK1" s="37"/>
      <c r="CL1" s="37"/>
      <c r="CM1" s="37"/>
      <c r="CN1" s="37"/>
      <c r="CO1" s="37"/>
      <c r="CP1" s="37"/>
      <c r="CQ1" s="37"/>
      <c r="DM1" s="37" t="s">
        <v>653</v>
      </c>
      <c r="DT1" s="37" t="s">
        <v>670</v>
      </c>
      <c r="EA1" s="37" t="s">
        <v>682</v>
      </c>
      <c r="ED1" s="30"/>
      <c r="EG1" s="30"/>
      <c r="EH1" s="37" t="s">
        <v>1140</v>
      </c>
      <c r="FW1" s="37" t="s">
        <v>1371</v>
      </c>
      <c r="FX1" s="37"/>
      <c r="FY1" s="37"/>
      <c r="GE1" s="30"/>
      <c r="GH1" s="30"/>
      <c r="GL1" s="37" t="s">
        <v>1483</v>
      </c>
      <c r="GZ1" s="37" t="s">
        <v>1564</v>
      </c>
      <c r="HC1" s="30"/>
      <c r="HE1" s="30"/>
    </row>
    <row r="2" spans="1:214">
      <c r="A2" s="29"/>
      <c r="F2" s="29"/>
      <c r="G2" s="29"/>
      <c r="H2" s="30"/>
      <c r="I2" s="29"/>
      <c r="J2" s="29"/>
      <c r="K2" s="30"/>
      <c r="Q2" s="30"/>
      <c r="R2" s="30"/>
      <c r="S2" s="30"/>
      <c r="T2" s="30"/>
      <c r="U2" s="30"/>
      <c r="V2" s="30"/>
      <c r="W2" s="30"/>
      <c r="X2" s="30"/>
      <c r="AD2" s="30"/>
      <c r="AM2" s="30"/>
      <c r="AO2" t="s">
        <v>454</v>
      </c>
      <c r="BC2" t="s">
        <v>448</v>
      </c>
      <c r="BK2" t="s">
        <v>451</v>
      </c>
      <c r="BU2" s="30"/>
      <c r="CD2" s="30"/>
      <c r="CF2" t="s">
        <v>454</v>
      </c>
      <c r="CI2" t="s">
        <v>454</v>
      </c>
      <c r="CT2" t="s">
        <v>448</v>
      </c>
      <c r="DB2" t="s">
        <v>451</v>
      </c>
      <c r="DU2" t="s">
        <v>671</v>
      </c>
      <c r="DX2" t="s">
        <v>672</v>
      </c>
      <c r="DY2" t="s">
        <v>673</v>
      </c>
      <c r="ED2" s="30"/>
      <c r="EE2" t="s">
        <v>683</v>
      </c>
      <c r="EG2" s="30"/>
      <c r="FW2" s="37"/>
      <c r="GE2" s="30"/>
      <c r="GH2" s="30"/>
      <c r="GM2" t="s">
        <v>1486</v>
      </c>
      <c r="GP2" t="s">
        <v>1487</v>
      </c>
      <c r="GT2" t="s">
        <v>1491</v>
      </c>
      <c r="HC2" s="30"/>
      <c r="HE2" s="30"/>
      <c r="HF2" t="s">
        <v>1562</v>
      </c>
    </row>
    <row r="3" spans="1:214">
      <c r="A3" s="31"/>
      <c r="B3" s="31" t="s">
        <v>309</v>
      </c>
      <c r="C3" s="31" t="s">
        <v>310</v>
      </c>
      <c r="D3" s="31" t="s">
        <v>245</v>
      </c>
      <c r="E3" s="31" t="s">
        <v>295</v>
      </c>
      <c r="F3" s="31" t="s">
        <v>289</v>
      </c>
      <c r="G3" s="31" t="s">
        <v>263</v>
      </c>
      <c r="I3" s="31" t="s">
        <v>288</v>
      </c>
      <c r="J3" s="31" t="s">
        <v>263</v>
      </c>
      <c r="M3" t="s">
        <v>330</v>
      </c>
      <c r="N3" t="s">
        <v>440</v>
      </c>
      <c r="O3" t="s">
        <v>439</v>
      </c>
      <c r="P3" t="s">
        <v>1422</v>
      </c>
      <c r="S3" t="s">
        <v>330</v>
      </c>
      <c r="T3" t="s">
        <v>440</v>
      </c>
      <c r="U3" t="s">
        <v>439</v>
      </c>
      <c r="V3" t="s">
        <v>1422</v>
      </c>
      <c r="W3" t="s">
        <v>1461</v>
      </c>
      <c r="Z3" t="s">
        <v>443</v>
      </c>
      <c r="AA3" t="s">
        <v>444</v>
      </c>
      <c r="AB3" t="s">
        <v>445</v>
      </c>
      <c r="AC3" t="s">
        <v>491</v>
      </c>
      <c r="AF3" t="s">
        <v>494</v>
      </c>
      <c r="AG3" t="s">
        <v>495</v>
      </c>
      <c r="AH3" t="s">
        <v>496</v>
      </c>
      <c r="AI3" t="s">
        <v>78</v>
      </c>
      <c r="AJ3" t="s">
        <v>485</v>
      </c>
      <c r="AK3" t="s">
        <v>453</v>
      </c>
      <c r="AL3" s="70" t="s">
        <v>450</v>
      </c>
      <c r="AO3" t="s">
        <v>487</v>
      </c>
      <c r="AP3" t="s">
        <v>453</v>
      </c>
      <c r="AQ3" t="s">
        <v>485</v>
      </c>
      <c r="AR3" t="s">
        <v>449</v>
      </c>
      <c r="AS3" t="s">
        <v>73</v>
      </c>
      <c r="AT3" t="s">
        <v>74</v>
      </c>
      <c r="AU3" t="s">
        <v>76</v>
      </c>
      <c r="AV3" t="s">
        <v>77</v>
      </c>
      <c r="AW3" t="s">
        <v>78</v>
      </c>
      <c r="AX3" t="s">
        <v>452</v>
      </c>
      <c r="AY3" t="s">
        <v>80</v>
      </c>
      <c r="AZ3" t="s">
        <v>453</v>
      </c>
      <c r="BA3" s="70" t="s">
        <v>450</v>
      </c>
      <c r="BC3" t="s">
        <v>449</v>
      </c>
      <c r="BD3" t="s">
        <v>73</v>
      </c>
      <c r="BE3" t="s">
        <v>74</v>
      </c>
      <c r="BF3" t="s">
        <v>76</v>
      </c>
      <c r="BG3" t="s">
        <v>77</v>
      </c>
      <c r="BH3" t="s">
        <v>78</v>
      </c>
      <c r="BI3" s="70" t="s">
        <v>450</v>
      </c>
      <c r="BK3" t="s">
        <v>449</v>
      </c>
      <c r="BL3" t="s">
        <v>73</v>
      </c>
      <c r="BM3" t="s">
        <v>74</v>
      </c>
      <c r="BN3" t="s">
        <v>76</v>
      </c>
      <c r="BO3" t="s">
        <v>77</v>
      </c>
      <c r="BP3" t="s">
        <v>78</v>
      </c>
      <c r="BQ3" t="s">
        <v>452</v>
      </c>
      <c r="BR3" t="s">
        <v>80</v>
      </c>
      <c r="BS3" t="s">
        <v>453</v>
      </c>
      <c r="BT3" s="70" t="s">
        <v>450</v>
      </c>
      <c r="BW3" t="s">
        <v>494</v>
      </c>
      <c r="BX3" t="s">
        <v>495</v>
      </c>
      <c r="BY3" t="s">
        <v>496</v>
      </c>
      <c r="BZ3" t="s">
        <v>78</v>
      </c>
      <c r="CA3" t="s">
        <v>485</v>
      </c>
      <c r="CB3" t="s">
        <v>453</v>
      </c>
      <c r="CC3" s="70" t="s">
        <v>450</v>
      </c>
      <c r="CF3" t="s">
        <v>487</v>
      </c>
      <c r="CG3" t="s">
        <v>453</v>
      </c>
      <c r="CH3" t="s">
        <v>485</v>
      </c>
      <c r="CI3" t="s">
        <v>449</v>
      </c>
      <c r="CJ3" t="s">
        <v>73</v>
      </c>
      <c r="CK3" t="s">
        <v>74</v>
      </c>
      <c r="CL3" t="s">
        <v>76</v>
      </c>
      <c r="CM3" t="s">
        <v>77</v>
      </c>
      <c r="CN3" t="s">
        <v>78</v>
      </c>
      <c r="CO3" t="s">
        <v>452</v>
      </c>
      <c r="CP3" t="s">
        <v>80</v>
      </c>
      <c r="CQ3" t="s">
        <v>453</v>
      </c>
      <c r="CR3" s="70" t="s">
        <v>450</v>
      </c>
      <c r="CT3" t="s">
        <v>449</v>
      </c>
      <c r="CU3" t="s">
        <v>73</v>
      </c>
      <c r="CV3" t="s">
        <v>74</v>
      </c>
      <c r="CW3" t="s">
        <v>76</v>
      </c>
      <c r="CX3" t="s">
        <v>77</v>
      </c>
      <c r="CY3" t="s">
        <v>78</v>
      </c>
      <c r="CZ3" s="70" t="s">
        <v>450</v>
      </c>
      <c r="DB3" t="s">
        <v>449</v>
      </c>
      <c r="DC3" t="s">
        <v>73</v>
      </c>
      <c r="DD3" t="s">
        <v>74</v>
      </c>
      <c r="DE3" t="s">
        <v>76</v>
      </c>
      <c r="DF3" t="s">
        <v>77</v>
      </c>
      <c r="DG3" t="s">
        <v>78</v>
      </c>
      <c r="DH3" t="s">
        <v>452</v>
      </c>
      <c r="DI3" t="s">
        <v>80</v>
      </c>
      <c r="DJ3" t="s">
        <v>453</v>
      </c>
      <c r="DK3" s="70" t="s">
        <v>450</v>
      </c>
      <c r="DN3" t="s">
        <v>664</v>
      </c>
      <c r="DO3" t="s">
        <v>665</v>
      </c>
      <c r="DP3" t="s">
        <v>663</v>
      </c>
      <c r="DQ3" t="s">
        <v>667</v>
      </c>
      <c r="DR3" t="s">
        <v>666</v>
      </c>
      <c r="DU3" t="s">
        <v>670</v>
      </c>
      <c r="DV3" t="s">
        <v>674</v>
      </c>
      <c r="DW3" t="s">
        <v>675</v>
      </c>
      <c r="DX3" t="s">
        <v>676</v>
      </c>
      <c r="DY3" t="s">
        <v>677</v>
      </c>
      <c r="EB3" t="s">
        <v>684</v>
      </c>
      <c r="EC3" t="s">
        <v>1133</v>
      </c>
      <c r="EE3" t="s">
        <v>685</v>
      </c>
      <c r="EF3" t="s">
        <v>453</v>
      </c>
      <c r="EI3">
        <v>2022</v>
      </c>
      <c r="EJ3">
        <v>2023</v>
      </c>
      <c r="EK3">
        <v>2024</v>
      </c>
      <c r="EL3">
        <v>2025</v>
      </c>
      <c r="EM3">
        <v>2026</v>
      </c>
      <c r="EN3">
        <v>2027</v>
      </c>
      <c r="EO3">
        <v>2028</v>
      </c>
      <c r="EP3">
        <v>2029</v>
      </c>
      <c r="EQ3">
        <v>2030</v>
      </c>
      <c r="ER3">
        <v>2031</v>
      </c>
      <c r="ES3">
        <v>2032</v>
      </c>
      <c r="ET3">
        <v>2033</v>
      </c>
      <c r="EU3">
        <v>2034</v>
      </c>
      <c r="EV3">
        <v>2035</v>
      </c>
      <c r="EW3">
        <v>2036</v>
      </c>
      <c r="EX3">
        <v>2037</v>
      </c>
      <c r="EY3">
        <v>2038</v>
      </c>
      <c r="EZ3">
        <v>2039</v>
      </c>
      <c r="FA3">
        <v>2040</v>
      </c>
      <c r="FB3">
        <v>2041</v>
      </c>
      <c r="FC3">
        <v>2042</v>
      </c>
      <c r="FD3">
        <v>2043</v>
      </c>
      <c r="FE3">
        <v>2044</v>
      </c>
      <c r="FF3">
        <v>2045</v>
      </c>
      <c r="FG3">
        <v>2046</v>
      </c>
      <c r="FH3">
        <v>2047</v>
      </c>
      <c r="FI3">
        <v>2048</v>
      </c>
      <c r="FJ3">
        <v>2049</v>
      </c>
      <c r="FK3">
        <v>2050</v>
      </c>
      <c r="FL3">
        <v>2051</v>
      </c>
      <c r="FM3">
        <v>2052</v>
      </c>
      <c r="FN3">
        <v>2053</v>
      </c>
      <c r="FO3">
        <v>2054</v>
      </c>
      <c r="FP3">
        <v>2055</v>
      </c>
      <c r="FQ3">
        <v>2056</v>
      </c>
      <c r="FR3">
        <v>2057</v>
      </c>
      <c r="FS3">
        <v>2058</v>
      </c>
      <c r="FT3">
        <v>2059</v>
      </c>
      <c r="FU3">
        <v>2060</v>
      </c>
      <c r="FX3" s="31" t="s">
        <v>1421</v>
      </c>
      <c r="FY3" s="31" t="s">
        <v>1420</v>
      </c>
      <c r="FZ3" s="31" t="s">
        <v>1419</v>
      </c>
      <c r="GA3" s="31" t="s">
        <v>1372</v>
      </c>
      <c r="GD3" t="s">
        <v>1373</v>
      </c>
      <c r="GG3" t="s">
        <v>1374</v>
      </c>
      <c r="GJ3" t="s">
        <v>1377</v>
      </c>
      <c r="GM3" t="s">
        <v>1484</v>
      </c>
      <c r="GN3" t="s">
        <v>1485</v>
      </c>
      <c r="GP3" t="s">
        <v>1484</v>
      </c>
      <c r="GQ3" t="s">
        <v>1485</v>
      </c>
      <c r="GR3" t="s">
        <v>1489</v>
      </c>
      <c r="GS3" t="s">
        <v>1490</v>
      </c>
      <c r="GT3" t="s">
        <v>1484</v>
      </c>
      <c r="GU3" t="s">
        <v>1484</v>
      </c>
      <c r="GV3" t="s">
        <v>1485</v>
      </c>
      <c r="GW3" t="s">
        <v>1485</v>
      </c>
      <c r="GX3" t="s">
        <v>1493</v>
      </c>
      <c r="HA3" t="s">
        <v>664</v>
      </c>
      <c r="HB3" t="s">
        <v>665</v>
      </c>
      <c r="HD3" t="s">
        <v>1563</v>
      </c>
      <c r="HF3" t="s">
        <v>665</v>
      </c>
    </row>
    <row r="4" spans="1:214">
      <c r="A4">
        <v>1980</v>
      </c>
      <c r="B4">
        <f>Data!F14*Data!G14</f>
        <v>24.765529999999998</v>
      </c>
      <c r="C4">
        <f>Data!H14/Data!I14</f>
        <v>8.4961658973716929</v>
      </c>
      <c r="D4" s="32">
        <f>Data!E14</f>
        <v>1238528</v>
      </c>
      <c r="E4" s="33">
        <f>Data!J14</f>
        <v>-1.827207</v>
      </c>
      <c r="F4" s="32">
        <f>Data!D14</f>
        <v>1164663</v>
      </c>
      <c r="G4" s="32">
        <f>Data!B14</f>
        <v>1140989</v>
      </c>
      <c r="I4" s="32"/>
      <c r="J4" s="32"/>
      <c r="L4">
        <v>2000</v>
      </c>
      <c r="M4" s="32">
        <f>'[2]2022-based'!L7</f>
        <v>139.30000000000001</v>
      </c>
      <c r="R4">
        <v>2020</v>
      </c>
      <c r="S4" s="32">
        <f>'[2]2022-based'!Q27</f>
        <v>66739.866999999998</v>
      </c>
      <c r="Y4">
        <v>2012</v>
      </c>
      <c r="Z4" s="69">
        <f>SUMIF('ONS Nov25 T1'!$L:$L,'Chart Data'!$Y4,'ONS Nov25 T1'!$C:$C)/1000</f>
        <v>639</v>
      </c>
      <c r="AA4" s="69">
        <f>SUMIF('ONS Nov25 T1'!$M:$M,'Chart Data'!$Y4,'ONS Nov25 T1'!$C:$C)/1000</f>
        <v>477</v>
      </c>
      <c r="AB4" s="69">
        <f>SUMIF('ONS Nov25 T1'!$N:$N,'Chart Data'!$Y4,'ONS Nov25 T1'!$C:$C)/1000</f>
        <v>162</v>
      </c>
      <c r="AC4">
        <f t="shared" ref="AC4:AC17" si="0">Z4-AA4</f>
        <v>162</v>
      </c>
      <c r="AE4">
        <v>2021</v>
      </c>
      <c r="AF4" s="32">
        <f>AS4</f>
        <v>59</v>
      </c>
      <c r="AG4" s="32">
        <f>AU4</f>
        <v>115</v>
      </c>
      <c r="AH4" s="32">
        <f>AT4+AV4</f>
        <v>59</v>
      </c>
      <c r="AI4">
        <f>AW4</f>
        <v>64</v>
      </c>
      <c r="AJ4" s="69">
        <f t="shared" ref="AJ4:AJ13" si="1">AQ4</f>
        <v>74</v>
      </c>
      <c r="AK4" s="69">
        <f>AP4+AX4+AY4+AZ4</f>
        <v>447</v>
      </c>
      <c r="AL4" s="69">
        <f t="shared" ref="AL4:AL13" si="2">AO4-SUM(AF4:AK4)</f>
        <v>0</v>
      </c>
      <c r="AN4">
        <v>2021</v>
      </c>
      <c r="AO4" s="69">
        <f t="shared" ref="AO4:AO7" si="3">+AP4+AQ4+AR4</f>
        <v>818</v>
      </c>
      <c r="AP4" s="89">
        <f>Z13-AQ4-AR4</f>
        <v>376</v>
      </c>
      <c r="AQ4" s="69">
        <f>SUMIF('ONS Nov25 T1'!$L:$L,'Chart Data'!$Y4,'ONS Nov25 T1'!$D:$D)/1000</f>
        <v>74</v>
      </c>
      <c r="AR4">
        <f>BC4+BK4</f>
        <v>368</v>
      </c>
      <c r="AS4">
        <f t="shared" ref="AS4:AW8" si="4">BD4+BL4</f>
        <v>59</v>
      </c>
      <c r="AT4">
        <f t="shared" si="4"/>
        <v>41</v>
      </c>
      <c r="AU4">
        <f t="shared" si="4"/>
        <v>115</v>
      </c>
      <c r="AV4">
        <f t="shared" si="4"/>
        <v>18</v>
      </c>
      <c r="AW4">
        <f t="shared" si="4"/>
        <v>64</v>
      </c>
      <c r="AX4">
        <f>BQ4</f>
        <v>10</v>
      </c>
      <c r="AY4">
        <f t="shared" ref="AY4:AZ4" si="5">BR4</f>
        <v>36</v>
      </c>
      <c r="AZ4">
        <f t="shared" si="5"/>
        <v>25</v>
      </c>
      <c r="BA4" s="70">
        <f>AR4-AS4-AT4-AU4-AV4-AW4-AX4-AY4-AZ4</f>
        <v>0</v>
      </c>
      <c r="BC4">
        <f>SUMIF('ONS Nov25 T4a'!$P:$P,'Chart Data'!$AN4,'ONS Nov25 T4a'!C:C)/1000</f>
        <v>5</v>
      </c>
      <c r="BD4">
        <f>SUMIF('ONS Nov25 T4a'!$P:$P,'Chart Data'!$AN4,'ONS Nov25 T4a'!E:E)/1000</f>
        <v>4</v>
      </c>
      <c r="BE4">
        <f>SUMIF('ONS Nov25 T4a'!$P:$P,'Chart Data'!$AN4,'ONS Nov25 T4a'!F:F)/1000</f>
        <v>0</v>
      </c>
      <c r="BF4">
        <f>SUMIF('ONS Nov25 T4a'!$P:$P,'Chart Data'!$AN4,'ONS Nov25 T4a'!H:H)/1000</f>
        <v>0</v>
      </c>
      <c r="BG4">
        <f>SUMIF('ONS Nov25 T4a'!$P:$P,'Chart Data'!$AN4,'ONS Nov25 T4a'!I:I)/1000</f>
        <v>0</v>
      </c>
      <c r="BH4">
        <f>SUMIF('ONS Nov25 T4a'!$P:$P,'Chart Data'!$AN4,'ONS Nov25 T4a'!J:J)/1000</f>
        <v>0</v>
      </c>
      <c r="BI4" s="70">
        <f>BC4-BD4-BE4-BF4-BG4-BH4</f>
        <v>1</v>
      </c>
      <c r="BK4">
        <f>SUMIF('ONS Nov25 T4b'!$S:$S,'Chart Data'!$AN4,'ONS Nov25 T4b'!C:C)/1000</f>
        <v>363</v>
      </c>
      <c r="BL4">
        <f>SUMIF('ONS Nov25 T4b'!$S:$S,'Chart Data'!$AN4,'ONS Nov25 T4b'!E:E)/1000</f>
        <v>55</v>
      </c>
      <c r="BM4">
        <f>SUMIF('ONS Nov25 T4b'!$S:$S,'Chart Data'!$AN4,'ONS Nov25 T4b'!F:F)/1000</f>
        <v>41</v>
      </c>
      <c r="BN4">
        <f>SUMIF('ONS Nov25 T4b'!$S:$S,'Chart Data'!$AN4,'ONS Nov25 T4b'!H:H)/1000</f>
        <v>115</v>
      </c>
      <c r="BO4">
        <f>SUMIF('ONS Nov25 T4b'!$S:$S,'Chart Data'!$AN4,'ONS Nov25 T4b'!I:I)/1000</f>
        <v>18</v>
      </c>
      <c r="BP4">
        <f>SUMIF('ONS Nov25 T4b'!$S:$S,'Chart Data'!$AN4,'ONS Nov25 T4b'!J:J)/1000</f>
        <v>64</v>
      </c>
      <c r="BQ4">
        <f>SUMIF('ONS Nov25 T4b'!$S:$S,'Chart Data'!$AN4,'ONS Nov25 T4b'!K:K)/1000</f>
        <v>10</v>
      </c>
      <c r="BR4">
        <f>SUMIF('ONS Nov25 T4b'!$S:$S,'Chart Data'!$AN4,'ONS Nov25 T4b'!O:O)/1000</f>
        <v>36</v>
      </c>
      <c r="BS4">
        <f>SUMIF('ONS Nov25 T4b'!$S:$S,'Chart Data'!$AN4,'ONS Nov25 T4b'!P:P)/1000</f>
        <v>25</v>
      </c>
      <c r="BT4" s="70">
        <f>BK4-BL4-BM4-BN4-BO4-BP4-BQ4-BR4-BS4</f>
        <v>-1</v>
      </c>
      <c r="BV4">
        <v>2021</v>
      </c>
      <c r="BW4" s="32">
        <f>CJ4</f>
        <v>24</v>
      </c>
      <c r="BX4" s="32">
        <f>CL4</f>
        <v>69</v>
      </c>
      <c r="BY4" s="32">
        <f>CK4+CM4</f>
        <v>16</v>
      </c>
      <c r="BZ4">
        <f>CN4</f>
        <v>9</v>
      </c>
      <c r="CA4" s="69">
        <f t="shared" ref="CA4:CA13" si="6">CH4</f>
        <v>262</v>
      </c>
      <c r="CB4" s="69">
        <f>CG4+CO4+CP4+CQ4</f>
        <v>187</v>
      </c>
      <c r="CC4" s="69">
        <f t="shared" ref="CC4:CC13" si="7">CF4-SUM(BW4:CB4)</f>
        <v>0</v>
      </c>
      <c r="CE4">
        <v>2021</v>
      </c>
      <c r="CF4" s="69">
        <f>CG4+CH4+CI4</f>
        <v>567</v>
      </c>
      <c r="CG4" s="89">
        <f>AA13-CH4-CI4</f>
        <v>185</v>
      </c>
      <c r="CH4" s="69">
        <f>SUMIF('ONS Nov25 T1'!$M:$M,'Chart Data'!$CE4,'ONS Nov25 T1'!$D:$D)/1000</f>
        <v>262</v>
      </c>
      <c r="CI4">
        <f>CT4+DB4</f>
        <v>120</v>
      </c>
      <c r="CJ4">
        <f t="shared" ref="CJ4:CJ8" si="8">CU4+DC4</f>
        <v>24</v>
      </c>
      <c r="CK4">
        <f t="shared" ref="CK4:CK8" si="9">CV4+DD4</f>
        <v>12</v>
      </c>
      <c r="CL4">
        <f t="shared" ref="CL4:CL8" si="10">CW4+DE4</f>
        <v>69</v>
      </c>
      <c r="CM4">
        <f t="shared" ref="CM4:CM8" si="11">CX4+DF4</f>
        <v>4</v>
      </c>
      <c r="CN4">
        <f t="shared" ref="CN4:CN8" si="12">CY4+DG4</f>
        <v>9</v>
      </c>
      <c r="CO4">
        <f>DH4</f>
        <v>0</v>
      </c>
      <c r="CP4">
        <f t="shared" ref="CP4:CP8" si="13">DI4</f>
        <v>0</v>
      </c>
      <c r="CQ4">
        <f t="shared" ref="CQ4:CQ8" si="14">DJ4</f>
        <v>2</v>
      </c>
      <c r="CR4" s="70">
        <f>CI4-CJ4-CK4-CL4-CM4-CN4-CO4-CP4-CQ4</f>
        <v>0</v>
      </c>
      <c r="CT4">
        <f>SUMIF('ONS Nov25 T4a'!$Q:$Q,'Chart Data'!$CE4,'ONS Nov25 T4a'!C:C)/1000</f>
        <v>0</v>
      </c>
      <c r="CU4">
        <f>SUMIF('ONS Nov25 T4a'!$Q:$Q,'Chart Data'!$CE4,'ONS Nov25 T4a'!E:E)/1000</f>
        <v>0</v>
      </c>
      <c r="CV4">
        <f>SUMIF('ONS Nov25 T4a'!$Q:$Q,'Chart Data'!$CE4,'ONS Nov25 T4a'!F:F)/1000</f>
        <v>0</v>
      </c>
      <c r="CW4">
        <f>SUMIF('ONS Nov25 T4a'!$Q:$Q,'Chart Data'!$CE4,'ONS Nov25 T4a'!H:H)/1000</f>
        <v>0</v>
      </c>
      <c r="CX4">
        <f>SUMIF('ONS Nov25 T4a'!$Q:$Q,'Chart Data'!$CE4,'ONS Nov25 T4a'!I:I)/1000</f>
        <v>0</v>
      </c>
      <c r="CY4">
        <f>SUMIF('ONS Nov25 T4a'!$Q:$Q,'Chart Data'!$CE4,'ONS Nov25 T4a'!J:J)/1000</f>
        <v>0</v>
      </c>
      <c r="CZ4" s="70">
        <f>CT4-CU4-CV4-CW4-CX4-CY4</f>
        <v>0</v>
      </c>
      <c r="DB4">
        <f>SUMIF('ONS Nov25 T4b'!$T:$T,'Chart Data'!$CE4,'ONS Nov25 T4b'!C:C)/1000</f>
        <v>120</v>
      </c>
      <c r="DC4">
        <f>SUMIF('ONS Nov25 T4b'!$T:$T,'Chart Data'!$CE4,'ONS Nov25 T4b'!E:E)/1000</f>
        <v>24</v>
      </c>
      <c r="DD4">
        <f>SUMIF('ONS Nov25 T4b'!$T:$T,'Chart Data'!$CE4,'ONS Nov25 T4b'!F:F)/1000</f>
        <v>12</v>
      </c>
      <c r="DE4">
        <f>SUMIF('ONS Nov25 T4b'!$T:$T,'Chart Data'!$AN4,'ONS Nov25 T4b'!H:H)/1000</f>
        <v>69</v>
      </c>
      <c r="DF4">
        <f>SUMIF('ONS Nov25 T4b'!$T:$T,'Chart Data'!$AN4,'ONS Nov25 T4b'!I:I)/1000</f>
        <v>4</v>
      </c>
      <c r="DG4">
        <f>SUMIF('ONS Nov25 T4b'!$T:$T,'Chart Data'!$AN4,'ONS Nov25 T4b'!J:J)/1000</f>
        <v>9</v>
      </c>
      <c r="DH4">
        <f>SUMIF('ONS Nov25 T4b'!$T:$T,'Chart Data'!$AN4,'ONS Nov25 T4b'!K:K)/1000</f>
        <v>0</v>
      </c>
      <c r="DI4">
        <f>SUMIF('ONS Nov25 T4b'!$T:$T,'Chart Data'!$AN4,'ONS Nov25 T4b'!O:O)/1000</f>
        <v>0</v>
      </c>
      <c r="DJ4">
        <f>SUMIF('ONS Nov25 T4b'!$T:$T,'Chart Data'!$AN4,'ONS Nov25 T4b'!P:P)/1000</f>
        <v>2</v>
      </c>
      <c r="DK4" s="70">
        <f>DB4-DC4-DD4-DE4-DF4-DG4-DH4-DI4-DJ4</f>
        <v>0</v>
      </c>
      <c r="DM4">
        <v>2024</v>
      </c>
      <c r="DN4" s="34">
        <f>100*(Data!B58/Data!$B$58)</f>
        <v>100</v>
      </c>
      <c r="DO4" s="34">
        <f>100*('OBR Nov25 ST1.1'!R114/'OBR Nov25 ST1.1'!$R$114)</f>
        <v>100</v>
      </c>
      <c r="DP4" s="34">
        <f>'OBR Nov25 C2.25'!M26</f>
        <v>100</v>
      </c>
      <c r="DQ4" s="34">
        <f>'OBR Nov25 C2.25'!N26</f>
        <v>100</v>
      </c>
      <c r="DR4" s="34">
        <f>'OBR Nov25 C2.25'!O26-'Chart Data'!DQ4</f>
        <v>0</v>
      </c>
      <c r="DT4">
        <v>1974</v>
      </c>
      <c r="DU4" s="34">
        <f>100*((Data!M8/Data!M7)-1)</f>
        <v>2.8023782972597111E-2</v>
      </c>
      <c r="DW4">
        <v>0</v>
      </c>
      <c r="DX4">
        <v>65</v>
      </c>
      <c r="DY4">
        <v>60</v>
      </c>
      <c r="EA4" s="152">
        <v>33970</v>
      </c>
      <c r="EB4" s="34"/>
      <c r="EC4" s="34">
        <f>AVERAGE($EB$7:$EB$399)</f>
        <v>25.050854271384292</v>
      </c>
      <c r="EE4" s="32"/>
      <c r="EF4" s="32"/>
      <c r="EH4" t="s">
        <v>1141</v>
      </c>
      <c r="EI4" s="34">
        <f>100*(EI10/EI$13)</f>
        <v>18.338943286650675</v>
      </c>
      <c r="EJ4" s="34">
        <f t="shared" ref="EJ4:FU6" si="15">100*(EJ10/EJ$13)</f>
        <v>18.100137832619474</v>
      </c>
      <c r="EK4" s="34">
        <f t="shared" si="15"/>
        <v>17.821260556565619</v>
      </c>
      <c r="EL4" s="34">
        <f t="shared" si="15"/>
        <v>17.564449660122559</v>
      </c>
      <c r="EM4" s="34">
        <f t="shared" si="15"/>
        <v>17.309361876777871</v>
      </c>
      <c r="EN4" s="34">
        <f t="shared" si="15"/>
        <v>17.047744674914437</v>
      </c>
      <c r="EO4" s="34">
        <f t="shared" si="15"/>
        <v>16.79447258395502</v>
      </c>
      <c r="EP4" s="34">
        <f t="shared" si="15"/>
        <v>16.572538736485896</v>
      </c>
      <c r="EQ4" s="34">
        <f t="shared" si="15"/>
        <v>16.3788452496681</v>
      </c>
      <c r="ER4" s="34">
        <f t="shared" si="15"/>
        <v>16.191558723135742</v>
      </c>
      <c r="ES4" s="34">
        <f t="shared" si="15"/>
        <v>15.996343578171302</v>
      </c>
      <c r="ET4" s="34">
        <f t="shared" si="15"/>
        <v>15.833248215045826</v>
      </c>
      <c r="EU4" s="34">
        <f t="shared" si="15"/>
        <v>15.695735456180451</v>
      </c>
      <c r="EV4" s="34">
        <f t="shared" si="15"/>
        <v>15.571703265244619</v>
      </c>
      <c r="EW4" s="34">
        <f t="shared" si="15"/>
        <v>15.46857480664246</v>
      </c>
      <c r="EX4" s="34">
        <f t="shared" si="15"/>
        <v>15.396914811854343</v>
      </c>
      <c r="EY4" s="34">
        <f t="shared" si="15"/>
        <v>15.320544524694753</v>
      </c>
      <c r="EZ4" s="34">
        <f t="shared" si="15"/>
        <v>15.295455132663188</v>
      </c>
      <c r="FA4" s="34">
        <f t="shared" si="15"/>
        <v>15.276426919769179</v>
      </c>
      <c r="FB4" s="34">
        <f t="shared" si="15"/>
        <v>15.256744072147907</v>
      </c>
      <c r="FC4" s="34">
        <f t="shared" si="15"/>
        <v>15.237515967651602</v>
      </c>
      <c r="FD4" s="34">
        <f t="shared" si="15"/>
        <v>15.2192552524411</v>
      </c>
      <c r="FE4" s="34">
        <f t="shared" si="15"/>
        <v>15.201592857984823</v>
      </c>
      <c r="FF4" s="34">
        <f t="shared" si="15"/>
        <v>15.183996474387056</v>
      </c>
      <c r="FG4" s="34">
        <f t="shared" si="15"/>
        <v>15.166043218408154</v>
      </c>
      <c r="FH4" s="34">
        <f t="shared" si="15"/>
        <v>15.147412098426221</v>
      </c>
      <c r="FI4" s="34">
        <f t="shared" si="15"/>
        <v>15.126734157839525</v>
      </c>
      <c r="FJ4" s="34">
        <f t="shared" si="15"/>
        <v>15.101993428366034</v>
      </c>
      <c r="FK4" s="34">
        <f t="shared" si="15"/>
        <v>15.072123679282171</v>
      </c>
      <c r="FL4" s="34">
        <f t="shared" si="15"/>
        <v>15.036652945888834</v>
      </c>
      <c r="FM4" s="34">
        <f t="shared" si="15"/>
        <v>14.995309393589725</v>
      </c>
      <c r="FN4" s="34">
        <f t="shared" si="15"/>
        <v>14.947574611295758</v>
      </c>
      <c r="FO4" s="34">
        <f t="shared" si="15"/>
        <v>14.8929143428426</v>
      </c>
      <c r="FP4" s="34">
        <f t="shared" si="15"/>
        <v>14.831500043670538</v>
      </c>
      <c r="FQ4" s="34">
        <f t="shared" si="15"/>
        <v>14.764072038050752</v>
      </c>
      <c r="FR4" s="34">
        <f t="shared" si="15"/>
        <v>14.691492160407993</v>
      </c>
      <c r="FS4" s="34">
        <f t="shared" si="15"/>
        <v>14.614440506669521</v>
      </c>
      <c r="FT4" s="34">
        <f t="shared" si="15"/>
        <v>14.534136373437697</v>
      </c>
      <c r="FU4" s="34">
        <f t="shared" si="15"/>
        <v>14.452173322264535</v>
      </c>
      <c r="FW4">
        <v>1960</v>
      </c>
      <c r="FX4" s="34"/>
      <c r="FY4" s="31"/>
      <c r="FZ4" s="31"/>
      <c r="GA4" s="31"/>
      <c r="GC4">
        <v>1970</v>
      </c>
      <c r="GD4" s="34">
        <f>AVERAGE(HAVERQ!B47:B50)</f>
        <v>44.625</v>
      </c>
      <c r="GF4">
        <v>2007</v>
      </c>
      <c r="GG4" s="34">
        <f>AVERAGE(HAVERQ!B195:B198)</f>
        <v>94.174999999999997</v>
      </c>
      <c r="GI4">
        <v>2019</v>
      </c>
      <c r="GJ4" s="34">
        <f>AVERAGE(HAVERQ!B243:B246)</f>
        <v>98.074999999999989</v>
      </c>
      <c r="GL4" t="str">
        <f>'OBR Nov25 ST1.15'!B70</f>
        <v>2023-24</v>
      </c>
      <c r="GM4" s="34">
        <f>'OBR Nov25 ST1.15'!O70</f>
        <v>1.1932419614258505</v>
      </c>
      <c r="GN4" s="34">
        <f>'OBR Nov25 ST1.15'!M70</f>
        <v>1.1188061514068259</v>
      </c>
      <c r="GP4" s="32">
        <f>'OBR Nov25 ST1.15'!F70</f>
        <v>55208.25</v>
      </c>
      <c r="GQ4" s="32">
        <f>'OBR Nov25 ST1.15'!D70</f>
        <v>2753907.4487909623</v>
      </c>
      <c r="GT4" s="32">
        <f>GP4+GS4</f>
        <v>55208.25</v>
      </c>
      <c r="GW4" s="32">
        <f>GQ4</f>
        <v>2753907.4487909623</v>
      </c>
      <c r="GZ4">
        <v>2015</v>
      </c>
      <c r="HA4" s="34">
        <f>100*(Data!B49/Data!$B$57)</f>
        <v>89.717836582412971</v>
      </c>
      <c r="HB4" s="34">
        <f>HA4</f>
        <v>89.717836582412971</v>
      </c>
      <c r="HD4" s="34">
        <f t="shared" ref="HD4:HD39" si="16">100*((HB4/HA4)-1)</f>
        <v>0</v>
      </c>
    </row>
    <row r="5" spans="1:214">
      <c r="A5">
        <v>1981</v>
      </c>
      <c r="B5">
        <f>Data!F15*Data!G15</f>
        <v>24.659650000000003</v>
      </c>
      <c r="C5">
        <f>Data!H15/Data!I15</f>
        <v>8.5228971316395672</v>
      </c>
      <c r="D5" s="32">
        <f>Data!E15</f>
        <v>1247026</v>
      </c>
      <c r="E5" s="33">
        <f>Data!J15</f>
        <v>-1.8145849999999999</v>
      </c>
      <c r="F5" s="32">
        <f>Data!D15</f>
        <v>1182108</v>
      </c>
      <c r="G5" s="32">
        <f>Data!B15</f>
        <v>1134663</v>
      </c>
      <c r="I5" s="34">
        <f>100*((F5/F4)-1)</f>
        <v>1.4978581787177925</v>
      </c>
      <c r="J5" s="34">
        <f>100*((G5/G4)-1)</f>
        <v>-0.55443128724290691</v>
      </c>
      <c r="L5">
        <v>2001</v>
      </c>
      <c r="M5" s="32">
        <f>'[2]2022-based'!L8</f>
        <v>153.19999999999999</v>
      </c>
      <c r="R5">
        <v>2021</v>
      </c>
      <c r="S5" s="32">
        <f>'[2]2022-based'!Q28</f>
        <v>66977.987999999998</v>
      </c>
      <c r="Y5">
        <v>2013</v>
      </c>
      <c r="Z5" s="69">
        <f>SUMIF('ONS Nov25 T1'!$L:$L,'Chart Data'!$Y5,'ONS Nov25 T1'!$C:$C)/1000</f>
        <v>669</v>
      </c>
      <c r="AA5" s="69">
        <f>SUMIF('ONS Nov25 T1'!$M:$M,'Chart Data'!$Y5,'ONS Nov25 T1'!$C:$C)/1000</f>
        <v>454</v>
      </c>
      <c r="AB5" s="69">
        <f>SUMIF('ONS Nov25 T1'!$N:$N,'Chart Data'!$Y5,'ONS Nov25 T1'!$C:$C)/1000</f>
        <v>215</v>
      </c>
      <c r="AC5">
        <f t="shared" si="0"/>
        <v>215</v>
      </c>
      <c r="AE5">
        <v>2022</v>
      </c>
      <c r="AF5" s="32">
        <f t="shared" ref="AF5:AF13" si="17">AS5</f>
        <v>134</v>
      </c>
      <c r="AG5" s="32">
        <f t="shared" ref="AG5:AG13" si="18">AU5</f>
        <v>269</v>
      </c>
      <c r="AH5" s="32">
        <f t="shared" ref="AH5:AH13" si="19">AT5+AV5</f>
        <v>150</v>
      </c>
      <c r="AI5">
        <f t="shared" ref="AI5:AI13" si="20">AW5</f>
        <v>65</v>
      </c>
      <c r="AJ5" s="69">
        <f t="shared" si="1"/>
        <v>75</v>
      </c>
      <c r="AK5" s="69">
        <f t="shared" ref="AK5:AK13" si="21">AP5+AX5+AY5+AZ5</f>
        <v>473</v>
      </c>
      <c r="AL5" s="69">
        <f t="shared" si="2"/>
        <v>1</v>
      </c>
      <c r="AN5">
        <v>2022</v>
      </c>
      <c r="AO5" s="69">
        <f t="shared" si="3"/>
        <v>1167</v>
      </c>
      <c r="AP5" s="89">
        <f>Z14-AQ5-AR5</f>
        <v>224</v>
      </c>
      <c r="AQ5" s="69">
        <f>SUMIF('ONS Nov25 T1'!$L:$L,'Chart Data'!$Y5,'ONS Nov25 T1'!$D:$D)/1000</f>
        <v>75</v>
      </c>
      <c r="AR5">
        <f t="shared" ref="AR5:AR8" si="22">BC5+BK5</f>
        <v>868</v>
      </c>
      <c r="AS5">
        <f t="shared" si="4"/>
        <v>134</v>
      </c>
      <c r="AT5">
        <f t="shared" si="4"/>
        <v>93</v>
      </c>
      <c r="AU5">
        <f t="shared" si="4"/>
        <v>269</v>
      </c>
      <c r="AV5">
        <f t="shared" si="4"/>
        <v>57</v>
      </c>
      <c r="AW5">
        <f t="shared" si="4"/>
        <v>65</v>
      </c>
      <c r="AX5">
        <f t="shared" ref="AX5:AX8" si="23">BQ5</f>
        <v>151</v>
      </c>
      <c r="AY5">
        <f t="shared" ref="AY5:AY8" si="24">BR5</f>
        <v>70</v>
      </c>
      <c r="AZ5">
        <f t="shared" ref="AZ5:AZ8" si="25">BS5</f>
        <v>28</v>
      </c>
      <c r="BA5" s="70">
        <f>AR5-AS5-AT5-AU5-AV5-AW5-AX5-AY5-AZ5</f>
        <v>1</v>
      </c>
      <c r="BC5">
        <f>SUMIF('ONS Nov25 T4a'!$P:$P,'Chart Data'!$AN5,'ONS Nov25 T4a'!C:C)/1000</f>
        <v>30</v>
      </c>
      <c r="BD5">
        <f>SUMIF('ONS Nov25 T4a'!$P:$P,'Chart Data'!$AN5,'ONS Nov25 T4a'!E:E)/1000</f>
        <v>15</v>
      </c>
      <c r="BE5">
        <f>SUMIF('ONS Nov25 T4a'!$P:$P,'Chart Data'!$AN5,'ONS Nov25 T4a'!F:F)/1000</f>
        <v>3</v>
      </c>
      <c r="BF5">
        <f>SUMIF('ONS Nov25 T4a'!$P:$P,'Chart Data'!$AN5,'ONS Nov25 T4a'!H:H)/1000</f>
        <v>11</v>
      </c>
      <c r="BG5">
        <f>SUMIF('ONS Nov25 T4a'!$P:$P,'Chart Data'!$AN5,'ONS Nov25 T4a'!I:I)/1000</f>
        <v>0</v>
      </c>
      <c r="BH5">
        <f>SUMIF('ONS Nov25 T4a'!$P:$P,'Chart Data'!$AN5,'ONS Nov25 T4a'!J:J)/1000</f>
        <v>1</v>
      </c>
      <c r="BI5" s="70">
        <f t="shared" ref="BI5:BI8" si="26">BC5-BD5-BE5-BF5-BG5-BH5</f>
        <v>0</v>
      </c>
      <c r="BK5">
        <f>SUMIF('ONS Nov25 T4b'!$S:$S,'Chart Data'!$AN5,'ONS Nov25 T4b'!C:C)/1000</f>
        <v>838</v>
      </c>
      <c r="BL5">
        <f>SUMIF('ONS Nov25 T4b'!$S:$S,'Chart Data'!$AN5,'ONS Nov25 T4b'!E:E)/1000</f>
        <v>119</v>
      </c>
      <c r="BM5">
        <f>SUMIF('ONS Nov25 T4b'!$S:$S,'Chart Data'!$AN5,'ONS Nov25 T4b'!F:F)/1000</f>
        <v>90</v>
      </c>
      <c r="BN5">
        <f>SUMIF('ONS Nov25 T4b'!$S:$S,'Chart Data'!$AN5,'ONS Nov25 T4b'!H:H)/1000</f>
        <v>258</v>
      </c>
      <c r="BO5">
        <f>SUMIF('ONS Nov25 T4b'!$S:$S,'Chart Data'!$AN5,'ONS Nov25 T4b'!I:I)/1000</f>
        <v>57</v>
      </c>
      <c r="BP5">
        <f>SUMIF('ONS Nov25 T4b'!$S:$S,'Chart Data'!$AN5,'ONS Nov25 T4b'!J:J)/1000</f>
        <v>64</v>
      </c>
      <c r="BQ5">
        <f>SUMIF('ONS Nov25 T4b'!$S:$S,'Chart Data'!$AN5,'ONS Nov25 T4b'!K:K)/1000</f>
        <v>151</v>
      </c>
      <c r="BR5">
        <f>SUMIF('ONS Nov25 T4b'!$S:$S,'Chart Data'!$AN5,'ONS Nov25 T4b'!O:O)/1000</f>
        <v>70</v>
      </c>
      <c r="BS5">
        <f>SUMIF('ONS Nov25 T4b'!$S:$S,'Chart Data'!$AN5,'ONS Nov25 T4b'!P:P)/1000</f>
        <v>28</v>
      </c>
      <c r="BT5" s="70">
        <f t="shared" ref="BT5:BT8" si="27">BK5-BL5-BM5-BN5-BO5-BP5-BQ5-BR5-BS5</f>
        <v>1</v>
      </c>
      <c r="BV5">
        <v>2022</v>
      </c>
      <c r="BW5" s="32">
        <f t="shared" ref="BW5:BW13" si="28">CJ5</f>
        <v>17</v>
      </c>
      <c r="BX5" s="32">
        <f t="shared" ref="BX5:BX13" si="29">CL5</f>
        <v>45</v>
      </c>
      <c r="BY5" s="32">
        <f t="shared" ref="BY5:BY13" si="30">CK5+CM5</f>
        <v>14</v>
      </c>
      <c r="BZ5">
        <f t="shared" ref="BZ5:BZ13" si="31">CN5</f>
        <v>10</v>
      </c>
      <c r="CA5" s="69">
        <f t="shared" si="6"/>
        <v>240</v>
      </c>
      <c r="CB5" s="69">
        <f t="shared" ref="CB5:CB13" si="32">CG5+CO5+CP5+CQ5</f>
        <v>160</v>
      </c>
      <c r="CC5" s="69">
        <f t="shared" si="7"/>
        <v>0</v>
      </c>
      <c r="CE5">
        <v>2022</v>
      </c>
      <c r="CF5" s="69">
        <f t="shared" ref="CF5:CF8" si="33">CG5+CH5+CI5</f>
        <v>486</v>
      </c>
      <c r="CG5" s="89">
        <f>AA14-CH5-CI5</f>
        <v>158</v>
      </c>
      <c r="CH5" s="69">
        <f>SUMIF('ONS Nov25 T1'!$M:$M,'Chart Data'!$CE5,'ONS Nov25 T1'!$D:$D)/1000</f>
        <v>240</v>
      </c>
      <c r="CI5">
        <f>CT5+DB5</f>
        <v>88</v>
      </c>
      <c r="CJ5">
        <f t="shared" si="8"/>
        <v>17</v>
      </c>
      <c r="CK5">
        <f t="shared" si="9"/>
        <v>9</v>
      </c>
      <c r="CL5">
        <f t="shared" si="10"/>
        <v>45</v>
      </c>
      <c r="CM5">
        <f t="shared" si="11"/>
        <v>5</v>
      </c>
      <c r="CN5">
        <f t="shared" si="12"/>
        <v>10</v>
      </c>
      <c r="CO5">
        <f t="shared" ref="CO5:CO8" si="34">DH5</f>
        <v>0</v>
      </c>
      <c r="CP5">
        <f t="shared" si="13"/>
        <v>0</v>
      </c>
      <c r="CQ5">
        <f t="shared" si="14"/>
        <v>2</v>
      </c>
      <c r="CR5" s="70">
        <f>CI5-CJ5-CK5-CL5-CM5-CN5-CO5-CP5-CQ5</f>
        <v>0</v>
      </c>
      <c r="CT5">
        <f>SUMIF('ONS Nov25 T4a'!$Q:$Q,'Chart Data'!$CE5,'ONS Nov25 T4a'!C:C)/1000</f>
        <v>0</v>
      </c>
      <c r="CU5">
        <f>SUMIF('ONS Nov25 T4a'!$Q:$Q,'Chart Data'!$CE5,'ONS Nov25 T4a'!E:E)/1000</f>
        <v>0</v>
      </c>
      <c r="CV5">
        <f>SUMIF('ONS Nov25 T4a'!$Q:$Q,'Chart Data'!$CE5,'ONS Nov25 T4a'!F:F)/1000</f>
        <v>0</v>
      </c>
      <c r="CW5">
        <f>SUMIF('ONS Nov25 T4a'!$Q:$Q,'Chart Data'!$CE5,'ONS Nov25 T4a'!H:H)/1000</f>
        <v>0</v>
      </c>
      <c r="CX5">
        <f>SUMIF('ONS Nov25 T4a'!$Q:$Q,'Chart Data'!$CE5,'ONS Nov25 T4a'!I:I)/1000</f>
        <v>0</v>
      </c>
      <c r="CY5">
        <f>SUMIF('ONS Nov25 T4a'!$Q:$Q,'Chart Data'!$CE5,'ONS Nov25 T4a'!J:J)/1000</f>
        <v>0</v>
      </c>
      <c r="CZ5" s="70">
        <f t="shared" ref="CZ5:CZ8" si="35">CT5-CU5-CV5-CW5-CX5-CY5</f>
        <v>0</v>
      </c>
      <c r="DB5">
        <f>SUMIF('ONS Nov25 T4b'!$T:$T,'Chart Data'!$CE5,'ONS Nov25 T4b'!C:C)/1000</f>
        <v>88</v>
      </c>
      <c r="DC5">
        <f>SUMIF('ONS Nov25 T4b'!$T:$T,'Chart Data'!$CE5,'ONS Nov25 T4b'!E:E)/1000</f>
        <v>17</v>
      </c>
      <c r="DD5">
        <f>SUMIF('ONS Nov25 T4b'!$T:$T,'Chart Data'!$CE5,'ONS Nov25 T4b'!F:F)/1000</f>
        <v>9</v>
      </c>
      <c r="DE5">
        <f>SUMIF('ONS Nov25 T4b'!$T:$T,'Chart Data'!$AN5,'ONS Nov25 T4b'!H:H)/1000</f>
        <v>45</v>
      </c>
      <c r="DF5">
        <f>SUMIF('ONS Nov25 T4b'!$T:$T,'Chart Data'!$AN5,'ONS Nov25 T4b'!I:I)/1000</f>
        <v>5</v>
      </c>
      <c r="DG5">
        <f>SUMIF('ONS Nov25 T4b'!$T:$T,'Chart Data'!$AN5,'ONS Nov25 T4b'!J:J)/1000</f>
        <v>10</v>
      </c>
      <c r="DH5">
        <f>SUMIF('ONS Nov25 T4b'!$T:$T,'Chart Data'!$AN5,'ONS Nov25 T4b'!K:K)/1000</f>
        <v>0</v>
      </c>
      <c r="DI5">
        <f>SUMIF('ONS Nov25 T4b'!$T:$T,'Chart Data'!$AN5,'ONS Nov25 T4b'!O:O)/1000</f>
        <v>0</v>
      </c>
      <c r="DJ5">
        <f>SUMIF('ONS Nov25 T4b'!$T:$T,'Chart Data'!$AN5,'ONS Nov25 T4b'!P:P)/1000</f>
        <v>2</v>
      </c>
      <c r="DK5" s="70">
        <f t="shared" ref="DK5:DK8" si="36">DB5-DC5-DD5-DE5-DF5-DG5-DH5-DI5-DJ5</f>
        <v>0</v>
      </c>
      <c r="DM5">
        <v>2025</v>
      </c>
      <c r="DN5" s="34">
        <f>100*(Data!B59/Data!$B$58)</f>
        <v>101.38114546831525</v>
      </c>
      <c r="DO5" s="34">
        <f>100*('OBR Nov25 ST1.1'!R115/'OBR Nov25 ST1.1'!$R$114)</f>
        <v>101.48334280185995</v>
      </c>
      <c r="DP5" s="34">
        <f>'OBR Nov25 C2.25'!M27</f>
        <v>101.45765941294248</v>
      </c>
      <c r="DQ5" s="34">
        <f>'OBR Nov25 C2.25'!N27</f>
        <v>101.29999999999998</v>
      </c>
      <c r="DR5" s="34">
        <f>'OBR Nov25 C2.25'!O27-'Chart Data'!DQ5</f>
        <v>0.30000000000001137</v>
      </c>
      <c r="DT5">
        <v>1975</v>
      </c>
      <c r="DU5" s="34">
        <f>100*((Data!M9/Data!M8)-1)</f>
        <v>-1.5228703695502332E-2</v>
      </c>
      <c r="DW5">
        <v>0</v>
      </c>
      <c r="DX5">
        <v>65</v>
      </c>
      <c r="DY5">
        <v>60</v>
      </c>
      <c r="EA5" s="152">
        <v>34001</v>
      </c>
      <c r="EB5" s="34"/>
      <c r="EC5" s="34">
        <f t="shared" ref="EC5:EC68" si="37">AVERAGE($EB$7:$EB$399)</f>
        <v>25.050854271384292</v>
      </c>
      <c r="EE5" s="32"/>
      <c r="EF5" s="32"/>
      <c r="EH5" t="s">
        <v>1142</v>
      </c>
      <c r="EI5" s="34">
        <f t="shared" ref="EI5:EX6" si="38">100*(EI11/EI$13)</f>
        <v>62.821173827500921</v>
      </c>
      <c r="EJ5" s="34">
        <f t="shared" si="38"/>
        <v>63.014647079216488</v>
      </c>
      <c r="EK5" s="34">
        <f t="shared" si="38"/>
        <v>63.163697298499464</v>
      </c>
      <c r="EL5" s="34">
        <f t="shared" si="38"/>
        <v>63.249701268731414</v>
      </c>
      <c r="EM5" s="34">
        <f t="shared" si="38"/>
        <v>63.277551576881393</v>
      </c>
      <c r="EN5" s="34">
        <f t="shared" si="38"/>
        <v>63.259141762091573</v>
      </c>
      <c r="EO5" s="34">
        <f t="shared" si="38"/>
        <v>63.194180673347823</v>
      </c>
      <c r="EP5" s="34">
        <f t="shared" si="38"/>
        <v>63.086962925497133</v>
      </c>
      <c r="EQ5" s="34">
        <f t="shared" si="38"/>
        <v>62.953068383929057</v>
      </c>
      <c r="ER5" s="34">
        <f t="shared" si="38"/>
        <v>62.837595302480423</v>
      </c>
      <c r="ES5" s="34">
        <f t="shared" si="38"/>
        <v>62.742848905656835</v>
      </c>
      <c r="ET5" s="34">
        <f t="shared" si="38"/>
        <v>62.640215358444017</v>
      </c>
      <c r="EU5" s="34">
        <f t="shared" si="38"/>
        <v>62.526253870813186</v>
      </c>
      <c r="EV5" s="34">
        <f t="shared" si="38"/>
        <v>62.441497696025749</v>
      </c>
      <c r="EW5" s="34">
        <f t="shared" si="38"/>
        <v>62.322331623741569</v>
      </c>
      <c r="EX5" s="34">
        <f t="shared" si="38"/>
        <v>62.228357904118013</v>
      </c>
      <c r="EY5" s="34">
        <f t="shared" si="15"/>
        <v>62.192253174647774</v>
      </c>
      <c r="EZ5" s="34">
        <f t="shared" si="15"/>
        <v>62.155691736306537</v>
      </c>
      <c r="FA5" s="34">
        <f t="shared" si="15"/>
        <v>62.13480550144326</v>
      </c>
      <c r="FB5" s="34">
        <f t="shared" si="15"/>
        <v>62.139881330267656</v>
      </c>
      <c r="FC5" s="34">
        <f t="shared" si="15"/>
        <v>62.171837704078271</v>
      </c>
      <c r="FD5" s="34">
        <f t="shared" si="15"/>
        <v>62.188205643758266</v>
      </c>
      <c r="FE5" s="34">
        <f t="shared" si="15"/>
        <v>62.132826946445377</v>
      </c>
      <c r="FF5" s="34">
        <f t="shared" si="15"/>
        <v>62.035849304757974</v>
      </c>
      <c r="FG5" s="34">
        <f t="shared" si="15"/>
        <v>61.943418467171604</v>
      </c>
      <c r="FH5" s="34">
        <f t="shared" si="15"/>
        <v>61.863682598691184</v>
      </c>
      <c r="FI5" s="34">
        <f t="shared" si="15"/>
        <v>61.779792920903098</v>
      </c>
      <c r="FJ5" s="34">
        <f t="shared" si="15"/>
        <v>61.699215481923531</v>
      </c>
      <c r="FK5" s="34">
        <f t="shared" si="15"/>
        <v>61.587266400050886</v>
      </c>
      <c r="FL5" s="34">
        <f t="shared" si="15"/>
        <v>61.473201847372813</v>
      </c>
      <c r="FM5" s="34">
        <f t="shared" si="15"/>
        <v>61.352751633180006</v>
      </c>
      <c r="FN5" s="34">
        <f t="shared" si="15"/>
        <v>61.206867308646594</v>
      </c>
      <c r="FO5" s="34">
        <f t="shared" si="15"/>
        <v>61.074782365195446</v>
      </c>
      <c r="FP5" s="34">
        <f t="shared" si="15"/>
        <v>60.934892896681582</v>
      </c>
      <c r="FQ5" s="34">
        <f t="shared" si="15"/>
        <v>60.786853639261594</v>
      </c>
      <c r="FR5" s="34">
        <f t="shared" si="15"/>
        <v>60.647569454011396</v>
      </c>
      <c r="FS5" s="34">
        <f t="shared" si="15"/>
        <v>60.531976513584098</v>
      </c>
      <c r="FT5" s="34">
        <f t="shared" si="15"/>
        <v>60.407897667730367</v>
      </c>
      <c r="FU5" s="34">
        <f t="shared" si="15"/>
        <v>60.298516405942507</v>
      </c>
      <c r="FX5" s="34"/>
      <c r="FY5" s="31"/>
      <c r="FZ5" s="31"/>
      <c r="GA5" s="31"/>
      <c r="GC5">
        <v>2007</v>
      </c>
      <c r="GD5" s="34">
        <f>AVERAGE(HAVERQ!B195:B198)</f>
        <v>94.174999999999997</v>
      </c>
      <c r="GF5">
        <v>2019</v>
      </c>
      <c r="GG5" s="34">
        <f>AVERAGE(HAVERQ!B243:B246)</f>
        <v>98.074999999999989</v>
      </c>
      <c r="GI5">
        <v>2025</v>
      </c>
      <c r="GJ5" s="34">
        <f>AVERAGE(HAVERQ!B265:B268)</f>
        <v>100.15</v>
      </c>
      <c r="GL5" t="str">
        <f>'OBR Nov25 ST1.15'!B71</f>
        <v>2024-25</v>
      </c>
      <c r="GM5" s="34">
        <f>'OBR Nov25 ST1.15'!O71</f>
        <v>1.1492847536373585</v>
      </c>
      <c r="GN5" s="34">
        <f>'OBR Nov25 ST1.15'!M71</f>
        <v>1.8882217451732464</v>
      </c>
      <c r="GP5" s="32">
        <f>'OBR Nov25 ST1.15'!F71</f>
        <v>55842.75</v>
      </c>
      <c r="GQ5" s="32">
        <f>'OBR Nov25 ST1.15'!D71</f>
        <v>2805907.3280809792</v>
      </c>
      <c r="GR5" s="32">
        <f>M29-P29</f>
        <v>-86.772928781118821</v>
      </c>
      <c r="GS5" s="32">
        <f t="shared" ref="GS5:GS10" si="39">GR5*$GR$12</f>
        <v>-72.859817088391523</v>
      </c>
      <c r="GT5" s="32">
        <f>GP5+GS5</f>
        <v>55769.890182911608</v>
      </c>
      <c r="GU5" s="34">
        <f>100*((GT5/GT4)-1)</f>
        <v>1.0173120555561965</v>
      </c>
      <c r="GV5" s="34">
        <f t="shared" ref="GV5:GV10" si="40">GN5-GM5+GU5</f>
        <v>1.7562490470920844</v>
      </c>
      <c r="GW5">
        <f>GW4*(1+GV5/100)</f>
        <v>2802272.9221181516</v>
      </c>
      <c r="GX5" s="34">
        <f>100*((GW5/GQ5)-1)</f>
        <v>-0.12952694219282579</v>
      </c>
      <c r="GZ5">
        <v>2016</v>
      </c>
      <c r="HA5" s="34">
        <f>100*(Data!B50/Data!$B$57)</f>
        <v>91.69747878396781</v>
      </c>
      <c r="HB5" s="34">
        <f t="shared" ref="HB5:HB13" si="41">HA5</f>
        <v>91.69747878396781</v>
      </c>
      <c r="HD5" s="34">
        <f t="shared" si="16"/>
        <v>0</v>
      </c>
    </row>
    <row r="6" spans="1:214">
      <c r="A6">
        <v>1982</v>
      </c>
      <c r="B6">
        <f>Data!F16*Data!G16</f>
        <v>24.297709999999999</v>
      </c>
      <c r="C6">
        <f>Data!H16/Data!I16</f>
        <v>8.5398107651693067</v>
      </c>
      <c r="D6" s="32">
        <f>Data!E16</f>
        <v>1258257</v>
      </c>
      <c r="E6" s="33">
        <f>Data!J16</f>
        <v>-1.8020510000000001</v>
      </c>
      <c r="F6" s="32">
        <f>Data!D16</f>
        <v>1189451</v>
      </c>
      <c r="G6" s="32">
        <f>Data!B16</f>
        <v>1157191</v>
      </c>
      <c r="I6" s="34">
        <f t="shared" ref="I6:J69" si="42">100*((F6/F5)-1)</f>
        <v>0.62117843716480436</v>
      </c>
      <c r="J6" s="34">
        <f t="shared" si="42"/>
        <v>1.9854353230871258</v>
      </c>
      <c r="L6">
        <v>2002</v>
      </c>
      <c r="M6" s="32">
        <f>'[2]2022-based'!L9</f>
        <v>190.9</v>
      </c>
      <c r="R6">
        <v>2022</v>
      </c>
      <c r="S6" s="32">
        <f>'[2]2022-based'!Q29</f>
        <v>67636.134000000005</v>
      </c>
      <c r="T6" s="32">
        <f t="array" ref="T6:T44">TRANSPOSE('ONS popproj Jan25 pp'!C8:AO8)</f>
        <v>67602.760999999999</v>
      </c>
      <c r="U6" s="32">
        <f t="array" ref="U6:U44">TRANSPOSE('ONS popproj Jan25 migcv'!C8:AO8)</f>
        <v>67602.760999999999</v>
      </c>
      <c r="V6" s="32">
        <f>S6</f>
        <v>67636.134000000005</v>
      </c>
      <c r="W6">
        <f t="array" ref="W6:W14">TRANSPOSE('OBR Nov25 ST4.3'!T34:AB34)</f>
        <v>67970</v>
      </c>
      <c r="Y6">
        <v>2014</v>
      </c>
      <c r="Z6" s="69">
        <f>SUMIF('ONS Nov25 T1'!$L:$L,'Chart Data'!$Y6,'ONS Nov25 T1'!$C:$C)/1000</f>
        <v>737</v>
      </c>
      <c r="AA6" s="69">
        <f>SUMIF('ONS Nov25 T1'!$M:$M,'Chart Data'!$Y6,'ONS Nov25 T1'!$C:$C)/1000</f>
        <v>489</v>
      </c>
      <c r="AB6" s="69">
        <f>SUMIF('ONS Nov25 T1'!$N:$N,'Chart Data'!$Y6,'ONS Nov25 T1'!$C:$C)/1000</f>
        <v>248</v>
      </c>
      <c r="AC6">
        <f t="shared" si="0"/>
        <v>248</v>
      </c>
      <c r="AE6">
        <v>2023</v>
      </c>
      <c r="AF6" s="32">
        <f t="shared" si="17"/>
        <v>220</v>
      </c>
      <c r="AG6" s="32">
        <f t="shared" si="18"/>
        <v>352</v>
      </c>
      <c r="AH6" s="32">
        <f t="shared" si="19"/>
        <v>318</v>
      </c>
      <c r="AI6">
        <f t="shared" si="20"/>
        <v>90</v>
      </c>
      <c r="AJ6" s="69">
        <f t="shared" si="1"/>
        <v>82</v>
      </c>
      <c r="AK6" s="69">
        <f t="shared" si="21"/>
        <v>402</v>
      </c>
      <c r="AL6" s="69">
        <f t="shared" si="2"/>
        <v>2</v>
      </c>
      <c r="AN6">
        <v>2023</v>
      </c>
      <c r="AO6" s="69">
        <f t="shared" si="3"/>
        <v>1466</v>
      </c>
      <c r="AP6" s="89">
        <f>Z15-AQ6-AR6</f>
        <v>170</v>
      </c>
      <c r="AQ6" s="69">
        <f>SUMIF('ONS Nov25 T1'!$L:$L,'Chart Data'!$Y6,'ONS Nov25 T1'!$D:$D)/1000</f>
        <v>82</v>
      </c>
      <c r="AR6">
        <f t="shared" si="22"/>
        <v>1214</v>
      </c>
      <c r="AS6">
        <f t="shared" si="4"/>
        <v>220</v>
      </c>
      <c r="AT6">
        <f t="shared" si="4"/>
        <v>187</v>
      </c>
      <c r="AU6">
        <f t="shared" si="4"/>
        <v>352</v>
      </c>
      <c r="AV6">
        <f t="shared" si="4"/>
        <v>131</v>
      </c>
      <c r="AW6">
        <f t="shared" si="4"/>
        <v>90</v>
      </c>
      <c r="AX6">
        <f t="shared" si="23"/>
        <v>126</v>
      </c>
      <c r="AY6">
        <f t="shared" si="24"/>
        <v>85</v>
      </c>
      <c r="AZ6">
        <f t="shared" si="25"/>
        <v>21</v>
      </c>
      <c r="BA6" s="70">
        <f>AR6-AS6-AT6-AU6-AV6-AW6-AX6-AY6-AZ6</f>
        <v>2</v>
      </c>
      <c r="BC6">
        <f>SUMIF('ONS Nov25 T4a'!$P:$P,'Chart Data'!$AN6,'ONS Nov25 T4a'!C:C)/1000</f>
        <v>32</v>
      </c>
      <c r="BD6">
        <f>SUMIF('ONS Nov25 T4a'!$P:$P,'Chart Data'!$AN6,'ONS Nov25 T4a'!E:E)/1000</f>
        <v>14</v>
      </c>
      <c r="BE6">
        <f>SUMIF('ONS Nov25 T4a'!$P:$P,'Chart Data'!$AN6,'ONS Nov25 T4a'!F:F)/1000</f>
        <v>4</v>
      </c>
      <c r="BF6">
        <f>SUMIF('ONS Nov25 T4a'!$P:$P,'Chart Data'!$AN6,'ONS Nov25 T4a'!H:H)/1000</f>
        <v>11</v>
      </c>
      <c r="BG6">
        <f>SUMIF('ONS Nov25 T4a'!$P:$P,'Chart Data'!$AN6,'ONS Nov25 T4a'!I:I)/1000</f>
        <v>0</v>
      </c>
      <c r="BH6">
        <f>SUMIF('ONS Nov25 T4a'!$P:$P,'Chart Data'!$AN6,'ONS Nov25 T4a'!J:J)/1000</f>
        <v>2</v>
      </c>
      <c r="BI6" s="70">
        <f t="shared" si="26"/>
        <v>1</v>
      </c>
      <c r="BK6">
        <f>SUMIF('ONS Nov25 T4b'!$S:$S,'Chart Data'!$AN6,'ONS Nov25 T4b'!C:C)/1000</f>
        <v>1182</v>
      </c>
      <c r="BL6">
        <f>SUMIF('ONS Nov25 T4b'!$S:$S,'Chart Data'!$AN6,'ONS Nov25 T4b'!E:E)/1000</f>
        <v>206</v>
      </c>
      <c r="BM6">
        <f>SUMIF('ONS Nov25 T4b'!$S:$S,'Chart Data'!$AN6,'ONS Nov25 T4b'!F:F)/1000</f>
        <v>183</v>
      </c>
      <c r="BN6">
        <f>SUMIF('ONS Nov25 T4b'!$S:$S,'Chart Data'!$AN6,'ONS Nov25 T4b'!H:H)/1000</f>
        <v>341</v>
      </c>
      <c r="BO6">
        <f>SUMIF('ONS Nov25 T4b'!$S:$S,'Chart Data'!$AN6,'ONS Nov25 T4b'!I:I)/1000</f>
        <v>131</v>
      </c>
      <c r="BP6">
        <f>SUMIF('ONS Nov25 T4b'!$S:$S,'Chart Data'!$AN6,'ONS Nov25 T4b'!J:J)/1000</f>
        <v>88</v>
      </c>
      <c r="BQ6">
        <f>SUMIF('ONS Nov25 T4b'!$S:$S,'Chart Data'!$AN6,'ONS Nov25 T4b'!K:K)/1000</f>
        <v>126</v>
      </c>
      <c r="BR6">
        <f>SUMIF('ONS Nov25 T4b'!$S:$S,'Chart Data'!$AN6,'ONS Nov25 T4b'!O:O)/1000</f>
        <v>85</v>
      </c>
      <c r="BS6">
        <f>SUMIF('ONS Nov25 T4b'!$S:$S,'Chart Data'!$AN6,'ONS Nov25 T4b'!P:P)/1000</f>
        <v>21</v>
      </c>
      <c r="BT6" s="70">
        <f t="shared" si="27"/>
        <v>1</v>
      </c>
      <c r="BV6">
        <v>2023</v>
      </c>
      <c r="BW6" s="32">
        <f t="shared" si="28"/>
        <v>21</v>
      </c>
      <c r="BX6" s="32">
        <f t="shared" si="29"/>
        <v>85</v>
      </c>
      <c r="BY6" s="32">
        <f t="shared" si="30"/>
        <v>19</v>
      </c>
      <c r="BZ6">
        <f t="shared" si="31"/>
        <v>11</v>
      </c>
      <c r="CA6" s="69">
        <f t="shared" si="6"/>
        <v>252</v>
      </c>
      <c r="CB6" s="69">
        <f t="shared" si="32"/>
        <v>153</v>
      </c>
      <c r="CC6" s="69">
        <f t="shared" si="7"/>
        <v>2</v>
      </c>
      <c r="CE6">
        <v>2023</v>
      </c>
      <c r="CF6" s="69">
        <f t="shared" si="33"/>
        <v>543</v>
      </c>
      <c r="CG6" s="89">
        <f>AA15-CH6-CI6</f>
        <v>149</v>
      </c>
      <c r="CH6" s="69">
        <f>SUMIF('ONS Nov25 T1'!$M:$M,'Chart Data'!$CE6,'ONS Nov25 T1'!$D:$D)/1000</f>
        <v>252</v>
      </c>
      <c r="CI6">
        <f>CT6+DB6</f>
        <v>142</v>
      </c>
      <c r="CJ6">
        <f t="shared" si="8"/>
        <v>21</v>
      </c>
      <c r="CK6">
        <f t="shared" si="9"/>
        <v>11</v>
      </c>
      <c r="CL6">
        <f t="shared" si="10"/>
        <v>85</v>
      </c>
      <c r="CM6">
        <f t="shared" si="11"/>
        <v>8</v>
      </c>
      <c r="CN6">
        <f t="shared" si="12"/>
        <v>11</v>
      </c>
      <c r="CO6">
        <f t="shared" si="34"/>
        <v>1</v>
      </c>
      <c r="CP6">
        <f t="shared" si="13"/>
        <v>1</v>
      </c>
      <c r="CQ6">
        <f t="shared" si="14"/>
        <v>2</v>
      </c>
      <c r="CR6" s="70">
        <f>CI6-CJ6-CK6-CL6-CM6-CN6-CO6-CP6-CQ6</f>
        <v>2</v>
      </c>
      <c r="CT6">
        <f>SUMIF('ONS Nov25 T4a'!$Q:$Q,'Chart Data'!$CE6,'ONS Nov25 T4a'!C:C)/1000</f>
        <v>5</v>
      </c>
      <c r="CU6">
        <f>SUMIF('ONS Nov25 T4a'!$Q:$Q,'Chart Data'!$CE6,'ONS Nov25 T4a'!E:E)/1000</f>
        <v>2</v>
      </c>
      <c r="CV6">
        <f>SUMIF('ONS Nov25 T4a'!$Q:$Q,'Chart Data'!$CE6,'ONS Nov25 T4a'!F:F)/1000</f>
        <v>0</v>
      </c>
      <c r="CW6">
        <f>SUMIF('ONS Nov25 T4a'!$Q:$Q,'Chart Data'!$CE6,'ONS Nov25 T4a'!H:H)/1000</f>
        <v>2</v>
      </c>
      <c r="CX6">
        <f>SUMIF('ONS Nov25 T4a'!$Q:$Q,'Chart Data'!$CE6,'ONS Nov25 T4a'!I:I)/1000</f>
        <v>0</v>
      </c>
      <c r="CY6">
        <f>SUMIF('ONS Nov25 T4a'!$Q:$Q,'Chart Data'!$CE6,'ONS Nov25 T4a'!J:J)/1000</f>
        <v>0</v>
      </c>
      <c r="CZ6" s="70">
        <f t="shared" si="35"/>
        <v>1</v>
      </c>
      <c r="DB6">
        <f>SUMIF('ONS Nov25 T4b'!$T:$T,'Chart Data'!$CE6,'ONS Nov25 T4b'!C:C)/1000</f>
        <v>137</v>
      </c>
      <c r="DC6">
        <f>SUMIF('ONS Nov25 T4b'!$T:$T,'Chart Data'!$CE6,'ONS Nov25 T4b'!E:E)/1000</f>
        <v>19</v>
      </c>
      <c r="DD6">
        <f>SUMIF('ONS Nov25 T4b'!$T:$T,'Chart Data'!$CE6,'ONS Nov25 T4b'!F:F)/1000</f>
        <v>11</v>
      </c>
      <c r="DE6">
        <f>SUMIF('ONS Nov25 T4b'!$T:$T,'Chart Data'!$AN6,'ONS Nov25 T4b'!H:H)/1000</f>
        <v>83</v>
      </c>
      <c r="DF6">
        <f>SUMIF('ONS Nov25 T4b'!$T:$T,'Chart Data'!$AN6,'ONS Nov25 T4b'!I:I)/1000</f>
        <v>8</v>
      </c>
      <c r="DG6">
        <f>SUMIF('ONS Nov25 T4b'!$T:$T,'Chart Data'!$AN6,'ONS Nov25 T4b'!J:J)/1000</f>
        <v>11</v>
      </c>
      <c r="DH6">
        <f>SUMIF('ONS Nov25 T4b'!$T:$T,'Chart Data'!$AN6,'ONS Nov25 T4b'!K:K)/1000</f>
        <v>1</v>
      </c>
      <c r="DI6">
        <f>SUMIF('ONS Nov25 T4b'!$T:$T,'Chart Data'!$AN6,'ONS Nov25 T4b'!O:O)/1000</f>
        <v>1</v>
      </c>
      <c r="DJ6">
        <f>SUMIF('ONS Nov25 T4b'!$T:$T,'Chart Data'!$AN6,'ONS Nov25 T4b'!P:P)/1000</f>
        <v>2</v>
      </c>
      <c r="DK6" s="70">
        <f t="shared" si="36"/>
        <v>1</v>
      </c>
      <c r="DM6">
        <v>2026</v>
      </c>
      <c r="DN6" s="34">
        <f>100*(Data!B60/Data!$B$58)</f>
        <v>102.26486290446356</v>
      </c>
      <c r="DO6" s="34">
        <f>100*('OBR Nov25 ST1.1'!R116/'OBR Nov25 ST1.1'!$R$114)</f>
        <v>102.87515287635117</v>
      </c>
      <c r="DP6" s="34">
        <f>'OBR Nov25 C2.25'!M28</f>
        <v>102.63935841449245</v>
      </c>
      <c r="DQ6" s="151">
        <f>DN6</f>
        <v>102.26486290446356</v>
      </c>
      <c r="DR6" s="34">
        <f>'OBR Nov25 C2.25'!O28-'Chart Data'!DQ6</f>
        <v>0.75753709553643489</v>
      </c>
      <c r="DT6">
        <v>1976</v>
      </c>
      <c r="DU6" s="34">
        <f>100*((Data!M10/Data!M9)-1)</f>
        <v>0.10264916024866899</v>
      </c>
      <c r="DW6">
        <v>0</v>
      </c>
      <c r="DX6">
        <v>65</v>
      </c>
      <c r="DY6">
        <v>60</v>
      </c>
      <c r="EA6" s="152">
        <v>34029</v>
      </c>
      <c r="EB6" s="34"/>
      <c r="EC6" s="34">
        <f t="shared" si="37"/>
        <v>25.050854271384292</v>
      </c>
      <c r="EE6" s="32"/>
      <c r="EF6" s="32"/>
      <c r="EH6" t="s">
        <v>1143</v>
      </c>
      <c r="EI6" s="34">
        <f t="shared" si="38"/>
        <v>18.839882885848404</v>
      </c>
      <c r="EJ6" s="34">
        <f t="shared" si="15"/>
        <v>18.885215088164038</v>
      </c>
      <c r="EK6" s="34">
        <f t="shared" si="15"/>
        <v>19.015042144934917</v>
      </c>
      <c r="EL6" s="34">
        <f t="shared" si="15"/>
        <v>19.185849071146023</v>
      </c>
      <c r="EM6" s="34">
        <f t="shared" si="15"/>
        <v>19.413086546340729</v>
      </c>
      <c r="EN6" s="34">
        <f t="shared" si="15"/>
        <v>19.69311356299399</v>
      </c>
      <c r="EO6" s="34">
        <f t="shared" si="15"/>
        <v>20.011346742697157</v>
      </c>
      <c r="EP6" s="34">
        <f t="shared" si="15"/>
        <v>20.340498338016971</v>
      </c>
      <c r="EQ6" s="34">
        <f t="shared" si="15"/>
        <v>20.668086366402843</v>
      </c>
      <c r="ER6" s="34">
        <f t="shared" si="15"/>
        <v>20.970845974383838</v>
      </c>
      <c r="ES6" s="34">
        <f t="shared" si="15"/>
        <v>21.260807516171866</v>
      </c>
      <c r="ET6" s="34">
        <f t="shared" si="15"/>
        <v>21.526536426510162</v>
      </c>
      <c r="EU6" s="34">
        <f t="shared" si="15"/>
        <v>21.778010673006364</v>
      </c>
      <c r="EV6" s="34">
        <f t="shared" si="15"/>
        <v>21.986799038729625</v>
      </c>
      <c r="EW6" s="34">
        <f t="shared" si="15"/>
        <v>22.20909356961598</v>
      </c>
      <c r="EX6" s="34">
        <f t="shared" si="15"/>
        <v>22.374727284027646</v>
      </c>
      <c r="EY6" s="34">
        <f t="shared" si="15"/>
        <v>22.487202300657469</v>
      </c>
      <c r="EZ6" s="34">
        <f t="shared" si="15"/>
        <v>22.54885313103027</v>
      </c>
      <c r="FA6" s="34">
        <f t="shared" si="15"/>
        <v>22.588767578787561</v>
      </c>
      <c r="FB6" s="34">
        <f t="shared" si="15"/>
        <v>22.603374597584438</v>
      </c>
      <c r="FC6" s="34">
        <f t="shared" si="15"/>
        <v>22.590646328270132</v>
      </c>
      <c r="FD6" s="34">
        <f t="shared" si="15"/>
        <v>22.59253910380064</v>
      </c>
      <c r="FE6" s="34">
        <f t="shared" si="15"/>
        <v>22.66558019556981</v>
      </c>
      <c r="FF6" s="34">
        <f t="shared" si="15"/>
        <v>22.780154220854971</v>
      </c>
      <c r="FG6" s="34">
        <f t="shared" si="15"/>
        <v>22.890538314420237</v>
      </c>
      <c r="FH6" s="34">
        <f t="shared" si="15"/>
        <v>22.988905302882596</v>
      </c>
      <c r="FI6" s="34">
        <f t="shared" si="15"/>
        <v>23.093472921257373</v>
      </c>
      <c r="FJ6" s="34">
        <f t="shared" si="15"/>
        <v>23.19879108971044</v>
      </c>
      <c r="FK6" s="34">
        <f t="shared" si="15"/>
        <v>23.340609920666939</v>
      </c>
      <c r="FL6" s="34">
        <f t="shared" si="15"/>
        <v>23.490145206738351</v>
      </c>
      <c r="FM6" s="34">
        <f t="shared" si="15"/>
        <v>23.651938973230273</v>
      </c>
      <c r="FN6" s="34">
        <f t="shared" si="15"/>
        <v>23.84555808005765</v>
      </c>
      <c r="FO6" s="34">
        <f t="shared" si="15"/>
        <v>24.032303291961949</v>
      </c>
      <c r="FP6" s="34">
        <f t="shared" si="15"/>
        <v>24.233607059647884</v>
      </c>
      <c r="FQ6" s="34">
        <f t="shared" si="15"/>
        <v>24.449074322687654</v>
      </c>
      <c r="FR6" s="34">
        <f t="shared" si="15"/>
        <v>24.660938385580614</v>
      </c>
      <c r="FS6" s="34">
        <f t="shared" si="15"/>
        <v>24.853582979746385</v>
      </c>
      <c r="FT6" s="34">
        <f t="shared" si="15"/>
        <v>25.057965958831929</v>
      </c>
      <c r="FU6" s="34">
        <f t="shared" si="15"/>
        <v>25.249310271792957</v>
      </c>
      <c r="FX6" s="34"/>
      <c r="FY6" s="31"/>
      <c r="FZ6" s="31"/>
      <c r="GA6" s="31"/>
      <c r="GC6" t="s">
        <v>1375</v>
      </c>
      <c r="GD6" s="34">
        <f>100*((GD5/GD4)^(1/37)-1)</f>
        <v>2.0390522566444025</v>
      </c>
      <c r="GF6" t="s">
        <v>1375</v>
      </c>
      <c r="GG6" s="34">
        <f>100*((GG5/GG4)^(1/12)-1)</f>
        <v>0.33872018568785744</v>
      </c>
      <c r="GI6" t="s">
        <v>1375</v>
      </c>
      <c r="GJ6" s="34">
        <f>100*((GJ5/GJ4)^(4/23)-1)</f>
        <v>0.36477796242655458</v>
      </c>
      <c r="GL6" t="str">
        <f>'OBR Nov25 ST1.15'!B72</f>
        <v>2025-26</v>
      </c>
      <c r="GM6" s="34">
        <f>'OBR Nov25 ST1.15'!O72</f>
        <v>0.92630511570437335</v>
      </c>
      <c r="GN6" s="34">
        <f>'OBR Nov25 ST1.15'!M72</f>
        <v>1.5356702230788777</v>
      </c>
      <c r="GP6" s="32">
        <f>'OBR Nov25 ST1.15'!F72</f>
        <v>56360.024250000002</v>
      </c>
      <c r="GQ6" s="32">
        <f>'OBR Nov25 ST1.15'!D72</f>
        <v>2848996.8114055069</v>
      </c>
      <c r="GR6" s="32">
        <f>GR5+M30-P30</f>
        <v>-255.24158451142182</v>
      </c>
      <c r="GS6" s="32">
        <f t="shared" si="39"/>
        <v>-214.31632448137401</v>
      </c>
      <c r="GT6" s="32">
        <f t="shared" ref="GT6:GT10" si="43">GP6+GS6</f>
        <v>56145.707925518625</v>
      </c>
      <c r="GU6" s="34">
        <f>100*((GT6/GT5)-1)</f>
        <v>0.67387212234850669</v>
      </c>
      <c r="GV6" s="34">
        <f t="shared" si="40"/>
        <v>1.283237229723011</v>
      </c>
      <c r="GW6">
        <f t="shared" ref="GW6:GW10" si="44">GW5*(1+GV6/100)</f>
        <v>2838232.7315332186</v>
      </c>
      <c r="GX6" s="34">
        <f t="shared" ref="GX6:GX10" si="45">100*((GW6/GQ6)-1)</f>
        <v>-0.37782000419220862</v>
      </c>
      <c r="GZ6">
        <v>2017</v>
      </c>
      <c r="HA6" s="34">
        <f>100*(Data!B51/Data!$B$57)</f>
        <v>94.469697300015554</v>
      </c>
      <c r="HB6" s="34">
        <f t="shared" si="41"/>
        <v>94.469697300015554</v>
      </c>
      <c r="HD6" s="34">
        <f t="shared" si="16"/>
        <v>0</v>
      </c>
    </row>
    <row r="7" spans="1:214">
      <c r="A7">
        <v>1983</v>
      </c>
      <c r="B7">
        <f>Data!F17*Data!G17</f>
        <v>24.304680000000001</v>
      </c>
      <c r="C7">
        <f>Data!H17/Data!I17</f>
        <v>8.5563186398591036</v>
      </c>
      <c r="D7" s="32">
        <f>Data!E17</f>
        <v>1271612</v>
      </c>
      <c r="E7" s="33">
        <f>Data!J17</f>
        <v>-1.7896030000000001</v>
      </c>
      <c r="F7" s="32">
        <f>Data!D17</f>
        <v>1209350</v>
      </c>
      <c r="G7" s="32">
        <f>Data!B17</f>
        <v>1205632</v>
      </c>
      <c r="I7" s="34">
        <f t="shared" si="42"/>
        <v>1.6729566833774578</v>
      </c>
      <c r="J7" s="34">
        <f t="shared" si="42"/>
        <v>4.1860850974471786</v>
      </c>
      <c r="L7">
        <v>2003</v>
      </c>
      <c r="M7" s="32">
        <f>'[2]2022-based'!L10</f>
        <v>194.3</v>
      </c>
      <c r="R7">
        <v>2023</v>
      </c>
      <c r="S7" s="32">
        <f>'[2]2022-based'!Q30</f>
        <v>68526.183000000005</v>
      </c>
      <c r="T7" s="32">
        <v>68492.494999999995</v>
      </c>
      <c r="U7" s="32">
        <v>68492.494999999995</v>
      </c>
      <c r="V7" s="32">
        <f>S7</f>
        <v>68526.183000000005</v>
      </c>
      <c r="W7">
        <v>68809.5</v>
      </c>
      <c r="Y7">
        <v>2015</v>
      </c>
      <c r="Z7" s="69">
        <f>SUMIF('ONS Nov25 T1'!$L:$L,'Chart Data'!$Y7,'ONS Nov25 T1'!$C:$C)/1000</f>
        <v>778</v>
      </c>
      <c r="AA7" s="69">
        <f>SUMIF('ONS Nov25 T1'!$M:$M,'Chart Data'!$Y7,'ONS Nov25 T1'!$C:$C)/1000</f>
        <v>482</v>
      </c>
      <c r="AB7" s="69">
        <f>SUMIF('ONS Nov25 T1'!$N:$N,'Chart Data'!$Y7,'ONS Nov25 T1'!$C:$C)/1000</f>
        <v>296</v>
      </c>
      <c r="AC7">
        <f t="shared" si="0"/>
        <v>296</v>
      </c>
      <c r="AE7">
        <v>2024</v>
      </c>
      <c r="AF7" s="32">
        <f t="shared" si="17"/>
        <v>202</v>
      </c>
      <c r="AG7" s="32">
        <f t="shared" si="18"/>
        <v>310</v>
      </c>
      <c r="AH7" s="32">
        <f t="shared" si="19"/>
        <v>336</v>
      </c>
      <c r="AI7">
        <f t="shared" si="20"/>
        <v>87</v>
      </c>
      <c r="AJ7" s="69">
        <f t="shared" si="1"/>
        <v>83</v>
      </c>
      <c r="AK7" s="69">
        <f t="shared" si="21"/>
        <v>280</v>
      </c>
      <c r="AL7" s="69">
        <f t="shared" si="2"/>
        <v>1</v>
      </c>
      <c r="AN7">
        <v>2024</v>
      </c>
      <c r="AO7" s="69">
        <f t="shared" si="3"/>
        <v>1299</v>
      </c>
      <c r="AP7" s="89">
        <f>Z16-AQ7-AR7</f>
        <v>122</v>
      </c>
      <c r="AQ7" s="69">
        <f>SUMIF('ONS Nov25 T1'!$L:$L,'Chart Data'!$Y7,'ONS Nov25 T1'!$D:$D)/1000</f>
        <v>83</v>
      </c>
      <c r="AR7">
        <f t="shared" si="22"/>
        <v>1094</v>
      </c>
      <c r="AS7">
        <f t="shared" si="4"/>
        <v>202</v>
      </c>
      <c r="AT7">
        <f t="shared" si="4"/>
        <v>249</v>
      </c>
      <c r="AU7">
        <f t="shared" si="4"/>
        <v>310</v>
      </c>
      <c r="AV7">
        <f t="shared" si="4"/>
        <v>87</v>
      </c>
      <c r="AW7">
        <f t="shared" si="4"/>
        <v>87</v>
      </c>
      <c r="AX7">
        <f t="shared" si="23"/>
        <v>62</v>
      </c>
      <c r="AY7">
        <f t="shared" si="24"/>
        <v>81</v>
      </c>
      <c r="AZ7">
        <f t="shared" si="25"/>
        <v>15</v>
      </c>
      <c r="BA7" s="70">
        <f>AR7-AS7-AT7-AU7-AV7-AW7-AX7-AY7-AZ7</f>
        <v>1</v>
      </c>
      <c r="BC7">
        <f>SUMIF('ONS Nov25 T4a'!$P:$P,'Chart Data'!$AN7,'ONS Nov25 T4a'!C:C)/1000</f>
        <v>31</v>
      </c>
      <c r="BD7">
        <f>SUMIF('ONS Nov25 T4a'!$P:$P,'Chart Data'!$AN7,'ONS Nov25 T4a'!E:E)/1000</f>
        <v>12</v>
      </c>
      <c r="BE7">
        <f>SUMIF('ONS Nov25 T4a'!$P:$P,'Chart Data'!$AN7,'ONS Nov25 T4a'!F:F)/1000</f>
        <v>4</v>
      </c>
      <c r="BF7">
        <f>SUMIF('ONS Nov25 T4a'!$P:$P,'Chart Data'!$AN7,'ONS Nov25 T4a'!H:H)/1000</f>
        <v>11</v>
      </c>
      <c r="BG7">
        <f>SUMIF('ONS Nov25 T4a'!$P:$P,'Chart Data'!$AN7,'ONS Nov25 T4a'!I:I)/1000</f>
        <v>0</v>
      </c>
      <c r="BH7">
        <f>SUMIF('ONS Nov25 T4a'!$P:$P,'Chart Data'!$AN7,'ONS Nov25 T4a'!J:J)/1000</f>
        <v>3</v>
      </c>
      <c r="BI7" s="70">
        <f t="shared" si="26"/>
        <v>1</v>
      </c>
      <c r="BK7">
        <f>SUMIF('ONS Nov25 T4b'!$S:$S,'Chart Data'!$AN7,'ONS Nov25 T4b'!C:C)/1000</f>
        <v>1063</v>
      </c>
      <c r="BL7">
        <f>SUMIF('ONS Nov25 T4b'!$S:$S,'Chart Data'!$AN7,'ONS Nov25 T4b'!E:E)/1000</f>
        <v>190</v>
      </c>
      <c r="BM7">
        <f>SUMIF('ONS Nov25 T4b'!$S:$S,'Chart Data'!$AN7,'ONS Nov25 T4b'!F:F)/1000</f>
        <v>245</v>
      </c>
      <c r="BN7">
        <f>SUMIF('ONS Nov25 T4b'!$S:$S,'Chart Data'!$AN7,'ONS Nov25 T4b'!H:H)/1000</f>
        <v>299</v>
      </c>
      <c r="BO7">
        <f>SUMIF('ONS Nov25 T4b'!$S:$S,'Chart Data'!$AN7,'ONS Nov25 T4b'!I:I)/1000</f>
        <v>87</v>
      </c>
      <c r="BP7">
        <f>SUMIF('ONS Nov25 T4b'!$S:$S,'Chart Data'!$AN7,'ONS Nov25 T4b'!J:J)/1000</f>
        <v>84</v>
      </c>
      <c r="BQ7">
        <f>SUMIF('ONS Nov25 T4b'!$S:$S,'Chart Data'!$AN7,'ONS Nov25 T4b'!K:K)/1000</f>
        <v>62</v>
      </c>
      <c r="BR7">
        <f>SUMIF('ONS Nov25 T4b'!$S:$S,'Chart Data'!$AN7,'ONS Nov25 T4b'!O:O)/1000</f>
        <v>81</v>
      </c>
      <c r="BS7">
        <f>SUMIF('ONS Nov25 T4b'!$S:$S,'Chart Data'!$AN7,'ONS Nov25 T4b'!P:P)/1000</f>
        <v>15</v>
      </c>
      <c r="BT7" s="70">
        <f t="shared" si="27"/>
        <v>0</v>
      </c>
      <c r="BV7">
        <v>2024</v>
      </c>
      <c r="BW7" s="32">
        <f t="shared" si="28"/>
        <v>38</v>
      </c>
      <c r="BX7" s="32">
        <f t="shared" si="29"/>
        <v>128</v>
      </c>
      <c r="BY7" s="32">
        <f t="shared" si="30"/>
        <v>40</v>
      </c>
      <c r="BZ7">
        <f t="shared" si="31"/>
        <v>23</v>
      </c>
      <c r="CA7" s="69">
        <f t="shared" si="6"/>
        <v>257</v>
      </c>
      <c r="CB7" s="69">
        <f t="shared" si="32"/>
        <v>164</v>
      </c>
      <c r="CC7" s="69">
        <f t="shared" si="7"/>
        <v>0</v>
      </c>
      <c r="CE7">
        <v>2024</v>
      </c>
      <c r="CF7" s="69">
        <f t="shared" si="33"/>
        <v>650</v>
      </c>
      <c r="CG7" s="89">
        <f>AA16-CH7-CI7</f>
        <v>145</v>
      </c>
      <c r="CH7" s="69">
        <f>SUMIF('ONS Nov25 T1'!$M:$M,'Chart Data'!$CE7,'ONS Nov25 T1'!$D:$D)/1000</f>
        <v>257</v>
      </c>
      <c r="CI7">
        <f>CT7+DB7</f>
        <v>248</v>
      </c>
      <c r="CJ7">
        <f t="shared" si="8"/>
        <v>38</v>
      </c>
      <c r="CK7">
        <f t="shared" si="9"/>
        <v>22</v>
      </c>
      <c r="CL7">
        <f t="shared" si="10"/>
        <v>128</v>
      </c>
      <c r="CM7">
        <f t="shared" si="11"/>
        <v>18</v>
      </c>
      <c r="CN7">
        <f t="shared" si="12"/>
        <v>23</v>
      </c>
      <c r="CO7">
        <f t="shared" si="34"/>
        <v>10</v>
      </c>
      <c r="CP7">
        <f t="shared" si="13"/>
        <v>4</v>
      </c>
      <c r="CQ7">
        <f t="shared" si="14"/>
        <v>5</v>
      </c>
      <c r="CR7" s="70">
        <f>CI7-CJ7-CK7-CL7-CM7-CN7-CO7-CP7-CQ7</f>
        <v>0</v>
      </c>
      <c r="CT7">
        <f>SUMIF('ONS Nov25 T4a'!$Q:$Q,'Chart Data'!$CE7,'ONS Nov25 T4a'!C:C)/1000</f>
        <v>10</v>
      </c>
      <c r="CU7">
        <f>SUMIF('ONS Nov25 T4a'!$Q:$Q,'Chart Data'!$CE7,'ONS Nov25 T4a'!E:E)/1000</f>
        <v>4</v>
      </c>
      <c r="CV7">
        <f>SUMIF('ONS Nov25 T4a'!$Q:$Q,'Chart Data'!$CE7,'ONS Nov25 T4a'!F:F)/1000</f>
        <v>1</v>
      </c>
      <c r="CW7">
        <f>SUMIF('ONS Nov25 T4a'!$Q:$Q,'Chart Data'!$CE7,'ONS Nov25 T4a'!H:H)/1000</f>
        <v>4</v>
      </c>
      <c r="CX7">
        <f>SUMIF('ONS Nov25 T4a'!$Q:$Q,'Chart Data'!$CE7,'ONS Nov25 T4a'!I:I)/1000</f>
        <v>0</v>
      </c>
      <c r="CY7">
        <f>SUMIF('ONS Nov25 T4a'!$Q:$Q,'Chart Data'!$CE7,'ONS Nov25 T4a'!J:J)/1000</f>
        <v>0</v>
      </c>
      <c r="CZ7" s="70">
        <f t="shared" si="35"/>
        <v>1</v>
      </c>
      <c r="DB7">
        <f>SUMIF('ONS Nov25 T4b'!$T:$T,'Chart Data'!$CE7,'ONS Nov25 T4b'!C:C)/1000</f>
        <v>238</v>
      </c>
      <c r="DC7">
        <f>SUMIF('ONS Nov25 T4b'!$T:$T,'Chart Data'!$CE7,'ONS Nov25 T4b'!E:E)/1000</f>
        <v>34</v>
      </c>
      <c r="DD7">
        <f>SUMIF('ONS Nov25 T4b'!$T:$T,'Chart Data'!$CE7,'ONS Nov25 T4b'!F:F)/1000</f>
        <v>21</v>
      </c>
      <c r="DE7">
        <f>SUMIF('ONS Nov25 T4b'!$T:$T,'Chart Data'!$AN7,'ONS Nov25 T4b'!H:H)/1000</f>
        <v>124</v>
      </c>
      <c r="DF7">
        <f>SUMIF('ONS Nov25 T4b'!$T:$T,'Chart Data'!$AN7,'ONS Nov25 T4b'!I:I)/1000</f>
        <v>18</v>
      </c>
      <c r="DG7">
        <f>SUMIF('ONS Nov25 T4b'!$T:$T,'Chart Data'!$AN7,'ONS Nov25 T4b'!J:J)/1000</f>
        <v>23</v>
      </c>
      <c r="DH7">
        <f>SUMIF('ONS Nov25 T4b'!$T:$T,'Chart Data'!$AN7,'ONS Nov25 T4b'!K:K)/1000</f>
        <v>10</v>
      </c>
      <c r="DI7">
        <f>SUMIF('ONS Nov25 T4b'!$T:$T,'Chart Data'!$AN7,'ONS Nov25 T4b'!O:O)/1000</f>
        <v>4</v>
      </c>
      <c r="DJ7">
        <f>SUMIF('ONS Nov25 T4b'!$T:$T,'Chart Data'!$AN7,'ONS Nov25 T4b'!P:P)/1000</f>
        <v>5</v>
      </c>
      <c r="DK7" s="70">
        <f t="shared" si="36"/>
        <v>-1</v>
      </c>
      <c r="DM7">
        <v>2027</v>
      </c>
      <c r="DN7" s="34">
        <f>100*(Data!B61/Data!$B$58)</f>
        <v>103.63216996014897</v>
      </c>
      <c r="DO7" s="34">
        <f>100*('OBR Nov25 ST1.1'!R117/'OBR Nov25 ST1.1'!$R$114)</f>
        <v>104.46214419260274</v>
      </c>
      <c r="DP7" s="34">
        <f>'OBR Nov25 C2.25'!M29</f>
        <v>104.03722746565568</v>
      </c>
      <c r="DQ7" s="151">
        <f>DN7</f>
        <v>103.63216996014897</v>
      </c>
      <c r="DR7" s="34">
        <f>'OBR Nov25 C2.25'!O29-'Chart Data'!DQ7</f>
        <v>0.63202206583582665</v>
      </c>
      <c r="DT7">
        <v>1977</v>
      </c>
      <c r="DU7" s="34">
        <f>100*((Data!M11/Data!M10)-1)</f>
        <v>0.58379586842303155</v>
      </c>
      <c r="DW7">
        <v>0</v>
      </c>
      <c r="DX7">
        <v>65</v>
      </c>
      <c r="DY7">
        <v>60</v>
      </c>
      <c r="EA7" s="152">
        <v>34060</v>
      </c>
      <c r="EB7" s="34">
        <f>100*(HAVERM!C46/HAVERM!B46)</f>
        <v>21.187332008881619</v>
      </c>
      <c r="EC7" s="34">
        <f t="shared" si="37"/>
        <v>25.050854271384292</v>
      </c>
      <c r="EE7" s="32">
        <f>HAVERM!C46</f>
        <v>1813</v>
      </c>
      <c r="EF7" s="32">
        <f>HAVERM!B46-HAVERM!C46</f>
        <v>6744</v>
      </c>
      <c r="EH7" t="s">
        <v>454</v>
      </c>
      <c r="EI7" s="34">
        <f>SUM(EI4:EI6)</f>
        <v>100</v>
      </c>
      <c r="EJ7" s="34">
        <f t="shared" ref="EJ7:FU7" si="46">SUM(EJ4:EJ6)</f>
        <v>100</v>
      </c>
      <c r="EK7" s="34">
        <f t="shared" si="46"/>
        <v>100</v>
      </c>
      <c r="EL7" s="34">
        <f t="shared" si="46"/>
        <v>100</v>
      </c>
      <c r="EM7" s="34">
        <f t="shared" si="46"/>
        <v>100</v>
      </c>
      <c r="EN7" s="34">
        <f t="shared" si="46"/>
        <v>100</v>
      </c>
      <c r="EO7" s="34">
        <f t="shared" si="46"/>
        <v>100</v>
      </c>
      <c r="EP7" s="34">
        <f t="shared" si="46"/>
        <v>100</v>
      </c>
      <c r="EQ7" s="34">
        <f t="shared" si="46"/>
        <v>100</v>
      </c>
      <c r="ER7" s="34">
        <f t="shared" si="46"/>
        <v>100</v>
      </c>
      <c r="ES7" s="34">
        <f t="shared" si="46"/>
        <v>100</v>
      </c>
      <c r="ET7" s="34">
        <f t="shared" si="46"/>
        <v>100</v>
      </c>
      <c r="EU7" s="34">
        <f t="shared" si="46"/>
        <v>100</v>
      </c>
      <c r="EV7" s="34">
        <f t="shared" si="46"/>
        <v>100</v>
      </c>
      <c r="EW7" s="34">
        <f t="shared" si="46"/>
        <v>100</v>
      </c>
      <c r="EX7" s="34">
        <f t="shared" si="46"/>
        <v>100</v>
      </c>
      <c r="EY7" s="34">
        <f t="shared" si="46"/>
        <v>100</v>
      </c>
      <c r="EZ7" s="34">
        <f t="shared" si="46"/>
        <v>100</v>
      </c>
      <c r="FA7" s="34">
        <f t="shared" si="46"/>
        <v>100</v>
      </c>
      <c r="FB7" s="34">
        <f t="shared" si="46"/>
        <v>100</v>
      </c>
      <c r="FC7" s="34">
        <f t="shared" si="46"/>
        <v>100</v>
      </c>
      <c r="FD7" s="34">
        <f t="shared" si="46"/>
        <v>100</v>
      </c>
      <c r="FE7" s="34">
        <f t="shared" si="46"/>
        <v>100</v>
      </c>
      <c r="FF7" s="34">
        <f t="shared" si="46"/>
        <v>100</v>
      </c>
      <c r="FG7" s="34">
        <f t="shared" si="46"/>
        <v>100</v>
      </c>
      <c r="FH7" s="34">
        <f t="shared" si="46"/>
        <v>100</v>
      </c>
      <c r="FI7" s="34">
        <f t="shared" si="46"/>
        <v>100</v>
      </c>
      <c r="FJ7" s="34">
        <f t="shared" si="46"/>
        <v>100</v>
      </c>
      <c r="FK7" s="34">
        <f t="shared" si="46"/>
        <v>100</v>
      </c>
      <c r="FL7" s="34">
        <f t="shared" si="46"/>
        <v>100</v>
      </c>
      <c r="FM7" s="34">
        <f t="shared" si="46"/>
        <v>100</v>
      </c>
      <c r="FN7" s="34">
        <f t="shared" si="46"/>
        <v>100</v>
      </c>
      <c r="FO7" s="34">
        <f t="shared" si="46"/>
        <v>100</v>
      </c>
      <c r="FP7" s="34">
        <f t="shared" si="46"/>
        <v>100</v>
      </c>
      <c r="FQ7" s="34">
        <f t="shared" si="46"/>
        <v>100</v>
      </c>
      <c r="FR7" s="34">
        <f t="shared" si="46"/>
        <v>100</v>
      </c>
      <c r="FS7" s="34">
        <f t="shared" si="46"/>
        <v>100</v>
      </c>
      <c r="FT7" s="34">
        <f t="shared" si="46"/>
        <v>99.999999999999986</v>
      </c>
      <c r="FU7" s="34">
        <f t="shared" si="46"/>
        <v>100</v>
      </c>
      <c r="FX7" s="34"/>
      <c r="FY7" s="31"/>
      <c r="FZ7" s="31"/>
      <c r="GA7" s="31"/>
      <c r="GC7" t="s">
        <v>1376</v>
      </c>
      <c r="GD7" s="34">
        <f>100*((GD5/GD4)^(1/144)-1)</f>
        <v>0.52000046805120714</v>
      </c>
      <c r="GF7" t="s">
        <v>1376</v>
      </c>
      <c r="GG7" s="34">
        <f>100*((GG5/GG4)^(1/48)-1)</f>
        <v>8.457269780000054E-2</v>
      </c>
      <c r="GI7" t="s">
        <v>1376</v>
      </c>
      <c r="GJ7" s="34">
        <f>100*((GJ5/GJ4)^(1/23)-1)</f>
        <v>9.1070008860572038E-2</v>
      </c>
      <c r="GL7" t="str">
        <f>'OBR Nov25 ST1.15'!B73</f>
        <v>2026-27</v>
      </c>
      <c r="GM7" s="34">
        <f>'OBR Nov25 ST1.15'!O73</f>
        <v>0.69881765531709661</v>
      </c>
      <c r="GN7" s="34">
        <f>'OBR Nov25 ST1.15'!M73</f>
        <v>1.2938668668694087</v>
      </c>
      <c r="GP7" s="32">
        <f>'OBR Nov25 ST1.15'!F73</f>
        <v>56753.878049999999</v>
      </c>
      <c r="GQ7" s="32">
        <f>'OBR Nov25 ST1.15'!D73</f>
        <v>2885859.0371864485</v>
      </c>
      <c r="GR7" s="32">
        <f>GR6+M31-P31</f>
        <v>-374.64020713163387</v>
      </c>
      <c r="GS7" s="32">
        <f t="shared" si="39"/>
        <v>-314.57065410828244</v>
      </c>
      <c r="GT7" s="32">
        <f t="shared" si="43"/>
        <v>56439.307395891716</v>
      </c>
      <c r="GU7" s="34">
        <f t="shared" ref="GU7:GU9" si="47">100*((GT7/GT6)-1)</f>
        <v>0.52292415791170832</v>
      </c>
      <c r="GV7" s="34">
        <f t="shared" si="40"/>
        <v>1.1179733694640204</v>
      </c>
      <c r="GW7">
        <f t="shared" si="44"/>
        <v>2869963.4176351712</v>
      </c>
      <c r="GX7" s="34">
        <f t="shared" si="45"/>
        <v>-0.55081067184676868</v>
      </c>
      <c r="GZ7">
        <v>2018</v>
      </c>
      <c r="HA7" s="34">
        <f>100*(Data!B52/Data!$B$57)</f>
        <v>95.935234964195445</v>
      </c>
      <c r="HB7" s="34">
        <f t="shared" si="41"/>
        <v>95.935234964195445</v>
      </c>
      <c r="HD7" s="34">
        <f t="shared" si="16"/>
        <v>0</v>
      </c>
    </row>
    <row r="8" spans="1:214">
      <c r="A8">
        <v>1984</v>
      </c>
      <c r="B8">
        <f>Data!F18*Data!G18</f>
        <v>24.910799999999998</v>
      </c>
      <c r="C8">
        <f>Data!H18/Data!I18</f>
        <v>8.5981658224214286</v>
      </c>
      <c r="D8" s="32">
        <f>Data!E18</f>
        <v>1295894</v>
      </c>
      <c r="E8" s="33">
        <f>Data!J18</f>
        <v>-1.7772410000000001</v>
      </c>
      <c r="F8" s="32">
        <f>Data!D18</f>
        <v>1251974</v>
      </c>
      <c r="G8" s="32">
        <f>Data!B18</f>
        <v>1232675</v>
      </c>
      <c r="I8" s="34">
        <f t="shared" si="42"/>
        <v>3.5245379749452077</v>
      </c>
      <c r="J8" s="34">
        <f t="shared" si="42"/>
        <v>2.2430559241957804</v>
      </c>
      <c r="L8">
        <v>2004</v>
      </c>
      <c r="M8" s="32">
        <f>'[2]2022-based'!L11</f>
        <v>209.5</v>
      </c>
      <c r="R8">
        <v>2024</v>
      </c>
      <c r="S8" s="32">
        <f>'[2]2022-based'!Q31</f>
        <v>69281.437000000005</v>
      </c>
      <c r="T8" s="32">
        <v>69226.231</v>
      </c>
      <c r="U8" s="32">
        <v>69226.231</v>
      </c>
      <c r="V8" s="32">
        <f>S8</f>
        <v>69281.437000000005</v>
      </c>
      <c r="W8">
        <v>69395</v>
      </c>
      <c r="Y8">
        <v>2016</v>
      </c>
      <c r="Z8" s="69">
        <f>SUMIF('ONS Nov25 T1'!$L:$L,'Chart Data'!$Y8,'ONS Nov25 T1'!$C:$C)/1000</f>
        <v>832</v>
      </c>
      <c r="AA8" s="69">
        <f>SUMIF('ONS Nov25 T1'!$M:$M,'Chart Data'!$Y8,'ONS Nov25 T1'!$C:$C)/1000</f>
        <v>511</v>
      </c>
      <c r="AB8" s="69">
        <f>SUMIF('ONS Nov25 T1'!$N:$N,'Chart Data'!$Y8,'ONS Nov25 T1'!$C:$C)/1000</f>
        <v>321</v>
      </c>
      <c r="AC8">
        <f t="shared" si="0"/>
        <v>321</v>
      </c>
      <c r="AE8">
        <v>2025</v>
      </c>
      <c r="AF8" s="32">
        <f t="shared" si="17"/>
        <v>98</v>
      </c>
      <c r="AG8" s="32">
        <f t="shared" si="18"/>
        <v>288</v>
      </c>
      <c r="AH8" s="32">
        <f t="shared" si="19"/>
        <v>102</v>
      </c>
      <c r="AI8">
        <f t="shared" si="20"/>
        <v>63</v>
      </c>
      <c r="AJ8" s="69">
        <f t="shared" si="1"/>
        <v>74</v>
      </c>
      <c r="AK8" s="69">
        <f t="shared" si="21"/>
        <v>272</v>
      </c>
      <c r="AL8" s="69">
        <f t="shared" si="2"/>
        <v>1</v>
      </c>
      <c r="AN8">
        <v>2025</v>
      </c>
      <c r="AO8" s="69">
        <f>+AP8+AQ8+AR8</f>
        <v>898</v>
      </c>
      <c r="AP8" s="89">
        <f>Z17-AQ8-AR8</f>
        <v>122</v>
      </c>
      <c r="AQ8" s="69">
        <f>SUMIF('ONS Nov25 T1'!$L:$L,'Chart Data'!$Y8,'ONS Nov25 T1'!$D:$D)/1000</f>
        <v>74</v>
      </c>
      <c r="AR8">
        <f t="shared" si="22"/>
        <v>702</v>
      </c>
      <c r="AS8">
        <f t="shared" si="4"/>
        <v>98</v>
      </c>
      <c r="AT8">
        <f t="shared" si="4"/>
        <v>89</v>
      </c>
      <c r="AU8">
        <f t="shared" si="4"/>
        <v>288</v>
      </c>
      <c r="AV8">
        <f t="shared" si="4"/>
        <v>13</v>
      </c>
      <c r="AW8">
        <f t="shared" si="4"/>
        <v>63</v>
      </c>
      <c r="AX8">
        <f t="shared" si="23"/>
        <v>41</v>
      </c>
      <c r="AY8">
        <f t="shared" si="24"/>
        <v>96</v>
      </c>
      <c r="AZ8">
        <f t="shared" si="25"/>
        <v>13</v>
      </c>
      <c r="BA8" s="70">
        <f>AR8-AS8-AT8-AU8-AV8-AW8-AX8-AY8-AZ8</f>
        <v>1</v>
      </c>
      <c r="BC8">
        <f>SUMIF('ONS Nov25 T4a'!$P:$P,'Chart Data'!$AN8,'ONS Nov25 T4a'!C:C)/1000</f>
        <v>32</v>
      </c>
      <c r="BD8">
        <f>SUMIF('ONS Nov25 T4a'!$P:$P,'Chart Data'!$AN8,'ONS Nov25 T4a'!E:E)/1000</f>
        <v>12</v>
      </c>
      <c r="BE8">
        <f>SUMIF('ONS Nov25 T4a'!$P:$P,'Chart Data'!$AN8,'ONS Nov25 T4a'!F:F)/1000</f>
        <v>4</v>
      </c>
      <c r="BF8">
        <f>SUMIF('ONS Nov25 T4a'!$P:$P,'Chart Data'!$AN8,'ONS Nov25 T4a'!H:H)/1000</f>
        <v>13</v>
      </c>
      <c r="BG8">
        <f>SUMIF('ONS Nov25 T4a'!$P:$P,'Chart Data'!$AN8,'ONS Nov25 T4a'!I:I)/1000</f>
        <v>0</v>
      </c>
      <c r="BH8">
        <f>SUMIF('ONS Nov25 T4a'!$P:$P,'Chart Data'!$AN8,'ONS Nov25 T4a'!J:J)/1000</f>
        <v>3</v>
      </c>
      <c r="BI8" s="70">
        <f t="shared" si="26"/>
        <v>0</v>
      </c>
      <c r="BK8">
        <f>SUMIF('ONS Nov25 T4b'!$S:$S,'Chart Data'!$AN8,'ONS Nov25 T4b'!C:C)/1000</f>
        <v>670</v>
      </c>
      <c r="BL8">
        <f>SUMIF('ONS Nov25 T4b'!$S:$S,'Chart Data'!$AN8,'ONS Nov25 T4b'!E:E)/1000</f>
        <v>86</v>
      </c>
      <c r="BM8">
        <f>SUMIF('ONS Nov25 T4b'!$S:$S,'Chart Data'!$AN8,'ONS Nov25 T4b'!F:F)/1000</f>
        <v>85</v>
      </c>
      <c r="BN8">
        <f>SUMIF('ONS Nov25 T4b'!$S:$S,'Chart Data'!$AN8,'ONS Nov25 T4b'!H:H)/1000</f>
        <v>275</v>
      </c>
      <c r="BO8">
        <f>SUMIF('ONS Nov25 T4b'!$S:$S,'Chart Data'!$AN8,'ONS Nov25 T4b'!I:I)/1000</f>
        <v>13</v>
      </c>
      <c r="BP8">
        <f>SUMIF('ONS Nov25 T4b'!$S:$S,'Chart Data'!$AN8,'ONS Nov25 T4b'!J:J)/1000</f>
        <v>60</v>
      </c>
      <c r="BQ8">
        <f>SUMIF('ONS Nov25 T4b'!$S:$S,'Chart Data'!$AN8,'ONS Nov25 T4b'!K:K)/1000</f>
        <v>41</v>
      </c>
      <c r="BR8">
        <f>SUMIF('ONS Nov25 T4b'!$S:$S,'Chart Data'!$AN8,'ONS Nov25 T4b'!O:O)/1000</f>
        <v>96</v>
      </c>
      <c r="BS8">
        <f>SUMIF('ONS Nov25 T4b'!$S:$S,'Chart Data'!$AN8,'ONS Nov25 T4b'!P:P)/1000</f>
        <v>13</v>
      </c>
      <c r="BT8" s="70">
        <f t="shared" si="27"/>
        <v>1</v>
      </c>
      <c r="BV8">
        <v>2025</v>
      </c>
      <c r="BW8" s="32">
        <f t="shared" si="28"/>
        <v>45</v>
      </c>
      <c r="BX8" s="32">
        <f t="shared" si="29"/>
        <v>122</v>
      </c>
      <c r="BY8" s="32">
        <f t="shared" si="30"/>
        <v>51</v>
      </c>
      <c r="BZ8">
        <f t="shared" si="31"/>
        <v>47</v>
      </c>
      <c r="CA8" s="69">
        <f t="shared" si="6"/>
        <v>252</v>
      </c>
      <c r="CB8" s="69">
        <f t="shared" si="32"/>
        <v>178</v>
      </c>
      <c r="CC8" s="69">
        <f t="shared" si="7"/>
        <v>-2</v>
      </c>
      <c r="CE8">
        <v>2025</v>
      </c>
      <c r="CF8" s="69">
        <f t="shared" si="33"/>
        <v>693</v>
      </c>
      <c r="CG8" s="89">
        <f>AA17-CH8-CI8</f>
        <v>145</v>
      </c>
      <c r="CH8" s="69">
        <f>SUMIF('ONS Nov25 T1'!$M:$M,'Chart Data'!$CE8,'ONS Nov25 T1'!$D:$D)/1000</f>
        <v>252</v>
      </c>
      <c r="CI8">
        <f>CT8+DB8</f>
        <v>296</v>
      </c>
      <c r="CJ8">
        <f t="shared" si="8"/>
        <v>45</v>
      </c>
      <c r="CK8">
        <f t="shared" si="9"/>
        <v>24</v>
      </c>
      <c r="CL8">
        <f t="shared" si="10"/>
        <v>122</v>
      </c>
      <c r="CM8">
        <f t="shared" si="11"/>
        <v>27</v>
      </c>
      <c r="CN8">
        <f t="shared" si="12"/>
        <v>47</v>
      </c>
      <c r="CO8">
        <f t="shared" si="34"/>
        <v>20</v>
      </c>
      <c r="CP8">
        <f t="shared" si="13"/>
        <v>6</v>
      </c>
      <c r="CQ8">
        <f t="shared" si="14"/>
        <v>7</v>
      </c>
      <c r="CR8" s="70">
        <f>CI8-CJ8-CK8-CL8-CM8-CN8-CO8-CP8-CQ8</f>
        <v>-2</v>
      </c>
      <c r="CT8">
        <f>SUMIF('ONS Nov25 T4a'!$Q:$Q,'Chart Data'!$CE8,'ONS Nov25 T4a'!C:C)/1000</f>
        <v>10</v>
      </c>
      <c r="CU8">
        <f>SUMIF('ONS Nov25 T4a'!$Q:$Q,'Chart Data'!$CE8,'ONS Nov25 T4a'!E:E)/1000</f>
        <v>4</v>
      </c>
      <c r="CV8">
        <f>SUMIF('ONS Nov25 T4a'!$Q:$Q,'Chart Data'!$CE8,'ONS Nov25 T4a'!F:F)/1000</f>
        <v>1</v>
      </c>
      <c r="CW8">
        <f>SUMIF('ONS Nov25 T4a'!$Q:$Q,'Chart Data'!$CE8,'ONS Nov25 T4a'!H:H)/1000</f>
        <v>4</v>
      </c>
      <c r="CX8">
        <f>SUMIF('ONS Nov25 T4a'!$Q:$Q,'Chart Data'!$CE8,'ONS Nov25 T4a'!I:I)/1000</f>
        <v>0</v>
      </c>
      <c r="CY8">
        <f>SUMIF('ONS Nov25 T4a'!$Q:$Q,'Chart Data'!$CE8,'ONS Nov25 T4a'!J:J)/1000</f>
        <v>1</v>
      </c>
      <c r="CZ8" s="70">
        <f t="shared" si="35"/>
        <v>0</v>
      </c>
      <c r="DB8">
        <f>SUMIF('ONS Nov25 T4b'!$T:$T,'Chart Data'!$CE8,'ONS Nov25 T4b'!C:C)/1000</f>
        <v>286</v>
      </c>
      <c r="DC8">
        <f>SUMIF('ONS Nov25 T4b'!$T:$T,'Chart Data'!$CE8,'ONS Nov25 T4b'!E:E)/1000</f>
        <v>41</v>
      </c>
      <c r="DD8">
        <f>SUMIF('ONS Nov25 T4b'!$T:$T,'Chart Data'!$CE8,'ONS Nov25 T4b'!F:F)/1000</f>
        <v>23</v>
      </c>
      <c r="DE8">
        <f>SUMIF('ONS Nov25 T4b'!$T:$T,'Chart Data'!$AN8,'ONS Nov25 T4b'!H:H)/1000</f>
        <v>118</v>
      </c>
      <c r="DF8">
        <f>SUMIF('ONS Nov25 T4b'!$T:$T,'Chart Data'!$AN8,'ONS Nov25 T4b'!I:I)/1000</f>
        <v>27</v>
      </c>
      <c r="DG8">
        <f>SUMIF('ONS Nov25 T4b'!$T:$T,'Chart Data'!$AN8,'ONS Nov25 T4b'!J:J)/1000</f>
        <v>46</v>
      </c>
      <c r="DH8">
        <f>SUMIF('ONS Nov25 T4b'!$T:$T,'Chart Data'!$AN8,'ONS Nov25 T4b'!K:K)/1000</f>
        <v>20</v>
      </c>
      <c r="DI8">
        <f>SUMIF('ONS Nov25 T4b'!$T:$T,'Chart Data'!$AN8,'ONS Nov25 T4b'!O:O)/1000</f>
        <v>6</v>
      </c>
      <c r="DJ8">
        <f>SUMIF('ONS Nov25 T4b'!$T:$T,'Chart Data'!$AN8,'ONS Nov25 T4b'!P:P)/1000</f>
        <v>7</v>
      </c>
      <c r="DK8" s="70">
        <f t="shared" si="36"/>
        <v>-2</v>
      </c>
      <c r="DM8">
        <v>2028</v>
      </c>
      <c r="DN8" s="34">
        <f>100*(Data!B62/Data!$B$58)</f>
        <v>105.1253526548725</v>
      </c>
      <c r="DO8" s="34">
        <f>100*('OBR Nov25 ST1.1'!R118/'OBR Nov25 ST1.1'!$R$114)</f>
        <v>105.99505946016063</v>
      </c>
      <c r="DP8" s="34">
        <f>'OBR Nov25 C2.25'!M30</f>
        <v>105.48613799640441</v>
      </c>
      <c r="DQ8" s="34">
        <f>'OBR Nov25 C2.25'!N30</f>
        <v>104.98847948159998</v>
      </c>
      <c r="DR8" s="34">
        <f>'OBR Nov25 C2.25'!O30-'Chart Data'!DQ8</f>
        <v>0.98981321753929308</v>
      </c>
      <c r="DT8">
        <v>1978</v>
      </c>
      <c r="DU8" s="34">
        <f>100*((Data!M12/Data!M11)-1)</f>
        <v>0.62030177187071267</v>
      </c>
      <c r="DW8">
        <v>0</v>
      </c>
      <c r="DX8">
        <v>65</v>
      </c>
      <c r="DY8">
        <v>60</v>
      </c>
      <c r="EA8" s="152">
        <v>34090</v>
      </c>
      <c r="EB8" s="34">
        <f>100*(HAVERM!C47/HAVERM!B47)</f>
        <v>21.412726211325161</v>
      </c>
      <c r="EC8" s="34">
        <f t="shared" si="37"/>
        <v>25.050854271384292</v>
      </c>
      <c r="EE8" s="32">
        <f>HAVERM!C47</f>
        <v>1834</v>
      </c>
      <c r="EF8" s="32">
        <f>HAVERM!B47-HAVERM!C47</f>
        <v>6731</v>
      </c>
      <c r="FW8">
        <v>1961</v>
      </c>
      <c r="FX8" s="34"/>
      <c r="FY8" s="31"/>
      <c r="FZ8" s="31"/>
      <c r="GA8" s="31"/>
      <c r="GL8" t="str">
        <f>'OBR Nov25 ST1.15'!B74</f>
        <v>2027-28</v>
      </c>
      <c r="GM8" s="34">
        <f>'OBR Nov25 ST1.15'!O74</f>
        <v>0.71395504399369702</v>
      </c>
      <c r="GN8" s="34">
        <f>'OBR Nov25 ST1.15'!M74</f>
        <v>1.2834507954460728</v>
      </c>
      <c r="GP8" s="32">
        <f>'OBR Nov25 ST1.15'!F74</f>
        <v>57159.075225000001</v>
      </c>
      <c r="GQ8" s="32">
        <f>'OBR Nov25 ST1.15'!D74</f>
        <v>2922897.6179546705</v>
      </c>
      <c r="GR8" s="32">
        <f>GR7+M32-P32</f>
        <v>-487.46056253836122</v>
      </c>
      <c r="GS8" s="32">
        <f t="shared" si="39"/>
        <v>-409.30147136024209</v>
      </c>
      <c r="GT8" s="32">
        <f t="shared" si="43"/>
        <v>56749.773753639762</v>
      </c>
      <c r="GU8" s="34">
        <f t="shared" si="47"/>
        <v>0.55008888675811551</v>
      </c>
      <c r="GV8" s="34">
        <f t="shared" si="40"/>
        <v>1.1195846382104913</v>
      </c>
      <c r="GW8">
        <f t="shared" si="44"/>
        <v>2902095.0871812752</v>
      </c>
      <c r="GX8" s="34">
        <f t="shared" si="45"/>
        <v>-0.71170918357216229</v>
      </c>
      <c r="GZ8">
        <v>2019</v>
      </c>
      <c r="HA8" s="34">
        <f>100*(Data!B53/Data!$B$57)</f>
        <v>97.140468373251011</v>
      </c>
      <c r="HB8" s="34">
        <f t="shared" si="41"/>
        <v>97.140468373251011</v>
      </c>
      <c r="HD8" s="34">
        <f t="shared" si="16"/>
        <v>0</v>
      </c>
    </row>
    <row r="9" spans="1:214">
      <c r="A9">
        <v>1985</v>
      </c>
      <c r="B9">
        <f>Data!F19*Data!G19</f>
        <v>25.107869999999998</v>
      </c>
      <c r="C9">
        <f>Data!H19/Data!I19</f>
        <v>8.6987754385057396</v>
      </c>
      <c r="D9" s="32">
        <f>Data!E19</f>
        <v>1321996</v>
      </c>
      <c r="E9" s="33">
        <f>Data!J19</f>
        <v>-1.764964</v>
      </c>
      <c r="F9" s="32">
        <f>Data!D19</f>
        <v>1287060</v>
      </c>
      <c r="G9" s="32">
        <f>Data!B19</f>
        <v>1283200</v>
      </c>
      <c r="I9" s="34">
        <f t="shared" si="42"/>
        <v>2.8024543640682742</v>
      </c>
      <c r="J9" s="34">
        <f t="shared" si="42"/>
        <v>4.0988094996653679</v>
      </c>
      <c r="L9">
        <v>2005</v>
      </c>
      <c r="M9" s="32">
        <f>'[2]2022-based'!L12</f>
        <v>335.6</v>
      </c>
      <c r="R9">
        <v>2025</v>
      </c>
      <c r="S9" s="32">
        <f>'[2]2022-based'!Q32</f>
        <v>69487</v>
      </c>
      <c r="T9" s="32">
        <v>69867.979000000007</v>
      </c>
      <c r="U9" s="32">
        <v>69584.497000000003</v>
      </c>
      <c r="V9">
        <f t="shared" ref="V9:V14" si="48">V8*W9/W8</f>
        <v>69569.690133492666</v>
      </c>
      <c r="W9">
        <v>69683.725625000006</v>
      </c>
      <c r="Y9">
        <v>2017</v>
      </c>
      <c r="Z9" s="69">
        <f>SUMIF('ONS Nov25 T1'!$L:$L,'Chart Data'!$Y9,'ONS Nov25 T1'!$C:$C)/1000</f>
        <v>718</v>
      </c>
      <c r="AA9" s="69">
        <f>SUMIF('ONS Nov25 T1'!$M:$M,'Chart Data'!$Y9,'ONS Nov25 T1'!$C:$C)/1000</f>
        <v>518</v>
      </c>
      <c r="AB9" s="69">
        <f>SUMIF('ONS Nov25 T1'!$N:$N,'Chart Data'!$Y9,'ONS Nov25 T1'!$C:$C)/1000</f>
        <v>200</v>
      </c>
      <c r="AC9">
        <f t="shared" si="0"/>
        <v>200</v>
      </c>
      <c r="AE9">
        <v>2026</v>
      </c>
      <c r="AF9" s="32">
        <f t="shared" si="17"/>
        <v>39.200000000000003</v>
      </c>
      <c r="AG9" s="32">
        <f t="shared" si="18"/>
        <v>288</v>
      </c>
      <c r="AH9" s="32">
        <f t="shared" si="19"/>
        <v>57.5</v>
      </c>
      <c r="AI9">
        <f t="shared" si="20"/>
        <v>63</v>
      </c>
      <c r="AJ9" s="69">
        <f t="shared" si="1"/>
        <v>75</v>
      </c>
      <c r="AK9" s="69">
        <f t="shared" si="21"/>
        <v>246.50180412371139</v>
      </c>
      <c r="AL9" s="69">
        <f t="shared" si="2"/>
        <v>0</v>
      </c>
      <c r="AN9">
        <v>2026</v>
      </c>
      <c r="AO9" s="87">
        <f>'[2]Migration calculations'!L17</f>
        <v>769.20180412371144</v>
      </c>
      <c r="AP9" s="89">
        <f>AO9-AQ9-AR9</f>
        <v>104.50180412371139</v>
      </c>
      <c r="AQ9" s="87">
        <f>'[2]Migration calculations'!U17</f>
        <v>75</v>
      </c>
      <c r="AR9" s="88">
        <f>SUM(AS9:AZ9)</f>
        <v>589.70000000000005</v>
      </c>
      <c r="AS9" s="87">
        <f>'[2]Migration calculations'!W17</f>
        <v>39.200000000000003</v>
      </c>
      <c r="AT9" s="87">
        <f>'[2]Migration calculations'!X17</f>
        <v>44.5</v>
      </c>
      <c r="AU9" s="87">
        <f>'[2]Migration calculations'!Y17</f>
        <v>288</v>
      </c>
      <c r="AV9" s="87">
        <f>'[2]Migration calculations'!Z17</f>
        <v>13</v>
      </c>
      <c r="AW9" s="87">
        <f>'[2]Migration calculations'!AA17</f>
        <v>63</v>
      </c>
      <c r="AX9" s="87">
        <f>'[2]Migration calculations'!AB17</f>
        <v>32</v>
      </c>
      <c r="AY9" s="87">
        <f>'[2]Migration calculations'!AC17</f>
        <v>90</v>
      </c>
      <c r="AZ9" s="87">
        <f>'[2]Migration calculations'!AD17</f>
        <v>20</v>
      </c>
      <c r="BV9">
        <v>2026</v>
      </c>
      <c r="BW9" s="32">
        <f t="shared" si="28"/>
        <v>45</v>
      </c>
      <c r="BX9" s="32">
        <f t="shared" si="29"/>
        <v>120</v>
      </c>
      <c r="BY9" s="32">
        <f t="shared" si="30"/>
        <v>43.400000000000006</v>
      </c>
      <c r="BZ9">
        <f t="shared" si="31"/>
        <v>45</v>
      </c>
      <c r="CA9" s="69">
        <f t="shared" si="6"/>
        <v>250</v>
      </c>
      <c r="CB9" s="69">
        <f t="shared" si="32"/>
        <v>172.40145985401466</v>
      </c>
      <c r="CC9" s="69">
        <f t="shared" si="7"/>
        <v>0</v>
      </c>
      <c r="CE9">
        <v>2026</v>
      </c>
      <c r="CF9" s="87">
        <f>'[2]Migration calculations'!M17</f>
        <v>675.80145985401464</v>
      </c>
      <c r="CG9" s="89">
        <f>CF9-CH9-CI9</f>
        <v>141.40145985401466</v>
      </c>
      <c r="CH9" s="87">
        <f>'[2]Migration calculations'!AL17</f>
        <v>250</v>
      </c>
      <c r="CI9" s="88">
        <f>SUM(CJ9:CQ9)</f>
        <v>284.39999999999998</v>
      </c>
      <c r="CJ9" s="87">
        <f>'[2]Migration calculations'!AN17</f>
        <v>45</v>
      </c>
      <c r="CK9" s="87">
        <f>'[2]Migration calculations'!AO17</f>
        <v>23.400000000000002</v>
      </c>
      <c r="CL9" s="87">
        <f>'[2]Migration calculations'!AP17</f>
        <v>120</v>
      </c>
      <c r="CM9" s="87">
        <f>'[2]Migration calculations'!AQ17</f>
        <v>20</v>
      </c>
      <c r="CN9" s="87">
        <f>'[2]Migration calculations'!AR17</f>
        <v>45</v>
      </c>
      <c r="CO9" s="87">
        <f>'[2]Migration calculations'!AS17</f>
        <v>20</v>
      </c>
      <c r="CP9" s="87">
        <f>'[2]Migration calculations'!AT17</f>
        <v>6</v>
      </c>
      <c r="CQ9" s="87">
        <f>'[2]Migration calculations'!AU17</f>
        <v>5</v>
      </c>
      <c r="DM9">
        <v>2029</v>
      </c>
      <c r="DN9" s="34">
        <f>100*(Data!B63/Data!$B$58)</f>
        <v>106.64782965165659</v>
      </c>
      <c r="DO9" s="34">
        <f>100*('OBR Nov25 ST1.1'!R119/'OBR Nov25 ST1.1'!$R$114)</f>
        <v>107.60945456029529</v>
      </c>
      <c r="DP9" s="34">
        <f>'OBR Nov25 C2.25'!M31</f>
        <v>106.9611581163158</v>
      </c>
      <c r="DQ9" s="34">
        <f>'OBR Nov25 C2.25'!N31</f>
        <v>105.82838731745278</v>
      </c>
      <c r="DR9" s="34">
        <f>'OBR Nov25 C2.25'!O31-'Chart Data'!DQ9</f>
        <v>1.904335589740981</v>
      </c>
      <c r="DT9">
        <v>1979</v>
      </c>
      <c r="DU9" s="34">
        <f>100*((Data!M13/Data!M12)-1)</f>
        <v>0.61644762153532096</v>
      </c>
      <c r="DW9">
        <v>0</v>
      </c>
      <c r="DX9">
        <v>65</v>
      </c>
      <c r="DY9">
        <v>60</v>
      </c>
      <c r="EA9" s="152">
        <v>34121</v>
      </c>
      <c r="EB9" s="34">
        <f>100*(HAVERM!C48/HAVERM!B48)</f>
        <v>21.681260945709283</v>
      </c>
      <c r="EC9" s="34">
        <f t="shared" si="37"/>
        <v>25.050854271384292</v>
      </c>
      <c r="EE9" s="32">
        <f>HAVERM!C48</f>
        <v>1857</v>
      </c>
      <c r="EF9" s="32">
        <f>HAVERM!B48-HAVERM!C48</f>
        <v>6708</v>
      </c>
      <c r="EI9">
        <v>2022</v>
      </c>
      <c r="EJ9">
        <v>2023</v>
      </c>
      <c r="EK9">
        <v>2024</v>
      </c>
      <c r="EL9">
        <v>2025</v>
      </c>
      <c r="EM9">
        <v>2026</v>
      </c>
      <c r="EN9">
        <v>2027</v>
      </c>
      <c r="EO9">
        <v>2028</v>
      </c>
      <c r="EP9">
        <v>2029</v>
      </c>
      <c r="EQ9">
        <v>2030</v>
      </c>
      <c r="ER9">
        <v>2031</v>
      </c>
      <c r="ES9">
        <v>2032</v>
      </c>
      <c r="ET9">
        <v>2033</v>
      </c>
      <c r="EU9">
        <v>2034</v>
      </c>
      <c r="EV9">
        <v>2035</v>
      </c>
      <c r="EW9">
        <v>2036</v>
      </c>
      <c r="EX9">
        <v>2037</v>
      </c>
      <c r="EY9">
        <v>2038</v>
      </c>
      <c r="EZ9">
        <v>2039</v>
      </c>
      <c r="FA9">
        <v>2040</v>
      </c>
      <c r="FB9">
        <v>2041</v>
      </c>
      <c r="FC9">
        <v>2042</v>
      </c>
      <c r="FD9">
        <v>2043</v>
      </c>
      <c r="FE9">
        <v>2044</v>
      </c>
      <c r="FF9">
        <v>2045</v>
      </c>
      <c r="FG9">
        <v>2046</v>
      </c>
      <c r="FH9">
        <v>2047</v>
      </c>
      <c r="FI9">
        <v>2048</v>
      </c>
      <c r="FJ9">
        <v>2049</v>
      </c>
      <c r="FK9">
        <v>2050</v>
      </c>
      <c r="FL9">
        <v>2051</v>
      </c>
      <c r="FM9">
        <v>2052</v>
      </c>
      <c r="FN9">
        <v>2053</v>
      </c>
      <c r="FO9">
        <v>2054</v>
      </c>
      <c r="FP9">
        <v>2055</v>
      </c>
      <c r="FQ9">
        <v>2056</v>
      </c>
      <c r="FR9">
        <v>2057</v>
      </c>
      <c r="FS9">
        <v>2058</v>
      </c>
      <c r="FT9">
        <v>2059</v>
      </c>
      <c r="FU9">
        <v>2060</v>
      </c>
      <c r="FX9" s="34"/>
      <c r="FY9" s="31"/>
      <c r="FZ9" s="31"/>
      <c r="GA9" s="31"/>
      <c r="GL9" t="str">
        <f>'OBR Nov25 ST1.15'!B75</f>
        <v>2028-29</v>
      </c>
      <c r="GM9" s="34">
        <f>'OBR Nov25 ST1.15'!O75</f>
        <v>0.73671560175245787</v>
      </c>
      <c r="GN9" s="34">
        <f>'OBR Nov25 ST1.15'!M75</f>
        <v>1.3662465753170538</v>
      </c>
      <c r="GP9" s="32">
        <f>'OBR Nov25 ST1.15'!F75</f>
        <v>57580.175049999998</v>
      </c>
      <c r="GQ9" s="32">
        <f>'OBR Nov25 ST1.15'!D75</f>
        <v>2962831.6065599998</v>
      </c>
      <c r="GR9" s="32">
        <f>GR8+M33-P33</f>
        <v>-610.19556577411981</v>
      </c>
      <c r="GS9" s="32">
        <f t="shared" si="39"/>
        <v>-512.35722863054787</v>
      </c>
      <c r="GT9" s="32">
        <f t="shared" si="43"/>
        <v>57067.817821369448</v>
      </c>
      <c r="GU9" s="34">
        <f t="shared" si="47"/>
        <v>0.56043230958129353</v>
      </c>
      <c r="GV9" s="34">
        <f t="shared" si="40"/>
        <v>1.1899632831458895</v>
      </c>
      <c r="GW9">
        <f t="shared" si="44"/>
        <v>2936628.953160713</v>
      </c>
      <c r="GX9" s="34">
        <f t="shared" si="45"/>
        <v>-0.88437875920019948</v>
      </c>
      <c r="GZ9">
        <v>2020</v>
      </c>
      <c r="HA9" s="34">
        <f>100*(Data!B54/Data!$B$57)</f>
        <v>87.379894512100293</v>
      </c>
      <c r="HB9" s="34">
        <f t="shared" si="41"/>
        <v>87.379894512100293</v>
      </c>
      <c r="HD9" s="34">
        <f t="shared" si="16"/>
        <v>0</v>
      </c>
    </row>
    <row r="10" spans="1:214">
      <c r="A10">
        <v>1986</v>
      </c>
      <c r="B10">
        <f>Data!F20*Data!G20</f>
        <v>846672.60542540008</v>
      </c>
      <c r="C10">
        <f>Data!H20/Data!I20</f>
        <v>8.8112396345914625</v>
      </c>
      <c r="D10" s="32">
        <f>Data!E20</f>
        <v>1343092</v>
      </c>
      <c r="E10" s="33">
        <f>Data!J20</f>
        <v>-1.7529060000000001</v>
      </c>
      <c r="F10" s="32">
        <f>Data!D20</f>
        <v>1320242</v>
      </c>
      <c r="G10" s="32">
        <f>Data!B20</f>
        <v>1323173</v>
      </c>
      <c r="I10" s="34">
        <f t="shared" si="42"/>
        <v>2.5781237859928918</v>
      </c>
      <c r="J10" s="34">
        <f t="shared" si="42"/>
        <v>3.1151028678304327</v>
      </c>
      <c r="L10">
        <v>2006</v>
      </c>
      <c r="M10" s="32">
        <f>'[2]2022-based'!L13</f>
        <v>254.5</v>
      </c>
      <c r="R10">
        <v>2026</v>
      </c>
      <c r="S10" s="32">
        <f>'[2]2022-based'!Q33</f>
        <v>69592.921344269693</v>
      </c>
      <c r="T10" s="32">
        <v>70414.3</v>
      </c>
      <c r="U10" s="32">
        <v>69850.426000000007</v>
      </c>
      <c r="V10">
        <f t="shared" si="48"/>
        <v>69831.519829090394</v>
      </c>
      <c r="W10">
        <v>69945.98450000002</v>
      </c>
      <c r="Y10">
        <v>2018</v>
      </c>
      <c r="Z10" s="69">
        <f>SUMIF('ONS Nov25 T1'!$L:$L,'Chart Data'!$Y10,'ONS Nov25 T1'!$C:$C)/1000</f>
        <v>757</v>
      </c>
      <c r="AA10" s="69">
        <f>SUMIF('ONS Nov25 T1'!$M:$M,'Chart Data'!$Y10,'ONS Nov25 T1'!$C:$C)/1000</f>
        <v>541</v>
      </c>
      <c r="AB10" s="69">
        <f>SUMIF('ONS Nov25 T1'!$N:$N,'Chart Data'!$Y10,'ONS Nov25 T1'!$C:$C)/1000</f>
        <v>216</v>
      </c>
      <c r="AC10">
        <f t="shared" si="0"/>
        <v>216</v>
      </c>
      <c r="AE10">
        <v>2027</v>
      </c>
      <c r="AF10" s="32">
        <f t="shared" si="17"/>
        <v>70</v>
      </c>
      <c r="AG10" s="32">
        <f t="shared" si="18"/>
        <v>288</v>
      </c>
      <c r="AH10" s="32">
        <f t="shared" si="19"/>
        <v>48</v>
      </c>
      <c r="AI10">
        <f t="shared" si="20"/>
        <v>60</v>
      </c>
      <c r="AJ10" s="69">
        <f t="shared" si="1"/>
        <v>80</v>
      </c>
      <c r="AK10" s="69">
        <f t="shared" si="21"/>
        <v>233.96391752577324</v>
      </c>
      <c r="AL10" s="69">
        <f t="shared" si="2"/>
        <v>0</v>
      </c>
      <c r="AN10">
        <v>2027</v>
      </c>
      <c r="AO10" s="87">
        <f>'[2]Migration calculations'!L18</f>
        <v>779.96391752577324</v>
      </c>
      <c r="AP10" s="89">
        <f t="shared" ref="AP10:AP13" si="49">AO10-AQ10-AR10</f>
        <v>105.96391752577324</v>
      </c>
      <c r="AQ10" s="87">
        <f>'[2]Migration calculations'!U18</f>
        <v>80</v>
      </c>
      <c r="AR10" s="88">
        <f t="shared" ref="AR10:AR13" si="50">SUM(AS10:AZ10)</f>
        <v>594</v>
      </c>
      <c r="AS10" s="87">
        <f>'[2]Migration calculations'!W18</f>
        <v>70</v>
      </c>
      <c r="AT10" s="87">
        <f>'[2]Migration calculations'!X18</f>
        <v>35</v>
      </c>
      <c r="AU10" s="87">
        <f>'[2]Migration calculations'!Y18</f>
        <v>288</v>
      </c>
      <c r="AV10" s="87">
        <f>'[2]Migration calculations'!Z18</f>
        <v>13</v>
      </c>
      <c r="AW10" s="87">
        <f>'[2]Migration calculations'!AA18</f>
        <v>60</v>
      </c>
      <c r="AX10" s="87">
        <f>'[2]Migration calculations'!AB18</f>
        <v>23</v>
      </c>
      <c r="AY10" s="87">
        <f>'[2]Migration calculations'!AC18</f>
        <v>85</v>
      </c>
      <c r="AZ10" s="87">
        <f>'[2]Migration calculations'!AD18</f>
        <v>20</v>
      </c>
      <c r="BV10">
        <v>2027</v>
      </c>
      <c r="BW10" s="32">
        <f t="shared" si="28"/>
        <v>40</v>
      </c>
      <c r="BX10" s="32">
        <f t="shared" si="29"/>
        <v>120</v>
      </c>
      <c r="BY10" s="32">
        <f t="shared" si="30"/>
        <v>40.799999999999997</v>
      </c>
      <c r="BZ10">
        <f t="shared" si="31"/>
        <v>40</v>
      </c>
      <c r="CA10" s="69">
        <f t="shared" si="6"/>
        <v>250</v>
      </c>
      <c r="CB10" s="69">
        <f t="shared" si="32"/>
        <v>150.0985401459854</v>
      </c>
      <c r="CC10" s="69">
        <f t="shared" si="7"/>
        <v>0</v>
      </c>
      <c r="CE10">
        <v>2027</v>
      </c>
      <c r="CF10" s="87">
        <f>'[2]Migration calculations'!M18</f>
        <v>640.89854014598541</v>
      </c>
      <c r="CG10" s="89">
        <f>CF10-CH10-CI10</f>
        <v>134.0985401459854</v>
      </c>
      <c r="CH10" s="87">
        <f>'[2]Migration calculations'!AL18</f>
        <v>250</v>
      </c>
      <c r="CI10" s="88">
        <f t="shared" ref="CI10:CI13" si="51">SUM(CJ10:CQ10)</f>
        <v>256.8</v>
      </c>
      <c r="CJ10" s="87">
        <f>'[2]Migration calculations'!AN18</f>
        <v>40</v>
      </c>
      <c r="CK10" s="87">
        <f>'[2]Migration calculations'!AO18</f>
        <v>20.8</v>
      </c>
      <c r="CL10" s="87">
        <f>'[2]Migration calculations'!AP18</f>
        <v>120</v>
      </c>
      <c r="CM10" s="87">
        <f>'[2]Migration calculations'!AQ18</f>
        <v>20</v>
      </c>
      <c r="CN10" s="87">
        <f>'[2]Migration calculations'!AR18</f>
        <v>40</v>
      </c>
      <c r="CO10" s="87">
        <f>'[2]Migration calculations'!AS18</f>
        <v>10</v>
      </c>
      <c r="CP10" s="87">
        <f>'[2]Migration calculations'!AT18</f>
        <v>4</v>
      </c>
      <c r="CQ10" s="87">
        <f>'[2]Migration calculations'!AU18</f>
        <v>2</v>
      </c>
      <c r="DM10">
        <v>2030</v>
      </c>
      <c r="DN10" s="34">
        <f>100*(Data!B64/Data!$B$58)</f>
        <v>108.2189028403252</v>
      </c>
      <c r="DO10" s="34">
        <f>100*('OBR Nov25 ST1.1'!R120/'OBR Nov25 ST1.1'!$R$114)</f>
        <v>109.27671643217576</v>
      </c>
      <c r="DR10" s="34"/>
      <c r="DT10">
        <v>1980</v>
      </c>
      <c r="DU10" s="34">
        <f>100*((Data!M14/Data!M13)-1)</f>
        <v>0.61267082679570262</v>
      </c>
      <c r="DW10">
        <v>0</v>
      </c>
      <c r="DX10">
        <v>65</v>
      </c>
      <c r="DY10">
        <v>60</v>
      </c>
      <c r="EA10" s="152">
        <v>34151</v>
      </c>
      <c r="EB10" s="34">
        <f>100*(HAVERM!C49/HAVERM!B49)</f>
        <v>21.949802463397631</v>
      </c>
      <c r="EC10" s="34">
        <f t="shared" si="37"/>
        <v>25.050854271384292</v>
      </c>
      <c r="EE10" s="32">
        <f>HAVERM!C49</f>
        <v>1889</v>
      </c>
      <c r="EF10" s="32">
        <f>HAVERM!B49-HAVERM!C49</f>
        <v>6717</v>
      </c>
      <c r="EH10" t="s">
        <v>1141</v>
      </c>
      <c r="EI10">
        <f>SUM('ONS popproj by year Jan25'!C2:C17,'ONS popproj by year Jan25'!C109:C124)</f>
        <v>12397632</v>
      </c>
      <c r="EJ10">
        <f>SUM('ONS popproj by year Jan25'!D2:D17,'ONS popproj by year Jan25'!D109:D124)</f>
        <v>12397236</v>
      </c>
      <c r="EK10">
        <f>SUM('ONS popproj by year Jan25'!E2:E17,'ONS popproj by year Jan25'!E109:E124)</f>
        <v>12336987</v>
      </c>
      <c r="EL10">
        <f>SUM('ONS popproj by year Jan25'!F2:F17,'ONS popproj by year Jan25'!F109:F124)</f>
        <v>12271926</v>
      </c>
      <c r="EM10">
        <f>SUM('ONS popproj by year Jan25'!G2:G17,'ONS popproj by year Jan25'!G109:G124)</f>
        <v>12188266</v>
      </c>
      <c r="EN10">
        <f>SUM('ONS popproj by year Jan25'!H2:H17,'ONS popproj by year Jan25'!H109:H124)</f>
        <v>12080358</v>
      </c>
      <c r="EO10">
        <f>SUM('ONS popproj by year Jan25'!I2:I17,'ONS popproj by year Jan25'!I109:I124)</f>
        <v>11959025</v>
      </c>
      <c r="EP10">
        <f>SUM('ONS popproj by year Jan25'!J2:J17,'ONS popproj by year Jan25'!J109:J124)</f>
        <v>11857264</v>
      </c>
      <c r="EQ10">
        <f>SUM('ONS popproj by year Jan25'!K2:K17,'ONS popproj by year Jan25'!K109:K124)</f>
        <v>11773112</v>
      </c>
      <c r="ER10">
        <f>SUM('ONS popproj by year Jan25'!L2:L17,'ONS popproj by year Jan25'!L109:L124)</f>
        <v>11691046</v>
      </c>
      <c r="ES10">
        <f>SUM('ONS popproj by year Jan25'!M2:M17,'ONS popproj by year Jan25'!M109:M124)</f>
        <v>11600736</v>
      </c>
      <c r="ET10">
        <f>SUM('ONS popproj by year Jan25'!N2:N17,'ONS popproj by year Jan25'!N109:N124)</f>
        <v>11531358</v>
      </c>
      <c r="EU10">
        <f>SUM('ONS popproj by year Jan25'!O2:O17,'ONS popproj by year Jan25'!O109:O124)</f>
        <v>11478542</v>
      </c>
      <c r="EV10">
        <f>SUM('ONS popproj by year Jan25'!P2:P17,'ONS popproj by year Jan25'!P109:P124)</f>
        <v>11433705</v>
      </c>
      <c r="EW10">
        <f>SUM('ONS popproj by year Jan25'!Q2:Q17,'ONS popproj by year Jan25'!Q109:Q124)</f>
        <v>11402519</v>
      </c>
      <c r="EX10">
        <f>SUM('ONS popproj by year Jan25'!R2:R17,'ONS popproj by year Jan25'!R109:R124)</f>
        <v>11393092</v>
      </c>
      <c r="EY10">
        <f>SUM('ONS popproj by year Jan25'!S2:S17,'ONS popproj by year Jan25'!S109:S124)</f>
        <v>11378926</v>
      </c>
      <c r="EZ10">
        <f>SUM('ONS popproj by year Jan25'!T2:T17,'ONS popproj by year Jan25'!T109:T124)</f>
        <v>11401804</v>
      </c>
      <c r="FA10">
        <f>SUM('ONS popproj by year Jan25'!U2:U17,'ONS popproj by year Jan25'!U109:U124)</f>
        <v>11428368</v>
      </c>
      <c r="FB10">
        <f>SUM('ONS popproj by year Jan25'!V2:V17,'ONS popproj by year Jan25'!V109:V124)</f>
        <v>11453679</v>
      </c>
      <c r="FC10">
        <f>SUM('ONS popproj by year Jan25'!W2:W17,'ONS popproj by year Jan25'!W109:W124)</f>
        <v>11478605</v>
      </c>
      <c r="FD10">
        <f>SUM('ONS popproj by year Jan25'!X2:X17,'ONS popproj by year Jan25'!X109:X124)</f>
        <v>11503510</v>
      </c>
      <c r="FE10">
        <f>SUM('ONS popproj by year Jan25'!Y2:Y17,'ONS popproj by year Jan25'!Y109:Y124)</f>
        <v>11528053</v>
      </c>
      <c r="FF10">
        <f>SUM('ONS popproj by year Jan25'!Z2:Z17,'ONS popproj by year Jan25'!Z109:Z124)</f>
        <v>11551785</v>
      </c>
      <c r="FG10">
        <f>SUM('ONS popproj by year Jan25'!AA2:AA17,'ONS popproj by year Jan25'!AA109:AA124)</f>
        <v>11574342</v>
      </c>
      <c r="FH10">
        <f>SUM('ONS popproj by year Jan25'!AB2:AB17,'ONS popproj by year Jan25'!AB109:AB124)</f>
        <v>11595425</v>
      </c>
      <c r="FI10">
        <f>SUM('ONS popproj by year Jan25'!AC2:AC17,'ONS popproj by year Jan25'!AC109:AC124)</f>
        <v>11613771</v>
      </c>
      <c r="FJ10">
        <f>SUM('ONS popproj by year Jan25'!AD2:AD17,'ONS popproj by year Jan25'!AD109:AD124)</f>
        <v>11627574</v>
      </c>
      <c r="FK10">
        <f>SUM('ONS popproj by year Jan25'!AE2:AE17,'ONS popproj by year Jan25'!AE109:AE124)</f>
        <v>11635903</v>
      </c>
      <c r="FL10">
        <f>SUM('ONS popproj by year Jan25'!AF2:AF17,'ONS popproj by year Jan25'!AF109:AF124)</f>
        <v>11638316</v>
      </c>
      <c r="FM10">
        <f>SUM('ONS popproj by year Jan25'!AG2:AG17,'ONS popproj by year Jan25'!AG109:AG124)</f>
        <v>11634568</v>
      </c>
      <c r="FN10">
        <f>SUM('ONS popproj by year Jan25'!AH2:AH17,'ONS popproj by year Jan25'!AH109:AH124)</f>
        <v>11624237</v>
      </c>
      <c r="FO10">
        <f>SUM('ONS popproj by year Jan25'!AI2:AI17,'ONS popproj by year Jan25'!AI109:AI124)</f>
        <v>11606917</v>
      </c>
      <c r="FP10">
        <f>SUM('ONS popproj by year Jan25'!AJ2:AJ17,'ONS popproj by year Jan25'!AJ109:AJ124)</f>
        <v>11582828</v>
      </c>
      <c r="FQ10">
        <f>SUM('ONS popproj by year Jan25'!AK2:AK17,'ONS popproj by year Jan25'!AK109:AK124)</f>
        <v>11552703</v>
      </c>
      <c r="FR10">
        <f>SUM('ONS popproj by year Jan25'!AL2:AL17,'ONS popproj by year Jan25'!AL109:AL124)</f>
        <v>11517380</v>
      </c>
      <c r="FS10">
        <f>SUM('ONS popproj by year Jan25'!AM2:AM17,'ONS popproj by year Jan25'!AM109:AM124)</f>
        <v>11477540</v>
      </c>
      <c r="FT10">
        <f>SUM('ONS popproj by year Jan25'!AN2:AN17,'ONS popproj by year Jan25'!AN109:AN124)</f>
        <v>11434301</v>
      </c>
      <c r="FU10">
        <f>SUM('ONS popproj by year Jan25'!AO2:AO17,'ONS popproj by year Jan25'!AO109:AO124)</f>
        <v>11389081</v>
      </c>
      <c r="FX10" s="34"/>
      <c r="FY10" s="31"/>
      <c r="FZ10" s="31"/>
      <c r="GA10" s="31"/>
      <c r="GL10" t="str">
        <f>'OBR Nov25 ST1.15'!B76</f>
        <v>2029-30</v>
      </c>
      <c r="GM10" s="34">
        <f>'OBR Nov25 ST1.15'!O76</f>
        <v>0.72803113161081789</v>
      </c>
      <c r="GN10" s="34">
        <f>'OBR Nov25 ST1.15'!M76</f>
        <v>1.4860265582655741</v>
      </c>
      <c r="GP10" s="32">
        <f>'OBR Nov25 ST1.15'!F76</f>
        <v>57999.376649999998</v>
      </c>
      <c r="GQ10" s="32">
        <f>'OBR Nov25 ST1.15'!D76</f>
        <v>3006860.071110168</v>
      </c>
      <c r="GR10" s="32">
        <f>GR9+M34-P34</f>
        <v>-721.23904158117807</v>
      </c>
      <c r="GS10" s="32">
        <f t="shared" si="39"/>
        <v>-605.59606993518707</v>
      </c>
      <c r="GT10" s="32">
        <f t="shared" si="43"/>
        <v>57393.780580064813</v>
      </c>
      <c r="GU10" s="34">
        <f>100*((GT10/GT9)-1)</f>
        <v>0.57118490094658636</v>
      </c>
      <c r="GV10" s="34">
        <f t="shared" si="40"/>
        <v>1.3291803276013425</v>
      </c>
      <c r="GW10">
        <f t="shared" si="44"/>
        <v>2975662.0475007705</v>
      </c>
      <c r="GX10" s="34">
        <f t="shared" si="45"/>
        <v>-1.0375615383351966</v>
      </c>
      <c r="GZ10">
        <v>2021</v>
      </c>
      <c r="HA10" s="34">
        <f>100*(Data!B55/Data!$B$57)</f>
        <v>94.84485662918344</v>
      </c>
      <c r="HB10" s="34">
        <f t="shared" si="41"/>
        <v>94.84485662918344</v>
      </c>
      <c r="HD10" s="34">
        <f t="shared" si="16"/>
        <v>0</v>
      </c>
    </row>
    <row r="11" spans="1:214">
      <c r="A11">
        <v>1987</v>
      </c>
      <c r="B11">
        <f>Data!F21*Data!G21</f>
        <v>854924.90772780008</v>
      </c>
      <c r="C11">
        <f>Data!H21/Data!I21</f>
        <v>8.9162753117265865</v>
      </c>
      <c r="D11" s="32">
        <f>Data!E21</f>
        <v>1373292</v>
      </c>
      <c r="E11" s="33">
        <f>Data!J21</f>
        <v>-1.7414620000000001</v>
      </c>
      <c r="F11" s="32">
        <f>Data!D21</f>
        <v>1357335</v>
      </c>
      <c r="G11" s="32">
        <f>Data!B21</f>
        <v>1395353</v>
      </c>
      <c r="I11" s="34">
        <f t="shared" si="42"/>
        <v>2.80956067145266</v>
      </c>
      <c r="J11" s="34">
        <f t="shared" si="42"/>
        <v>5.4550689894669935</v>
      </c>
      <c r="L11">
        <v>2007</v>
      </c>
      <c r="M11" s="32">
        <f>'[2]2022-based'!L14</f>
        <v>304.60000000000002</v>
      </c>
      <c r="R11">
        <v>2027</v>
      </c>
      <c r="S11" s="32">
        <f>'[2]2022-based'!Q34</f>
        <v>69742.899721649475</v>
      </c>
      <c r="T11" s="32">
        <v>70861.913</v>
      </c>
      <c r="U11" s="32">
        <v>70106.548999999999</v>
      </c>
      <c r="V11">
        <f t="shared" si="48"/>
        <v>70096.391663152215</v>
      </c>
      <c r="W11">
        <v>70211.290499999988</v>
      </c>
      <c r="Y11">
        <v>2019</v>
      </c>
      <c r="Z11" s="69">
        <f>SUMIF('ONS Nov25 T1'!$L:$L,'Chart Data'!$Y11,'ONS Nov25 T1'!$C:$C)/1000</f>
        <v>821</v>
      </c>
      <c r="AA11" s="69">
        <f>SUMIF('ONS Nov25 T1'!$M:$M,'Chart Data'!$Y11,'ONS Nov25 T1'!$C:$C)/1000</f>
        <v>597</v>
      </c>
      <c r="AB11" s="69">
        <f>SUMIF('ONS Nov25 T1'!$N:$N,'Chart Data'!$Y11,'ONS Nov25 T1'!$C:$C)/1000</f>
        <v>224</v>
      </c>
      <c r="AC11">
        <f t="shared" si="0"/>
        <v>224</v>
      </c>
      <c r="AE11">
        <v>2028</v>
      </c>
      <c r="AF11" s="32">
        <f t="shared" si="17"/>
        <v>85</v>
      </c>
      <c r="AG11" s="32">
        <f t="shared" si="18"/>
        <v>288</v>
      </c>
      <c r="AH11" s="32">
        <f t="shared" si="19"/>
        <v>55.5</v>
      </c>
      <c r="AI11">
        <f t="shared" si="20"/>
        <v>60</v>
      </c>
      <c r="AJ11" s="69">
        <f t="shared" si="1"/>
        <v>80</v>
      </c>
      <c r="AK11" s="69">
        <f t="shared" si="21"/>
        <v>221.30025773195882</v>
      </c>
      <c r="AL11" s="69">
        <f t="shared" si="2"/>
        <v>0</v>
      </c>
      <c r="AN11">
        <v>2028</v>
      </c>
      <c r="AO11" s="87">
        <f>'[2]Migration calculations'!L19</f>
        <v>789.80025773195882</v>
      </c>
      <c r="AP11" s="89">
        <f t="shared" si="49"/>
        <v>107.30025773195882</v>
      </c>
      <c r="AQ11" s="87">
        <f>'[2]Migration calculations'!U19</f>
        <v>80</v>
      </c>
      <c r="AR11" s="88">
        <f t="shared" si="50"/>
        <v>602.5</v>
      </c>
      <c r="AS11" s="87">
        <f>'[2]Migration calculations'!W19</f>
        <v>85</v>
      </c>
      <c r="AT11" s="87">
        <f>'[2]Migration calculations'!X19</f>
        <v>42.5</v>
      </c>
      <c r="AU11" s="87">
        <f>'[2]Migration calculations'!Y19</f>
        <v>288</v>
      </c>
      <c r="AV11" s="87">
        <f>'[2]Migration calculations'!Z19</f>
        <v>13</v>
      </c>
      <c r="AW11" s="87">
        <f>'[2]Migration calculations'!AA19</f>
        <v>60</v>
      </c>
      <c r="AX11" s="87">
        <f>'[2]Migration calculations'!AB19</f>
        <v>14</v>
      </c>
      <c r="AY11" s="87">
        <f>'[2]Migration calculations'!AC19</f>
        <v>80</v>
      </c>
      <c r="AZ11" s="87">
        <f>'[2]Migration calculations'!AD19</f>
        <v>20</v>
      </c>
      <c r="BV11">
        <v>2028</v>
      </c>
      <c r="BW11" s="32">
        <f t="shared" si="28"/>
        <v>35</v>
      </c>
      <c r="BX11" s="32">
        <f t="shared" si="29"/>
        <v>120</v>
      </c>
      <c r="BY11" s="32">
        <f t="shared" si="30"/>
        <v>38.200000000000003</v>
      </c>
      <c r="BZ11">
        <f t="shared" si="31"/>
        <v>37</v>
      </c>
      <c r="CA11" s="69">
        <f t="shared" si="6"/>
        <v>250</v>
      </c>
      <c r="CB11" s="69">
        <f t="shared" si="32"/>
        <v>132.11861313868616</v>
      </c>
      <c r="CC11" s="69">
        <f t="shared" si="7"/>
        <v>0</v>
      </c>
      <c r="CE11">
        <v>2028</v>
      </c>
      <c r="CF11" s="87">
        <f>'[2]Migration calculations'!M19</f>
        <v>612.31861313868615</v>
      </c>
      <c r="CG11" s="89">
        <f t="shared" ref="CG11:CG13" si="52">CF11-CH11-CI11</f>
        <v>128.11861313868616</v>
      </c>
      <c r="CH11" s="87">
        <f>'[2]Migration calculations'!AL19</f>
        <v>250</v>
      </c>
      <c r="CI11" s="88">
        <f t="shared" si="51"/>
        <v>234.2</v>
      </c>
      <c r="CJ11" s="87">
        <f>'[2]Migration calculations'!AN19</f>
        <v>35</v>
      </c>
      <c r="CK11" s="87">
        <f>'[2]Migration calculations'!AO19</f>
        <v>18.2</v>
      </c>
      <c r="CL11" s="87">
        <f>'[2]Migration calculations'!AP19</f>
        <v>120</v>
      </c>
      <c r="CM11" s="87">
        <f>'[2]Migration calculations'!AQ19</f>
        <v>20</v>
      </c>
      <c r="CN11" s="87">
        <f>'[2]Migration calculations'!AR19</f>
        <v>37</v>
      </c>
      <c r="CO11" s="87">
        <f>'[2]Migration calculations'!AS19</f>
        <v>0</v>
      </c>
      <c r="CP11" s="87">
        <f>'[2]Migration calculations'!AT19</f>
        <v>2</v>
      </c>
      <c r="CQ11" s="87">
        <f>'[2]Migration calculations'!AU19</f>
        <v>2</v>
      </c>
      <c r="DT11">
        <v>1981</v>
      </c>
      <c r="DU11" s="34">
        <f>100*((Data!M15/Data!M14)-1)</f>
        <v>0.5707566528506014</v>
      </c>
      <c r="DW11">
        <v>0</v>
      </c>
      <c r="DX11">
        <v>65</v>
      </c>
      <c r="DY11">
        <v>60</v>
      </c>
      <c r="EA11" s="152">
        <v>34182</v>
      </c>
      <c r="EB11" s="34">
        <f>100*(HAVERM!C50/HAVERM!B50)</f>
        <v>21.950367004543867</v>
      </c>
      <c r="EC11" s="34">
        <f t="shared" si="37"/>
        <v>25.050854271384292</v>
      </c>
      <c r="EE11" s="32">
        <f>HAVERM!C50</f>
        <v>1884</v>
      </c>
      <c r="EF11" s="32">
        <f>HAVERM!B50-HAVERM!C50</f>
        <v>6699</v>
      </c>
      <c r="EH11" t="s">
        <v>1142</v>
      </c>
      <c r="EI11">
        <f>SUM('ONS popproj by year Jan25'!C18:C66,'ONS popproj by year Jan25'!C125:C173)</f>
        <v>42468848</v>
      </c>
      <c r="EJ11">
        <f>SUM('ONS popproj by year Jan25'!D18:D66,'ONS popproj by year Jan25'!D125:D173)</f>
        <v>43160304</v>
      </c>
      <c r="EK11">
        <f>SUM('ONS popproj by year Jan25'!E18:E66,'ONS popproj by year Jan25'!E125:E173)</f>
        <v>43725847</v>
      </c>
      <c r="EL11">
        <f>SUM('ONS popproj by year Jan25'!F18:F66,'ONS popproj by year Jan25'!F125:F173)</f>
        <v>44191288</v>
      </c>
      <c r="EM11">
        <f>SUM('ONS popproj by year Jan25'!G18:G66,'ONS popproj by year Jan25'!G125:G173)</f>
        <v>44556445</v>
      </c>
      <c r="EN11">
        <f>SUM('ONS popproj by year Jan25'!H18:H66,'ONS popproj by year Jan25'!H125:H173)</f>
        <v>44826638</v>
      </c>
      <c r="EO11">
        <f>SUM('ONS popproj by year Jan25'!I18:I66,'ONS popproj by year Jan25'!I125:I173)</f>
        <v>44999376</v>
      </c>
      <c r="EP11">
        <f>SUM('ONS popproj by year Jan25'!J18:J66,'ONS popproj by year Jan25'!J125:J173)</f>
        <v>45137247</v>
      </c>
      <c r="EQ11">
        <f>SUM('ONS popproj by year Jan25'!K18:K66,'ONS popproj by year Jan25'!K125:K173)</f>
        <v>45250658</v>
      </c>
      <c r="ER11">
        <f>SUM('ONS popproj by year Jan25'!L18:L66,'ONS popproj by year Jan25'!L125:L173)</f>
        <v>45371618</v>
      </c>
      <c r="ES11">
        <f>SUM('ONS popproj by year Jan25'!M18:M66,'ONS popproj by year Jan25'!M125:M173)</f>
        <v>45501850</v>
      </c>
      <c r="ET11">
        <f>SUM('ONS popproj by year Jan25'!N18:N66,'ONS popproj by year Jan25'!N125:N173)</f>
        <v>45620882</v>
      </c>
      <c r="EU11">
        <f>SUM('ONS popproj by year Jan25'!O18:O66,'ONS popproj by year Jan25'!O125:O173)</f>
        <v>45726448</v>
      </c>
      <c r="EV11">
        <f>SUM('ONS popproj by year Jan25'!P18:P66,'ONS popproj by year Jan25'!P125:P173)</f>
        <v>45848399</v>
      </c>
      <c r="EW11">
        <f>SUM('ONS popproj by year Jan25'!Q18:Q66,'ONS popproj by year Jan25'!Q125:Q173)</f>
        <v>45940339</v>
      </c>
      <c r="EX11">
        <f>SUM('ONS popproj by year Jan25'!R18:R66,'ONS popproj by year Jan25'!R125:R173)</f>
        <v>46046459</v>
      </c>
      <c r="EY11">
        <f>SUM('ONS popproj by year Jan25'!S18:S66,'ONS popproj by year Jan25'!S125:S173)</f>
        <v>46191638</v>
      </c>
      <c r="EZ11">
        <f>SUM('ONS popproj by year Jan25'!T18:T66,'ONS popproj by year Jan25'!T125:T173)</f>
        <v>46333176</v>
      </c>
      <c r="FA11">
        <f>SUM('ONS popproj by year Jan25'!U18:U66,'ONS popproj by year Jan25'!U125:U173)</f>
        <v>46483345</v>
      </c>
      <c r="FB11">
        <f>SUM('ONS popproj by year Jan25'!V18:V66,'ONS popproj by year Jan25'!V125:V173)</f>
        <v>46650206</v>
      </c>
      <c r="FC11">
        <f>SUM('ONS popproj by year Jan25'!W18:W66,'ONS popproj by year Jan25'!W125:W173)</f>
        <v>46834797</v>
      </c>
      <c r="FD11">
        <f>SUM('ONS popproj by year Jan25'!X18:X66,'ONS popproj by year Jan25'!X125:X173)</f>
        <v>47005102</v>
      </c>
      <c r="FE11">
        <f>SUM('ONS popproj by year Jan25'!Y18:Y66,'ONS popproj by year Jan25'!Y125:Y173)</f>
        <v>47118123</v>
      </c>
      <c r="FF11">
        <f>SUM('ONS popproj by year Jan25'!Z18:Z66,'ONS popproj by year Jan25'!Z125:Z173)</f>
        <v>47196059</v>
      </c>
      <c r="FG11">
        <f>SUM('ONS popproj by year Jan25'!AA18:AA66,'ONS popproj by year Jan25'!AA125:AA173)</f>
        <v>47273656</v>
      </c>
      <c r="FH11">
        <f>SUM('ONS popproj by year Jan25'!AB18:AB66,'ONS popproj by year Jan25'!AB125:AB173)</f>
        <v>47356980</v>
      </c>
      <c r="FI11">
        <f>SUM('ONS popproj by year Jan25'!AC18:AC66,'ONS popproj by year Jan25'!AC125:AC173)</f>
        <v>47432338</v>
      </c>
      <c r="FJ11">
        <f>SUM('ONS popproj by year Jan25'!AD18:AD66,'ONS popproj by year Jan25'!AD125:AD173)</f>
        <v>47504470</v>
      </c>
      <c r="FK11">
        <f>SUM('ONS popproj by year Jan25'!AE18:AE66,'ONS popproj by year Jan25'!AE125:AE173)</f>
        <v>47546283</v>
      </c>
      <c r="FL11">
        <f>SUM('ONS popproj by year Jan25'!AF18:AF66,'ONS popproj by year Jan25'!AF125:AF173)</f>
        <v>47580040</v>
      </c>
      <c r="FM11">
        <f>SUM('ONS popproj by year Jan25'!AG18:AG66,'ONS popproj by year Jan25'!AG125:AG173)</f>
        <v>47602403</v>
      </c>
      <c r="FN11">
        <f>SUM('ONS popproj by year Jan25'!AH18:AH66,'ONS popproj by year Jan25'!AH125:AH173)</f>
        <v>47598567</v>
      </c>
      <c r="FO11">
        <f>SUM('ONS popproj by year Jan25'!AI18:AI66,'ONS popproj by year Jan25'!AI125:AI173)</f>
        <v>47599141</v>
      </c>
      <c r="FP11">
        <f>SUM('ONS popproj by year Jan25'!AJ18:AJ66,'ONS popproj by year Jan25'!AJ125:AJ173)</f>
        <v>47587795</v>
      </c>
      <c r="FQ11">
        <f>SUM('ONS popproj by year Jan25'!AK18:AK66,'ONS popproj by year Jan25'!AK125:AK173)</f>
        <v>47564958</v>
      </c>
      <c r="FR11">
        <f>SUM('ONS popproj by year Jan25'!AL18:AL66,'ONS popproj by year Jan25'!AL125:AL173)</f>
        <v>47544599</v>
      </c>
      <c r="FS11">
        <f>SUM('ONS popproj by year Jan25'!AM18:AM66,'ONS popproj by year Jan25'!AM125:AM173)</f>
        <v>47539157</v>
      </c>
      <c r="FT11">
        <f>SUM('ONS popproj by year Jan25'!AN18:AN66,'ONS popproj by year Jan25'!AN125:AN173)</f>
        <v>47524123</v>
      </c>
      <c r="FU11">
        <f>SUM('ONS popproj by year Jan25'!AO18:AO66,'ONS popproj by year Jan25'!AO125:AO173)</f>
        <v>47518437</v>
      </c>
      <c r="FX11" s="34"/>
      <c r="FY11" s="31"/>
      <c r="FZ11" s="31"/>
      <c r="GA11" s="31"/>
      <c r="GM11" s="34"/>
      <c r="GN11" s="34"/>
      <c r="GP11" s="32"/>
      <c r="GQ11" s="32"/>
      <c r="GR11" s="32"/>
      <c r="GS11" s="32"/>
      <c r="GZ11">
        <v>2022</v>
      </c>
      <c r="HA11" s="34">
        <f>100*(Data!B56/Data!$B$57)</f>
        <v>99.729085912031394</v>
      </c>
      <c r="HB11" s="34">
        <f t="shared" si="41"/>
        <v>99.729085912031394</v>
      </c>
      <c r="HD11" s="34">
        <f t="shared" si="16"/>
        <v>0</v>
      </c>
      <c r="HF11" s="34"/>
    </row>
    <row r="12" spans="1:214">
      <c r="A12">
        <v>1988</v>
      </c>
      <c r="B12">
        <f>Data!F22*Data!G22</f>
        <v>869416.82762999996</v>
      </c>
      <c r="C12">
        <f>Data!H22/Data!I22</f>
        <v>9.0335851707275232</v>
      </c>
      <c r="D12" s="32">
        <f>Data!E22</f>
        <v>1416696</v>
      </c>
      <c r="E12" s="33">
        <f>Data!J22</f>
        <v>-1.730137</v>
      </c>
      <c r="F12" s="32">
        <f>Data!D22</f>
        <v>1405883</v>
      </c>
      <c r="G12" s="32">
        <f>Data!B22</f>
        <v>1471002</v>
      </c>
      <c r="I12" s="34">
        <f t="shared" si="42"/>
        <v>3.5767146651342507</v>
      </c>
      <c r="J12" s="34">
        <f t="shared" si="42"/>
        <v>5.4214954925384529</v>
      </c>
      <c r="L12">
        <v>2008</v>
      </c>
      <c r="M12" s="32">
        <f>'[2]2022-based'!L15</f>
        <v>283.60000000000002</v>
      </c>
      <c r="R12">
        <v>2028</v>
      </c>
      <c r="S12" s="32">
        <f>'[2]2022-based'!Q35</f>
        <v>69926.569366242722</v>
      </c>
      <c r="T12" s="32">
        <v>71208.100999999995</v>
      </c>
      <c r="U12" s="32">
        <v>70387.142000000007</v>
      </c>
      <c r="V12">
        <f t="shared" si="48"/>
        <v>70387.342624487399</v>
      </c>
      <c r="W12">
        <v>70502.718374999968</v>
      </c>
      <c r="Y12">
        <v>2020</v>
      </c>
      <c r="Z12" s="69">
        <f>SUMIF('ONS Nov25 T1'!$L:$L,'Chart Data'!$Y12,'ONS Nov25 T1'!$C:$C)/1000</f>
        <v>736</v>
      </c>
      <c r="AA12" s="69">
        <f>SUMIF('ONS Nov25 T1'!$M:$M,'Chart Data'!$Y12,'ONS Nov25 T1'!$C:$C)/1000</f>
        <v>625</v>
      </c>
      <c r="AB12" s="69">
        <f>SUMIF('ONS Nov25 T1'!$N:$N,'Chart Data'!$Y12,'ONS Nov25 T1'!$C:$C)/1000</f>
        <v>111</v>
      </c>
      <c r="AC12">
        <f t="shared" si="0"/>
        <v>111</v>
      </c>
      <c r="AE12">
        <v>2029</v>
      </c>
      <c r="AF12" s="32">
        <f t="shared" si="17"/>
        <v>100</v>
      </c>
      <c r="AG12" s="32">
        <f t="shared" si="18"/>
        <v>292</v>
      </c>
      <c r="AH12" s="32">
        <f t="shared" si="19"/>
        <v>63</v>
      </c>
      <c r="AI12">
        <f t="shared" si="20"/>
        <v>60</v>
      </c>
      <c r="AJ12" s="69">
        <f t="shared" si="1"/>
        <v>80</v>
      </c>
      <c r="AK12" s="69">
        <f t="shared" si="21"/>
        <v>209.26546391752595</v>
      </c>
      <c r="AL12" s="69">
        <f t="shared" si="2"/>
        <v>0</v>
      </c>
      <c r="AN12">
        <v>2029</v>
      </c>
      <c r="AO12" s="87">
        <f>'[2]Migration calculations'!L20</f>
        <v>804.26546391752595</v>
      </c>
      <c r="AP12" s="89">
        <f t="shared" si="49"/>
        <v>109.26546391752595</v>
      </c>
      <c r="AQ12" s="87">
        <f>'[2]Migration calculations'!U20</f>
        <v>80</v>
      </c>
      <c r="AR12" s="88">
        <f t="shared" si="50"/>
        <v>615</v>
      </c>
      <c r="AS12" s="87">
        <f>'[2]Migration calculations'!W20</f>
        <v>100</v>
      </c>
      <c r="AT12" s="87">
        <f>'[2]Migration calculations'!X20</f>
        <v>50</v>
      </c>
      <c r="AU12" s="87">
        <f>'[2]Migration calculations'!Y20</f>
        <v>292</v>
      </c>
      <c r="AV12" s="87">
        <f>'[2]Migration calculations'!Z20</f>
        <v>13</v>
      </c>
      <c r="AW12" s="87">
        <f>'[2]Migration calculations'!AA20</f>
        <v>60</v>
      </c>
      <c r="AX12" s="87">
        <f>'[2]Migration calculations'!AB20</f>
        <v>5</v>
      </c>
      <c r="AY12" s="87">
        <f>'[2]Migration calculations'!AC20</f>
        <v>75</v>
      </c>
      <c r="AZ12" s="87">
        <f>'[2]Migration calculations'!AD20</f>
        <v>20</v>
      </c>
      <c r="BV12">
        <v>2029</v>
      </c>
      <c r="BW12" s="32">
        <f t="shared" si="28"/>
        <v>30</v>
      </c>
      <c r="BX12" s="32">
        <f t="shared" si="29"/>
        <v>120</v>
      </c>
      <c r="BY12" s="32">
        <f t="shared" si="30"/>
        <v>35.6</v>
      </c>
      <c r="BZ12">
        <f t="shared" si="31"/>
        <v>37</v>
      </c>
      <c r="CA12" s="69">
        <f t="shared" si="6"/>
        <v>250</v>
      </c>
      <c r="CB12" s="69">
        <f t="shared" si="32"/>
        <v>127.57846715328472</v>
      </c>
      <c r="CC12" s="69">
        <f t="shared" si="7"/>
        <v>0</v>
      </c>
      <c r="CE12">
        <v>2029</v>
      </c>
      <c r="CF12" s="87">
        <f>'[2]Migration calculations'!M20</f>
        <v>600.17846715328471</v>
      </c>
      <c r="CG12" s="89">
        <f t="shared" si="52"/>
        <v>125.57846715328472</v>
      </c>
      <c r="CH12" s="87">
        <f>'[2]Migration calculations'!AL20</f>
        <v>250</v>
      </c>
      <c r="CI12" s="88">
        <f t="shared" si="51"/>
        <v>224.6</v>
      </c>
      <c r="CJ12" s="87">
        <f>'[2]Migration calculations'!AN20</f>
        <v>30</v>
      </c>
      <c r="CK12" s="87">
        <f>'[2]Migration calculations'!AO20</f>
        <v>15.600000000000001</v>
      </c>
      <c r="CL12" s="87">
        <f>'[2]Migration calculations'!AP20</f>
        <v>120</v>
      </c>
      <c r="CM12" s="87">
        <f>'[2]Migration calculations'!AQ20</f>
        <v>20</v>
      </c>
      <c r="CN12" s="87">
        <f>'[2]Migration calculations'!AR20</f>
        <v>37</v>
      </c>
      <c r="CO12" s="87">
        <f>'[2]Migration calculations'!AS20</f>
        <v>0</v>
      </c>
      <c r="CP12" s="87">
        <f>'[2]Migration calculations'!AT20</f>
        <v>0</v>
      </c>
      <c r="CQ12" s="87">
        <f>'[2]Migration calculations'!AU20</f>
        <v>2</v>
      </c>
      <c r="DO12">
        <f>100*((DN10/DO10)-1)</f>
        <v>-0.96801370537804576</v>
      </c>
      <c r="DT12">
        <v>1982</v>
      </c>
      <c r="DU12" s="34">
        <f>100*((Data!M16/Data!M15)-1)</f>
        <v>0.47527889825018654</v>
      </c>
      <c r="DW12">
        <v>0</v>
      </c>
      <c r="DX12">
        <v>65</v>
      </c>
      <c r="DY12">
        <v>60</v>
      </c>
      <c r="EA12" s="152">
        <v>34213</v>
      </c>
      <c r="EB12" s="34">
        <f>100*(HAVERM!C51/HAVERM!B51)</f>
        <v>22.187281621243883</v>
      </c>
      <c r="EC12" s="34">
        <f t="shared" si="37"/>
        <v>25.050854271384292</v>
      </c>
      <c r="EE12" s="32">
        <f>HAVERM!C51</f>
        <v>1905</v>
      </c>
      <c r="EF12" s="32">
        <f>HAVERM!B51-HAVERM!C51</f>
        <v>6681</v>
      </c>
      <c r="EH12" t="s">
        <v>1143</v>
      </c>
      <c r="EI12">
        <f>SUM('ONS popproj by year Jan25'!C67:C108,'ONS popproj by year Jan25'!C174:C215)</f>
        <v>12736281</v>
      </c>
      <c r="EJ12">
        <f>SUM('ONS popproj by year Jan25'!D67:D108,'ONS popproj by year Jan25'!D174:D215)</f>
        <v>12934955</v>
      </c>
      <c r="EK12">
        <f>SUM('ONS popproj by year Jan25'!E67:E108,'ONS popproj by year Jan25'!E174:E215)</f>
        <v>13163397</v>
      </c>
      <c r="EL12">
        <f>SUM('ONS popproj by year Jan25'!F67:F108,'ONS popproj by year Jan25'!F174:F215)</f>
        <v>13404765</v>
      </c>
      <c r="EM12">
        <f>SUM('ONS popproj by year Jan25'!G67:G108,'ONS popproj by year Jan25'!G174:G215)</f>
        <v>13669589</v>
      </c>
      <c r="EN12">
        <f>SUM('ONS popproj by year Jan25'!H67:H108,'ONS popproj by year Jan25'!H174:H215)</f>
        <v>13954917</v>
      </c>
      <c r="EO12">
        <f>SUM('ONS popproj by year Jan25'!I67:I108,'ONS popproj by year Jan25'!I174:I215)</f>
        <v>14249700</v>
      </c>
      <c r="EP12">
        <f>SUM('ONS popproj by year Jan25'!J67:J108,'ONS popproj by year Jan25'!J174:J215)</f>
        <v>14553151</v>
      </c>
      <c r="EQ12">
        <f>SUM('ONS popproj by year Jan25'!K67:K108,'ONS popproj by year Jan25'!K174:K215)</f>
        <v>14856218</v>
      </c>
      <c r="ER12">
        <f>SUM('ONS popproj by year Jan25'!L67:L108,'ONS popproj by year Jan25'!L174:L215)</f>
        <v>15141910</v>
      </c>
      <c r="ES12">
        <f>SUM('ONS popproj by year Jan25'!M67:M108,'ONS popproj by year Jan25'!M174:M215)</f>
        <v>15418587</v>
      </c>
      <c r="ET12">
        <f>SUM('ONS popproj by year Jan25'!N67:N108,'ONS popproj by year Jan25'!N174:N215)</f>
        <v>15677781</v>
      </c>
      <c r="EU12">
        <f>SUM('ONS popproj by year Jan25'!O67:O108,'ONS popproj by year Jan25'!O174:O215)</f>
        <v>15926607</v>
      </c>
      <c r="EV12">
        <f>SUM('ONS popproj by year Jan25'!P67:P108,'ONS popproj by year Jan25'!P174:P215)</f>
        <v>16144064</v>
      </c>
      <c r="EW12">
        <f>SUM('ONS popproj by year Jan25'!Q67:Q108,'ONS popproj by year Jan25'!Q174:Q215)</f>
        <v>16371231</v>
      </c>
      <c r="EX12">
        <f>SUM('ONS popproj by year Jan25'!R67:R108,'ONS popproj by year Jan25'!R174:R215)</f>
        <v>16556390</v>
      </c>
      <c r="EY12">
        <f>SUM('ONS popproj by year Jan25'!S67:S108,'ONS popproj by year Jan25'!S174:S215)</f>
        <v>16701770</v>
      </c>
      <c r="EZ12">
        <f>SUM('ONS popproj by year Jan25'!T67:T108,'ONS popproj by year Jan25'!T174:T215)</f>
        <v>16808758</v>
      </c>
      <c r="FA12">
        <f>SUM('ONS popproj by year Jan25'!U67:U108,'ONS popproj by year Jan25'!U174:U215)</f>
        <v>16898765</v>
      </c>
      <c r="FB12">
        <f>SUM('ONS popproj by year Jan25'!V67:V108,'ONS popproj by year Jan25'!V174:V215)</f>
        <v>16969007</v>
      </c>
      <c r="FC12">
        <f>SUM('ONS popproj by year Jan25'!W67:W108,'ONS popproj by year Jan25'!W174:W215)</f>
        <v>17017807</v>
      </c>
      <c r="FD12">
        <f>SUM('ONS popproj by year Jan25'!X67:X108,'ONS popproj by year Jan25'!X174:X215)</f>
        <v>17076624</v>
      </c>
      <c r="FE12">
        <f>SUM('ONS popproj by year Jan25'!Y67:Y108,'ONS popproj by year Jan25'!Y174:Y215)</f>
        <v>17188331</v>
      </c>
      <c r="FF12">
        <f>SUM('ONS popproj by year Jan25'!Z67:Z108,'ONS popproj by year Jan25'!Z174:Z215)</f>
        <v>17330842</v>
      </c>
      <c r="FG12">
        <f>SUM('ONS popproj by year Jan25'!AA67:AA108,'ONS popproj by year Jan25'!AA174:AA215)</f>
        <v>17469482</v>
      </c>
      <c r="FH12">
        <f>SUM('ONS popproj by year Jan25'!AB67:AB108,'ONS popproj by year Jan25'!AB174:AB215)</f>
        <v>17598130</v>
      </c>
      <c r="FI12">
        <f>SUM('ONS popproj by year Jan25'!AC67:AC108,'ONS popproj by year Jan25'!AC174:AC215)</f>
        <v>17730351</v>
      </c>
      <c r="FJ12">
        <f>SUM('ONS popproj by year Jan25'!AD67:AD108,'ONS popproj by year Jan25'!AD174:AD215)</f>
        <v>17861593</v>
      </c>
      <c r="FK12">
        <f>SUM('ONS popproj by year Jan25'!AE67:AE108,'ONS popproj by year Jan25'!AE174:AE215)</f>
        <v>18019297</v>
      </c>
      <c r="FL12">
        <f>SUM('ONS popproj by year Jan25'!AF67:AF108,'ONS popproj by year Jan25'!AF174:AF215)</f>
        <v>18181289</v>
      </c>
      <c r="FM12">
        <f>SUM('ONS popproj by year Jan25'!AG67:AG108,'ONS popproj by year Jan25'!AG174:AG215)</f>
        <v>18351078</v>
      </c>
      <c r="FN12">
        <f>SUM('ONS popproj by year Jan25'!AH67:AH108,'ONS popproj by year Jan25'!AH174:AH215)</f>
        <v>18543906</v>
      </c>
      <c r="FO12">
        <f>SUM('ONS popproj by year Jan25'!AI67:AI108,'ONS popproj by year Jan25'!AI174:AI215)</f>
        <v>18729776</v>
      </c>
      <c r="FP12">
        <f>SUM('ONS popproj by year Jan25'!AJ67:AJ108,'ONS popproj by year Jan25'!AJ174:AJ215)</f>
        <v>18925510</v>
      </c>
      <c r="FQ12">
        <f>SUM('ONS popproj by year Jan25'!AK67:AK108,'ONS popproj by year Jan25'!AK174:AK215)</f>
        <v>19131097</v>
      </c>
      <c r="FR12">
        <f>SUM('ONS popproj by year Jan25'!AL67:AL108,'ONS popproj by year Jan25'!AL174:AL215)</f>
        <v>19332917</v>
      </c>
      <c r="FS12">
        <f>SUM('ONS popproj by year Jan25'!AM67:AM108,'ONS popproj by year Jan25'!AM174:AM215)</f>
        <v>19518913</v>
      </c>
      <c r="FT12">
        <f>SUM('ONS popproj by year Jan25'!AN67:AN108,'ONS popproj by year Jan25'!AN174:AN215)</f>
        <v>19713612</v>
      </c>
      <c r="FU12">
        <f>SUM('ONS popproj by year Jan25'!AO67:AO108,'ONS popproj by year Jan25'!AO174:AO215)</f>
        <v>19897799</v>
      </c>
      <c r="FW12">
        <v>1962</v>
      </c>
      <c r="FX12" s="34"/>
      <c r="FY12" s="31"/>
      <c r="FZ12" s="31"/>
      <c r="GA12" s="31"/>
      <c r="GL12" t="s">
        <v>1488</v>
      </c>
      <c r="GR12" s="35">
        <f>'[2]2022-based'!$I$2+'[2]2022-based'!$I$4</f>
        <v>0.83966068809521732</v>
      </c>
      <c r="GZ12">
        <v>2023</v>
      </c>
      <c r="HA12" s="34">
        <f>100*(Data!B57/Data!$B$57)</f>
        <v>100</v>
      </c>
      <c r="HB12" s="34">
        <f t="shared" si="41"/>
        <v>100</v>
      </c>
      <c r="HD12" s="34">
        <f t="shared" si="16"/>
        <v>0</v>
      </c>
      <c r="HF12" s="34"/>
    </row>
    <row r="13" spans="1:214">
      <c r="A13">
        <v>1989</v>
      </c>
      <c r="B13">
        <f>Data!F23*Data!G23</f>
        <v>881201.46193640004</v>
      </c>
      <c r="C13">
        <f>Data!H23/Data!I23</f>
        <v>9.1558688406715323</v>
      </c>
      <c r="D13" s="32">
        <f>Data!E23</f>
        <v>1468447</v>
      </c>
      <c r="E13" s="33">
        <f>Data!J23</f>
        <v>-1.718885</v>
      </c>
      <c r="F13" s="32">
        <f>Data!D23</f>
        <v>1456761</v>
      </c>
      <c r="G13" s="32">
        <f>Data!B23</f>
        <v>1506644</v>
      </c>
      <c r="I13" s="34">
        <f t="shared" si="42"/>
        <v>3.6189355728748485</v>
      </c>
      <c r="J13" s="34">
        <f t="shared" si="42"/>
        <v>2.4229742719588332</v>
      </c>
      <c r="L13">
        <v>2009</v>
      </c>
      <c r="M13" s="32">
        <f>'[2]2022-based'!L16</f>
        <v>219.8</v>
      </c>
      <c r="R13">
        <v>2029</v>
      </c>
      <c r="S13" s="32">
        <f>'[2]2022-based'!Q36</f>
        <v>70130.217363006974</v>
      </c>
      <c r="T13" s="32">
        <v>71547.661999999997</v>
      </c>
      <c r="U13" s="32">
        <v>70696.611000000004</v>
      </c>
      <c r="V13">
        <f t="shared" si="48"/>
        <v>70698.372173908559</v>
      </c>
      <c r="W13">
        <v>70814.257749999961</v>
      </c>
      <c r="Y13">
        <v>2021</v>
      </c>
      <c r="Z13" s="69">
        <f>SUMIF('ONS Nov25 T1'!$L:$L,'Chart Data'!$Y13,'ONS Nov25 T1'!$C:$C)/1000</f>
        <v>818</v>
      </c>
      <c r="AA13" s="69">
        <f>SUMIF('ONS Nov25 T1'!$M:$M,'Chart Data'!$Y13,'ONS Nov25 T1'!$C:$C)/1000</f>
        <v>567</v>
      </c>
      <c r="AB13" s="69">
        <f>SUMIF('ONS Nov25 T1'!$N:$N,'Chart Data'!$Y13,'ONS Nov25 T1'!$C:$C)/1000</f>
        <v>251</v>
      </c>
      <c r="AC13">
        <f t="shared" si="0"/>
        <v>251</v>
      </c>
      <c r="AE13">
        <v>2030</v>
      </c>
      <c r="AF13" s="32">
        <f t="shared" si="17"/>
        <v>110</v>
      </c>
      <c r="AG13" s="32">
        <f t="shared" si="18"/>
        <v>297</v>
      </c>
      <c r="AH13" s="32">
        <f t="shared" si="19"/>
        <v>68</v>
      </c>
      <c r="AI13">
        <f t="shared" si="20"/>
        <v>61</v>
      </c>
      <c r="AJ13" s="69">
        <f t="shared" si="1"/>
        <v>80</v>
      </c>
      <c r="AK13" s="69">
        <f t="shared" si="21"/>
        <v>200.99484536082491</v>
      </c>
      <c r="AL13" s="69">
        <f t="shared" si="2"/>
        <v>0</v>
      </c>
      <c r="AN13">
        <v>2030</v>
      </c>
      <c r="AO13" s="87">
        <f>'[2]Migration calculations'!L21</f>
        <v>816.99484536082491</v>
      </c>
      <c r="AP13" s="89">
        <f t="shared" si="49"/>
        <v>110.99484536082491</v>
      </c>
      <c r="AQ13" s="87">
        <f>'[2]Migration calculations'!U21</f>
        <v>80</v>
      </c>
      <c r="AR13" s="88">
        <f t="shared" si="50"/>
        <v>626</v>
      </c>
      <c r="AS13" s="87">
        <f>'[2]Migration calculations'!W21</f>
        <v>110</v>
      </c>
      <c r="AT13" s="87">
        <f>'[2]Migration calculations'!X21</f>
        <v>55</v>
      </c>
      <c r="AU13" s="87">
        <f>'[2]Migration calculations'!Y21</f>
        <v>297</v>
      </c>
      <c r="AV13" s="87">
        <f>'[2]Migration calculations'!Z21</f>
        <v>13</v>
      </c>
      <c r="AW13" s="87">
        <f>'[2]Migration calculations'!AA21</f>
        <v>61</v>
      </c>
      <c r="AX13" s="87">
        <f>'[2]Migration calculations'!AB21</f>
        <v>0</v>
      </c>
      <c r="AY13" s="87">
        <f>'[2]Migration calculations'!AC21</f>
        <v>70</v>
      </c>
      <c r="AZ13" s="87">
        <f>'[2]Migration calculations'!AD21</f>
        <v>20</v>
      </c>
      <c r="BV13">
        <v>2030</v>
      </c>
      <c r="BW13" s="32">
        <f t="shared" si="28"/>
        <v>25</v>
      </c>
      <c r="BX13" s="32">
        <f t="shared" si="29"/>
        <v>120</v>
      </c>
      <c r="BY13" s="32">
        <f t="shared" si="30"/>
        <v>33</v>
      </c>
      <c r="BZ13">
        <f t="shared" si="31"/>
        <v>35</v>
      </c>
      <c r="CA13" s="69">
        <f t="shared" si="6"/>
        <v>250</v>
      </c>
      <c r="CB13" s="69">
        <f t="shared" si="32"/>
        <v>125.03832116788328</v>
      </c>
      <c r="CC13" s="69">
        <f t="shared" si="7"/>
        <v>0</v>
      </c>
      <c r="CE13">
        <v>2030</v>
      </c>
      <c r="CF13" s="87">
        <f>'[2]Migration calculations'!M21</f>
        <v>588.03832116788328</v>
      </c>
      <c r="CG13" s="89">
        <f t="shared" si="52"/>
        <v>123.03832116788328</v>
      </c>
      <c r="CH13" s="87">
        <f>'[2]Migration calculations'!AL21</f>
        <v>250</v>
      </c>
      <c r="CI13" s="88">
        <f t="shared" si="51"/>
        <v>215</v>
      </c>
      <c r="CJ13" s="87">
        <f>'[2]Migration calculations'!AN21</f>
        <v>25</v>
      </c>
      <c r="CK13" s="87">
        <f>'[2]Migration calculations'!AO21</f>
        <v>13</v>
      </c>
      <c r="CL13" s="87">
        <f>'[2]Migration calculations'!AP21</f>
        <v>120</v>
      </c>
      <c r="CM13" s="87">
        <f>'[2]Migration calculations'!AQ21</f>
        <v>20</v>
      </c>
      <c r="CN13" s="87">
        <f>'[2]Migration calculations'!AR21</f>
        <v>35</v>
      </c>
      <c r="CO13" s="87">
        <f>'[2]Migration calculations'!AS21</f>
        <v>0</v>
      </c>
      <c r="CP13" s="87">
        <f>'[2]Migration calculations'!AT21</f>
        <v>0</v>
      </c>
      <c r="CQ13" s="87">
        <f>'[2]Migration calculations'!AU21</f>
        <v>2</v>
      </c>
      <c r="DT13">
        <v>1983</v>
      </c>
      <c r="DU13" s="34">
        <f>100*((Data!M17/Data!M16)-1)</f>
        <v>0.70478950561649878</v>
      </c>
      <c r="DV13" s="34">
        <f>AVERAGE(DU4:DU13)</f>
        <v>0.42994853848678183</v>
      </c>
      <c r="DW13" s="34">
        <v>0</v>
      </c>
      <c r="DX13">
        <v>65</v>
      </c>
      <c r="DY13">
        <v>60</v>
      </c>
      <c r="EA13" s="152">
        <v>34243</v>
      </c>
      <c r="EB13" s="34">
        <f>100*(HAVERM!C52/HAVERM!B52)</f>
        <v>22.563744324135524</v>
      </c>
      <c r="EC13" s="34">
        <f t="shared" si="37"/>
        <v>25.050854271384292</v>
      </c>
      <c r="EE13" s="32">
        <f>HAVERM!C52</f>
        <v>1938</v>
      </c>
      <c r="EF13" s="32">
        <f>HAVERM!B52-HAVERM!C52</f>
        <v>6651</v>
      </c>
      <c r="EH13" t="s">
        <v>454</v>
      </c>
      <c r="EI13">
        <f>SUM('ONS popproj by year Jan25'!C2:C215)</f>
        <v>67602761</v>
      </c>
      <c r="EJ13">
        <f>SUM('ONS popproj by year Jan25'!D2:D215)</f>
        <v>68492495</v>
      </c>
      <c r="EK13">
        <f>SUM('ONS popproj by year Jan25'!E2:E215)</f>
        <v>69226231</v>
      </c>
      <c r="EL13">
        <f>SUM('ONS popproj by year Jan25'!F2:F215)</f>
        <v>69867979</v>
      </c>
      <c r="EM13">
        <f>SUM('ONS popproj by year Jan25'!G2:G215)</f>
        <v>70414300</v>
      </c>
      <c r="EN13">
        <f>SUM('ONS popproj by year Jan25'!H2:H215)</f>
        <v>70861913</v>
      </c>
      <c r="EO13">
        <f>SUM('ONS popproj by year Jan25'!I2:I215)</f>
        <v>71208101</v>
      </c>
      <c r="EP13">
        <f>SUM('ONS popproj by year Jan25'!J2:J215)</f>
        <v>71547662</v>
      </c>
      <c r="EQ13">
        <f>SUM('ONS popproj by year Jan25'!K2:K215)</f>
        <v>71879988</v>
      </c>
      <c r="ER13">
        <f>SUM('ONS popproj by year Jan25'!L2:L215)</f>
        <v>72204574</v>
      </c>
      <c r="ES13">
        <f>SUM('ONS popproj by year Jan25'!M2:M215)</f>
        <v>72521173</v>
      </c>
      <c r="ET13">
        <f>SUM('ONS popproj by year Jan25'!N2:N215)</f>
        <v>72830021</v>
      </c>
      <c r="EU13">
        <f>SUM('ONS popproj by year Jan25'!O2:O215)</f>
        <v>73131597</v>
      </c>
      <c r="EV13">
        <f>SUM('ONS popproj by year Jan25'!P2:P215)</f>
        <v>73426168</v>
      </c>
      <c r="EW13">
        <f>SUM('ONS popproj by year Jan25'!Q2:Q215)</f>
        <v>73714089</v>
      </c>
      <c r="EX13">
        <f>SUM('ONS popproj by year Jan25'!R2:R215)</f>
        <v>73995941</v>
      </c>
      <c r="EY13">
        <f>SUM('ONS popproj by year Jan25'!S2:S215)</f>
        <v>74272334</v>
      </c>
      <c r="EZ13">
        <f>SUM('ONS popproj by year Jan25'!T2:T215)</f>
        <v>74543738</v>
      </c>
      <c r="FA13">
        <f>SUM('ONS popproj by year Jan25'!U2:U215)</f>
        <v>74810478</v>
      </c>
      <c r="FB13">
        <f>SUM('ONS popproj by year Jan25'!V2:V215)</f>
        <v>75072892</v>
      </c>
      <c r="FC13">
        <f>SUM('ONS popproj by year Jan25'!W2:W215)</f>
        <v>75331209</v>
      </c>
      <c r="FD13">
        <f>SUM('ONS popproj by year Jan25'!X2:X215)</f>
        <v>75585236</v>
      </c>
      <c r="FE13">
        <f>SUM('ONS popproj by year Jan25'!Y2:Y215)</f>
        <v>75834507</v>
      </c>
      <c r="FF13">
        <f>SUM('ONS popproj by year Jan25'!Z2:Z215)</f>
        <v>76078686</v>
      </c>
      <c r="FG13">
        <f>SUM('ONS popproj by year Jan25'!AA2:AA215)</f>
        <v>76317480</v>
      </c>
      <c r="FH13">
        <f>SUM('ONS popproj by year Jan25'!AB2:AB215)</f>
        <v>76550535</v>
      </c>
      <c r="FI13">
        <f>SUM('ONS popproj by year Jan25'!AC2:AC215)</f>
        <v>76776460</v>
      </c>
      <c r="FJ13">
        <f>SUM('ONS popproj by year Jan25'!AD2:AD215)</f>
        <v>76993637</v>
      </c>
      <c r="FK13">
        <f>SUM('ONS popproj by year Jan25'!AE2:AE215)</f>
        <v>77201483</v>
      </c>
      <c r="FL13">
        <f>SUM('ONS popproj by year Jan25'!AF2:AF215)</f>
        <v>77399645</v>
      </c>
      <c r="FM13">
        <f>SUM('ONS popproj by year Jan25'!AG2:AG215)</f>
        <v>77588049</v>
      </c>
      <c r="FN13">
        <f>SUM('ONS popproj by year Jan25'!AH2:AH215)</f>
        <v>77766710</v>
      </c>
      <c r="FO13">
        <f>SUM('ONS popproj by year Jan25'!AI2:AI215)</f>
        <v>77935834</v>
      </c>
      <c r="FP13">
        <f>SUM('ONS popproj by year Jan25'!AJ2:AJ215)</f>
        <v>78096133</v>
      </c>
      <c r="FQ13">
        <f>SUM('ONS popproj by year Jan25'!AK2:AK215)</f>
        <v>78248758</v>
      </c>
      <c r="FR13">
        <f>SUM('ONS popproj by year Jan25'!AL2:AL215)</f>
        <v>78394896</v>
      </c>
      <c r="FS13">
        <f>SUM('ONS popproj by year Jan25'!AM2:AM215)</f>
        <v>78535610</v>
      </c>
      <c r="FT13">
        <f>SUM('ONS popproj by year Jan25'!AN2:AN215)</f>
        <v>78672036</v>
      </c>
      <c r="FU13">
        <f>SUM('ONS popproj by year Jan25'!AO2:AO215)</f>
        <v>78805317</v>
      </c>
      <c r="FX13" s="34"/>
      <c r="FY13" s="31"/>
      <c r="FZ13" s="31"/>
      <c r="GA13" s="31"/>
      <c r="GZ13">
        <v>2024</v>
      </c>
      <c r="HA13" s="34">
        <f>100*(Data!B58/Data!$B$57)</f>
        <v>101.08812556228482</v>
      </c>
      <c r="HB13" s="34">
        <f t="shared" si="41"/>
        <v>101.08812556228482</v>
      </c>
      <c r="HD13" s="34">
        <f t="shared" si="16"/>
        <v>0</v>
      </c>
      <c r="HF13" s="34"/>
    </row>
    <row r="14" spans="1:214">
      <c r="A14">
        <v>1990</v>
      </c>
      <c r="B14">
        <f>Data!F24*Data!G24</f>
        <v>879722.48989039997</v>
      </c>
      <c r="C14">
        <f>Data!H24/Data!I24</f>
        <v>9.2673111597449171</v>
      </c>
      <c r="D14" s="32">
        <f>Data!E24</f>
        <v>1526420</v>
      </c>
      <c r="E14" s="33">
        <f>Data!J24</f>
        <v>-1.7077070000000001</v>
      </c>
      <c r="F14" s="32">
        <f>Data!D24</f>
        <v>1496084</v>
      </c>
      <c r="G14" s="32">
        <f>Data!B24</f>
        <v>1515202</v>
      </c>
      <c r="I14" s="34">
        <f t="shared" si="42"/>
        <v>2.6993446419831368</v>
      </c>
      <c r="J14" s="34">
        <f t="shared" si="42"/>
        <v>0.56801739495195847</v>
      </c>
      <c r="L14">
        <v>2010</v>
      </c>
      <c r="M14" s="32">
        <f>'[2]2022-based'!L17</f>
        <v>255.4</v>
      </c>
      <c r="R14">
        <v>2030</v>
      </c>
      <c r="S14" s="32">
        <f>'[2]2022-based'!Q37</f>
        <v>70351.499887199927</v>
      </c>
      <c r="T14" s="32">
        <v>71879.987999999998</v>
      </c>
      <c r="U14" s="32">
        <v>71011.585000000006</v>
      </c>
      <c r="V14">
        <f t="shared" si="48"/>
        <v>71009.870954187747</v>
      </c>
      <c r="W14">
        <v>71126.267124999984</v>
      </c>
      <c r="Y14">
        <v>2022</v>
      </c>
      <c r="Z14" s="69">
        <f>SUMIF('ONS Nov25 T1'!$L:$L,'Chart Data'!$Y14,'ONS Nov25 T1'!$C:$C)/1000</f>
        <v>1167</v>
      </c>
      <c r="AA14" s="69">
        <f>SUMIF('ONS Nov25 T1'!$M:$M,'Chart Data'!$Y14,'ONS Nov25 T1'!$C:$C)/1000</f>
        <v>486</v>
      </c>
      <c r="AB14" s="69">
        <f>SUMIF('ONS Nov25 T1'!$N:$N,'Chart Data'!$Y14,'ONS Nov25 T1'!$C:$C)/1000</f>
        <v>681</v>
      </c>
      <c r="AC14">
        <f t="shared" si="0"/>
        <v>681</v>
      </c>
      <c r="AE14">
        <v>2031</v>
      </c>
      <c r="AF14" s="32">
        <f t="shared" ref="AF14:AF15" si="53">AS14</f>
        <v>120</v>
      </c>
      <c r="AG14" s="32">
        <f t="shared" ref="AG14:AG15" si="54">AU14</f>
        <v>300</v>
      </c>
      <c r="AH14" s="32">
        <f t="shared" ref="AH14:AH15" si="55">AT14+AV14</f>
        <v>73</v>
      </c>
      <c r="AI14">
        <f t="shared" ref="AI14:AI15" si="56">AW14</f>
        <v>62</v>
      </c>
      <c r="AJ14" s="69">
        <f t="shared" ref="AJ14:AJ15" si="57">AQ14</f>
        <v>80</v>
      </c>
      <c r="AK14" s="69">
        <f t="shared" ref="AK14:AK15" si="58">AP14+AX14+AY14+AZ14</f>
        <v>198.19587628865997</v>
      </c>
      <c r="AL14" s="69">
        <f t="shared" ref="AL14:AL15" si="59">AO14-SUM(AF14:AK14)</f>
        <v>0</v>
      </c>
      <c r="AN14">
        <v>2031</v>
      </c>
      <c r="AO14" s="87">
        <f>'[2]Migration calculations'!L22</f>
        <v>833.19587628865997</v>
      </c>
      <c r="AP14" s="89">
        <f t="shared" ref="AP14:AP15" si="60">AO14-AQ14-AR14</f>
        <v>113.19587628865997</v>
      </c>
      <c r="AQ14" s="87">
        <f>'[2]Migration calculations'!U22</f>
        <v>80</v>
      </c>
      <c r="AR14" s="88">
        <f t="shared" ref="AR14:AR15" si="61">SUM(AS14:AZ14)</f>
        <v>640</v>
      </c>
      <c r="AS14" s="87">
        <f>'[2]Migration calculations'!W22</f>
        <v>120</v>
      </c>
      <c r="AT14" s="87">
        <f>'[2]Migration calculations'!X22</f>
        <v>60</v>
      </c>
      <c r="AU14" s="87">
        <f>'[2]Migration calculations'!Y22</f>
        <v>300</v>
      </c>
      <c r="AV14" s="87">
        <f>'[2]Migration calculations'!Z22</f>
        <v>13</v>
      </c>
      <c r="AW14" s="87">
        <f>'[2]Migration calculations'!AA22</f>
        <v>62</v>
      </c>
      <c r="AX14" s="87">
        <f>'[2]Migration calculations'!AB22</f>
        <v>0</v>
      </c>
      <c r="AY14" s="87">
        <f>'[2]Migration calculations'!AC22</f>
        <v>65</v>
      </c>
      <c r="AZ14" s="87">
        <f>'[2]Migration calculations'!AD22</f>
        <v>20</v>
      </c>
      <c r="BV14">
        <v>2031</v>
      </c>
      <c r="BW14" s="32">
        <f t="shared" ref="BW14:BW15" si="62">CJ14</f>
        <v>23.5</v>
      </c>
      <c r="BX14" s="32">
        <f t="shared" ref="BX14:BX15" si="63">CL14</f>
        <v>120</v>
      </c>
      <c r="BY14" s="32">
        <f t="shared" ref="BY14:BY15" si="64">CK14+CM14</f>
        <v>32.22</v>
      </c>
      <c r="BZ14">
        <f t="shared" ref="BZ14:BZ15" si="65">CN14</f>
        <v>33</v>
      </c>
      <c r="CA14" s="69">
        <f t="shared" ref="CA14:CA15" si="66">CH14</f>
        <v>250</v>
      </c>
      <c r="CB14" s="69">
        <f t="shared" ref="CB14:CB15" si="67">CG14+CO14+CP14+CQ14</f>
        <v>123.90583941605851</v>
      </c>
      <c r="CC14" s="69">
        <f t="shared" ref="CC14:CC15" si="68">CF14-SUM(BW14:CB14)</f>
        <v>0</v>
      </c>
      <c r="CE14">
        <v>2031</v>
      </c>
      <c r="CF14" s="87">
        <f>'[2]Migration calculations'!M22</f>
        <v>582.62583941605851</v>
      </c>
      <c r="CG14" s="89">
        <f t="shared" ref="CG14:CG15" si="69">CF14-CH14-CI14</f>
        <v>121.90583941605851</v>
      </c>
      <c r="CH14" s="87">
        <f>'[2]Migration calculations'!AL22</f>
        <v>250</v>
      </c>
      <c r="CI14" s="88">
        <f t="shared" ref="CI14:CI15" si="70">SUM(CJ14:CQ14)</f>
        <v>210.72</v>
      </c>
      <c r="CJ14" s="87">
        <f>'[2]Migration calculations'!AN22</f>
        <v>23.5</v>
      </c>
      <c r="CK14" s="87">
        <f>'[2]Migration calculations'!AO22</f>
        <v>12.22</v>
      </c>
      <c r="CL14" s="87">
        <f>'[2]Migration calculations'!AP22</f>
        <v>120</v>
      </c>
      <c r="CM14" s="87">
        <f>'[2]Migration calculations'!AQ22</f>
        <v>20</v>
      </c>
      <c r="CN14" s="87">
        <f>'[2]Migration calculations'!AR22</f>
        <v>33</v>
      </c>
      <c r="CO14" s="87">
        <f>'[2]Migration calculations'!AS22</f>
        <v>0</v>
      </c>
      <c r="CP14" s="87">
        <f>'[2]Migration calculations'!AT22</f>
        <v>0</v>
      </c>
      <c r="CQ14" s="87">
        <f>'[2]Migration calculations'!AU22</f>
        <v>2</v>
      </c>
      <c r="DT14">
        <v>1984</v>
      </c>
      <c r="DU14" s="34">
        <f>100*((Data!M18/Data!M17)-1)</f>
        <v>0.69795599645539053</v>
      </c>
      <c r="DV14" s="34">
        <f t="shared" ref="DV14:DV77" si="71">AVERAGE(DU5:DU14)</f>
        <v>0.49694175983506117</v>
      </c>
      <c r="DW14" s="34">
        <v>0</v>
      </c>
      <c r="DX14">
        <v>65</v>
      </c>
      <c r="DY14">
        <v>60</v>
      </c>
      <c r="EA14" s="152">
        <v>34274</v>
      </c>
      <c r="EB14" s="34">
        <f>100*(HAVERM!C53/HAVERM!B53)</f>
        <v>22.481071636575422</v>
      </c>
      <c r="EC14" s="34">
        <f t="shared" si="37"/>
        <v>25.050854271384292</v>
      </c>
      <c r="EE14" s="32">
        <f>HAVERM!C53</f>
        <v>1930</v>
      </c>
      <c r="EF14" s="32">
        <f>HAVERM!B53-HAVERM!C53</f>
        <v>6655</v>
      </c>
      <c r="EH14" t="s">
        <v>450</v>
      </c>
      <c r="EI14">
        <f>EI13-EI10-EI11-EI12</f>
        <v>0</v>
      </c>
      <c r="EJ14">
        <f t="shared" ref="EJ14:FU14" si="72">EJ13-EJ10-EJ11-EJ12</f>
        <v>0</v>
      </c>
      <c r="EK14">
        <f t="shared" si="72"/>
        <v>0</v>
      </c>
      <c r="EL14">
        <f t="shared" si="72"/>
        <v>0</v>
      </c>
      <c r="EM14">
        <f t="shared" si="72"/>
        <v>0</v>
      </c>
      <c r="EN14">
        <f t="shared" si="72"/>
        <v>0</v>
      </c>
      <c r="EO14">
        <f t="shared" si="72"/>
        <v>0</v>
      </c>
      <c r="EP14">
        <f t="shared" si="72"/>
        <v>0</v>
      </c>
      <c r="EQ14">
        <f t="shared" si="72"/>
        <v>0</v>
      </c>
      <c r="ER14">
        <f t="shared" si="72"/>
        <v>0</v>
      </c>
      <c r="ES14">
        <f t="shared" si="72"/>
        <v>0</v>
      </c>
      <c r="ET14">
        <f t="shared" si="72"/>
        <v>0</v>
      </c>
      <c r="EU14">
        <f t="shared" si="72"/>
        <v>0</v>
      </c>
      <c r="EV14">
        <f t="shared" si="72"/>
        <v>0</v>
      </c>
      <c r="EW14">
        <f t="shared" si="72"/>
        <v>0</v>
      </c>
      <c r="EX14">
        <f t="shared" si="72"/>
        <v>0</v>
      </c>
      <c r="EY14">
        <f t="shared" si="72"/>
        <v>0</v>
      </c>
      <c r="EZ14">
        <f t="shared" si="72"/>
        <v>0</v>
      </c>
      <c r="FA14">
        <f t="shared" si="72"/>
        <v>0</v>
      </c>
      <c r="FB14">
        <f t="shared" si="72"/>
        <v>0</v>
      </c>
      <c r="FC14">
        <f t="shared" si="72"/>
        <v>0</v>
      </c>
      <c r="FD14">
        <f t="shared" si="72"/>
        <v>0</v>
      </c>
      <c r="FE14">
        <f t="shared" si="72"/>
        <v>0</v>
      </c>
      <c r="FF14">
        <f t="shared" si="72"/>
        <v>0</v>
      </c>
      <c r="FG14">
        <f t="shared" si="72"/>
        <v>0</v>
      </c>
      <c r="FH14">
        <f t="shared" si="72"/>
        <v>0</v>
      </c>
      <c r="FI14">
        <f t="shared" si="72"/>
        <v>0</v>
      </c>
      <c r="FJ14">
        <f t="shared" si="72"/>
        <v>0</v>
      </c>
      <c r="FK14">
        <f t="shared" si="72"/>
        <v>0</v>
      </c>
      <c r="FL14">
        <f t="shared" si="72"/>
        <v>0</v>
      </c>
      <c r="FM14">
        <f t="shared" si="72"/>
        <v>0</v>
      </c>
      <c r="FN14">
        <f t="shared" si="72"/>
        <v>0</v>
      </c>
      <c r="FO14">
        <f t="shared" si="72"/>
        <v>0</v>
      </c>
      <c r="FP14">
        <f t="shared" si="72"/>
        <v>0</v>
      </c>
      <c r="FQ14">
        <f t="shared" si="72"/>
        <v>0</v>
      </c>
      <c r="FR14">
        <f t="shared" si="72"/>
        <v>0</v>
      </c>
      <c r="FS14">
        <f t="shared" si="72"/>
        <v>0</v>
      </c>
      <c r="FT14">
        <f t="shared" si="72"/>
        <v>0</v>
      </c>
      <c r="FU14">
        <f t="shared" si="72"/>
        <v>0</v>
      </c>
      <c r="FX14" s="34"/>
      <c r="FY14" s="31"/>
      <c r="FZ14" s="31"/>
      <c r="GA14" s="31"/>
      <c r="GL14" t="s">
        <v>1492</v>
      </c>
      <c r="GP14" s="34">
        <f>100*((GP10/GP5)^(1/5)-1)</f>
        <v>0.76073011969732818</v>
      </c>
      <c r="GQ14" s="34">
        <f>100*((GQ10/GQ5)^(1/5)-1)</f>
        <v>1.3930013682259323</v>
      </c>
      <c r="GT14" s="34">
        <f>100*((GT10/GT5)^(1/5)-1)</f>
        <v>0.5756872244802258</v>
      </c>
      <c r="GW14" s="34">
        <f>100*((GW10/GW5)^(1/5)-1)</f>
        <v>1.207951618748293</v>
      </c>
      <c r="GZ14">
        <v>2025</v>
      </c>
      <c r="HA14" s="34">
        <f>100*(Data!B59/Data!$B$57)</f>
        <v>102.48429962749313</v>
      </c>
      <c r="HB14" s="34">
        <f t="shared" ref="HB14:HB49" si="73">HB13*(1+HF14/100)</f>
        <v>102.58760899634812</v>
      </c>
      <c r="HD14" s="34">
        <f t="shared" si="16"/>
        <v>0.10080506890373098</v>
      </c>
      <c r="HF14" s="34">
        <f>100*(('OBR Nov25 ST1.1'!R115/'OBR Nov25 ST1.1'!R114)-1)</f>
        <v>1.4833428018599548</v>
      </c>
    </row>
    <row r="15" spans="1:214">
      <c r="A15">
        <v>1991</v>
      </c>
      <c r="B15">
        <f>Data!F25*Data!G25</f>
        <v>861885.44870780001</v>
      </c>
      <c r="C15">
        <f>Data!H25/Data!I25</f>
        <v>9.375412323304829</v>
      </c>
      <c r="D15" s="32">
        <f>Data!E25</f>
        <v>1575894</v>
      </c>
      <c r="E15" s="33">
        <f>Data!J25</f>
        <v>-1.696601</v>
      </c>
      <c r="F15" s="32">
        <f>Data!D25</f>
        <v>1517014</v>
      </c>
      <c r="G15" s="32">
        <f>Data!B25</f>
        <v>1493903</v>
      </c>
      <c r="I15" s="34">
        <f t="shared" si="42"/>
        <v>1.3989856184545735</v>
      </c>
      <c r="J15" s="34">
        <f t="shared" si="42"/>
        <v>-1.4056871625037437</v>
      </c>
      <c r="L15">
        <v>2011</v>
      </c>
      <c r="M15" s="92">
        <f>'[2]2022-based'!L18</f>
        <v>270.3</v>
      </c>
      <c r="R15">
        <v>2031</v>
      </c>
      <c r="S15" s="32">
        <f>'[2]2022-based'!Q38</f>
        <v>70586.655924072489</v>
      </c>
      <c r="T15" s="32">
        <v>72204.573999999993</v>
      </c>
      <c r="U15" s="32">
        <v>71318.66</v>
      </c>
      <c r="Y15">
        <v>2023</v>
      </c>
      <c r="Z15" s="69">
        <f>SUMIF('ONS Nov25 T1'!$L:$L,'Chart Data'!$Y15,'ONS Nov25 T1'!$C:$C)/1000</f>
        <v>1466</v>
      </c>
      <c r="AA15" s="69">
        <f>SUMIF('ONS Nov25 T1'!$M:$M,'Chart Data'!$Y15,'ONS Nov25 T1'!$C:$C)/1000</f>
        <v>543</v>
      </c>
      <c r="AB15" s="69">
        <f>SUMIF('ONS Nov25 T1'!$N:$N,'Chart Data'!$Y15,'ONS Nov25 T1'!$C:$C)/1000</f>
        <v>924</v>
      </c>
      <c r="AC15">
        <f t="shared" si="0"/>
        <v>923</v>
      </c>
      <c r="AE15">
        <v>2032</v>
      </c>
      <c r="AF15" s="32">
        <f t="shared" si="53"/>
        <v>135</v>
      </c>
      <c r="AG15" s="32">
        <f t="shared" si="54"/>
        <v>300</v>
      </c>
      <c r="AH15" s="32">
        <f t="shared" si="55"/>
        <v>80.5</v>
      </c>
      <c r="AI15">
        <f t="shared" si="56"/>
        <v>63</v>
      </c>
      <c r="AJ15" s="69">
        <f t="shared" si="57"/>
        <v>80</v>
      </c>
      <c r="AK15" s="69">
        <f t="shared" si="58"/>
        <v>196.10438144329919</v>
      </c>
      <c r="AL15" s="69">
        <f t="shared" si="59"/>
        <v>0</v>
      </c>
      <c r="AN15">
        <v>2032</v>
      </c>
      <c r="AO15" s="87">
        <f>'[2]Migration calculations'!L23</f>
        <v>854.60438144329919</v>
      </c>
      <c r="AP15" s="89">
        <f t="shared" si="60"/>
        <v>116.10438144329919</v>
      </c>
      <c r="AQ15" s="87">
        <f>'[2]Migration calculations'!U23</f>
        <v>80</v>
      </c>
      <c r="AR15" s="88">
        <f t="shared" si="61"/>
        <v>658.5</v>
      </c>
      <c r="AS15" s="87">
        <f>'[2]Migration calculations'!W23</f>
        <v>135</v>
      </c>
      <c r="AT15" s="87">
        <f>'[2]Migration calculations'!X23</f>
        <v>67.5</v>
      </c>
      <c r="AU15" s="87">
        <f>'[2]Migration calculations'!Y23</f>
        <v>300</v>
      </c>
      <c r="AV15" s="87">
        <f>'[2]Migration calculations'!Z23</f>
        <v>13</v>
      </c>
      <c r="AW15" s="87">
        <f>'[2]Migration calculations'!AA23</f>
        <v>63</v>
      </c>
      <c r="AX15" s="87">
        <f>'[2]Migration calculations'!AB23</f>
        <v>0</v>
      </c>
      <c r="AY15" s="87">
        <f>'[2]Migration calculations'!AC23</f>
        <v>60</v>
      </c>
      <c r="AZ15" s="87">
        <f>'[2]Migration calculations'!AD23</f>
        <v>20</v>
      </c>
      <c r="BV15">
        <v>2032</v>
      </c>
      <c r="BW15" s="32">
        <f t="shared" si="62"/>
        <v>23.5</v>
      </c>
      <c r="BX15" s="32">
        <f t="shared" si="63"/>
        <v>120</v>
      </c>
      <c r="BY15" s="32">
        <f t="shared" si="64"/>
        <v>32.22</v>
      </c>
      <c r="BZ15">
        <f t="shared" si="65"/>
        <v>33</v>
      </c>
      <c r="CA15" s="69">
        <f t="shared" si="66"/>
        <v>250</v>
      </c>
      <c r="CB15" s="69">
        <f t="shared" si="67"/>
        <v>123.90583941605851</v>
      </c>
      <c r="CC15" s="69">
        <f t="shared" si="68"/>
        <v>0</v>
      </c>
      <c r="CE15">
        <v>2032</v>
      </c>
      <c r="CF15" s="87">
        <f>'[2]Migration calculations'!M23</f>
        <v>582.62583941605851</v>
      </c>
      <c r="CG15" s="89">
        <f t="shared" si="69"/>
        <v>121.90583941605851</v>
      </c>
      <c r="CH15" s="87">
        <f>'[2]Migration calculations'!AL23</f>
        <v>250</v>
      </c>
      <c r="CI15" s="88">
        <f t="shared" si="70"/>
        <v>210.72</v>
      </c>
      <c r="CJ15" s="87">
        <f>'[2]Migration calculations'!AN23</f>
        <v>23.5</v>
      </c>
      <c r="CK15" s="87">
        <f>'[2]Migration calculations'!AO23</f>
        <v>12.22</v>
      </c>
      <c r="CL15" s="87">
        <f>'[2]Migration calculations'!AP23</f>
        <v>120</v>
      </c>
      <c r="CM15" s="87">
        <f>'[2]Migration calculations'!AQ23</f>
        <v>20</v>
      </c>
      <c r="CN15" s="87">
        <f>'[2]Migration calculations'!AR23</f>
        <v>33</v>
      </c>
      <c r="CO15" s="87">
        <f>'[2]Migration calculations'!AS23</f>
        <v>0</v>
      </c>
      <c r="CP15" s="87">
        <f>'[2]Migration calculations'!AT23</f>
        <v>0</v>
      </c>
      <c r="CQ15" s="87">
        <f>'[2]Migration calculations'!AU23</f>
        <v>2</v>
      </c>
      <c r="DT15">
        <v>1985</v>
      </c>
      <c r="DU15" s="34">
        <f>100*((Data!M19/Data!M18)-1)</f>
        <v>0.49341661015325222</v>
      </c>
      <c r="DV15" s="34">
        <f t="shared" si="71"/>
        <v>0.54780629121993663</v>
      </c>
      <c r="DW15" s="34">
        <v>0</v>
      </c>
      <c r="DX15">
        <v>65</v>
      </c>
      <c r="DY15">
        <v>60</v>
      </c>
      <c r="EA15" s="152">
        <v>34304</v>
      </c>
      <c r="EB15" s="34">
        <f>100*(HAVERM!C54/HAVERM!B54)</f>
        <v>22.434478741991846</v>
      </c>
      <c r="EC15" s="34">
        <f t="shared" si="37"/>
        <v>25.050854271384292</v>
      </c>
      <c r="EE15" s="32">
        <f>HAVERM!C54</f>
        <v>1926</v>
      </c>
      <c r="EF15" s="32">
        <f>HAVERM!B54-HAVERM!C54</f>
        <v>6659</v>
      </c>
      <c r="FX15" s="34"/>
      <c r="FY15" s="31"/>
      <c r="FZ15" s="31"/>
      <c r="GA15" s="31"/>
      <c r="GW15" s="34">
        <f>GW14-GQ14</f>
        <v>-0.1850497494776393</v>
      </c>
      <c r="GZ15">
        <v>2026</v>
      </c>
      <c r="HA15" s="34">
        <f>100*(Data!B60/Data!$B$57)</f>
        <v>103.37763301896253</v>
      </c>
      <c r="HB15" s="34">
        <f t="shared" si="73"/>
        <v>103.9945637120383</v>
      </c>
      <c r="HD15" s="34">
        <f t="shared" si="16"/>
        <v>0.5967738620622276</v>
      </c>
      <c r="HF15" s="34">
        <f>100*(('OBR Nov25 ST1.1'!R116/'OBR Nov25 ST1.1'!R115)-1)</f>
        <v>1.3714665245198043</v>
      </c>
    </row>
    <row r="16" spans="1:214">
      <c r="A16">
        <v>1992</v>
      </c>
      <c r="B16">
        <f>Data!F26*Data!G26</f>
        <v>848974.42763639998</v>
      </c>
      <c r="C16">
        <f>Data!H26/Data!I26</f>
        <v>9.4785328075926891</v>
      </c>
      <c r="D16" s="32">
        <f>Data!E26</f>
        <v>1605639</v>
      </c>
      <c r="E16" s="33">
        <f>Data!J26</f>
        <v>-1.685568</v>
      </c>
      <c r="F16" s="32">
        <f>Data!D26</f>
        <v>1538270</v>
      </c>
      <c r="G16" s="32">
        <f>Data!B26</f>
        <v>1498023</v>
      </c>
      <c r="I16" s="34">
        <f t="shared" si="42"/>
        <v>1.4011736213377146</v>
      </c>
      <c r="J16" s="34">
        <f t="shared" si="42"/>
        <v>0.27578765154097074</v>
      </c>
      <c r="L16">
        <v>2012</v>
      </c>
      <c r="M16" s="32">
        <f t="shared" ref="M16:M28" si="74">AB4</f>
        <v>162</v>
      </c>
      <c r="R16">
        <v>2032</v>
      </c>
      <c r="S16" s="32">
        <f>'[2]2022-based'!Q39</f>
        <v>70835.233466099744</v>
      </c>
      <c r="T16" s="32">
        <v>72521.172999999995</v>
      </c>
      <c r="U16" s="32">
        <v>71617.736999999994</v>
      </c>
      <c r="Y16">
        <v>2024</v>
      </c>
      <c r="Z16" s="69">
        <f>SUMIF('ONS Nov25 T1'!$L:$L,'Chart Data'!$Y16,'ONS Nov25 T1'!$C:$C)/1000</f>
        <v>1299</v>
      </c>
      <c r="AA16" s="69">
        <f>SUMIF('ONS Nov25 T1'!$M:$M,'Chart Data'!$Y16,'ONS Nov25 T1'!$C:$C)/1000</f>
        <v>650</v>
      </c>
      <c r="AB16" s="69">
        <f>SUMIF('ONS Nov25 T1'!$N:$N,'Chart Data'!$Y16,'ONS Nov25 T1'!$C:$C)/1000</f>
        <v>649</v>
      </c>
      <c r="AC16">
        <f t="shared" si="0"/>
        <v>649</v>
      </c>
      <c r="DT16">
        <v>1986</v>
      </c>
      <c r="DU16" s="34">
        <f>100*((Data!M20/Data!M19)-1)</f>
        <v>0.41478282281213197</v>
      </c>
      <c r="DV16" s="34">
        <f t="shared" si="71"/>
        <v>0.57901965747628292</v>
      </c>
      <c r="DW16" s="34">
        <v>0</v>
      </c>
      <c r="DX16">
        <v>65</v>
      </c>
      <c r="DY16">
        <v>60</v>
      </c>
      <c r="EA16" s="152">
        <v>34335</v>
      </c>
      <c r="EB16" s="34">
        <f>100*(HAVERM!C55/HAVERM!B55)</f>
        <v>22.336089437521835</v>
      </c>
      <c r="EC16" s="34">
        <f t="shared" si="37"/>
        <v>25.050854271384292</v>
      </c>
      <c r="EE16" s="32">
        <f>HAVERM!C55</f>
        <v>1918</v>
      </c>
      <c r="EF16" s="32">
        <f>HAVERM!B55-HAVERM!C55</f>
        <v>6669</v>
      </c>
      <c r="FW16">
        <v>1963</v>
      </c>
      <c r="FX16" s="34"/>
      <c r="FY16" s="31"/>
      <c r="FZ16" s="31"/>
      <c r="GA16" s="31"/>
      <c r="GW16">
        <f>100*((GW10/GQ10)-1)</f>
        <v>-1.0375615383351966</v>
      </c>
      <c r="GZ16">
        <v>2027</v>
      </c>
      <c r="HA16" s="34">
        <f>100*(Data!B61/Data!$B$57)</f>
        <v>104.75981809223578</v>
      </c>
      <c r="HB16" s="34">
        <f t="shared" si="73"/>
        <v>105.59882348647325</v>
      </c>
      <c r="HD16" s="34">
        <f t="shared" si="16"/>
        <v>0.80088473759927226</v>
      </c>
      <c r="HF16" s="34">
        <f>100*(('OBR Nov25 ST1.1'!R117/'OBR Nov25 ST1.1'!R116)-1)</f>
        <v>1.5426381121970589</v>
      </c>
    </row>
    <row r="17" spans="1:214">
      <c r="A17">
        <v>1993</v>
      </c>
      <c r="B17">
        <f>Data!F27*Data!G27</f>
        <v>843846.96</v>
      </c>
      <c r="C17">
        <f>Data!H27/Data!I27</f>
        <v>9.5656691765679813</v>
      </c>
      <c r="D17" s="32">
        <f>Data!E27</f>
        <v>1635840</v>
      </c>
      <c r="E17" s="33">
        <f>Data!J27</f>
        <v>-1.674606</v>
      </c>
      <c r="F17" s="32">
        <f>Data!D27</f>
        <v>1563590</v>
      </c>
      <c r="G17" s="32">
        <f>Data!B27</f>
        <v>1532082</v>
      </c>
      <c r="I17" s="34">
        <f t="shared" si="42"/>
        <v>1.6460049276134869</v>
      </c>
      <c r="J17" s="34">
        <f t="shared" si="42"/>
        <v>2.2735966003192276</v>
      </c>
      <c r="L17">
        <v>2013</v>
      </c>
      <c r="M17" s="32">
        <f t="shared" si="74"/>
        <v>215</v>
      </c>
      <c r="R17">
        <v>2033</v>
      </c>
      <c r="S17" s="32">
        <f>'[2]2022-based'!Q40</f>
        <v>71076.06000812698</v>
      </c>
      <c r="T17" s="32">
        <v>72830.020999999993</v>
      </c>
      <c r="U17" s="32">
        <v>71909.247000000003</v>
      </c>
      <c r="Y17">
        <v>2025</v>
      </c>
      <c r="Z17" s="69">
        <f>SUMIF('ONS Nov25 T1'!$L:$L,'Chart Data'!$Y17,'ONS Nov25 T1'!$C:$C)/1000</f>
        <v>898</v>
      </c>
      <c r="AA17" s="69">
        <f>SUMIF('ONS Nov25 T1'!$M:$M,'Chart Data'!$Y17,'ONS Nov25 T1'!$C:$C)/1000</f>
        <v>693</v>
      </c>
      <c r="AB17" s="69">
        <f>SUMIF('ONS Nov25 T1'!$N:$N,'Chart Data'!$Y17,'ONS Nov25 T1'!$C:$C)/1000</f>
        <v>204</v>
      </c>
      <c r="AC17">
        <f t="shared" si="0"/>
        <v>205</v>
      </c>
      <c r="DT17">
        <v>1987</v>
      </c>
      <c r="DU17" s="34">
        <f>100*((Data!M21/Data!M20)-1)</f>
        <v>0.40904009698152777</v>
      </c>
      <c r="DV17" s="34">
        <f t="shared" si="71"/>
        <v>0.56154408033213254</v>
      </c>
      <c r="DW17" s="34">
        <v>0</v>
      </c>
      <c r="DX17">
        <v>65</v>
      </c>
      <c r="DY17">
        <v>60</v>
      </c>
      <c r="EA17" s="152">
        <v>34366</v>
      </c>
      <c r="EB17" s="34">
        <f>100*(HAVERM!C56/HAVERM!B56)</f>
        <v>22.272727272727273</v>
      </c>
      <c r="EC17" s="34">
        <f t="shared" si="37"/>
        <v>25.050854271384292</v>
      </c>
      <c r="EE17" s="32">
        <f>HAVERM!C56</f>
        <v>1911</v>
      </c>
      <c r="EF17" s="32">
        <f>HAVERM!B56-HAVERM!C56</f>
        <v>6669</v>
      </c>
      <c r="FX17" s="34"/>
      <c r="FY17" s="31"/>
      <c r="FZ17" s="31"/>
      <c r="GA17" s="31"/>
      <c r="GZ17">
        <v>2028</v>
      </c>
      <c r="HA17" s="34">
        <f>100*(Data!B62/Data!$B$57)</f>
        <v>106.26924848955221</v>
      </c>
      <c r="HB17" s="34">
        <f t="shared" si="73"/>
        <v>107.14841879690562</v>
      </c>
      <c r="HD17" s="34">
        <f t="shared" si="16"/>
        <v>0.82730453056685249</v>
      </c>
      <c r="HF17" s="34">
        <f>100*(('OBR Nov25 ST1.1'!R118/'OBR Nov25 ST1.1'!R117)-1)</f>
        <v>1.4674361505844447</v>
      </c>
    </row>
    <row r="18" spans="1:214">
      <c r="A18">
        <v>1994</v>
      </c>
      <c r="B18">
        <f>Data!F28*Data!G28</f>
        <v>851546.11800000002</v>
      </c>
      <c r="C18">
        <f>Data!H28/Data!I28</f>
        <v>9.6325984340313671</v>
      </c>
      <c r="D18" s="32">
        <f>Data!E28</f>
        <v>1671807</v>
      </c>
      <c r="E18" s="33">
        <f>Data!J28</f>
        <v>-1.663716</v>
      </c>
      <c r="F18" s="32">
        <f>Data!D28</f>
        <v>1604512</v>
      </c>
      <c r="G18" s="32">
        <f>Data!B28</f>
        <v>1584459</v>
      </c>
      <c r="I18" s="34">
        <f t="shared" si="42"/>
        <v>2.6171822536598555</v>
      </c>
      <c r="J18" s="34">
        <f t="shared" si="42"/>
        <v>3.4186812455208049</v>
      </c>
      <c r="L18">
        <v>2014</v>
      </c>
      <c r="M18" s="32">
        <f t="shared" si="74"/>
        <v>248</v>
      </c>
      <c r="N18" s="32"/>
      <c r="R18">
        <v>2034</v>
      </c>
      <c r="S18" s="32">
        <f>'[2]2022-based'!Q41</f>
        <v>71309.61455015422</v>
      </c>
      <c r="T18" s="32">
        <v>73131.596999999994</v>
      </c>
      <c r="U18" s="32">
        <v>72193.850999999995</v>
      </c>
      <c r="Y18">
        <v>2026</v>
      </c>
      <c r="Z18" s="87">
        <f>AO9</f>
        <v>769.20180412371144</v>
      </c>
      <c r="AA18" s="87">
        <f>CF9</f>
        <v>675.80145985401464</v>
      </c>
      <c r="AB18" s="90">
        <f>Z18-AA18</f>
        <v>93.400344269696802</v>
      </c>
      <c r="DT18">
        <v>1988</v>
      </c>
      <c r="DU18" s="34">
        <f>100*((Data!M22/Data!M21)-1)</f>
        <v>0.30865471489569529</v>
      </c>
      <c r="DV18" s="34">
        <f t="shared" si="71"/>
        <v>0.53037937463463081</v>
      </c>
      <c r="DW18" s="34">
        <v>0</v>
      </c>
      <c r="DX18">
        <v>65</v>
      </c>
      <c r="DY18">
        <v>60</v>
      </c>
      <c r="EA18" s="152">
        <v>34394</v>
      </c>
      <c r="EB18" s="34">
        <f>100*(HAVERM!C57/HAVERM!B57)</f>
        <v>22.57162823200559</v>
      </c>
      <c r="EC18" s="34">
        <f t="shared" si="37"/>
        <v>25.050854271384292</v>
      </c>
      <c r="EE18" s="32">
        <f>HAVERM!C57</f>
        <v>1938</v>
      </c>
      <c r="EF18" s="32">
        <f>HAVERM!B57-HAVERM!C57</f>
        <v>6648</v>
      </c>
      <c r="FX18" s="34"/>
      <c r="FY18" s="31"/>
      <c r="FZ18" s="31"/>
      <c r="GA18" s="31"/>
      <c r="GZ18">
        <v>2029</v>
      </c>
      <c r="HA18" s="34">
        <f>100*(Data!B63/Data!$B$57)</f>
        <v>107.80829194771823</v>
      </c>
      <c r="HB18" s="34">
        <f t="shared" si="73"/>
        <v>108.78038054280113</v>
      </c>
      <c r="HD18" s="34">
        <f t="shared" si="16"/>
        <v>0.90168258630265452</v>
      </c>
      <c r="HF18" s="34">
        <f>100*(('OBR Nov25 ST1.1'!R119/'OBR Nov25 ST1.1'!R118)-1)</f>
        <v>1.5230852346862944</v>
      </c>
    </row>
    <row r="19" spans="1:214">
      <c r="A19">
        <v>1995</v>
      </c>
      <c r="B19">
        <f>Data!F29*Data!G29</f>
        <v>858185.82499999995</v>
      </c>
      <c r="C19">
        <f>Data!H29/Data!I29</f>
        <v>9.6889063456980793</v>
      </c>
      <c r="D19" s="32">
        <f>Data!E29</f>
        <v>1712783</v>
      </c>
      <c r="E19" s="33">
        <f>Data!J29</f>
        <v>-1.6528959999999999</v>
      </c>
      <c r="F19" s="32">
        <f>Data!D29</f>
        <v>1646030</v>
      </c>
      <c r="G19" s="32">
        <f>Data!B29</f>
        <v>1622576</v>
      </c>
      <c r="I19" s="34">
        <f t="shared" si="42"/>
        <v>2.5875780299555284</v>
      </c>
      <c r="J19" s="34">
        <f t="shared" si="42"/>
        <v>2.4056791624144314</v>
      </c>
      <c r="L19">
        <v>2015</v>
      </c>
      <c r="M19" s="32">
        <f t="shared" si="74"/>
        <v>296</v>
      </c>
      <c r="N19" s="32"/>
      <c r="R19">
        <v>2035</v>
      </c>
      <c r="S19" s="32">
        <f>'[2]2022-based'!Q42</f>
        <v>71536.164092181454</v>
      </c>
      <c r="T19" s="32">
        <v>73426.168000000005</v>
      </c>
      <c r="U19" s="32">
        <v>72472.001000000004</v>
      </c>
      <c r="Y19">
        <v>2027</v>
      </c>
      <c r="Z19" s="87">
        <f t="shared" ref="Z19:Z22" si="75">AO10</f>
        <v>779.96391752577324</v>
      </c>
      <c r="AA19" s="87">
        <f t="shared" ref="AA19:AA22" si="76">CF10</f>
        <v>640.89854014598541</v>
      </c>
      <c r="AB19" s="90">
        <f t="shared" ref="AB19:AB22" si="77">Z19-AA19</f>
        <v>139.06537737978783</v>
      </c>
      <c r="DT19">
        <v>1989</v>
      </c>
      <c r="DU19" s="34">
        <f>100*((Data!M23/Data!M22)-1)</f>
        <v>0.26095484555312964</v>
      </c>
      <c r="DV19" s="34">
        <f t="shared" si="71"/>
        <v>0.49483009703641168</v>
      </c>
      <c r="DW19" s="34">
        <v>0</v>
      </c>
      <c r="DX19">
        <v>65</v>
      </c>
      <c r="DY19">
        <v>60</v>
      </c>
      <c r="EA19" s="152">
        <v>34425</v>
      </c>
      <c r="EB19" s="34">
        <f>100*(HAVERM!C58/HAVERM!B58)</f>
        <v>22.539793191588242</v>
      </c>
      <c r="EC19" s="34">
        <f t="shared" si="37"/>
        <v>25.050854271384292</v>
      </c>
      <c r="EE19" s="32">
        <f>HAVERM!C58</f>
        <v>1940</v>
      </c>
      <c r="EF19" s="32">
        <f>HAVERM!B58-HAVERM!C58</f>
        <v>6667</v>
      </c>
      <c r="FX19" s="34"/>
      <c r="FY19" s="31"/>
      <c r="FZ19" s="31"/>
      <c r="GA19" s="31"/>
      <c r="GZ19">
        <v>2030</v>
      </c>
      <c r="HA19" s="34">
        <f>100*(Data!B64/Data!$B$57)</f>
        <v>109.39646038535493</v>
      </c>
      <c r="HB19" s="34">
        <f t="shared" si="73"/>
        <v>110.46578431729976</v>
      </c>
      <c r="HD19" s="34">
        <f t="shared" si="16"/>
        <v>0.97747580513856125</v>
      </c>
      <c r="HF19" s="34">
        <f>100*(('OBR Nov25 ST1.1'!R120/'OBR Nov25 ST1.1'!R119)-1)</f>
        <v>1.5493637419621731</v>
      </c>
    </row>
    <row r="20" spans="1:214">
      <c r="A20">
        <v>1996</v>
      </c>
      <c r="B20">
        <f>Data!F30*Data!G30</f>
        <v>866753.20050000004</v>
      </c>
      <c r="C20">
        <f>Data!H30/Data!I30</f>
        <v>9.7203959941900475</v>
      </c>
      <c r="D20" s="32">
        <f>Data!E30</f>
        <v>1754821</v>
      </c>
      <c r="E20" s="33">
        <f>Data!J30</f>
        <v>-1.642147</v>
      </c>
      <c r="F20" s="32">
        <f>Data!D30</f>
        <v>1690512</v>
      </c>
      <c r="G20" s="32">
        <f>Data!B30</f>
        <v>1665005</v>
      </c>
      <c r="I20" s="34">
        <f t="shared" si="42"/>
        <v>2.7023808800568538</v>
      </c>
      <c r="J20" s="34">
        <f t="shared" si="42"/>
        <v>2.6149160347496814</v>
      </c>
      <c r="L20">
        <v>2016</v>
      </c>
      <c r="M20" s="32">
        <f t="shared" si="74"/>
        <v>321</v>
      </c>
      <c r="N20" s="32"/>
      <c r="R20">
        <v>2036</v>
      </c>
      <c r="S20" s="32">
        <f>'[2]2022-based'!Q43</f>
        <v>71756.063634208695</v>
      </c>
      <c r="T20" s="32">
        <v>73714.089000000007</v>
      </c>
      <c r="U20" s="32">
        <v>72744.274000000005</v>
      </c>
      <c r="Y20">
        <v>2028</v>
      </c>
      <c r="Z20" s="87">
        <f t="shared" si="75"/>
        <v>789.80025773195882</v>
      </c>
      <c r="AA20" s="87">
        <f t="shared" si="76"/>
        <v>612.31861313868615</v>
      </c>
      <c r="AB20" s="90">
        <f t="shared" si="77"/>
        <v>177.48164459327268</v>
      </c>
      <c r="DT20">
        <v>1990</v>
      </c>
      <c r="DU20" s="34">
        <f>100*((Data!M24/Data!M23)-1)</f>
        <v>0.18882239807009871</v>
      </c>
      <c r="DV20" s="34">
        <f t="shared" si="71"/>
        <v>0.45244525416385128</v>
      </c>
      <c r="DW20" s="34">
        <v>0</v>
      </c>
      <c r="DX20">
        <v>65</v>
      </c>
      <c r="DY20">
        <v>60</v>
      </c>
      <c r="EA20" s="152">
        <v>34455</v>
      </c>
      <c r="EB20" s="34">
        <f>100*(HAVERM!C59/HAVERM!B59)</f>
        <v>22.629260375608627</v>
      </c>
      <c r="EC20" s="34">
        <f t="shared" si="37"/>
        <v>25.050854271384292</v>
      </c>
      <c r="EE20" s="32">
        <f>HAVERM!C59</f>
        <v>1952</v>
      </c>
      <c r="EF20" s="32">
        <f>HAVERM!B59-HAVERM!C59</f>
        <v>6674</v>
      </c>
      <c r="FW20">
        <v>1964</v>
      </c>
      <c r="FX20" s="34"/>
      <c r="FY20" s="31"/>
      <c r="FZ20" s="31"/>
      <c r="GA20" s="31"/>
      <c r="GZ20">
        <v>2031</v>
      </c>
      <c r="HA20" s="34">
        <f>100*(Data!B65/Data!$B$57)</f>
        <v>111.05911566316541</v>
      </c>
      <c r="HB20" s="34">
        <f t="shared" si="73"/>
        <v>112.65565155445739</v>
      </c>
      <c r="HD20" s="34">
        <f t="shared" si="16"/>
        <v>1.4375550190172337</v>
      </c>
      <c r="HF20" s="34" cm="1">
        <f t="array" ref="HF20:HF49">TRANSPOSE('OBR LT economic determinants'!L7:AO7)</f>
        <v>1.9823941419430753</v>
      </c>
    </row>
    <row r="21" spans="1:214">
      <c r="A21">
        <v>1997</v>
      </c>
      <c r="B21">
        <f>Data!F31*Data!G31</f>
        <v>877828.41449999996</v>
      </c>
      <c r="C21">
        <f>Data!H31/Data!I31</f>
        <v>9.739572598169941</v>
      </c>
      <c r="D21" s="32">
        <f>Data!E31</f>
        <v>1809000</v>
      </c>
      <c r="E21" s="33">
        <f>Data!J31</f>
        <v>-1.6323510000000001</v>
      </c>
      <c r="F21" s="32">
        <f>Data!D31</f>
        <v>1738403</v>
      </c>
      <c r="G21" s="32">
        <f>Data!B31</f>
        <v>1746257</v>
      </c>
      <c r="I21" s="34">
        <f t="shared" si="42"/>
        <v>2.8329287221859456</v>
      </c>
      <c r="J21" s="34">
        <f t="shared" si="42"/>
        <v>4.8799853453893594</v>
      </c>
      <c r="L21">
        <v>2017</v>
      </c>
      <c r="M21" s="32">
        <f t="shared" si="74"/>
        <v>200</v>
      </c>
      <c r="N21" s="32"/>
      <c r="R21">
        <v>2037</v>
      </c>
      <c r="S21" s="32">
        <f>'[2]2022-based'!Q44</f>
        <v>71969.894176235917</v>
      </c>
      <c r="T21" s="32">
        <v>73995.941000000006</v>
      </c>
      <c r="U21" s="32">
        <v>73011.327000000005</v>
      </c>
      <c r="Y21">
        <v>2029</v>
      </c>
      <c r="Z21" s="87">
        <f t="shared" si="75"/>
        <v>804.26546391752595</v>
      </c>
      <c r="AA21" s="87">
        <f t="shared" si="76"/>
        <v>600.17846715328471</v>
      </c>
      <c r="AB21" s="90">
        <f t="shared" si="77"/>
        <v>204.08699676424123</v>
      </c>
      <c r="DT21">
        <v>1991</v>
      </c>
      <c r="DU21" s="34">
        <f>100*((Data!M25/Data!M24)-1)</f>
        <v>0.122894402131557</v>
      </c>
      <c r="DV21" s="34">
        <f t="shared" si="71"/>
        <v>0.40765902909194685</v>
      </c>
      <c r="DW21" s="34">
        <v>0</v>
      </c>
      <c r="DX21">
        <v>65</v>
      </c>
      <c r="DY21">
        <v>60</v>
      </c>
      <c r="EA21" s="152">
        <v>34486</v>
      </c>
      <c r="EB21" s="34">
        <f>100*(HAVERM!C60/HAVERM!B60)</f>
        <v>22.558139534883718</v>
      </c>
      <c r="EC21" s="34">
        <f t="shared" si="37"/>
        <v>25.050854271384292</v>
      </c>
      <c r="EE21" s="32">
        <f>HAVERM!C60</f>
        <v>1940</v>
      </c>
      <c r="EF21" s="32">
        <f>HAVERM!B60-HAVERM!C60</f>
        <v>6660</v>
      </c>
      <c r="FX21" s="34"/>
      <c r="FY21" s="31"/>
      <c r="FZ21" s="31"/>
      <c r="GA21" s="31"/>
      <c r="GZ21">
        <v>2032</v>
      </c>
      <c r="HA21" s="34">
        <f>100*(Data!B66/Data!$B$57)</f>
        <v>112.70629221223736</v>
      </c>
      <c r="HB21" s="34">
        <f t="shared" si="73"/>
        <v>114.92280501690932</v>
      </c>
      <c r="HD21" s="34">
        <f t="shared" si="16"/>
        <v>1.9666273827001923</v>
      </c>
      <c r="HF21" s="34">
        <v>2.0124631398150399</v>
      </c>
    </row>
    <row r="22" spans="1:214">
      <c r="A22">
        <v>1998</v>
      </c>
      <c r="B22">
        <f>Data!F32*Data!G32</f>
        <v>884900.45700000005</v>
      </c>
      <c r="C22">
        <f>Data!H32/Data!I32</f>
        <v>9.765152884784154</v>
      </c>
      <c r="D22" s="32">
        <f>Data!E32</f>
        <v>1867000</v>
      </c>
      <c r="E22" s="33">
        <f>Data!J32</f>
        <v>-1.6261380000000001</v>
      </c>
      <c r="F22" s="32">
        <f>Data!D32</f>
        <v>1778836</v>
      </c>
      <c r="G22" s="32">
        <f>Data!B32</f>
        <v>1802946</v>
      </c>
      <c r="I22" s="34">
        <f t="shared" si="42"/>
        <v>2.3258703534220881</v>
      </c>
      <c r="J22" s="34">
        <f t="shared" si="42"/>
        <v>3.2463148322383173</v>
      </c>
      <c r="L22">
        <v>2018</v>
      </c>
      <c r="M22" s="32">
        <f t="shared" si="74"/>
        <v>216</v>
      </c>
      <c r="N22" s="32"/>
      <c r="R22">
        <v>2038</v>
      </c>
      <c r="S22" s="32">
        <f>'[2]2022-based'!Q45</f>
        <v>72178.265718263166</v>
      </c>
      <c r="T22" s="32">
        <v>74272.334000000003</v>
      </c>
      <c r="U22" s="32">
        <v>73273.896999999997</v>
      </c>
      <c r="Y22">
        <v>2030</v>
      </c>
      <c r="Z22" s="87">
        <f t="shared" si="75"/>
        <v>816.99484536082491</v>
      </c>
      <c r="AA22" s="87">
        <f t="shared" si="76"/>
        <v>588.03832116788328</v>
      </c>
      <c r="AB22" s="90">
        <f t="shared" si="77"/>
        <v>228.95652419294163</v>
      </c>
      <c r="DT22">
        <v>1992</v>
      </c>
      <c r="DU22" s="34">
        <f>100*((Data!M26/Data!M25)-1)</f>
        <v>2.9350484851264902E-2</v>
      </c>
      <c r="DV22" s="34">
        <f t="shared" si="71"/>
        <v>0.36306618775205468</v>
      </c>
      <c r="DW22" s="34">
        <v>0</v>
      </c>
      <c r="DX22">
        <v>65</v>
      </c>
      <c r="DY22">
        <v>60</v>
      </c>
      <c r="EA22" s="152">
        <v>34516</v>
      </c>
      <c r="EB22" s="34">
        <f>100*(HAVERM!C61/HAVERM!B61)</f>
        <v>22.628160519601021</v>
      </c>
      <c r="EC22" s="34">
        <f t="shared" si="37"/>
        <v>25.050854271384292</v>
      </c>
      <c r="EE22" s="32">
        <f>HAVERM!C61</f>
        <v>1951</v>
      </c>
      <c r="EF22" s="32">
        <f>HAVERM!B61-HAVERM!C61</f>
        <v>6671</v>
      </c>
      <c r="FX22" s="34"/>
      <c r="FY22" s="31"/>
      <c r="FZ22" s="31"/>
      <c r="GA22" s="31"/>
      <c r="GZ22">
        <v>2033</v>
      </c>
      <c r="HA22" s="34">
        <f>100*(Data!B67/Data!$B$57)</f>
        <v>114.33620961541536</v>
      </c>
      <c r="HB22" s="34">
        <f t="shared" si="73"/>
        <v>117.27770848862632</v>
      </c>
      <c r="HD22" s="34">
        <f t="shared" si="16"/>
        <v>2.572674818506826</v>
      </c>
      <c r="HF22" s="34">
        <v>2.0491176415077064</v>
      </c>
    </row>
    <row r="23" spans="1:214">
      <c r="A23">
        <v>1999</v>
      </c>
      <c r="B23">
        <f>Data!F33*Data!G33</f>
        <v>895986.09799999988</v>
      </c>
      <c r="C23">
        <f>Data!H33/Data!I33</f>
        <v>9.8328060282606167</v>
      </c>
      <c r="D23" s="32">
        <f>Data!E33</f>
        <v>1923000</v>
      </c>
      <c r="E23" s="33">
        <f>Data!J33</f>
        <v>-1.620242</v>
      </c>
      <c r="F23" s="32">
        <f>Data!D33</f>
        <v>1827270</v>
      </c>
      <c r="G23" s="32">
        <f>Data!B33</f>
        <v>1856033</v>
      </c>
      <c r="I23" s="34">
        <f t="shared" si="42"/>
        <v>2.7227917582059336</v>
      </c>
      <c r="J23" s="34">
        <f t="shared" si="42"/>
        <v>2.9444586804041828</v>
      </c>
      <c r="L23">
        <v>2019</v>
      </c>
      <c r="M23" s="32">
        <f t="shared" si="74"/>
        <v>224</v>
      </c>
      <c r="N23" s="32"/>
      <c r="R23">
        <v>2039</v>
      </c>
      <c r="S23" s="32">
        <f>'[2]2022-based'!Q46</f>
        <v>72381.648260290414</v>
      </c>
      <c r="T23" s="32">
        <v>74543.737999999998</v>
      </c>
      <c r="U23" s="32">
        <v>73532.486999999994</v>
      </c>
      <c r="Y23">
        <v>2031</v>
      </c>
      <c r="Z23" s="87">
        <f t="shared" ref="Z23:Z24" si="78">AO14</f>
        <v>833.19587628865997</v>
      </c>
      <c r="AA23" s="87">
        <f t="shared" ref="AA23:AA24" si="79">CF14</f>
        <v>582.62583941605851</v>
      </c>
      <c r="AB23" s="90">
        <f t="shared" ref="AB23:AB24" si="80">Z23-AA23</f>
        <v>250.57003687260146</v>
      </c>
      <c r="DT23">
        <v>1993</v>
      </c>
      <c r="DU23" s="34">
        <f>100*((Data!M27/Data!M26)-1)</f>
        <v>3.1557425709372033E-2</v>
      </c>
      <c r="DV23" s="34">
        <f t="shared" si="71"/>
        <v>0.29574297976134201</v>
      </c>
      <c r="DW23" s="34">
        <v>0</v>
      </c>
      <c r="DX23">
        <v>65</v>
      </c>
      <c r="DY23">
        <v>60</v>
      </c>
      <c r="EA23" s="152">
        <v>34547</v>
      </c>
      <c r="EB23" s="34">
        <f>100*(HAVERM!C62/HAVERM!B62)</f>
        <v>22.804581742450537</v>
      </c>
      <c r="EC23" s="34">
        <f t="shared" si="37"/>
        <v>25.050854271384292</v>
      </c>
      <c r="EE23" s="32">
        <f>HAVERM!C62</f>
        <v>1971</v>
      </c>
      <c r="EF23" s="32">
        <f>HAVERM!B62-HAVERM!C62</f>
        <v>6672</v>
      </c>
      <c r="FX23" s="34">
        <f>100*((AVERAGE(HAVERQ!B7:B26)/AVERAGE(HAVERQ!B3:B22))-1)</f>
        <v>1.7880317231434573</v>
      </c>
      <c r="FY23" s="31"/>
      <c r="FZ23" s="31"/>
      <c r="GA23" s="31"/>
      <c r="GZ23">
        <v>2034</v>
      </c>
      <c r="HA23" s="34">
        <f>100*(Data!B68/Data!$B$57)</f>
        <v>116.02190131111372</v>
      </c>
      <c r="HB23" s="34">
        <f t="shared" si="73"/>
        <v>119.70760008197365</v>
      </c>
      <c r="HD23" s="34">
        <f t="shared" si="16"/>
        <v>3.176726746596481</v>
      </c>
      <c r="HF23" s="34">
        <v>2.0719125779840653</v>
      </c>
    </row>
    <row r="24" spans="1:214">
      <c r="A24">
        <v>2000</v>
      </c>
      <c r="B24">
        <f>Data!F34*Data!G34</f>
        <v>897004.64800000004</v>
      </c>
      <c r="C24">
        <f>Data!H34/Data!I34</f>
        <v>9.9743903185197631</v>
      </c>
      <c r="D24" s="32">
        <f>Data!E34</f>
        <v>1983000</v>
      </c>
      <c r="E24" s="33">
        <f>Data!J34</f>
        <v>-1.6143670000000001</v>
      </c>
      <c r="F24" s="32">
        <f>Data!D34</f>
        <v>1866820</v>
      </c>
      <c r="G24" s="32">
        <f>Data!B34</f>
        <v>1940007</v>
      </c>
      <c r="I24" s="34">
        <f t="shared" si="42"/>
        <v>2.1644310911906883</v>
      </c>
      <c r="J24" s="34">
        <f t="shared" si="42"/>
        <v>4.5243807626265342</v>
      </c>
      <c r="L24">
        <v>2020</v>
      </c>
      <c r="M24" s="32">
        <f t="shared" si="74"/>
        <v>111</v>
      </c>
      <c r="N24" s="32"/>
      <c r="R24">
        <v>2040</v>
      </c>
      <c r="S24" s="32">
        <f>'[2]2022-based'!Q47</f>
        <v>72580.366802317658</v>
      </c>
      <c r="T24" s="32">
        <v>74810.478000000003</v>
      </c>
      <c r="U24" s="32">
        <v>73787.498000000007</v>
      </c>
      <c r="Y24">
        <v>2032</v>
      </c>
      <c r="Z24" s="87">
        <f t="shared" si="78"/>
        <v>854.60438144329919</v>
      </c>
      <c r="AA24" s="87">
        <f t="shared" si="79"/>
        <v>582.62583941605851</v>
      </c>
      <c r="AB24" s="90">
        <f t="shared" si="80"/>
        <v>271.97854202724068</v>
      </c>
      <c r="DT24">
        <v>1994</v>
      </c>
      <c r="DU24" s="34">
        <f>100*((Data!M28/Data!M27)-1)</f>
        <v>0.16043492915449598</v>
      </c>
      <c r="DV24" s="34">
        <f t="shared" si="71"/>
        <v>0.24199087303125255</v>
      </c>
      <c r="DW24" s="34">
        <v>0</v>
      </c>
      <c r="DX24">
        <v>65</v>
      </c>
      <c r="DY24">
        <v>60</v>
      </c>
      <c r="EA24" s="152">
        <v>34578</v>
      </c>
      <c r="EB24" s="34">
        <f>100*(HAVERM!C63/HAVERM!B63)</f>
        <v>22.978576364892884</v>
      </c>
      <c r="EC24" s="34">
        <f t="shared" si="37"/>
        <v>25.050854271384292</v>
      </c>
      <c r="EE24" s="32">
        <f>HAVERM!C63</f>
        <v>1995</v>
      </c>
      <c r="EF24" s="32">
        <f>HAVERM!B63-HAVERM!C63</f>
        <v>6687</v>
      </c>
      <c r="FW24">
        <v>1965</v>
      </c>
      <c r="FX24" s="34">
        <f>100*((AVERAGE(HAVERQ!B8:B27)/AVERAGE(HAVERQ!B4:B23))-1)</f>
        <v>1.9511989192840362</v>
      </c>
      <c r="FY24" s="31"/>
      <c r="FZ24" s="31"/>
      <c r="GA24" s="31"/>
      <c r="GZ24">
        <v>2035</v>
      </c>
      <c r="HA24" s="34">
        <f>100*(Data!B69/Data!$B$57)</f>
        <v>117.74828825607777</v>
      </c>
      <c r="HB24" s="34">
        <f t="shared" si="73"/>
        <v>122.19479869428699</v>
      </c>
      <c r="HD24" s="34">
        <f t="shared" si="16"/>
        <v>3.7762845677543844</v>
      </c>
      <c r="HF24" s="34">
        <v>2.0777282399865555</v>
      </c>
    </row>
    <row r="25" spans="1:214">
      <c r="A25">
        <v>2001</v>
      </c>
      <c r="B25">
        <f>Data!F35*Data!G35</f>
        <v>906197.99399999995</v>
      </c>
      <c r="C25">
        <f>Data!H35/Data!I35</f>
        <v>10.222141246516111</v>
      </c>
      <c r="D25" s="32">
        <f>Data!E35</f>
        <v>2038000</v>
      </c>
      <c r="E25" s="33">
        <f>Data!J35</f>
        <v>-1.6085130000000001</v>
      </c>
      <c r="F25" s="32">
        <f>Data!D35</f>
        <v>1923900</v>
      </c>
      <c r="G25" s="32">
        <f>Data!B35</f>
        <v>1986393</v>
      </c>
      <c r="I25" s="34">
        <f t="shared" si="42"/>
        <v>3.0576059823657298</v>
      </c>
      <c r="J25" s="34">
        <f t="shared" si="42"/>
        <v>2.3910223004349973</v>
      </c>
      <c r="L25">
        <v>2021</v>
      </c>
      <c r="M25" s="32">
        <f t="shared" si="74"/>
        <v>251</v>
      </c>
      <c r="N25" s="32"/>
      <c r="R25">
        <v>2041</v>
      </c>
      <c r="S25" s="32">
        <f>'[2]2022-based'!Q48</f>
        <v>72774.7593443449</v>
      </c>
      <c r="T25" s="32">
        <v>75072.892000000007</v>
      </c>
      <c r="U25" s="32">
        <v>74039.146999999997</v>
      </c>
      <c r="DT25">
        <v>1995</v>
      </c>
      <c r="DU25" s="34">
        <f>100*((Data!M29/Data!M28)-1)</f>
        <v>0.31204932233388494</v>
      </c>
      <c r="DV25" s="34">
        <f t="shared" si="71"/>
        <v>0.22385414424931582</v>
      </c>
      <c r="DW25" s="34">
        <v>0</v>
      </c>
      <c r="DX25">
        <v>65</v>
      </c>
      <c r="DY25">
        <v>60</v>
      </c>
      <c r="EA25" s="152">
        <v>34608</v>
      </c>
      <c r="EB25" s="34">
        <f>100*(HAVERM!C64/HAVERM!B64)</f>
        <v>23.105148492145396</v>
      </c>
      <c r="EC25" s="34">
        <f t="shared" si="37"/>
        <v>25.050854271384292</v>
      </c>
      <c r="EE25" s="32">
        <f>HAVERM!C64</f>
        <v>2015</v>
      </c>
      <c r="EF25" s="32">
        <f>HAVERM!B64-HAVERM!C64</f>
        <v>6706</v>
      </c>
      <c r="FX25" s="34">
        <f>100*((AVERAGE(HAVERQ!B9:B28)/AVERAGE(HAVERQ!B5:B24))-1)</f>
        <v>2.1571428571428575</v>
      </c>
      <c r="FY25" s="31"/>
      <c r="FZ25" s="31"/>
      <c r="GA25" s="31"/>
      <c r="GZ25">
        <v>2036</v>
      </c>
      <c r="HA25" s="34">
        <f>100*(Data!B70/Data!$B$57)</f>
        <v>119.51965798549796</v>
      </c>
      <c r="HB25" s="34">
        <f t="shared" si="73"/>
        <v>124.75531900111254</v>
      </c>
      <c r="HD25" s="34">
        <f t="shared" si="16"/>
        <v>4.3805856742410221</v>
      </c>
      <c r="HF25" s="34">
        <v>2.0954413233509115</v>
      </c>
    </row>
    <row r="26" spans="1:214">
      <c r="A26">
        <v>2002</v>
      </c>
      <c r="B26">
        <f>Data!F36*Data!G36</f>
        <v>905078.98875000002</v>
      </c>
      <c r="C26">
        <f>Data!H36/Data!I36</f>
        <v>10.553831130421248</v>
      </c>
      <c r="D26" s="32">
        <f>Data!E36</f>
        <v>2081000</v>
      </c>
      <c r="E26" s="33">
        <f>Data!J36</f>
        <v>-1.602681</v>
      </c>
      <c r="F26" s="32">
        <f>Data!D36</f>
        <v>1969294</v>
      </c>
      <c r="G26" s="32">
        <f>Data!B36</f>
        <v>2020341</v>
      </c>
      <c r="I26" s="34">
        <f t="shared" si="42"/>
        <v>2.359478143354643</v>
      </c>
      <c r="J26" s="34">
        <f t="shared" si="42"/>
        <v>1.7090273676961143</v>
      </c>
      <c r="L26">
        <v>2022</v>
      </c>
      <c r="M26" s="32">
        <f t="shared" si="74"/>
        <v>681</v>
      </c>
      <c r="N26" s="32"/>
      <c r="R26">
        <v>2042</v>
      </c>
      <c r="S26" s="32">
        <f>'[2]2022-based'!Q49</f>
        <v>72965.054886372149</v>
      </c>
      <c r="T26" s="32">
        <v>75331.209000000003</v>
      </c>
      <c r="U26" s="32">
        <v>74287.558000000005</v>
      </c>
      <c r="DT26">
        <v>1996</v>
      </c>
      <c r="DU26" s="34">
        <f>100*((Data!M30/Data!M29)-1)</f>
        <v>0.36678278534476583</v>
      </c>
      <c r="DV26" s="34">
        <f t="shared" si="71"/>
        <v>0.21905414050257921</v>
      </c>
      <c r="DW26" s="34">
        <v>0</v>
      </c>
      <c r="DX26">
        <v>65</v>
      </c>
      <c r="DY26">
        <v>60</v>
      </c>
      <c r="EA26" s="152">
        <v>34639</v>
      </c>
      <c r="EB26" s="34">
        <f>100*(HAVERM!C65/HAVERM!B65)</f>
        <v>23.182285127268575</v>
      </c>
      <c r="EC26" s="34">
        <f t="shared" si="37"/>
        <v>25.050854271384292</v>
      </c>
      <c r="EE26" s="32">
        <f>HAVERM!C65</f>
        <v>2031</v>
      </c>
      <c r="EF26" s="32">
        <f>HAVERM!B65-HAVERM!C65</f>
        <v>6730</v>
      </c>
      <c r="FX26" s="34">
        <f>100*((AVERAGE(HAVERQ!B10:B29)/AVERAGE(HAVERQ!B6:B25))-1)</f>
        <v>2.3831985624438667</v>
      </c>
      <c r="FY26" s="31"/>
      <c r="FZ26" s="31"/>
      <c r="GA26" s="31"/>
      <c r="GZ26">
        <v>2037</v>
      </c>
      <c r="HA26" s="34">
        <f>100*(Data!B71/Data!$B$57)</f>
        <v>121.32725375377341</v>
      </c>
      <c r="HB26" s="34">
        <f t="shared" si="73"/>
        <v>127.44959424059964</v>
      </c>
      <c r="HD26" s="34">
        <f t="shared" si="16"/>
        <v>5.0461378605429985</v>
      </c>
      <c r="HF26" s="34">
        <v>2.1596475894250773</v>
      </c>
    </row>
    <row r="27" spans="1:214">
      <c r="A27">
        <v>2003</v>
      </c>
      <c r="B27">
        <f>Data!F37*Data!G37</f>
        <v>907433.10699999996</v>
      </c>
      <c r="C27">
        <f>Data!H37/Data!I37</f>
        <v>10.921335195507929</v>
      </c>
      <c r="D27" s="32">
        <f>Data!E37</f>
        <v>2118000</v>
      </c>
      <c r="E27" s="33">
        <f>Data!J37</f>
        <v>-1.59687</v>
      </c>
      <c r="F27" s="32">
        <f>Data!D37</f>
        <v>2018424</v>
      </c>
      <c r="G27" s="32">
        <f>Data!B37</f>
        <v>2085366</v>
      </c>
      <c r="I27" s="34">
        <f t="shared" si="42"/>
        <v>2.4948027059443545</v>
      </c>
      <c r="J27" s="34">
        <f t="shared" si="42"/>
        <v>3.2185160821861292</v>
      </c>
      <c r="L27">
        <v>2023</v>
      </c>
      <c r="M27" s="32">
        <f t="shared" si="74"/>
        <v>924</v>
      </c>
      <c r="N27" s="32">
        <f t="array" ref="N27:N64">TRANSPOSE('ONS popproj Jan25 pp'!C16:AN16)</f>
        <v>906</v>
      </c>
      <c r="O27" s="32">
        <f t="array" ref="O27:O64">TRANSPOSE('ONS popproj Jan25 migcv'!C18:AN18)</f>
        <v>906</v>
      </c>
      <c r="P27" s="32">
        <f>'OBR Nov25 C2.8'!D37</f>
        <v>905.99999999999807</v>
      </c>
      <c r="R27">
        <v>2043</v>
      </c>
      <c r="S27" s="32">
        <f>'[2]2022-based'!Q50</f>
        <v>73151.060428399389</v>
      </c>
      <c r="T27" s="32">
        <v>75585.236000000004</v>
      </c>
      <c r="U27" s="32">
        <v>74532.479999999996</v>
      </c>
      <c r="DT27">
        <v>1997</v>
      </c>
      <c r="DU27" s="34">
        <f>100*((Data!M31/Data!M30)-1)</f>
        <v>0.35389737651887465</v>
      </c>
      <c r="DV27" s="34">
        <f t="shared" si="71"/>
        <v>0.2135398684563139</v>
      </c>
      <c r="DW27" s="34">
        <v>0</v>
      </c>
      <c r="DX27">
        <v>65</v>
      </c>
      <c r="DY27">
        <v>60</v>
      </c>
      <c r="EA27" s="152">
        <v>34669</v>
      </c>
      <c r="EB27" s="34">
        <f>100*(HAVERM!C66/HAVERM!B66)</f>
        <v>23.554798409994319</v>
      </c>
      <c r="EC27" s="34">
        <f t="shared" si="37"/>
        <v>25.050854271384292</v>
      </c>
      <c r="EE27" s="32">
        <f>HAVERM!C66</f>
        <v>2074</v>
      </c>
      <c r="EF27" s="32">
        <f>HAVERM!B66-HAVERM!C66</f>
        <v>6731</v>
      </c>
      <c r="FX27" s="34">
        <f>100*((AVERAGE(HAVERQ!B11:B30)/AVERAGE(HAVERQ!B7:B26))-1)</f>
        <v>2.6066015016291244</v>
      </c>
      <c r="FY27" s="31"/>
      <c r="FZ27" s="31"/>
      <c r="GA27" s="31"/>
      <c r="GZ27">
        <v>2038</v>
      </c>
      <c r="HA27" s="34">
        <f>100*(Data!B72/Data!$B$57)</f>
        <v>123.17023985489237</v>
      </c>
      <c r="HB27" s="34">
        <f t="shared" si="73"/>
        <v>130.11762191738129</v>
      </c>
      <c r="HD27" s="34">
        <f t="shared" si="16"/>
        <v>5.6404713270621798</v>
      </c>
      <c r="HF27" s="34">
        <v>2.0933983294956278</v>
      </c>
    </row>
    <row r="28" spans="1:214">
      <c r="A28">
        <v>2004</v>
      </c>
      <c r="B28">
        <f>Data!F38*Data!G38</f>
        <v>912728.12450000015</v>
      </c>
      <c r="C28">
        <f>Data!H38/Data!I38</f>
        <v>11.276551602868604</v>
      </c>
      <c r="D28" s="32">
        <f>Data!E38</f>
        <v>2149000</v>
      </c>
      <c r="E28" s="33">
        <f>Data!J38</f>
        <v>-1.59108</v>
      </c>
      <c r="F28" s="32">
        <f>Data!D38</f>
        <v>2069413</v>
      </c>
      <c r="G28" s="32">
        <f>Data!B38</f>
        <v>2133872</v>
      </c>
      <c r="I28" s="34">
        <f t="shared" si="42"/>
        <v>2.5261788405211094</v>
      </c>
      <c r="J28" s="34">
        <f t="shared" si="42"/>
        <v>2.3260185502209207</v>
      </c>
      <c r="L28">
        <v>2024</v>
      </c>
      <c r="M28" s="32">
        <f t="shared" si="74"/>
        <v>649</v>
      </c>
      <c r="N28" s="32">
        <v>728</v>
      </c>
      <c r="O28" s="32">
        <v>728</v>
      </c>
      <c r="P28" s="32">
        <f>'OBR Nov25 C2.8'!D38</f>
        <v>738.99999999999795</v>
      </c>
      <c r="R28">
        <v>2044</v>
      </c>
      <c r="S28" s="32">
        <f>'[2]2022-based'!Q51</f>
        <v>73332.309970426635</v>
      </c>
      <c r="T28" s="32">
        <v>75834.506999999998</v>
      </c>
      <c r="U28" s="32">
        <v>74773.337</v>
      </c>
      <c r="DT28">
        <v>1998</v>
      </c>
      <c r="DU28" s="34">
        <f>100*((Data!M32/Data!M31)-1)</f>
        <v>0.37481621154471512</v>
      </c>
      <c r="DV28" s="34">
        <f t="shared" si="71"/>
        <v>0.22015601812121588</v>
      </c>
      <c r="DW28" s="34">
        <v>0</v>
      </c>
      <c r="DX28">
        <v>65</v>
      </c>
      <c r="DY28">
        <v>60</v>
      </c>
      <c r="EA28" s="152">
        <v>34700</v>
      </c>
      <c r="EB28" s="34">
        <f>100*(HAVERM!C67/HAVERM!B67)</f>
        <v>23.656895175088401</v>
      </c>
      <c r="EC28" s="34">
        <f t="shared" si="37"/>
        <v>25.050854271384292</v>
      </c>
      <c r="EE28" s="32">
        <f>HAVERM!C67</f>
        <v>2074</v>
      </c>
      <c r="EF28" s="32">
        <f>HAVERM!B67-HAVERM!C67</f>
        <v>6693</v>
      </c>
      <c r="FW28">
        <v>1966</v>
      </c>
      <c r="FX28" s="34">
        <f>100*((AVERAGE(HAVERQ!B12:B31)/AVERAGE(HAVERQ!B8:B27))-1)</f>
        <v>2.5482190623680179</v>
      </c>
      <c r="FY28" s="31"/>
      <c r="FZ28" s="31"/>
      <c r="GA28" s="31"/>
      <c r="GZ28">
        <v>2039</v>
      </c>
      <c r="HA28" s="34">
        <f>100*(Data!B73/Data!$B$57)</f>
        <v>125.04832560850299</v>
      </c>
      <c r="HB28" s="34">
        <f t="shared" si="73"/>
        <v>132.76744825637476</v>
      </c>
      <c r="HD28" s="34">
        <f t="shared" si="16"/>
        <v>6.1729116406072704</v>
      </c>
      <c r="HF28" s="34">
        <v>2.0364853737305282</v>
      </c>
    </row>
    <row r="29" spans="1:214">
      <c r="A29">
        <v>2005</v>
      </c>
      <c r="B29">
        <f>Data!F39*Data!G39</f>
        <v>926585.30249999987</v>
      </c>
      <c r="C29">
        <f>Data!H39/Data!I39</f>
        <v>11.571259397978576</v>
      </c>
      <c r="D29" s="32">
        <f>Data!E39</f>
        <v>2193000</v>
      </c>
      <c r="E29" s="33">
        <f>Data!J39</f>
        <v>-1.5853109999999999</v>
      </c>
      <c r="F29" s="32">
        <f>Data!D39</f>
        <v>2130628</v>
      </c>
      <c r="G29" s="32">
        <f>Data!B39</f>
        <v>2193421</v>
      </c>
      <c r="I29" s="34">
        <f t="shared" si="42"/>
        <v>2.9580852154693194</v>
      </c>
      <c r="J29" s="34">
        <f t="shared" si="42"/>
        <v>2.7906547346794985</v>
      </c>
      <c r="L29">
        <v>2025</v>
      </c>
      <c r="M29" s="32">
        <f>AB17</f>
        <v>204</v>
      </c>
      <c r="N29" s="32">
        <v>630.9</v>
      </c>
      <c r="O29" s="32">
        <v>350.25099999999998</v>
      </c>
      <c r="P29" s="32">
        <f>'OBR Nov25 C2.8'!D39</f>
        <v>290.77292878111882</v>
      </c>
      <c r="R29">
        <v>2045</v>
      </c>
      <c r="S29" s="32">
        <f>'[2]2022-based'!Q52</f>
        <v>73508.467512453892</v>
      </c>
      <c r="T29" s="32">
        <v>76078.686000000002</v>
      </c>
      <c r="U29" s="32">
        <v>75009.672999999995</v>
      </c>
      <c r="DT29">
        <v>1999</v>
      </c>
      <c r="DU29" s="34">
        <f>100*((Data!M33/Data!M32)-1)</f>
        <v>0.51355263474222035</v>
      </c>
      <c r="DV29" s="34">
        <f t="shared" si="71"/>
        <v>0.24541579704012495</v>
      </c>
      <c r="DW29" s="34">
        <v>0</v>
      </c>
      <c r="DX29">
        <v>65</v>
      </c>
      <c r="DY29">
        <v>60</v>
      </c>
      <c r="EA29" s="152">
        <v>34731</v>
      </c>
      <c r="EB29" s="34">
        <f>100*(HAVERM!C68/HAVERM!B68)</f>
        <v>23.809523809523807</v>
      </c>
      <c r="EC29" s="34">
        <f t="shared" si="37"/>
        <v>25.050854271384292</v>
      </c>
      <c r="EE29" s="32">
        <f>HAVERM!C68</f>
        <v>2080</v>
      </c>
      <c r="EF29" s="32">
        <f>HAVERM!B68-HAVERM!C68</f>
        <v>6656</v>
      </c>
      <c r="FX29" s="34">
        <f>100*((AVERAGE(HAVERQ!B13:B32)/AVERAGE(HAVERQ!B9:B28))-1)</f>
        <v>2.4472101803943547</v>
      </c>
      <c r="FY29" s="31"/>
      <c r="FZ29" s="31"/>
      <c r="GA29" s="31"/>
      <c r="GZ29">
        <v>2040</v>
      </c>
      <c r="HA29" s="34">
        <f>100*(Data!B74/Data!$B$57)</f>
        <v>126.9866185300004</v>
      </c>
      <c r="HB29" s="34">
        <f t="shared" si="73"/>
        <v>135.37974550196654</v>
      </c>
      <c r="HD29" s="34">
        <f t="shared" si="16"/>
        <v>6.6094578067556586</v>
      </c>
      <c r="HF29" s="34">
        <v>1.9675735881790928</v>
      </c>
    </row>
    <row r="30" spans="1:214">
      <c r="A30">
        <v>2006</v>
      </c>
      <c r="B30">
        <f>Data!F40*Data!G40</f>
        <v>938041.64349999989</v>
      </c>
      <c r="C30">
        <f>Data!H40/Data!I40</f>
        <v>11.808390151928197</v>
      </c>
      <c r="D30" s="32">
        <f>Data!E40</f>
        <v>2239000</v>
      </c>
      <c r="E30" s="33">
        <f>Data!J40</f>
        <v>-1.5795630000000001</v>
      </c>
      <c r="F30" s="32">
        <f>Data!D40</f>
        <v>2188892</v>
      </c>
      <c r="G30" s="32">
        <f>Data!B40</f>
        <v>2241453</v>
      </c>
      <c r="I30" s="34">
        <f t="shared" si="42"/>
        <v>2.734592805501479</v>
      </c>
      <c r="J30" s="34">
        <f t="shared" si="42"/>
        <v>2.189821288298055</v>
      </c>
      <c r="L30">
        <v>2026</v>
      </c>
      <c r="M30" s="32">
        <f>'[2]2022-based'!L33</f>
        <v>93.400344269696802</v>
      </c>
      <c r="N30" s="32">
        <v>533.79999999999995</v>
      </c>
      <c r="O30" s="32">
        <v>261.86900000000003</v>
      </c>
      <c r="P30" s="32">
        <f>'OBR Nov25 C2.8'!D40</f>
        <v>261.8689999999998</v>
      </c>
      <c r="R30">
        <v>2046</v>
      </c>
      <c r="S30" s="32">
        <f>'[2]2022-based'!Q53</f>
        <v>73679.240054481124</v>
      </c>
      <c r="T30" s="32">
        <v>76317.48</v>
      </c>
      <c r="U30" s="32">
        <v>75241.096999999994</v>
      </c>
      <c r="DT30">
        <v>2000</v>
      </c>
      <c r="DU30" s="34">
        <f>100*((Data!M34/Data!M33)-1)</f>
        <v>0.60899280205384265</v>
      </c>
      <c r="DV30" s="34">
        <f t="shared" si="71"/>
        <v>0.28743283743849934</v>
      </c>
      <c r="DW30" s="34">
        <v>0</v>
      </c>
      <c r="DX30">
        <v>65</v>
      </c>
      <c r="DY30">
        <v>60</v>
      </c>
      <c r="EA30" s="152">
        <v>34759</v>
      </c>
      <c r="EB30" s="34">
        <f>100*(HAVERM!C69/HAVERM!B69)</f>
        <v>23.821539167335704</v>
      </c>
      <c r="EC30" s="34">
        <f t="shared" si="37"/>
        <v>25.050854271384292</v>
      </c>
      <c r="EE30" s="32">
        <f>HAVERM!C69</f>
        <v>2077</v>
      </c>
      <c r="EF30" s="32">
        <f>HAVERM!B69-HAVERM!C69</f>
        <v>6642</v>
      </c>
      <c r="FX30" s="34">
        <f>100*((AVERAGE(HAVERQ!B14:B33)/AVERAGE(HAVERQ!B10:B29))-1)</f>
        <v>2.431568709184373</v>
      </c>
      <c r="FY30" s="31"/>
      <c r="FZ30" s="31"/>
      <c r="GA30" s="31"/>
      <c r="GZ30">
        <v>2041</v>
      </c>
      <c r="HA30" s="34">
        <f>100*(Data!B75/Data!$B$57)</f>
        <v>129.00248677041048</v>
      </c>
      <c r="HB30" s="34">
        <f t="shared" si="73"/>
        <v>137.97550034239131</v>
      </c>
      <c r="HD30" s="34">
        <f t="shared" si="16"/>
        <v>6.9556903875429565</v>
      </c>
      <c r="HF30" s="34">
        <v>1.9173878860535183</v>
      </c>
    </row>
    <row r="31" spans="1:214">
      <c r="A31">
        <v>2007</v>
      </c>
      <c r="B31">
        <f>Data!F41*Data!G41</f>
        <v>945614.30125000002</v>
      </c>
      <c r="C31">
        <f>Data!H41/Data!I41</f>
        <v>12.020052279332228</v>
      </c>
      <c r="D31" s="32">
        <f>Data!E41</f>
        <v>2304000</v>
      </c>
      <c r="E31" s="33">
        <f>Data!J41</f>
        <v>-1.5770169999999999</v>
      </c>
      <c r="F31" s="32">
        <f>Data!D41</f>
        <v>2236227</v>
      </c>
      <c r="G31" s="32">
        <f>Data!B41</f>
        <v>2307148</v>
      </c>
      <c r="I31" s="34">
        <f t="shared" si="42"/>
        <v>2.1625096167376068</v>
      </c>
      <c r="J31" s="34">
        <f t="shared" si="42"/>
        <v>2.9309113329612613</v>
      </c>
      <c r="L31">
        <v>2027</v>
      </c>
      <c r="M31" s="32">
        <f>'[2]2022-based'!L34</f>
        <v>139.06537737978783</v>
      </c>
      <c r="N31" s="32">
        <v>436.7</v>
      </c>
      <c r="O31" s="32">
        <v>258.464</v>
      </c>
      <c r="P31" s="32">
        <f>'OBR Nov25 C2.8'!D41</f>
        <v>258.46399999999988</v>
      </c>
      <c r="R31">
        <v>2047</v>
      </c>
      <c r="S31" s="32">
        <f>'[2]2022-based'!Q54</f>
        <v>73844.273596508356</v>
      </c>
      <c r="T31" s="32">
        <v>76550.535000000003</v>
      </c>
      <c r="U31" s="32">
        <v>75467.100000000006</v>
      </c>
      <c r="DT31">
        <v>2001</v>
      </c>
      <c r="DU31" s="34">
        <f>100*((Data!M35/Data!M34)-1)</f>
        <v>0.72055167289288846</v>
      </c>
      <c r="DV31" s="34">
        <f t="shared" si="71"/>
        <v>0.34719856451463249</v>
      </c>
      <c r="DW31" s="34">
        <v>0</v>
      </c>
      <c r="DX31">
        <v>65</v>
      </c>
      <c r="DY31">
        <v>60</v>
      </c>
      <c r="EA31" s="152">
        <v>34790</v>
      </c>
      <c r="EB31" s="34">
        <f>100*(HAVERM!C70/HAVERM!B70)</f>
        <v>24.216327936617294</v>
      </c>
      <c r="EC31" s="34">
        <f t="shared" si="37"/>
        <v>25.050854271384292</v>
      </c>
      <c r="EE31" s="32">
        <f>HAVERM!C70</f>
        <v>2109</v>
      </c>
      <c r="EF31" s="32">
        <f>HAVERM!B70-HAVERM!C70</f>
        <v>6600</v>
      </c>
      <c r="FX31" s="34">
        <f>100*((AVERAGE(HAVERQ!B15:B34)/AVERAGE(HAVERQ!B11:B30))-1)</f>
        <v>2.4299323484743729</v>
      </c>
      <c r="FY31" s="31"/>
      <c r="FZ31" s="31"/>
      <c r="GA31" s="31"/>
      <c r="GZ31">
        <v>2042</v>
      </c>
      <c r="HA31" s="34">
        <f>100*(Data!B76/Data!$B$57)</f>
        <v>131.06889705700678</v>
      </c>
      <c r="HB31" s="34">
        <f t="shared" si="73"/>
        <v>140.55410252112657</v>
      </c>
      <c r="HD31" s="34">
        <f t="shared" si="16"/>
        <v>7.2368087907189071</v>
      </c>
      <c r="HF31" s="34">
        <v>1.8688840934342466</v>
      </c>
    </row>
    <row r="32" spans="1:214">
      <c r="A32">
        <v>2008</v>
      </c>
      <c r="B32">
        <f>Data!F42*Data!G42</f>
        <v>954262.21975000005</v>
      </c>
      <c r="C32">
        <f>Data!H42/Data!I42</f>
        <v>12.201911429959097</v>
      </c>
      <c r="D32" s="32">
        <f>Data!E42</f>
        <v>2370000</v>
      </c>
      <c r="E32" s="33">
        <f>Data!J42</f>
        <v>-1.5771360000000001</v>
      </c>
      <c r="F32" s="32">
        <f>Data!D42</f>
        <v>2282011</v>
      </c>
      <c r="G32" s="32">
        <f>Data!B42</f>
        <v>2306008</v>
      </c>
      <c r="I32" s="34">
        <f t="shared" si="42"/>
        <v>2.0473771222689008</v>
      </c>
      <c r="J32" s="34">
        <f t="shared" si="42"/>
        <v>-4.9411654562259155E-2</v>
      </c>
      <c r="L32">
        <v>2028</v>
      </c>
      <c r="M32" s="32">
        <f>'[2]2022-based'!L35</f>
        <v>177.48164459327268</v>
      </c>
      <c r="N32" s="32">
        <v>340</v>
      </c>
      <c r="O32" s="32">
        <v>290.30200000000002</v>
      </c>
      <c r="P32" s="32">
        <f>'OBR Nov25 C2.8'!D42</f>
        <v>290.30200000000002</v>
      </c>
      <c r="R32">
        <v>2048</v>
      </c>
      <c r="S32" s="32">
        <f>'[2]2022-based'!Q55</f>
        <v>74002.177138535597</v>
      </c>
      <c r="T32" s="32">
        <v>76776.460000000006</v>
      </c>
      <c r="U32" s="32">
        <v>75686.179000000004</v>
      </c>
      <c r="DT32">
        <v>2002</v>
      </c>
      <c r="DU32" s="34">
        <f>100*((Data!M36/Data!M35)-1)</f>
        <v>0.68498714997260457</v>
      </c>
      <c r="DV32" s="34">
        <f t="shared" si="71"/>
        <v>0.41276223102676646</v>
      </c>
      <c r="DW32" s="34">
        <v>0</v>
      </c>
      <c r="DX32">
        <v>65</v>
      </c>
      <c r="DY32">
        <v>60</v>
      </c>
      <c r="EA32" s="152">
        <v>34820</v>
      </c>
      <c r="EB32" s="34">
        <f>100*(HAVERM!C71/HAVERM!B71)</f>
        <v>24.320293679018011</v>
      </c>
      <c r="EC32" s="34">
        <f t="shared" si="37"/>
        <v>25.050854271384292</v>
      </c>
      <c r="EE32" s="32">
        <f>HAVERM!C71</f>
        <v>2120</v>
      </c>
      <c r="EF32" s="32">
        <f>HAVERM!B71-HAVERM!C71</f>
        <v>6597</v>
      </c>
      <c r="FW32">
        <v>1967</v>
      </c>
      <c r="FX32" s="34">
        <f>100*((AVERAGE(HAVERQ!B16:B35)/AVERAGE(HAVERQ!B12:B31))-1)</f>
        <v>2.5672707303679321</v>
      </c>
      <c r="FY32" s="31"/>
      <c r="FZ32" s="31"/>
      <c r="GA32" s="31"/>
      <c r="GZ32">
        <v>2043</v>
      </c>
      <c r="HA32" s="34">
        <f>100*(Data!B77/Data!$B$57)</f>
        <v>133.12306243377938</v>
      </c>
      <c r="HB32" s="34">
        <f t="shared" si="73"/>
        <v>143.13574151385205</v>
      </c>
      <c r="HD32" s="34">
        <f t="shared" si="16"/>
        <v>7.5213707505064065</v>
      </c>
      <c r="HF32" s="34">
        <v>1.8367581923391043</v>
      </c>
    </row>
    <row r="33" spans="1:214">
      <c r="A33">
        <v>2009</v>
      </c>
      <c r="B33">
        <f>Data!F43*Data!G43</f>
        <v>945894.55550000002</v>
      </c>
      <c r="C33">
        <f>Data!H43/Data!I43</f>
        <v>12.349721263489117</v>
      </c>
      <c r="D33" s="32">
        <f>Data!E43</f>
        <v>2401000</v>
      </c>
      <c r="E33" s="33">
        <f>Data!J43</f>
        <v>-1.577942</v>
      </c>
      <c r="F33" s="32">
        <f>Data!D43</f>
        <v>2293332</v>
      </c>
      <c r="G33" s="32">
        <f>Data!B43</f>
        <v>2200222</v>
      </c>
      <c r="I33" s="34">
        <f t="shared" si="42"/>
        <v>0.49609752100230331</v>
      </c>
      <c r="J33" s="34">
        <f t="shared" si="42"/>
        <v>-4.5874081963288909</v>
      </c>
      <c r="L33">
        <v>2029</v>
      </c>
      <c r="M33" s="32">
        <f>'[2]2022-based'!L36</f>
        <v>204.08699676424123</v>
      </c>
      <c r="N33" s="32">
        <v>340</v>
      </c>
      <c r="O33" s="32">
        <v>326.822</v>
      </c>
      <c r="P33" s="32">
        <f>'OBR Nov25 C2.8'!D43</f>
        <v>326.82199999999989</v>
      </c>
      <c r="R33">
        <v>2049</v>
      </c>
      <c r="S33" s="32">
        <f>'[2]2022-based'!Q56</f>
        <v>74151.332680562817</v>
      </c>
      <c r="T33" s="32">
        <v>76993.637000000002</v>
      </c>
      <c r="U33" s="32">
        <v>75896.638000000006</v>
      </c>
      <c r="DT33">
        <v>2003</v>
      </c>
      <c r="DU33" s="34">
        <f>100*((Data!M37/Data!M36)-1)</f>
        <v>0.6301706678151664</v>
      </c>
      <c r="DV33" s="34">
        <f t="shared" si="71"/>
        <v>0.47262355523734589</v>
      </c>
      <c r="DW33" s="34">
        <v>0</v>
      </c>
      <c r="DX33">
        <v>65</v>
      </c>
      <c r="DY33">
        <v>60</v>
      </c>
      <c r="EA33" s="152">
        <v>34851</v>
      </c>
      <c r="EB33" s="34">
        <f>100*(HAVERM!C72/HAVERM!B72)</f>
        <v>24.358531814520767</v>
      </c>
      <c r="EC33" s="34">
        <f t="shared" si="37"/>
        <v>25.050854271384292</v>
      </c>
      <c r="EE33" s="32">
        <f>HAVERM!C72</f>
        <v>2117</v>
      </c>
      <c r="EF33" s="32">
        <f>HAVERM!B72-HAVERM!C72</f>
        <v>6574</v>
      </c>
      <c r="FX33" s="34">
        <f>100*((AVERAGE(HAVERQ!B17:B36)/AVERAGE(HAVERQ!B13:B32))-1)</f>
        <v>2.730002730002723</v>
      </c>
      <c r="FY33" s="31"/>
      <c r="FZ33" s="31"/>
      <c r="GA33" s="31"/>
      <c r="GZ33">
        <v>2044</v>
      </c>
      <c r="HA33" s="34">
        <f>100*(Data!B78/Data!$B$57)</f>
        <v>135.11949142565632</v>
      </c>
      <c r="HB33" s="34">
        <f t="shared" si="73"/>
        <v>145.73201823026184</v>
      </c>
      <c r="HD33" s="34">
        <f t="shared" si="16"/>
        <v>7.854179062274369</v>
      </c>
      <c r="HF33" s="34">
        <v>1.8138563359163129</v>
      </c>
    </row>
    <row r="34" spans="1:214">
      <c r="A34">
        <v>2010</v>
      </c>
      <c r="B34">
        <f>Data!F44*Data!G44</f>
        <v>952641.89549999998</v>
      </c>
      <c r="C34">
        <f>Data!H44/Data!I44</f>
        <v>12.459157724809712</v>
      </c>
      <c r="D34" s="32">
        <f>Data!E44</f>
        <v>2435000</v>
      </c>
      <c r="E34" s="33">
        <f>Data!J44</f>
        <v>-1.578457</v>
      </c>
      <c r="F34" s="32">
        <f>Data!D44</f>
        <v>2319739</v>
      </c>
      <c r="G34" s="32">
        <f>Data!B44</f>
        <v>2249959</v>
      </c>
      <c r="I34" s="34">
        <f t="shared" si="42"/>
        <v>1.1514686927143636</v>
      </c>
      <c r="J34" s="34">
        <f t="shared" si="42"/>
        <v>2.2605446177703881</v>
      </c>
      <c r="L34">
        <v>2030</v>
      </c>
      <c r="M34" s="32">
        <f>'[2]2022-based'!L37</f>
        <v>228.95652419294163</v>
      </c>
      <c r="N34" s="32">
        <v>340</v>
      </c>
      <c r="O34" s="32">
        <v>340</v>
      </c>
      <c r="P34" s="32">
        <f>'OBR Nov25 C2.8'!D44</f>
        <v>339.99999999999983</v>
      </c>
      <c r="R34">
        <v>2050</v>
      </c>
      <c r="S34" s="32">
        <f>'[2]2022-based'!Q57</f>
        <v>74291.157222590045</v>
      </c>
      <c r="T34" s="32">
        <v>77201.482999999993</v>
      </c>
      <c r="U34" s="32">
        <v>76097.808999999994</v>
      </c>
      <c r="DT34">
        <v>2004</v>
      </c>
      <c r="DU34" s="34">
        <f>100*((Data!M38/Data!M37)-1)</f>
        <v>0.75987743143439701</v>
      </c>
      <c r="DV34" s="34">
        <f t="shared" si="71"/>
        <v>0.532567805465336</v>
      </c>
      <c r="DW34" s="34">
        <v>0</v>
      </c>
      <c r="DX34">
        <v>65</v>
      </c>
      <c r="DY34">
        <v>60</v>
      </c>
      <c r="EA34" s="152">
        <v>34881</v>
      </c>
      <c r="EB34" s="34">
        <f>100*(HAVERM!C73/HAVERM!B73)</f>
        <v>24.500404297100612</v>
      </c>
      <c r="EC34" s="34">
        <f t="shared" si="37"/>
        <v>25.050854271384292</v>
      </c>
      <c r="EE34" s="32">
        <f>HAVERM!C73</f>
        <v>2121</v>
      </c>
      <c r="EF34" s="32">
        <f>HAVERM!B73-HAVERM!C73</f>
        <v>6536</v>
      </c>
      <c r="FX34" s="34">
        <f>100*((AVERAGE(HAVERQ!B18:B37)/AVERAGE(HAVERQ!B14:B33))-1)</f>
        <v>2.8486163863266523</v>
      </c>
      <c r="FY34" s="31"/>
      <c r="FZ34" s="31"/>
      <c r="GA34" s="31"/>
      <c r="GZ34">
        <v>2045</v>
      </c>
      <c r="HA34" s="34">
        <f>100*(Data!B79/Data!$B$57)</f>
        <v>137.06236256269614</v>
      </c>
      <c r="HB34" s="34">
        <f t="shared" si="73"/>
        <v>148.32881762773437</v>
      </c>
      <c r="HD34" s="34">
        <f t="shared" si="16"/>
        <v>8.2199480983589766</v>
      </c>
      <c r="HF34" s="34">
        <v>1.7819003874423061</v>
      </c>
    </row>
    <row r="35" spans="1:214">
      <c r="A35">
        <v>2011</v>
      </c>
      <c r="B35">
        <f>Data!F45*Data!G45</f>
        <v>956197.4077499999</v>
      </c>
      <c r="C35">
        <f>Data!H45/Data!I45</f>
        <v>12.568908283242314</v>
      </c>
      <c r="D35" s="32">
        <f>Data!E45</f>
        <v>2465000</v>
      </c>
      <c r="E35" s="33">
        <f>Data!J45</f>
        <v>-1.579189</v>
      </c>
      <c r="F35" s="32">
        <f>Data!D45</f>
        <v>2340697</v>
      </c>
      <c r="G35" s="32">
        <f>Data!B45</f>
        <v>2269116</v>
      </c>
      <c r="I35" s="34">
        <f t="shared" si="42"/>
        <v>0.90346370863274572</v>
      </c>
      <c r="J35" s="34">
        <f t="shared" si="42"/>
        <v>0.85143773730989025</v>
      </c>
      <c r="L35">
        <v>2031</v>
      </c>
      <c r="M35" s="32">
        <f>'[2]2022-based'!L38</f>
        <v>250.57003687260146</v>
      </c>
      <c r="N35" s="32">
        <v>340</v>
      </c>
      <c r="O35" s="32">
        <v>340</v>
      </c>
      <c r="P35" s="32"/>
      <c r="R35">
        <v>2051</v>
      </c>
      <c r="S35" s="32">
        <f>'[2]2022-based'!Q58</f>
        <v>74421.29776461728</v>
      </c>
      <c r="T35" s="32">
        <v>77399.645000000004</v>
      </c>
      <c r="U35" s="32">
        <v>76289.212</v>
      </c>
      <c r="DT35">
        <v>2005</v>
      </c>
      <c r="DU35" s="34">
        <f>100*((Data!M39/Data!M38)-1)</f>
        <v>0.97276662096403843</v>
      </c>
      <c r="DV35" s="34">
        <f t="shared" si="71"/>
        <v>0.59863953532835135</v>
      </c>
      <c r="DW35" s="34">
        <v>0</v>
      </c>
      <c r="DX35">
        <v>65</v>
      </c>
      <c r="DY35">
        <v>60</v>
      </c>
      <c r="EA35" s="152">
        <v>34912</v>
      </c>
      <c r="EB35" s="34">
        <f>100*(HAVERM!C74/HAVERM!B74)</f>
        <v>24.667514744998265</v>
      </c>
      <c r="EC35" s="34">
        <f t="shared" si="37"/>
        <v>25.050854271384292</v>
      </c>
      <c r="EE35" s="32">
        <f>HAVERM!C74</f>
        <v>2133</v>
      </c>
      <c r="EF35" s="32">
        <f>HAVERM!B74-HAVERM!C74</f>
        <v>6514</v>
      </c>
      <c r="FX35" s="34">
        <f>100*((AVERAGE(HAVERQ!B19:B38)/AVERAGE(HAVERQ!B15:B34))-1)</f>
        <v>2.9923170238576713</v>
      </c>
      <c r="FY35" s="31"/>
      <c r="FZ35" s="31"/>
      <c r="GA35" s="31"/>
      <c r="GZ35">
        <v>2046</v>
      </c>
      <c r="HA35" s="34">
        <f>100*(Data!B80/Data!$B$57)</f>
        <v>138.99451486175968</v>
      </c>
      <c r="HB35" s="34">
        <f t="shared" si="73"/>
        <v>150.95223976681294</v>
      </c>
      <c r="HD35" s="34">
        <f t="shared" si="16"/>
        <v>8.6030192752182266</v>
      </c>
      <c r="HF35" s="34">
        <v>1.7686530379165077</v>
      </c>
    </row>
    <row r="36" spans="1:214">
      <c r="A36">
        <v>2012</v>
      </c>
      <c r="B36">
        <f>Data!F46*Data!G46</f>
        <v>973247.64474999998</v>
      </c>
      <c r="C36">
        <f>Data!H46/Data!I46</f>
        <v>12.676274503220732</v>
      </c>
      <c r="D36" s="32">
        <f>Data!E46</f>
        <v>2495000</v>
      </c>
      <c r="E36" s="33">
        <f>Data!J46</f>
        <v>-1.579922</v>
      </c>
      <c r="F36" s="32">
        <f>Data!D46</f>
        <v>2382224</v>
      </c>
      <c r="G36" s="32">
        <f>Data!B46</f>
        <v>2303794</v>
      </c>
      <c r="I36" s="34">
        <f t="shared" si="42"/>
        <v>1.7741296716319965</v>
      </c>
      <c r="J36" s="34">
        <f t="shared" si="42"/>
        <v>1.5282603445570864</v>
      </c>
      <c r="L36">
        <v>2032</v>
      </c>
      <c r="M36" s="32">
        <f>'[2]2022-based'!L39</f>
        <v>271.97854202724068</v>
      </c>
      <c r="N36" s="32">
        <v>340</v>
      </c>
      <c r="O36" s="32">
        <v>340</v>
      </c>
      <c r="P36" s="32"/>
      <c r="R36">
        <v>2052</v>
      </c>
      <c r="S36" s="32">
        <f>'[2]2022-based'!Q59</f>
        <v>74541.680306644514</v>
      </c>
      <c r="T36" s="32">
        <v>77588.048999999999</v>
      </c>
      <c r="U36" s="32">
        <v>76470.676999999996</v>
      </c>
      <c r="DT36">
        <v>2006</v>
      </c>
      <c r="DU36" s="34">
        <f>100*((Data!M40/Data!M39)-1)</f>
        <v>0.84869500762005945</v>
      </c>
      <c r="DV36" s="34">
        <f t="shared" si="71"/>
        <v>0.64683075755588071</v>
      </c>
      <c r="DW36" s="34">
        <v>0</v>
      </c>
      <c r="DX36">
        <v>65</v>
      </c>
      <c r="DY36">
        <v>60</v>
      </c>
      <c r="EA36" s="152">
        <v>34943</v>
      </c>
      <c r="EB36" s="34">
        <f>100*(HAVERM!C75/HAVERM!B75)</f>
        <v>24.702208858563662</v>
      </c>
      <c r="EC36" s="34">
        <f t="shared" si="37"/>
        <v>25.050854271384292</v>
      </c>
      <c r="EE36" s="32">
        <f>HAVERM!C75</f>
        <v>2136</v>
      </c>
      <c r="EF36" s="32">
        <f>HAVERM!B75-HAVERM!C75</f>
        <v>6511</v>
      </c>
      <c r="FW36">
        <v>1968</v>
      </c>
      <c r="FX36" s="34">
        <f>100*((AVERAGE(HAVERQ!B20:B39)/AVERAGE(HAVERQ!B16:B35))-1)</f>
        <v>3.212421362602047</v>
      </c>
      <c r="FY36" s="31"/>
      <c r="FZ36" s="31"/>
      <c r="GA36" s="31"/>
      <c r="GZ36">
        <v>2047</v>
      </c>
      <c r="HA36" s="34">
        <f>100*(Data!B81/Data!$B$57)</f>
        <v>140.95133865569059</v>
      </c>
      <c r="HB36" s="34">
        <f t="shared" si="73"/>
        <v>153.59636142042382</v>
      </c>
      <c r="HD36" s="34">
        <f t="shared" si="16"/>
        <v>8.9711973545862467</v>
      </c>
      <c r="HF36" s="34">
        <v>1.7516279703404507</v>
      </c>
    </row>
    <row r="37" spans="1:214">
      <c r="A37">
        <v>2013</v>
      </c>
      <c r="B37">
        <f>Data!F47*Data!G47</f>
        <v>988566.22499999986</v>
      </c>
      <c r="C37">
        <f>Data!H47/Data!I47</f>
        <v>12.780853062007161</v>
      </c>
      <c r="D37" s="32">
        <f>Data!E47</f>
        <v>2527000</v>
      </c>
      <c r="E37" s="33">
        <f>Data!J47</f>
        <v>-1.5806549999999999</v>
      </c>
      <c r="F37" s="32">
        <f>Data!D47</f>
        <v>2421124</v>
      </c>
      <c r="G37" s="32">
        <f>Data!B47</f>
        <v>2343384</v>
      </c>
      <c r="I37" s="34">
        <f t="shared" si="42"/>
        <v>1.6329278858747021</v>
      </c>
      <c r="J37" s="34">
        <f t="shared" si="42"/>
        <v>1.7184696201135941</v>
      </c>
      <c r="L37">
        <v>2033</v>
      </c>
      <c r="M37" s="32">
        <f>'[2]2022-based'!L40</f>
        <v>271.97854202724068</v>
      </c>
      <c r="N37" s="32">
        <v>340</v>
      </c>
      <c r="O37" s="32">
        <v>340</v>
      </c>
      <c r="P37" s="32"/>
      <c r="R37">
        <v>2053</v>
      </c>
      <c r="S37" s="32">
        <f>'[2]2022-based'!Q60</f>
        <v>74652.31984867173</v>
      </c>
      <c r="T37" s="32">
        <v>77766.710000000006</v>
      </c>
      <c r="U37" s="32">
        <v>76642.198000000004</v>
      </c>
      <c r="DT37">
        <v>2007</v>
      </c>
      <c r="DU37" s="34">
        <f>100*((Data!M41/Data!M40)-1)</f>
        <v>0.6977210805330758</v>
      </c>
      <c r="DV37" s="34">
        <f t="shared" si="71"/>
        <v>0.68121312795730082</v>
      </c>
      <c r="DW37" s="34">
        <v>0</v>
      </c>
      <c r="DX37">
        <v>65</v>
      </c>
      <c r="DY37">
        <v>60</v>
      </c>
      <c r="EA37" s="152">
        <v>34973</v>
      </c>
      <c r="EB37" s="34">
        <f>100*(HAVERM!C76/HAVERM!B76)</f>
        <v>24.708328520272612</v>
      </c>
      <c r="EC37" s="34">
        <f t="shared" si="37"/>
        <v>25.050854271384292</v>
      </c>
      <c r="EE37" s="32">
        <f>HAVERM!C76</f>
        <v>2139</v>
      </c>
      <c r="EF37" s="32">
        <f>HAVERM!B76-HAVERM!C76</f>
        <v>6518</v>
      </c>
      <c r="FX37" s="34">
        <f>100*((AVERAGE(HAVERQ!B21:B40)/AVERAGE(HAVERQ!B17:B36))-1)</f>
        <v>3.2288068030826622</v>
      </c>
      <c r="FY37" s="31"/>
      <c r="FZ37" s="31"/>
      <c r="GA37" s="31"/>
      <c r="GZ37">
        <v>2048</v>
      </c>
      <c r="HA37" s="34">
        <f>100*(Data!B82/Data!$B$57)</f>
        <v>142.90071376560408</v>
      </c>
      <c r="HB37" s="34">
        <f t="shared" si="73"/>
        <v>156.2625338743978</v>
      </c>
      <c r="HD37" s="34">
        <f t="shared" si="16"/>
        <v>9.3504222314177774</v>
      </c>
      <c r="HF37" s="34">
        <v>1.7358304775698059</v>
      </c>
    </row>
    <row r="38" spans="1:214">
      <c r="A38">
        <v>2014</v>
      </c>
      <c r="B38">
        <f>Data!F48*Data!G48</f>
        <v>1001159.5522499999</v>
      </c>
      <c r="C38">
        <f>Data!H48/Data!I48</f>
        <v>12.882914801255417</v>
      </c>
      <c r="D38" s="32">
        <f>Data!E48</f>
        <v>2574000</v>
      </c>
      <c r="E38" s="33">
        <f>Data!J48</f>
        <v>-1.581388</v>
      </c>
      <c r="F38" s="32">
        <f>Data!D48</f>
        <v>2457942</v>
      </c>
      <c r="G38" s="32">
        <f>Data!B48</f>
        <v>2417439</v>
      </c>
      <c r="I38" s="34">
        <f t="shared" si="42"/>
        <v>1.5206986507093401</v>
      </c>
      <c r="J38" s="34">
        <f t="shared" si="42"/>
        <v>3.1601734926926195</v>
      </c>
      <c r="L38">
        <v>2034</v>
      </c>
      <c r="M38" s="32">
        <f>'[2]2022-based'!L41</f>
        <v>271.97854202724068</v>
      </c>
      <c r="N38" s="32">
        <v>340</v>
      </c>
      <c r="O38" s="32">
        <v>340</v>
      </c>
      <c r="P38" s="32"/>
      <c r="R38">
        <v>2054</v>
      </c>
      <c r="S38" s="32">
        <f>'[2]2022-based'!Q61</f>
        <v>74753.422390698979</v>
      </c>
      <c r="T38" s="32">
        <v>77935.834000000003</v>
      </c>
      <c r="U38" s="32">
        <v>76803.913</v>
      </c>
      <c r="DT38">
        <v>2008</v>
      </c>
      <c r="DU38" s="34">
        <f>100*((Data!M42/Data!M41)-1)</f>
        <v>0.60565971053341272</v>
      </c>
      <c r="DV38" s="34">
        <f t="shared" si="71"/>
        <v>0.70429747785617058</v>
      </c>
      <c r="DW38" s="34">
        <v>0</v>
      </c>
      <c r="DX38">
        <v>65</v>
      </c>
      <c r="DY38">
        <v>60</v>
      </c>
      <c r="EA38" s="152">
        <v>35004</v>
      </c>
      <c r="EB38" s="34">
        <f>100*(HAVERM!C77/HAVERM!B77)</f>
        <v>24.898762003933818</v>
      </c>
      <c r="EC38" s="34">
        <f t="shared" si="37"/>
        <v>25.050854271384292</v>
      </c>
      <c r="EE38" s="32">
        <f>HAVERM!C77</f>
        <v>2152</v>
      </c>
      <c r="EF38" s="32">
        <f>HAVERM!B77-HAVERM!C77</f>
        <v>6491</v>
      </c>
      <c r="FX38" s="34">
        <f>100*((AVERAGE(HAVERQ!B22:B41)/AVERAGE(HAVERQ!B18:B37))-1)</f>
        <v>3.3368504352413453</v>
      </c>
      <c r="FY38" s="31"/>
      <c r="FZ38" s="31"/>
      <c r="GA38" s="31"/>
      <c r="GZ38">
        <v>2049</v>
      </c>
      <c r="HA38" s="34">
        <f>100*(Data!B83/Data!$B$57)</f>
        <v>144.84631003094293</v>
      </c>
      <c r="HB38" s="34">
        <f t="shared" si="73"/>
        <v>158.94545276712989</v>
      </c>
      <c r="HD38" s="34">
        <f t="shared" si="16"/>
        <v>9.7338639370067703</v>
      </c>
      <c r="HF38" s="34">
        <v>1.7169303646954717</v>
      </c>
    </row>
    <row r="39" spans="1:214">
      <c r="A39">
        <v>2015</v>
      </c>
      <c r="B39">
        <f>Data!F49*Data!G49</f>
        <v>1010319.894</v>
      </c>
      <c r="C39">
        <f>Data!H49/Data!I49</f>
        <v>12.982593816771919</v>
      </c>
      <c r="D39" s="32">
        <f>Data!E49</f>
        <v>2635000</v>
      </c>
      <c r="E39" s="33">
        <f>Data!J49</f>
        <v>-1.5821210000000001</v>
      </c>
      <c r="F39" s="32">
        <f>Data!D49</f>
        <v>2494130</v>
      </c>
      <c r="G39" s="32">
        <f>Data!B49</f>
        <v>2469182</v>
      </c>
      <c r="I39" s="34">
        <f t="shared" si="42"/>
        <v>1.4722886056709239</v>
      </c>
      <c r="J39" s="34">
        <f t="shared" si="42"/>
        <v>2.1404056110619463</v>
      </c>
      <c r="L39">
        <v>2035</v>
      </c>
      <c r="M39" s="32">
        <f>'[2]2022-based'!L42</f>
        <v>271.97854202724068</v>
      </c>
      <c r="N39" s="32">
        <v>340</v>
      </c>
      <c r="O39" s="32">
        <v>340</v>
      </c>
      <c r="P39" s="32"/>
      <c r="R39">
        <v>2055</v>
      </c>
      <c r="S39" s="32">
        <f>'[2]2022-based'!Q62</f>
        <v>74845.699932726217</v>
      </c>
      <c r="T39" s="32">
        <v>78096.133000000002</v>
      </c>
      <c r="U39" s="32">
        <v>76956.519</v>
      </c>
      <c r="DT39">
        <v>2009</v>
      </c>
      <c r="DU39" s="34">
        <f>100*((Data!M43/Data!M42)-1)</f>
        <v>0.51906437070545763</v>
      </c>
      <c r="DV39" s="34">
        <f t="shared" si="71"/>
        <v>0.70484865145249431</v>
      </c>
      <c r="DW39" s="34">
        <v>0</v>
      </c>
      <c r="DX39">
        <v>65</v>
      </c>
      <c r="DY39">
        <v>60</v>
      </c>
      <c r="EA39" s="152">
        <v>35034</v>
      </c>
      <c r="EB39" s="34">
        <f>100*(HAVERM!C78/HAVERM!B78)</f>
        <v>24.886877828054299</v>
      </c>
      <c r="EC39" s="34">
        <f t="shared" si="37"/>
        <v>25.050854271384292</v>
      </c>
      <c r="EE39" s="32">
        <f>HAVERM!C78</f>
        <v>2145</v>
      </c>
      <c r="EF39" s="32">
        <f>HAVERM!B78-HAVERM!C78</f>
        <v>6474</v>
      </c>
      <c r="FX39" s="34">
        <f>100*((AVERAGE(HAVERQ!B23:B42)/AVERAGE(HAVERQ!B19:B38))-1)</f>
        <v>3.2979976442874204</v>
      </c>
      <c r="FY39" s="34"/>
      <c r="FZ39" s="31"/>
      <c r="GA39" s="31"/>
      <c r="GZ39">
        <v>2050</v>
      </c>
      <c r="HA39" s="34">
        <f>100*(Data!B84/Data!$B$57)</f>
        <v>146.76872453821792</v>
      </c>
      <c r="HB39" s="34">
        <f t="shared" si="73"/>
        <v>161.65228306229173</v>
      </c>
      <c r="HD39" s="34">
        <f t="shared" si="16"/>
        <v>10.140824328140962</v>
      </c>
      <c r="HF39" s="34">
        <v>1.7029932269453383</v>
      </c>
    </row>
    <row r="40" spans="1:214">
      <c r="A40">
        <v>2016</v>
      </c>
      <c r="B40">
        <f>Data!F50*Data!G50</f>
        <v>1020729.6819999999</v>
      </c>
      <c r="C40">
        <f>Data!H50/Data!I50</f>
        <v>13.080186651901958</v>
      </c>
      <c r="D40" s="32">
        <f>Data!E50</f>
        <v>2706000</v>
      </c>
      <c r="E40" s="33">
        <f>Data!J50</f>
        <v>-1.5828549999999999</v>
      </c>
      <c r="F40" s="32">
        <f>Data!D50</f>
        <v>2536360</v>
      </c>
      <c r="G40" s="32">
        <f>Data!B50</f>
        <v>2523665</v>
      </c>
      <c r="I40" s="34">
        <f t="shared" si="42"/>
        <v>1.6931755762530365</v>
      </c>
      <c r="J40" s="34">
        <f t="shared" si="42"/>
        <v>2.2065202160067576</v>
      </c>
      <c r="L40">
        <v>2036</v>
      </c>
      <c r="M40" s="32">
        <f>'[2]2022-based'!L43</f>
        <v>271.97854202724068</v>
      </c>
      <c r="N40" s="32">
        <v>340</v>
      </c>
      <c r="O40" s="32">
        <v>340</v>
      </c>
      <c r="P40" s="32"/>
      <c r="R40">
        <v>2056</v>
      </c>
      <c r="S40" s="32">
        <f>'[2]2022-based'!Q63</f>
        <v>74930.303474753455</v>
      </c>
      <c r="T40" s="32">
        <v>78248.758000000002</v>
      </c>
      <c r="U40" s="32">
        <v>77101.106</v>
      </c>
      <c r="DT40">
        <v>2010</v>
      </c>
      <c r="DU40" s="34">
        <f>100*((Data!M44/Data!M43)-1)</f>
        <v>0.82222706740913143</v>
      </c>
      <c r="DV40" s="34">
        <f t="shared" si="71"/>
        <v>0.72617207798802319</v>
      </c>
      <c r="DW40" s="34">
        <v>0</v>
      </c>
      <c r="DX40" s="34">
        <v>65</v>
      </c>
      <c r="DY40">
        <v>60</v>
      </c>
      <c r="EA40" s="152">
        <v>35065</v>
      </c>
      <c r="EB40" s="34">
        <f>100*(HAVERM!C79/HAVERM!B79)</f>
        <v>24.979761767086849</v>
      </c>
      <c r="EC40" s="34">
        <f t="shared" si="37"/>
        <v>25.050854271384292</v>
      </c>
      <c r="EE40" s="32">
        <f>HAVERM!C79</f>
        <v>2160</v>
      </c>
      <c r="EF40" s="32">
        <f>HAVERM!B79-HAVERM!C79</f>
        <v>6487</v>
      </c>
      <c r="FW40">
        <v>1969</v>
      </c>
      <c r="FX40" s="34">
        <f>100*((AVERAGE(HAVERQ!B24:B43)/AVERAGE(HAVERQ!B20:B39))-1)</f>
        <v>3.0864998054726867</v>
      </c>
      <c r="FY40" s="34"/>
      <c r="FZ40" s="31"/>
      <c r="GA40" s="31"/>
      <c r="GZ40">
        <v>2051</v>
      </c>
      <c r="HA40" s="34">
        <f>100*(Data!B85/Data!$B$57)</f>
        <v>148.68350868625561</v>
      </c>
      <c r="HB40" s="34">
        <f t="shared" si="73"/>
        <v>164.39271238510568</v>
      </c>
      <c r="HD40" s="34">
        <f t="shared" ref="HD40:HD49" si="81">100*((HB40/HA40)-1)</f>
        <v>10.565532006645629</v>
      </c>
      <c r="HF40" s="34">
        <v>1.6952617500353853</v>
      </c>
    </row>
    <row r="41" spans="1:214">
      <c r="A41">
        <v>2017</v>
      </c>
      <c r="B41">
        <f>Data!F51*Data!G51</f>
        <v>1029430.9500000001</v>
      </c>
      <c r="C41">
        <f>Data!H51/Data!I51</f>
        <v>13.176208072942813</v>
      </c>
      <c r="D41" s="32">
        <f>Data!E51</f>
        <v>2780000</v>
      </c>
      <c r="E41" s="33">
        <f>Data!J51</f>
        <v>-1.5835900000000001</v>
      </c>
      <c r="F41" s="32">
        <f>Data!D51</f>
        <v>2578098</v>
      </c>
      <c r="G41" s="32">
        <f>Data!B51</f>
        <v>2599961</v>
      </c>
      <c r="I41" s="34">
        <f t="shared" si="42"/>
        <v>1.6455865886546128</v>
      </c>
      <c r="J41" s="34">
        <f t="shared" si="42"/>
        <v>3.0232221788549563</v>
      </c>
      <c r="L41">
        <v>2037</v>
      </c>
      <c r="M41" s="32">
        <f>'[2]2022-based'!L44</f>
        <v>271.97854202724068</v>
      </c>
      <c r="N41" s="32">
        <v>340</v>
      </c>
      <c r="O41" s="32">
        <v>340</v>
      </c>
      <c r="P41" s="32"/>
      <c r="R41">
        <v>2057</v>
      </c>
      <c r="S41" s="32">
        <f>'[2]2022-based'!Q64</f>
        <v>75008.420016780699</v>
      </c>
      <c r="T41" s="32">
        <v>78394.895999999993</v>
      </c>
      <c r="U41" s="32">
        <v>77238.857000000004</v>
      </c>
      <c r="DT41">
        <v>2011</v>
      </c>
      <c r="DU41" s="34">
        <f>100*((Data!M45/Data!M44)-1)</f>
        <v>1.103956314886223</v>
      </c>
      <c r="DV41" s="34">
        <f t="shared" si="71"/>
        <v>0.76451254218735665</v>
      </c>
      <c r="DW41" s="34">
        <v>0</v>
      </c>
      <c r="DX41" s="34">
        <v>65</v>
      </c>
      <c r="DY41" s="34">
        <f>DY40+($AI$48-$AI$40)*1/8</f>
        <v>60</v>
      </c>
      <c r="EA41" s="152">
        <v>35096</v>
      </c>
      <c r="EB41" s="34">
        <f>100*(HAVERM!C80/HAVERM!B80)</f>
        <v>24.919429097605892</v>
      </c>
      <c r="EC41" s="34">
        <f t="shared" si="37"/>
        <v>25.050854271384292</v>
      </c>
      <c r="EE41" s="32">
        <f>HAVERM!C80</f>
        <v>2165</v>
      </c>
      <c r="EF41" s="32">
        <f>HAVERM!B80-HAVERM!C80</f>
        <v>6523</v>
      </c>
      <c r="FX41" s="34">
        <f>100*((AVERAGE(HAVERQ!B25:B44)/AVERAGE(HAVERQ!B21:B40))-1)</f>
        <v>3.0119706525936207</v>
      </c>
      <c r="FY41" s="34"/>
      <c r="FZ41" s="31"/>
      <c r="GA41" s="31"/>
      <c r="GZ41">
        <v>2052</v>
      </c>
      <c r="HA41" s="34">
        <f>100*(Data!B86/Data!$B$57)</f>
        <v>150.58216007476298</v>
      </c>
      <c r="HB41" s="34">
        <f t="shared" si="73"/>
        <v>167.16224433921664</v>
      </c>
      <c r="HD41" s="34">
        <f t="shared" si="81"/>
        <v>11.01065641256691</v>
      </c>
      <c r="HF41" s="34">
        <v>1.6847048229383006</v>
      </c>
    </row>
    <row r="42" spans="1:214">
      <c r="A42">
        <v>2018</v>
      </c>
      <c r="B42">
        <f>Data!F52*Data!G52</f>
        <v>1036885.12</v>
      </c>
      <c r="C42">
        <f>Data!H52/Data!I52</f>
        <v>13.270807397674208</v>
      </c>
      <c r="D42" s="32">
        <f>Data!E52</f>
        <v>2838000</v>
      </c>
      <c r="E42" s="33">
        <f>Data!J52</f>
        <v>-1.5843240000000001</v>
      </c>
      <c r="F42" s="32">
        <f>Data!D52</f>
        <v>2616327</v>
      </c>
      <c r="G42" s="32">
        <f>Data!B52</f>
        <v>2640295</v>
      </c>
      <c r="I42" s="34">
        <f t="shared" si="42"/>
        <v>1.4828373475329393</v>
      </c>
      <c r="J42" s="34">
        <f t="shared" si="42"/>
        <v>1.551330962272135</v>
      </c>
      <c r="L42">
        <v>2038</v>
      </c>
      <c r="M42" s="32">
        <f>'[2]2022-based'!L45</f>
        <v>271.97854202724068</v>
      </c>
      <c r="N42" s="32">
        <v>340</v>
      </c>
      <c r="O42" s="32">
        <v>340</v>
      </c>
      <c r="P42" s="32"/>
      <c r="R42">
        <v>2058</v>
      </c>
      <c r="S42" s="32">
        <f>'[2]2022-based'!Q65</f>
        <v>75081.112558807945</v>
      </c>
      <c r="T42" s="32">
        <v>78535.61</v>
      </c>
      <c r="U42" s="32">
        <v>77370.850999999995</v>
      </c>
      <c r="DT42">
        <v>2012</v>
      </c>
      <c r="DU42" s="34">
        <f>100*((Data!M46/Data!M45)-1)</f>
        <v>0.65879862273623413</v>
      </c>
      <c r="DV42" s="34">
        <f t="shared" si="71"/>
        <v>0.7618936894637196</v>
      </c>
      <c r="DW42" s="34">
        <v>0</v>
      </c>
      <c r="DX42" s="34">
        <v>65</v>
      </c>
      <c r="DY42" s="34">
        <f t="shared" ref="DY42:DY47" si="82">DY41+($AI$48-$AI$40)*1/8</f>
        <v>60</v>
      </c>
      <c r="EA42" s="152">
        <v>35125</v>
      </c>
      <c r="EB42" s="34">
        <f>100*(HAVERM!C81/HAVERM!B81)</f>
        <v>24.922190201729105</v>
      </c>
      <c r="EC42" s="34">
        <f t="shared" si="37"/>
        <v>25.050854271384292</v>
      </c>
      <c r="EE42" s="32">
        <f>HAVERM!C81</f>
        <v>2162</v>
      </c>
      <c r="EF42" s="32">
        <f>HAVERM!B81-HAVERM!C81</f>
        <v>6513</v>
      </c>
      <c r="FX42" s="34">
        <f>100*((AVERAGE(HAVERQ!B26:B45)/AVERAGE(HAVERQ!B22:B41))-1)</f>
        <v>2.8589661774090835</v>
      </c>
      <c r="FY42" s="34"/>
      <c r="FZ42" s="31"/>
      <c r="GA42" s="31"/>
      <c r="GZ42">
        <v>2053</v>
      </c>
      <c r="HA42" s="34">
        <f>100*(Data!B87/Data!$B$57)</f>
        <v>152.45316049479609</v>
      </c>
      <c r="HB42" s="34">
        <f t="shared" si="73"/>
        <v>169.94776724335082</v>
      </c>
      <c r="HD42" s="34">
        <f t="shared" si="81"/>
        <v>11.475397880749028</v>
      </c>
      <c r="HF42" s="34">
        <v>1.6663588809453955</v>
      </c>
    </row>
    <row r="43" spans="1:214">
      <c r="A43">
        <v>2019</v>
      </c>
      <c r="B43">
        <f>Data!F53*Data!G53</f>
        <v>1050157.9919999999</v>
      </c>
      <c r="C43">
        <f>Data!H53/Data!I53</f>
        <v>13.364048371266968</v>
      </c>
      <c r="D43" s="32">
        <f>Data!E53</f>
        <v>2892000</v>
      </c>
      <c r="E43" s="33">
        <f>Data!J53</f>
        <v>-1.585059</v>
      </c>
      <c r="F43" s="32">
        <f>Data!D53</f>
        <v>2660121</v>
      </c>
      <c r="G43" s="32">
        <f>Data!B53</f>
        <v>2673465</v>
      </c>
      <c r="I43" s="34">
        <f t="shared" si="42"/>
        <v>1.6738733346405077</v>
      </c>
      <c r="J43" s="34">
        <f t="shared" si="42"/>
        <v>1.2562990120422057</v>
      </c>
      <c r="L43">
        <v>2039</v>
      </c>
      <c r="M43" s="32">
        <f>'[2]2022-based'!L46</f>
        <v>271.97854202724068</v>
      </c>
      <c r="N43" s="32">
        <v>340</v>
      </c>
      <c r="O43" s="32">
        <v>340</v>
      </c>
      <c r="P43" s="32"/>
      <c r="R43">
        <v>2059</v>
      </c>
      <c r="S43" s="32">
        <f>'[2]2022-based'!Q66</f>
        <v>75149.517100835175</v>
      </c>
      <c r="T43" s="32">
        <v>78672.035999999993</v>
      </c>
      <c r="U43" s="32">
        <v>77498.203999999998</v>
      </c>
      <c r="DT43">
        <v>2013</v>
      </c>
      <c r="DU43" s="34">
        <f>100*((Data!M47/Data!M46)-1)</f>
        <v>0.77680362892416088</v>
      </c>
      <c r="DV43" s="34">
        <f t="shared" si="71"/>
        <v>0.77655698557461905</v>
      </c>
      <c r="DW43" s="34">
        <v>0</v>
      </c>
      <c r="DX43" s="34">
        <v>65</v>
      </c>
      <c r="DY43" s="34">
        <f t="shared" si="82"/>
        <v>60</v>
      </c>
      <c r="EA43" s="152">
        <v>35156</v>
      </c>
      <c r="EB43" s="34">
        <f>100*(HAVERM!C82/HAVERM!B82)</f>
        <v>25.349186194159067</v>
      </c>
      <c r="EC43" s="34">
        <f t="shared" si="37"/>
        <v>25.050854271384292</v>
      </c>
      <c r="EE43" s="32">
        <f>HAVERM!C82</f>
        <v>2196</v>
      </c>
      <c r="EF43" s="32">
        <f>HAVERM!B82-HAVERM!C82</f>
        <v>6467</v>
      </c>
      <c r="FX43" s="34">
        <f>100*((AVERAGE(HAVERQ!B27:B46)/AVERAGE(HAVERQ!B23:B42))-1)</f>
        <v>2.8126187761307486</v>
      </c>
      <c r="FY43" s="34">
        <f>100*((AVERAGE(HAVERQ!B7:B46)/AVERAGE(HAVERQ!B3:B42))-1)</f>
        <v>1.6040473179079084</v>
      </c>
      <c r="FZ43" s="31"/>
      <c r="GA43" s="31"/>
      <c r="GZ43">
        <v>2054</v>
      </c>
      <c r="HA43" s="34">
        <f>100*(Data!B88/Data!$B$57)</f>
        <v>154.32430625500515</v>
      </c>
      <c r="HB43" s="34">
        <f t="shared" si="73"/>
        <v>172.74908578963388</v>
      </c>
      <c r="HD43" s="34">
        <f t="shared" si="81"/>
        <v>11.939000395818189</v>
      </c>
      <c r="HF43" s="34">
        <v>1.6483408942182791</v>
      </c>
    </row>
    <row r="44" spans="1:214">
      <c r="A44">
        <v>2020</v>
      </c>
      <c r="B44">
        <f>Data!F54*Data!G54</f>
        <v>943585.33499999996</v>
      </c>
      <c r="C44">
        <f>Data!H54/Data!I54</f>
        <v>13.456148552621737</v>
      </c>
      <c r="D44" s="32">
        <f>Data!E54</f>
        <v>2920000</v>
      </c>
      <c r="E44" s="33">
        <f>Data!J54</f>
        <v>-1.589898</v>
      </c>
      <c r="F44" s="32">
        <f>Data!D54</f>
        <v>2486749</v>
      </c>
      <c r="G44" s="32">
        <f>Data!B54</f>
        <v>2404838</v>
      </c>
      <c r="I44" s="34">
        <f t="shared" si="42"/>
        <v>-6.5174478905282829</v>
      </c>
      <c r="J44" s="34">
        <f t="shared" si="42"/>
        <v>-10.047896643494491</v>
      </c>
      <c r="L44">
        <v>2040</v>
      </c>
      <c r="M44" s="32">
        <f>'[2]2022-based'!L47</f>
        <v>271.97854202724068</v>
      </c>
      <c r="N44" s="32">
        <v>340</v>
      </c>
      <c r="O44" s="32">
        <v>340</v>
      </c>
      <c r="P44" s="32"/>
      <c r="R44">
        <v>2060</v>
      </c>
      <c r="S44" s="32">
        <f>'[2]2022-based'!Q67</f>
        <v>75214.776642862445</v>
      </c>
      <c r="T44" s="32">
        <v>78805.316999999995</v>
      </c>
      <c r="U44" s="32">
        <v>77622.122000000003</v>
      </c>
      <c r="DT44">
        <v>2014</v>
      </c>
      <c r="DU44" s="34">
        <f>100*((Data!M48/Data!M47)-1)</f>
        <v>0.86671659352723918</v>
      </c>
      <c r="DV44" s="34">
        <f t="shared" si="71"/>
        <v>0.78724090178390327</v>
      </c>
      <c r="DW44" s="34">
        <v>0</v>
      </c>
      <c r="DX44" s="34">
        <v>65</v>
      </c>
      <c r="DY44" s="34">
        <f t="shared" si="82"/>
        <v>60</v>
      </c>
      <c r="EA44" s="152">
        <v>35186</v>
      </c>
      <c r="EB44" s="34">
        <f>100*(HAVERM!C83/HAVERM!B83)</f>
        <v>25.288284132841326</v>
      </c>
      <c r="EC44" s="34">
        <f t="shared" si="37"/>
        <v>25.050854271384292</v>
      </c>
      <c r="EE44" s="32">
        <f>HAVERM!C83</f>
        <v>2193</v>
      </c>
      <c r="EF44" s="32">
        <f>HAVERM!B83-HAVERM!C83</f>
        <v>6479</v>
      </c>
      <c r="FW44">
        <v>1970</v>
      </c>
      <c r="FX44" s="34">
        <f>100*((AVERAGE(HAVERQ!B28:B47)/AVERAGE(HAVERQ!B24:B43))-1)</f>
        <v>2.7550635300037651</v>
      </c>
      <c r="FY44" s="34">
        <f>100*((AVERAGE(HAVERQ!B8:B47)/AVERAGE(HAVERQ!B4:B43))-1)</f>
        <v>1.8360247999423374</v>
      </c>
      <c r="FZ44" s="34">
        <f t="shared" ref="FZ44:FZ47" si="83">$GD$6</f>
        <v>2.0390522566444025</v>
      </c>
      <c r="GA44" s="31"/>
      <c r="GZ44">
        <v>2055</v>
      </c>
      <c r="HA44" s="34">
        <f>100*(Data!B89/Data!$B$57)</f>
        <v>156.18338878061047</v>
      </c>
      <c r="HB44" s="34">
        <f t="shared" si="73"/>
        <v>175.56366667880891</v>
      </c>
      <c r="HD44" s="34">
        <f t="shared" si="81"/>
        <v>12.408667816410212</v>
      </c>
      <c r="HF44" s="34">
        <v>1.6292884424305925</v>
      </c>
    </row>
    <row r="45" spans="1:214">
      <c r="A45">
        <v>2021</v>
      </c>
      <c r="B45">
        <f>Data!F55*Data!G55</f>
        <v>1011326.2235</v>
      </c>
      <c r="C45">
        <f>Data!H55/Data!I55</f>
        <v>13.547246776600248</v>
      </c>
      <c r="D45" s="32">
        <f>Data!E55</f>
        <v>2967000</v>
      </c>
      <c r="E45" s="33">
        <f>Data!J55</f>
        <v>-1.5941719999999999</v>
      </c>
      <c r="F45" s="32">
        <f>Data!D55</f>
        <v>2607600</v>
      </c>
      <c r="G45" s="32">
        <f>Data!B55</f>
        <v>2610286</v>
      </c>
      <c r="I45" s="34">
        <f t="shared" si="42"/>
        <v>4.8597988779728096</v>
      </c>
      <c r="J45" s="34">
        <f t="shared" si="42"/>
        <v>8.5431118437083953</v>
      </c>
      <c r="L45">
        <v>2041</v>
      </c>
      <c r="M45" s="32">
        <f>'[2]2022-based'!L48</f>
        <v>271.97854202724068</v>
      </c>
      <c r="N45" s="32">
        <v>340</v>
      </c>
      <c r="O45" s="32">
        <v>340</v>
      </c>
      <c r="P45" s="32"/>
      <c r="DT45">
        <v>2015</v>
      </c>
      <c r="DU45" s="34">
        <f>100*((Data!M49/Data!M48)-1)</f>
        <v>0.96732097626937019</v>
      </c>
      <c r="DV45" s="34">
        <f t="shared" si="71"/>
        <v>0.78669633731443644</v>
      </c>
      <c r="DW45" s="34">
        <v>0</v>
      </c>
      <c r="DX45" s="34">
        <v>65</v>
      </c>
      <c r="DY45" s="34">
        <f t="shared" si="82"/>
        <v>60</v>
      </c>
      <c r="EA45" s="152">
        <v>35217</v>
      </c>
      <c r="EB45" s="34">
        <f>100*(HAVERM!C84/HAVERM!B84)</f>
        <v>25.490646160908987</v>
      </c>
      <c r="EC45" s="34">
        <f t="shared" si="37"/>
        <v>25.050854271384292</v>
      </c>
      <c r="EE45" s="32">
        <f>HAVERM!C84</f>
        <v>2221</v>
      </c>
      <c r="EF45" s="32">
        <f>HAVERM!B84-HAVERM!C84</f>
        <v>6492</v>
      </c>
      <c r="FX45" s="34">
        <f>100*((AVERAGE(HAVERQ!B29:B48)/AVERAGE(HAVERQ!B25:B44))-1)</f>
        <v>2.8489316506310258</v>
      </c>
      <c r="FY45" s="34">
        <f>100*((AVERAGE(HAVERQ!B9:B48)/AVERAGE(HAVERQ!B5:B44))-1)</f>
        <v>2.1666783192337391</v>
      </c>
      <c r="FZ45" s="34">
        <f t="shared" si="83"/>
        <v>2.0390522566444025</v>
      </c>
      <c r="GA45" s="31"/>
      <c r="GZ45">
        <v>2056</v>
      </c>
      <c r="HA45" s="34">
        <f>100*(Data!B90/Data!$B$57)</f>
        <v>158.03218848876739</v>
      </c>
      <c r="HB45" s="34">
        <f t="shared" si="73"/>
        <v>178.381263840163</v>
      </c>
      <c r="HD45" s="34">
        <f t="shared" si="81"/>
        <v>12.876538347022892</v>
      </c>
      <c r="HF45" s="34">
        <v>1.6048862584470953</v>
      </c>
    </row>
    <row r="46" spans="1:214">
      <c r="A46">
        <v>2022</v>
      </c>
      <c r="B46">
        <f>Data!F56*Data!G56</f>
        <v>1043187.5250000001</v>
      </c>
      <c r="C46">
        <f>Data!H56/Data!I56</f>
        <v>13.63727083866535</v>
      </c>
      <c r="D46" s="32">
        <f>Data!E56</f>
        <v>3028000</v>
      </c>
      <c r="E46" s="33">
        <f>Data!J56</f>
        <v>-1.594949</v>
      </c>
      <c r="F46" s="32">
        <f>Data!D56</f>
        <v>2680477</v>
      </c>
      <c r="G46" s="32">
        <f>Data!B56</f>
        <v>2744708</v>
      </c>
      <c r="I46" s="34">
        <f t="shared" si="42"/>
        <v>2.7947921460346636</v>
      </c>
      <c r="J46" s="34">
        <f t="shared" si="42"/>
        <v>5.1497039021777713</v>
      </c>
      <c r="L46">
        <v>2042</v>
      </c>
      <c r="M46" s="32">
        <f>'[2]2022-based'!L49</f>
        <v>271.97854202724068</v>
      </c>
      <c r="N46" s="32">
        <v>340</v>
      </c>
      <c r="O46" s="32">
        <v>340</v>
      </c>
      <c r="P46" s="32"/>
      <c r="R46" t="s">
        <v>1460</v>
      </c>
      <c r="T46" s="32">
        <f>T14-$S$14</f>
        <v>1528.4881128000707</v>
      </c>
      <c r="U46" s="32">
        <f>U14-$S$14</f>
        <v>660.08511280007951</v>
      </c>
      <c r="V46" s="32">
        <f t="shared" ref="V46" si="84">V14-$S$14</f>
        <v>658.37106698782009</v>
      </c>
      <c r="W46" s="32"/>
      <c r="X46" s="32"/>
      <c r="DT46">
        <v>2016</v>
      </c>
      <c r="DU46" s="34">
        <f>100*((Data!M50/Data!M49)-1)</f>
        <v>1.0251635530009073</v>
      </c>
      <c r="DV46" s="34">
        <f t="shared" si="71"/>
        <v>0.80434319185252112</v>
      </c>
      <c r="DW46" s="34">
        <v>0</v>
      </c>
      <c r="DX46" s="34">
        <v>65</v>
      </c>
      <c r="DY46" s="34">
        <f t="shared" si="82"/>
        <v>60</v>
      </c>
      <c r="EA46" s="152">
        <v>35247</v>
      </c>
      <c r="EB46" s="34">
        <f>100*(HAVERM!C85/HAVERM!B85)</f>
        <v>25.680486964511314</v>
      </c>
      <c r="EC46" s="34">
        <f t="shared" si="37"/>
        <v>25.050854271384292</v>
      </c>
      <c r="EE46" s="32">
        <f>HAVERM!C85</f>
        <v>2236</v>
      </c>
      <c r="EF46" s="32">
        <f>HAVERM!B85-HAVERM!C85</f>
        <v>6471</v>
      </c>
      <c r="FX46" s="34">
        <f>100*((AVERAGE(HAVERQ!B30:B49)/AVERAGE(HAVERQ!B26:B45))-1)</f>
        <v>2.9408115150763248</v>
      </c>
      <c r="FY46" s="34">
        <f>100*((AVERAGE(HAVERQ!B10:B49)/AVERAGE(HAVERQ!B6:B45))-1)</f>
        <v>2.5016964103956152</v>
      </c>
      <c r="FZ46" s="34">
        <f t="shared" si="83"/>
        <v>2.0390522566444025</v>
      </c>
      <c r="GA46" s="31"/>
      <c r="GZ46">
        <v>2057</v>
      </c>
      <c r="HA46" s="34">
        <f>100*(Data!B91/Data!$B$57)</f>
        <v>159.88749216979804</v>
      </c>
      <c r="HB46" s="34">
        <f t="shared" si="73"/>
        <v>181.20675905756599</v>
      </c>
      <c r="HD46" s="34">
        <f t="shared" si="81"/>
        <v>13.333917868401635</v>
      </c>
      <c r="HF46" s="34">
        <v>1.5839641207692807</v>
      </c>
    </row>
    <row r="47" spans="1:214">
      <c r="A47">
        <v>2023</v>
      </c>
      <c r="B47">
        <f>Data!F57*Data!G57</f>
        <v>1054153.595</v>
      </c>
      <c r="C47">
        <f>Data!H57/Data!I57</f>
        <v>13.726024996813953</v>
      </c>
      <c r="D47" s="32">
        <f>Data!E57</f>
        <v>3095000</v>
      </c>
      <c r="E47" s="33">
        <f>Data!J57</f>
        <v>-1.5955269999999999</v>
      </c>
      <c r="F47" s="32">
        <f>Data!D57</f>
        <v>2722320</v>
      </c>
      <c r="G47" s="32">
        <f>Data!B57</f>
        <v>2752164</v>
      </c>
      <c r="I47" s="34">
        <f t="shared" si="42"/>
        <v>1.5610281304409668</v>
      </c>
      <c r="J47" s="34">
        <f t="shared" si="42"/>
        <v>0.27165002615943123</v>
      </c>
      <c r="L47">
        <v>2043</v>
      </c>
      <c r="M47" s="32">
        <f>'[2]2022-based'!L50</f>
        <v>271.97854202724068</v>
      </c>
      <c r="N47" s="32">
        <v>340</v>
      </c>
      <c r="O47" s="32">
        <v>340</v>
      </c>
      <c r="P47" s="32"/>
      <c r="R47" t="s">
        <v>1566</v>
      </c>
      <c r="T47" s="34">
        <f>100*(($S$14/T14)-1)</f>
        <v>-2.1264445853831693</v>
      </c>
      <c r="U47" s="34">
        <f>100*(($S$14/U14)-1)</f>
        <v>-0.92954566892159418</v>
      </c>
      <c r="DT47">
        <v>2017</v>
      </c>
      <c r="DU47" s="34">
        <f>100*((Data!M51/Data!M50)-1)</f>
        <v>0.90819635697974022</v>
      </c>
      <c r="DV47" s="34">
        <f t="shared" si="71"/>
        <v>0.82539071949718767</v>
      </c>
      <c r="DW47" s="34">
        <v>0</v>
      </c>
      <c r="DX47" s="34">
        <v>65</v>
      </c>
      <c r="DY47" s="34">
        <f t="shared" si="82"/>
        <v>60</v>
      </c>
      <c r="EA47" s="152">
        <v>35278</v>
      </c>
      <c r="EB47" s="34">
        <f>100*(HAVERM!C86/HAVERM!B86)</f>
        <v>25.992655496901541</v>
      </c>
      <c r="EC47" s="34">
        <f t="shared" si="37"/>
        <v>25.050854271384292</v>
      </c>
      <c r="EE47" s="32">
        <f>HAVERM!C86</f>
        <v>2265</v>
      </c>
      <c r="EF47" s="32">
        <f>HAVERM!B86-HAVERM!C86</f>
        <v>6449</v>
      </c>
      <c r="FX47" s="34">
        <f>100*((AVERAGE(HAVERQ!B31:B50)/AVERAGE(HAVERQ!B27:B46))-1)</f>
        <v>3.1176833025261974</v>
      </c>
      <c r="FY47" s="34">
        <f>100*((AVERAGE(HAVERQ!B11:B50)/AVERAGE(HAVERQ!B7:B46))-1)</f>
        <v>2.8799261895347428</v>
      </c>
      <c r="FZ47" s="34">
        <f t="shared" si="83"/>
        <v>2.0390522566444025</v>
      </c>
      <c r="GA47" s="31"/>
      <c r="GZ47">
        <v>2058</v>
      </c>
      <c r="HA47" s="34">
        <f>100*(Data!B92/Data!$B$57)</f>
        <v>161.75838358469917</v>
      </c>
      <c r="HB47" s="34">
        <f t="shared" si="73"/>
        <v>184.04135857284433</v>
      </c>
      <c r="HD47" s="34">
        <f t="shared" si="81"/>
        <v>13.775468383360456</v>
      </c>
      <c r="HF47" s="34">
        <v>1.5642901677733931</v>
      </c>
    </row>
    <row r="48" spans="1:214">
      <c r="A48">
        <v>2024</v>
      </c>
      <c r="B48">
        <f>Data!F58*Data!G58</f>
        <v>1077081.39225</v>
      </c>
      <c r="C48">
        <f>Data!H58/Data!I58</f>
        <v>13.813544545497962</v>
      </c>
      <c r="D48" s="32">
        <f>Data!E58</f>
        <v>3153000</v>
      </c>
      <c r="E48" s="33">
        <f>Data!J58</f>
        <v>-1.5958669999999999</v>
      </c>
      <c r="F48" s="32">
        <f>Data!D58</f>
        <v>2785026</v>
      </c>
      <c r="G48" s="32">
        <f>Data!B58</f>
        <v>2782111</v>
      </c>
      <c r="I48" s="34">
        <f t="shared" si="42"/>
        <v>2.3034029798113309</v>
      </c>
      <c r="J48" s="34">
        <f t="shared" si="42"/>
        <v>1.0881255622848141</v>
      </c>
      <c r="L48">
        <v>2044</v>
      </c>
      <c r="M48" s="32">
        <f>'[2]2022-based'!L51</f>
        <v>271.97854202724068</v>
      </c>
      <c r="N48" s="32">
        <v>340</v>
      </c>
      <c r="O48" s="32">
        <v>340</v>
      </c>
      <c r="P48" s="32"/>
      <c r="DT48">
        <v>2018</v>
      </c>
      <c r="DU48" s="34">
        <f>100*((Data!M52/Data!M51)-1)</f>
        <v>0.94440890464071447</v>
      </c>
      <c r="DV48" s="34">
        <f t="shared" si="71"/>
        <v>0.85926563890791774</v>
      </c>
      <c r="DW48" s="34">
        <v>0</v>
      </c>
      <c r="DX48" s="34">
        <v>65</v>
      </c>
      <c r="DY48" s="34">
        <v>65</v>
      </c>
      <c r="EA48" s="152">
        <v>35309</v>
      </c>
      <c r="EB48" s="34">
        <f>100*(HAVERM!C87/HAVERM!B87)</f>
        <v>26.1767420396862</v>
      </c>
      <c r="EC48" s="34">
        <f t="shared" si="37"/>
        <v>25.050854271384292</v>
      </c>
      <c r="EE48" s="32">
        <f>HAVERM!C87</f>
        <v>2269</v>
      </c>
      <c r="EF48" s="32">
        <f>HAVERM!B87-HAVERM!C87</f>
        <v>6399</v>
      </c>
      <c r="FW48">
        <v>1971</v>
      </c>
      <c r="FX48" s="34">
        <f>100*((AVERAGE(HAVERQ!B32:B51)/AVERAGE(HAVERQ!B28:B47))-1)</f>
        <v>3.3545543584720727</v>
      </c>
      <c r="FY48" s="34">
        <f>100*((AVERAGE(HAVERQ!B12:B51)/AVERAGE(HAVERQ!B8:B47))-1)</f>
        <v>2.9795036343396086</v>
      </c>
      <c r="FZ48" s="34">
        <f>$GD$6</f>
        <v>2.0390522566444025</v>
      </c>
      <c r="GZ48">
        <v>2059</v>
      </c>
      <c r="HA48" s="34">
        <f>100*(Data!B93/Data!$B$57)</f>
        <v>163.63094641162371</v>
      </c>
      <c r="HB48" s="34">
        <f t="shared" si="73"/>
        <v>186.90108041702806</v>
      </c>
      <c r="HD48" s="34">
        <f t="shared" si="81"/>
        <v>14.221108241265611</v>
      </c>
      <c r="HF48" s="34">
        <v>1.5538473886302313</v>
      </c>
    </row>
    <row r="49" spans="1:214">
      <c r="A49">
        <v>2025</v>
      </c>
      <c r="B49">
        <f>Data!F59*Data!G59</f>
        <v>1095641.1845</v>
      </c>
      <c r="C49">
        <f>Data!H59/Data!I59</f>
        <v>13.899707231108682</v>
      </c>
      <c r="D49" s="32">
        <f>Data!E59</f>
        <v>3210988</v>
      </c>
      <c r="E49" s="33">
        <f>Data!J59</f>
        <v>-1.5961860000000001</v>
      </c>
      <c r="F49" s="32">
        <f>Data!D59</f>
        <v>2839341</v>
      </c>
      <c r="G49" s="32">
        <f>Data!B59</f>
        <v>2820536</v>
      </c>
      <c r="I49" s="34">
        <f t="shared" si="42"/>
        <v>1.9502510928084638</v>
      </c>
      <c r="J49" s="34">
        <f t="shared" si="42"/>
        <v>1.381145468315248</v>
      </c>
      <c r="L49">
        <v>2045</v>
      </c>
      <c r="M49" s="32">
        <f>'[2]2022-based'!L52</f>
        <v>271.97854202724068</v>
      </c>
      <c r="N49" s="32">
        <v>340</v>
      </c>
      <c r="O49" s="32">
        <v>340</v>
      </c>
      <c r="P49" s="32"/>
      <c r="DT49">
        <v>2019</v>
      </c>
      <c r="DU49" s="34">
        <f>100*((Data!M53/Data!M52)-1)</f>
        <v>1.1205491669386003</v>
      </c>
      <c r="DV49" s="34">
        <f t="shared" si="71"/>
        <v>0.91941411853123201</v>
      </c>
      <c r="DW49" s="34">
        <v>0</v>
      </c>
      <c r="DX49" s="34">
        <f>DX48+($AH$51-$AH$48)*1/3</f>
        <v>65</v>
      </c>
      <c r="DY49" s="34">
        <f>DY48+($AI$51-$AI$48)*1/3</f>
        <v>65</v>
      </c>
      <c r="EA49" s="152">
        <v>35339</v>
      </c>
      <c r="EB49" s="34">
        <f>100*(HAVERM!C88/HAVERM!B88)</f>
        <v>26.235389422520544</v>
      </c>
      <c r="EC49" s="34">
        <f t="shared" si="37"/>
        <v>25.050854271384292</v>
      </c>
      <c r="EE49" s="32">
        <f>HAVERM!C88</f>
        <v>2267</v>
      </c>
      <c r="EF49" s="32">
        <f>HAVERM!B88-HAVERM!C88</f>
        <v>6374</v>
      </c>
      <c r="FX49" s="34">
        <f>100*((AVERAGE(HAVERQ!B33:B52)/AVERAGE(HAVERQ!B29:B48))-1)</f>
        <v>3.5354148949094943</v>
      </c>
      <c r="FY49" s="34">
        <f>100*((AVERAGE(HAVERQ!B13:B52)/AVERAGE(HAVERQ!B9:B48))-1)</f>
        <v>3.0295150175529972</v>
      </c>
      <c r="FZ49" s="34">
        <f t="shared" ref="FZ49:FZ112" si="85">$GD$6</f>
        <v>2.0390522566444025</v>
      </c>
      <c r="GZ49">
        <v>2060</v>
      </c>
      <c r="HA49" s="34">
        <f>100*(Data!B94/Data!$B$57)</f>
        <v>165.52145875027799</v>
      </c>
      <c r="HB49" s="34">
        <f t="shared" si="73"/>
        <v>189.7673007004305</v>
      </c>
      <c r="HD49" s="34">
        <f t="shared" si="81"/>
        <v>14.648156277266855</v>
      </c>
      <c r="HF49" s="34">
        <v>1.5335493390445549</v>
      </c>
    </row>
    <row r="50" spans="1:214">
      <c r="A50">
        <v>2026</v>
      </c>
      <c r="B50">
        <f>Data!F60*Data!G60</f>
        <v>1107875.3970000001</v>
      </c>
      <c r="C50">
        <f>Data!H60/Data!I60</f>
        <v>13.98429331124475</v>
      </c>
      <c r="D50" s="32">
        <f>Data!E60</f>
        <v>3257932</v>
      </c>
      <c r="E50" s="33">
        <f>Data!J60</f>
        <v>-1.596306</v>
      </c>
      <c r="F50" s="32">
        <f>Data!D60</f>
        <v>2881111</v>
      </c>
      <c r="G50" s="32">
        <f>Data!B60</f>
        <v>2845122</v>
      </c>
      <c r="I50" s="34">
        <f t="shared" si="42"/>
        <v>1.4711160089612374</v>
      </c>
      <c r="J50" s="34">
        <f t="shared" si="42"/>
        <v>0.87167829093477422</v>
      </c>
      <c r="L50">
        <v>2046</v>
      </c>
      <c r="M50" s="32">
        <f>'[2]2022-based'!L53</f>
        <v>271.97854202724068</v>
      </c>
      <c r="N50" s="32">
        <v>340</v>
      </c>
      <c r="O50" s="32">
        <v>340</v>
      </c>
      <c r="P50" s="32"/>
      <c r="DT50">
        <v>2020</v>
      </c>
      <c r="DU50" s="34">
        <f>100*((Data!M54/Data!M53)-1)</f>
        <v>0.8636942512414203</v>
      </c>
      <c r="DV50" s="34">
        <f t="shared" si="71"/>
        <v>0.92356083691446111</v>
      </c>
      <c r="DW50" s="34">
        <v>0</v>
      </c>
      <c r="DX50" s="34">
        <f>DX49+($AH$51-$AH$48)*1/3</f>
        <v>65</v>
      </c>
      <c r="DY50" s="34">
        <f>DY49+($AI$51-$AI$48)*1/3</f>
        <v>65</v>
      </c>
      <c r="EA50" s="152">
        <v>35370</v>
      </c>
      <c r="EB50" s="34">
        <f>100*(HAVERM!C89/HAVERM!B89)</f>
        <v>26.570438799076214</v>
      </c>
      <c r="EC50" s="34">
        <f t="shared" si="37"/>
        <v>25.050854271384292</v>
      </c>
      <c r="EE50" s="32">
        <f>HAVERM!C89</f>
        <v>2301</v>
      </c>
      <c r="EF50" s="32">
        <f>HAVERM!B89-HAVERM!C89</f>
        <v>6359</v>
      </c>
      <c r="FX50" s="34">
        <f>100*((AVERAGE(HAVERQ!B34:B53)/AVERAGE(HAVERQ!B30:B49))-1)</f>
        <v>3.7849566055930373</v>
      </c>
      <c r="FY50" s="34">
        <f>100*((AVERAGE(HAVERQ!B14:B53)/AVERAGE(HAVERQ!B10:B49))-1)</f>
        <v>3.1562641192796725</v>
      </c>
      <c r="FZ50" s="34">
        <f t="shared" si="85"/>
        <v>2.0390522566444025</v>
      </c>
    </row>
    <row r="51" spans="1:214">
      <c r="A51">
        <v>2027</v>
      </c>
      <c r="B51">
        <f>Data!F61*Data!G61</f>
        <v>1116608.0948236</v>
      </c>
      <c r="C51">
        <f>Data!H61/Data!I61</f>
        <v>14.067015540954069</v>
      </c>
      <c r="D51" s="32">
        <f>Data!E61</f>
        <v>3305250</v>
      </c>
      <c r="E51" s="33">
        <f>Data!J61</f>
        <v>-1.5960460000000001</v>
      </c>
      <c r="F51" s="32">
        <f>Data!D61</f>
        <v>2916429</v>
      </c>
      <c r="G51" s="32">
        <f>Data!B61</f>
        <v>2883162</v>
      </c>
      <c r="I51" s="34">
        <f t="shared" si="42"/>
        <v>1.2258465571094002</v>
      </c>
      <c r="J51" s="34">
        <f t="shared" si="42"/>
        <v>1.3370252664033355</v>
      </c>
      <c r="L51">
        <v>2047</v>
      </c>
      <c r="M51" s="32">
        <f>'[2]2022-based'!L54</f>
        <v>271.97854202724068</v>
      </c>
      <c r="N51" s="32">
        <v>340</v>
      </c>
      <c r="O51" s="32">
        <v>340</v>
      </c>
      <c r="P51" s="32"/>
      <c r="DT51">
        <v>2021</v>
      </c>
      <c r="DU51" s="34">
        <f>100*((Data!M55/Data!M54)-1)</f>
        <v>0.62669027877138017</v>
      </c>
      <c r="DV51" s="34">
        <f t="shared" si="71"/>
        <v>0.87583423330297661</v>
      </c>
      <c r="DW51" s="34">
        <v>0</v>
      </c>
      <c r="DX51" s="34">
        <v>66</v>
      </c>
      <c r="DY51" s="34">
        <v>66</v>
      </c>
      <c r="EA51" s="152">
        <v>35400</v>
      </c>
      <c r="EB51" s="34">
        <f>100*(HAVERM!C90/HAVERM!B90)</f>
        <v>26.725929346571231</v>
      </c>
      <c r="EC51" s="34">
        <f t="shared" si="37"/>
        <v>25.050854271384292</v>
      </c>
      <c r="EE51" s="32">
        <f>HAVERM!C90</f>
        <v>2315</v>
      </c>
      <c r="EF51" s="32">
        <f>HAVERM!B90-HAVERM!C90</f>
        <v>6347</v>
      </c>
      <c r="FX51" s="34">
        <f>100*((AVERAGE(HAVERQ!B35:B54)/AVERAGE(HAVERQ!B31:B50))-1)</f>
        <v>3.9913957934990307</v>
      </c>
      <c r="FY51" s="34">
        <f>100*((AVERAGE(HAVERQ!B15:B54)/AVERAGE(HAVERQ!B11:B50))-1)</f>
        <v>3.2669271667413735</v>
      </c>
      <c r="FZ51" s="34">
        <f t="shared" si="85"/>
        <v>2.0390522566444025</v>
      </c>
    </row>
    <row r="52" spans="1:214">
      <c r="A52">
        <v>2028</v>
      </c>
      <c r="B52">
        <f>Data!F62*Data!G62</f>
        <v>1122929.2644229999</v>
      </c>
      <c r="C52">
        <f>Data!H62/Data!I62</f>
        <v>14.147761302800124</v>
      </c>
      <c r="D52" s="32">
        <f>Data!E62</f>
        <v>3353361</v>
      </c>
      <c r="E52" s="33">
        <f>Data!J62</f>
        <v>-1.595229</v>
      </c>
      <c r="F52" s="32">
        <f>Data!D62</f>
        <v>2949480</v>
      </c>
      <c r="G52" s="32">
        <f>Data!B62</f>
        <v>2924704</v>
      </c>
      <c r="I52" s="34">
        <f t="shared" si="42"/>
        <v>1.1332694881308614</v>
      </c>
      <c r="J52" s="34">
        <f t="shared" si="42"/>
        <v>1.4408486238373097</v>
      </c>
      <c r="L52">
        <v>2048</v>
      </c>
      <c r="M52" s="32">
        <f>'[2]2022-based'!L55</f>
        <v>271.97854202724068</v>
      </c>
      <c r="N52" s="32">
        <v>340</v>
      </c>
      <c r="O52" s="32">
        <v>340</v>
      </c>
      <c r="P52" s="32"/>
      <c r="DT52">
        <v>2022</v>
      </c>
      <c r="DU52" s="34">
        <f>100*((Data!M56/Data!M55)-1)</f>
        <v>0.94478688915886622</v>
      </c>
      <c r="DV52" s="34">
        <f t="shared" si="71"/>
        <v>0.90443305994523993</v>
      </c>
      <c r="DW52" s="34">
        <v>0</v>
      </c>
      <c r="DX52" s="34">
        <f t="array" ref="DX52:DX90">TRANSPOSE('[2]2022 calcs'!$B$34:$AN$34)</f>
        <v>66</v>
      </c>
      <c r="DY52" s="34">
        <f t="array" ref="DY52:DY90">TRANSPOSE('[2]2022 calcs'!B$33:$AN$33)</f>
        <v>66</v>
      </c>
      <c r="EA52" s="152">
        <v>35431</v>
      </c>
      <c r="EB52" s="34">
        <f>100*(HAVERM!C91/HAVERM!B91)</f>
        <v>26.816029564614851</v>
      </c>
      <c r="EC52" s="34">
        <f t="shared" si="37"/>
        <v>25.050854271384292</v>
      </c>
      <c r="EE52" s="32">
        <f>HAVERM!C91</f>
        <v>2322</v>
      </c>
      <c r="EF52" s="32">
        <f>HAVERM!B91-HAVERM!C91</f>
        <v>6337</v>
      </c>
      <c r="FW52">
        <v>1972</v>
      </c>
      <c r="FX52" s="34">
        <f>100*((AVERAGE(HAVERQ!B36:B55)/AVERAGE(HAVERQ!B32:B51))-1)</f>
        <v>4.07486377635633</v>
      </c>
      <c r="FY52" s="34">
        <f>100*((AVERAGE(HAVERQ!B16:B55)/AVERAGE(HAVERQ!B12:B51))-1)</f>
        <v>3.3765738267836465</v>
      </c>
      <c r="FZ52" s="34">
        <f t="shared" si="85"/>
        <v>2.0390522566444025</v>
      </c>
    </row>
    <row r="53" spans="1:214">
      <c r="A53">
        <v>2029</v>
      </c>
      <c r="B53">
        <f>Data!F63*Data!G63</f>
        <v>1129430.5393072001</v>
      </c>
      <c r="C53">
        <f>Data!H63/Data!I63</f>
        <v>14.226344230150241</v>
      </c>
      <c r="D53" s="32">
        <f>Data!E63</f>
        <v>3401949</v>
      </c>
      <c r="E53" s="33">
        <f>Data!J63</f>
        <v>-1.5940129999999999</v>
      </c>
      <c r="F53" s="32">
        <f>Data!D63</f>
        <v>2984114</v>
      </c>
      <c r="G53" s="32">
        <f>Data!B63</f>
        <v>2967061</v>
      </c>
      <c r="I53" s="34">
        <f t="shared" si="42"/>
        <v>1.174240883138733</v>
      </c>
      <c r="J53" s="34">
        <f t="shared" si="42"/>
        <v>1.4482491219624194</v>
      </c>
      <c r="L53">
        <v>2049</v>
      </c>
      <c r="M53" s="32">
        <f>'[2]2022-based'!L56</f>
        <v>271.97854202724068</v>
      </c>
      <c r="N53" s="32">
        <v>340</v>
      </c>
      <c r="O53" s="32">
        <v>340</v>
      </c>
      <c r="P53" s="32"/>
      <c r="DT53">
        <v>2023</v>
      </c>
      <c r="DU53" s="34">
        <f>100*((Data!M57/Data!M56)-1)</f>
        <v>1.2970719992610791</v>
      </c>
      <c r="DV53" s="34">
        <f t="shared" si="71"/>
        <v>0.95645989697893152</v>
      </c>
      <c r="DW53" s="34">
        <v>0</v>
      </c>
      <c r="DX53" s="34">
        <v>66</v>
      </c>
      <c r="DY53" s="34">
        <v>66</v>
      </c>
      <c r="EA53" s="152">
        <v>35462</v>
      </c>
      <c r="EB53" s="34">
        <f>100*(HAVERM!C92/HAVERM!B92)</f>
        <v>26.766743648960738</v>
      </c>
      <c r="EC53" s="34">
        <f t="shared" si="37"/>
        <v>25.050854271384292</v>
      </c>
      <c r="EE53" s="32">
        <f>HAVERM!C92</f>
        <v>2318</v>
      </c>
      <c r="EF53" s="32">
        <f>HAVERM!B92-HAVERM!C92</f>
        <v>6342</v>
      </c>
      <c r="FX53" s="34">
        <f>100*((AVERAGE(HAVERQ!B37:B56)/AVERAGE(HAVERQ!B33:B52))-1)</f>
        <v>4.1539544707815068</v>
      </c>
      <c r="FY53" s="34">
        <f>100*((AVERAGE(HAVERQ!B17:B56)/AVERAGE(HAVERQ!B13:B52))-1)</f>
        <v>3.495709237758704</v>
      </c>
      <c r="FZ53" s="34">
        <f t="shared" si="85"/>
        <v>2.0390522566444025</v>
      </c>
    </row>
    <row r="54" spans="1:214">
      <c r="A54">
        <v>2030</v>
      </c>
      <c r="B54">
        <f>Data!F64*Data!G64</f>
        <v>1136183.6425482</v>
      </c>
      <c r="C54">
        <f>Data!H64/Data!I64</f>
        <v>14.302599153701372</v>
      </c>
      <c r="D54" s="32">
        <f>Data!E64</f>
        <v>3451700</v>
      </c>
      <c r="E54" s="33">
        <f>Data!J64</f>
        <v>-1.5921799999999999</v>
      </c>
      <c r="F54" s="32">
        <f>Data!D64</f>
        <v>3021213</v>
      </c>
      <c r="G54" s="32">
        <f>Data!B64</f>
        <v>3010770</v>
      </c>
      <c r="I54" s="34">
        <f t="shared" si="42"/>
        <v>1.2432165795274619</v>
      </c>
      <c r="J54" s="34">
        <f t="shared" si="42"/>
        <v>1.4731412667282617</v>
      </c>
      <c r="L54">
        <v>2050</v>
      </c>
      <c r="M54" s="32">
        <f>'[2]2022-based'!L57</f>
        <v>271.97854202724068</v>
      </c>
      <c r="N54" s="32">
        <v>340</v>
      </c>
      <c r="O54" s="32">
        <v>340</v>
      </c>
      <c r="P54" s="32"/>
      <c r="DT54">
        <v>2024</v>
      </c>
      <c r="DU54" s="34">
        <f>100*((Data!M58/Data!M57)-1)</f>
        <v>1.0422928390837027</v>
      </c>
      <c r="DV54" s="34">
        <f t="shared" si="71"/>
        <v>0.97401752153457832</v>
      </c>
      <c r="DW54" s="34">
        <v>0</v>
      </c>
      <c r="DX54" s="34">
        <v>66</v>
      </c>
      <c r="DY54" s="34">
        <v>66</v>
      </c>
      <c r="EA54" s="152">
        <v>35490</v>
      </c>
      <c r="EB54" s="34">
        <f>100*(HAVERM!C93/HAVERM!B93)</f>
        <v>26.701328711727324</v>
      </c>
      <c r="EC54" s="34">
        <f t="shared" si="37"/>
        <v>25.050854271384292</v>
      </c>
      <c r="EE54" s="32">
        <f>HAVERM!C93</f>
        <v>2311</v>
      </c>
      <c r="EF54" s="32">
        <f>HAVERM!B93-HAVERM!C93</f>
        <v>6344</v>
      </c>
      <c r="FX54" s="34">
        <f>100*((AVERAGE(HAVERQ!B38:B57)/AVERAGE(HAVERQ!B34:B53))-1)</f>
        <v>4.1347270615563314</v>
      </c>
      <c r="FY54" s="34">
        <f>100*((AVERAGE(HAVERQ!B18:B57)/AVERAGE(HAVERQ!B14:B53))-1)</f>
        <v>3.5414841696908894</v>
      </c>
      <c r="FZ54" s="34">
        <f t="shared" si="85"/>
        <v>2.0390522566444025</v>
      </c>
    </row>
    <row r="55" spans="1:214">
      <c r="A55">
        <v>2031</v>
      </c>
      <c r="B55">
        <f>Data!F65*Data!G65</f>
        <v>1143006.1455259998</v>
      </c>
      <c r="C55">
        <f>Data!H65/Data!I65</f>
        <v>14.375718908226998</v>
      </c>
      <c r="D55" s="32">
        <f>Data!E65</f>
        <v>3503373</v>
      </c>
      <c r="E55" s="33">
        <f>Data!J65</f>
        <v>-1.5897140000000001</v>
      </c>
      <c r="F55" s="32">
        <f>Data!D65</f>
        <v>3060781</v>
      </c>
      <c r="G55" s="32">
        <f>Data!B65</f>
        <v>3056529</v>
      </c>
      <c r="I55" s="34">
        <f t="shared" si="42"/>
        <v>1.3096726381092605</v>
      </c>
      <c r="J55" s="34">
        <f t="shared" si="42"/>
        <v>1.5198437608983761</v>
      </c>
      <c r="L55">
        <v>2051</v>
      </c>
      <c r="M55" s="32">
        <f>'[2]2022-based'!L58</f>
        <v>271.97854202724068</v>
      </c>
      <c r="N55">
        <v>340</v>
      </c>
      <c r="O55" s="32">
        <v>340</v>
      </c>
      <c r="P55" s="32"/>
      <c r="DT55">
        <v>2025</v>
      </c>
      <c r="DU55" s="34">
        <f>100*((Data!M59/Data!M58)-1)</f>
        <v>0.26452376472478889</v>
      </c>
      <c r="DV55" s="34">
        <f t="shared" si="71"/>
        <v>0.90373780038011997</v>
      </c>
      <c r="DW55" s="34">
        <v>0</v>
      </c>
      <c r="DX55" s="34">
        <v>66</v>
      </c>
      <c r="DY55" s="34">
        <v>66</v>
      </c>
      <c r="EA55" s="152">
        <v>35521</v>
      </c>
      <c r="EB55" s="34">
        <f>100*(HAVERM!C94/HAVERM!B94)</f>
        <v>26.704414143748558</v>
      </c>
      <c r="EC55" s="34">
        <f t="shared" si="37"/>
        <v>25.050854271384292</v>
      </c>
      <c r="EE55" s="32">
        <f>HAVERM!C94</f>
        <v>2311</v>
      </c>
      <c r="EF55" s="32">
        <f>HAVERM!B94-HAVERM!C94</f>
        <v>6343</v>
      </c>
      <c r="FX55" s="34">
        <f>100*((AVERAGE(HAVERQ!B39:B58)/AVERAGE(HAVERQ!B35:B54))-1)</f>
        <v>4.1025051712250127</v>
      </c>
      <c r="FY55" s="34">
        <f>100*((AVERAGE(HAVERQ!B19:B58)/AVERAGE(HAVERQ!B15:B54))-1)</f>
        <v>3.5915886111283379</v>
      </c>
      <c r="FZ55" s="34">
        <f t="shared" si="85"/>
        <v>2.0390522566444025</v>
      </c>
    </row>
    <row r="56" spans="1:214">
      <c r="A56">
        <v>2032</v>
      </c>
      <c r="B56">
        <f>Data!F66*Data!G66</f>
        <v>1149569.7314891999</v>
      </c>
      <c r="C56">
        <f>Data!H66/Data!I66</f>
        <v>14.444565486550866</v>
      </c>
      <c r="D56" s="32">
        <f>Data!E66</f>
        <v>3557452</v>
      </c>
      <c r="E56" s="33">
        <f>Data!J66</f>
        <v>-1.5865929999999999</v>
      </c>
      <c r="F56" s="32">
        <f>Data!D66</f>
        <v>3102499</v>
      </c>
      <c r="G56" s="32">
        <f>Data!B66</f>
        <v>3101862</v>
      </c>
      <c r="I56" s="34">
        <f t="shared" si="42"/>
        <v>1.3629854602469127</v>
      </c>
      <c r="J56" s="34">
        <f t="shared" si="42"/>
        <v>1.4831529489823359</v>
      </c>
      <c r="L56">
        <v>2052</v>
      </c>
      <c r="M56" s="32">
        <f>'[2]2022-based'!L59</f>
        <v>271.97854202724068</v>
      </c>
      <c r="N56">
        <v>340</v>
      </c>
      <c r="O56" s="32">
        <v>340</v>
      </c>
      <c r="P56" s="32"/>
      <c r="DT56">
        <v>2026</v>
      </c>
      <c r="DU56" s="34">
        <f>100*((Data!M60/Data!M59)-1)</f>
        <v>-0.16626093358586003</v>
      </c>
      <c r="DV56" s="34">
        <f t="shared" si="71"/>
        <v>0.78459535172144323</v>
      </c>
      <c r="DW56" s="34">
        <v>0</v>
      </c>
      <c r="DX56" s="34">
        <v>66.15300546448087</v>
      </c>
      <c r="DY56" s="34">
        <v>66.15300546448087</v>
      </c>
      <c r="EA56" s="152">
        <v>35551</v>
      </c>
      <c r="EB56" s="34">
        <f>100*(HAVERM!C95/HAVERM!B95)</f>
        <v>26.5054638456173</v>
      </c>
      <c r="EC56" s="34">
        <f t="shared" si="37"/>
        <v>25.050854271384292</v>
      </c>
      <c r="EE56" s="32">
        <f>HAVERM!C95</f>
        <v>2280</v>
      </c>
      <c r="EF56" s="32">
        <f>HAVERM!B95-HAVERM!C95</f>
        <v>6322</v>
      </c>
      <c r="FW56">
        <v>1973</v>
      </c>
      <c r="FX56" s="34">
        <f>100*((AVERAGE(HAVERQ!B40:B59)/AVERAGE(HAVERQ!B36:B55))-1)</f>
        <v>4.2112451627589254</v>
      </c>
      <c r="FY56" s="34">
        <f>100*((AVERAGE(HAVERQ!B20:B59)/AVERAGE(HAVERQ!B16:B55))-1)</f>
        <v>3.7522298086977823</v>
      </c>
      <c r="FZ56" s="34">
        <f t="shared" si="85"/>
        <v>2.0390522566444025</v>
      </c>
    </row>
    <row r="57" spans="1:214">
      <c r="A57">
        <v>2033</v>
      </c>
      <c r="B57">
        <f>Data!F67*Data!G67</f>
        <v>1155958.0779914998</v>
      </c>
      <c r="C57">
        <f>Data!H67/Data!I67</f>
        <v>14.508895147299169</v>
      </c>
      <c r="D57" s="32">
        <f>Data!E67</f>
        <v>3614353</v>
      </c>
      <c r="E57" s="33">
        <f>Data!J67</f>
        <v>-1.582805</v>
      </c>
      <c r="F57" s="32">
        <f>Data!D67</f>
        <v>3146720</v>
      </c>
      <c r="G57" s="32">
        <f>Data!B67</f>
        <v>3146720</v>
      </c>
      <c r="I57" s="34">
        <f t="shared" si="42"/>
        <v>1.4253348671506405</v>
      </c>
      <c r="J57" s="34">
        <f t="shared" si="42"/>
        <v>1.446163626879593</v>
      </c>
      <c r="L57">
        <v>2053</v>
      </c>
      <c r="M57" s="32">
        <f>'[2]2022-based'!L60</f>
        <v>271.97854202724068</v>
      </c>
      <c r="N57">
        <v>340</v>
      </c>
      <c r="O57" s="32">
        <v>340</v>
      </c>
      <c r="P57" s="32"/>
      <c r="DT57">
        <v>2027</v>
      </c>
      <c r="DU57" s="34">
        <f>100*((Data!M61/Data!M60)-1)</f>
        <v>0.44331200429135187</v>
      </c>
      <c r="DV57" s="34">
        <f t="shared" si="71"/>
        <v>0.7381069164526044</v>
      </c>
      <c r="DW57" s="34">
        <v>0</v>
      </c>
      <c r="DX57" s="34">
        <v>66.649315068493152</v>
      </c>
      <c r="DY57" s="34">
        <v>66.649315068493152</v>
      </c>
      <c r="EA57" s="152">
        <v>35582</v>
      </c>
      <c r="EB57" s="34">
        <f>100*(HAVERM!C96/HAVERM!B96)</f>
        <v>26.59698025551684</v>
      </c>
      <c r="EC57" s="34">
        <f t="shared" si="37"/>
        <v>25.050854271384292</v>
      </c>
      <c r="EE57" s="32">
        <f>HAVERM!C96</f>
        <v>2290</v>
      </c>
      <c r="EF57" s="32">
        <f>HAVERM!B96-HAVERM!C96</f>
        <v>6320</v>
      </c>
      <c r="FX57" s="34">
        <f>100*((AVERAGE(HAVERQ!B41:B60)/AVERAGE(HAVERQ!B37:B56))-1)</f>
        <v>4.236142406489396</v>
      </c>
      <c r="FY57" s="34">
        <f>100*((AVERAGE(HAVERQ!B21:B60)/AVERAGE(HAVERQ!B17:B56))-1)</f>
        <v>3.7739300085354976</v>
      </c>
      <c r="FZ57" s="34">
        <f t="shared" si="85"/>
        <v>2.0390522566444025</v>
      </c>
    </row>
    <row r="58" spans="1:214">
      <c r="A58">
        <v>2034</v>
      </c>
      <c r="B58">
        <f>Data!F68*Data!G68</f>
        <v>1162167.0631536001</v>
      </c>
      <c r="C58">
        <f>Data!H68/Data!I68</f>
        <v>14.568488084594094</v>
      </c>
      <c r="D58" s="32">
        <f>Data!E68</f>
        <v>3674380</v>
      </c>
      <c r="E58" s="33">
        <f>Data!J68</f>
        <v>-1.578516</v>
      </c>
      <c r="F58" s="32">
        <f>Data!D68</f>
        <v>3193112</v>
      </c>
      <c r="G58" s="32">
        <f>Data!B68</f>
        <v>3193113</v>
      </c>
      <c r="I58" s="34">
        <f t="shared" si="42"/>
        <v>1.4742970458127891</v>
      </c>
      <c r="J58" s="34">
        <f t="shared" si="42"/>
        <v>1.4743288249351671</v>
      </c>
      <c r="L58">
        <v>2054</v>
      </c>
      <c r="M58" s="32">
        <f>'[2]2022-based'!L61</f>
        <v>271.97854202724068</v>
      </c>
      <c r="N58">
        <v>340</v>
      </c>
      <c r="O58" s="32">
        <v>340</v>
      </c>
      <c r="P58" s="32"/>
      <c r="DT58">
        <v>2028</v>
      </c>
      <c r="DU58" s="34">
        <f>100*((Data!M62/Data!M61)-1)</f>
        <v>0.94013260184733216</v>
      </c>
      <c r="DV58" s="34">
        <f t="shared" si="71"/>
        <v>0.73767928617326617</v>
      </c>
      <c r="DW58" s="34">
        <v>0</v>
      </c>
      <c r="DX58" s="34">
        <v>67</v>
      </c>
      <c r="DY58" s="34">
        <v>67</v>
      </c>
      <c r="EA58" s="152">
        <v>35612</v>
      </c>
      <c r="EB58" s="34">
        <f>100*(HAVERM!C97/HAVERM!B97)</f>
        <v>26.724336793540949</v>
      </c>
      <c r="EC58" s="34">
        <f t="shared" si="37"/>
        <v>25.050854271384292</v>
      </c>
      <c r="EE58" s="32">
        <f>HAVERM!C97</f>
        <v>2317</v>
      </c>
      <c r="EF58" s="32">
        <f>HAVERM!B97-HAVERM!C97</f>
        <v>6353</v>
      </c>
      <c r="FX58" s="34">
        <f>100*((AVERAGE(HAVERQ!B42:B61)/AVERAGE(HAVERQ!B38:B57))-1)</f>
        <v>4.1267008699531482</v>
      </c>
      <c r="FY58" s="34">
        <f>100*((AVERAGE(HAVERQ!B22:B61)/AVERAGE(HAVERQ!B18:B57))-1)</f>
        <v>3.7648054145515752</v>
      </c>
      <c r="FZ58" s="34">
        <f t="shared" si="85"/>
        <v>2.0390522566444025</v>
      </c>
    </row>
    <row r="59" spans="1:214">
      <c r="A59">
        <v>2035</v>
      </c>
      <c r="B59">
        <f>Data!F69*Data!G69</f>
        <v>1167897.5067426001</v>
      </c>
      <c r="C59">
        <f>Data!H69/Data!I69</f>
        <v>14.623136675287135</v>
      </c>
      <c r="D59" s="32">
        <f>Data!E69</f>
        <v>3737431</v>
      </c>
      <c r="E59" s="33">
        <f>Data!J69</f>
        <v>-1.573904</v>
      </c>
      <c r="F59" s="32">
        <f>Data!D69</f>
        <v>3240625</v>
      </c>
      <c r="G59" s="32">
        <f>Data!B69</f>
        <v>3240626</v>
      </c>
      <c r="I59" s="34">
        <f t="shared" si="42"/>
        <v>1.4879841358524271</v>
      </c>
      <c r="J59" s="34">
        <f t="shared" si="42"/>
        <v>1.4879836698544757</v>
      </c>
      <c r="L59">
        <v>2055</v>
      </c>
      <c r="M59" s="32">
        <f>'[2]2022-based'!L62</f>
        <v>271.97854202724068</v>
      </c>
      <c r="N59">
        <v>340</v>
      </c>
      <c r="O59" s="32">
        <v>340</v>
      </c>
      <c r="P59" s="32"/>
      <c r="DT59">
        <v>2029</v>
      </c>
      <c r="DU59" s="34">
        <f>100*((Data!M63/Data!M62)-1)</f>
        <v>0.69800435533020622</v>
      </c>
      <c r="DV59" s="34">
        <f t="shared" si="71"/>
        <v>0.69542480501242676</v>
      </c>
      <c r="DW59" s="34">
        <v>0</v>
      </c>
      <c r="DX59" s="34">
        <v>67</v>
      </c>
      <c r="DY59" s="34">
        <v>67</v>
      </c>
      <c r="EA59" s="152">
        <v>35643</v>
      </c>
      <c r="EB59" s="34">
        <f>100*(HAVERM!C98/HAVERM!B98)</f>
        <v>26.786330686917502</v>
      </c>
      <c r="EC59" s="34">
        <f t="shared" si="37"/>
        <v>25.050854271384292</v>
      </c>
      <c r="EE59" s="32">
        <f>HAVERM!C98</f>
        <v>2328</v>
      </c>
      <c r="EF59" s="32">
        <f>HAVERM!B98-HAVERM!C98</f>
        <v>6363</v>
      </c>
      <c r="FX59" s="34">
        <f>100*((AVERAGE(HAVERQ!B43:B62)/AVERAGE(HAVERQ!B39:B58))-1)</f>
        <v>3.9518710674467217</v>
      </c>
      <c r="FY59" s="34">
        <f>100*((AVERAGE(HAVERQ!B23:B62)/AVERAGE(HAVERQ!B19:B58))-1)</f>
        <v>3.6526946107783953</v>
      </c>
      <c r="FZ59" s="34">
        <f t="shared" si="85"/>
        <v>2.0390522566444025</v>
      </c>
    </row>
    <row r="60" spans="1:214">
      <c r="A60">
        <v>2036</v>
      </c>
      <c r="B60">
        <f>Data!F70*Data!G70</f>
        <v>1173587.8176972</v>
      </c>
      <c r="C60">
        <f>Data!H70/Data!I70</f>
        <v>14.673656005586126</v>
      </c>
      <c r="D60" s="32">
        <f>Data!E70</f>
        <v>3803435</v>
      </c>
      <c r="E60" s="33">
        <f>Data!J70</f>
        <v>-1.569188</v>
      </c>
      <c r="F60" s="32">
        <f>Data!D70</f>
        <v>3289375</v>
      </c>
      <c r="G60" s="32">
        <f>Data!B70</f>
        <v>3289377</v>
      </c>
      <c r="I60" s="34">
        <f t="shared" si="42"/>
        <v>1.5043394406943023</v>
      </c>
      <c r="J60" s="34">
        <f t="shared" si="42"/>
        <v>1.5043698347171119</v>
      </c>
      <c r="L60">
        <v>2056</v>
      </c>
      <c r="M60" s="32">
        <f>'[2]2022-based'!L63</f>
        <v>271.97854202724068</v>
      </c>
      <c r="N60">
        <v>340</v>
      </c>
      <c r="O60" s="32">
        <v>340</v>
      </c>
      <c r="P60" s="32"/>
      <c r="DT60">
        <v>2030</v>
      </c>
      <c r="DU60" s="34">
        <f>100*((Data!M64/Data!M63)-1)</f>
        <v>0.16762347964973667</v>
      </c>
      <c r="DV60" s="34">
        <f t="shared" si="71"/>
        <v>0.6258177278532584</v>
      </c>
      <c r="DW60" s="34">
        <v>0</v>
      </c>
      <c r="DX60" s="34">
        <v>67</v>
      </c>
      <c r="DY60" s="34">
        <v>67</v>
      </c>
      <c r="EA60" s="152">
        <v>35674</v>
      </c>
      <c r="EB60" s="34">
        <f>100*(HAVERM!C99/HAVERM!B99)</f>
        <v>26.678911720812764</v>
      </c>
      <c r="EC60" s="34">
        <f t="shared" si="37"/>
        <v>25.050854271384292</v>
      </c>
      <c r="EE60" s="32">
        <f>HAVERM!C99</f>
        <v>2324</v>
      </c>
      <c r="EF60" s="32">
        <f>HAVERM!B99-HAVERM!C99</f>
        <v>6387</v>
      </c>
      <c r="FW60">
        <v>1974</v>
      </c>
      <c r="FX60" s="34">
        <f>100*((AVERAGE(HAVERQ!B44:B63)/AVERAGE(HAVERQ!B40:B59))-1)</f>
        <v>3.5823503713412252</v>
      </c>
      <c r="FY60" s="34">
        <f>100*((AVERAGE(HAVERQ!B24:B63)/AVERAGE(HAVERQ!B20:B59))-1)</f>
        <v>3.3556649078081202</v>
      </c>
      <c r="FZ60" s="34">
        <f t="shared" si="85"/>
        <v>2.0390522566444025</v>
      </c>
    </row>
    <row r="61" spans="1:214">
      <c r="A61">
        <v>2037</v>
      </c>
      <c r="B61">
        <f>Data!F71*Data!G71</f>
        <v>1179277.62176</v>
      </c>
      <c r="C61">
        <f>Data!H71/Data!I71</f>
        <v>14.721602710748233</v>
      </c>
      <c r="D61" s="32">
        <f>Data!E71</f>
        <v>3872296</v>
      </c>
      <c r="E61" s="33">
        <f>Data!J71</f>
        <v>-1.564486</v>
      </c>
      <c r="F61" s="32">
        <f>Data!D71</f>
        <v>3339124</v>
      </c>
      <c r="G61" s="32">
        <f>Data!B71</f>
        <v>3339125</v>
      </c>
      <c r="I61" s="34">
        <f t="shared" si="42"/>
        <v>1.5124149724491831</v>
      </c>
      <c r="J61" s="34">
        <f t="shared" si="42"/>
        <v>1.512383651980298</v>
      </c>
      <c r="L61">
        <v>2057</v>
      </c>
      <c r="M61" s="32">
        <f>'[2]2022-based'!L64</f>
        <v>271.97854202724068</v>
      </c>
      <c r="N61">
        <v>340</v>
      </c>
      <c r="O61" s="32">
        <v>340</v>
      </c>
      <c r="P61" s="32"/>
      <c r="DT61">
        <v>2031</v>
      </c>
      <c r="DU61" s="34">
        <f>100*((Data!M65/Data!M64)-1)</f>
        <v>0.10457558401442135</v>
      </c>
      <c r="DV61" s="34">
        <f t="shared" si="71"/>
        <v>0.57360625837756252</v>
      </c>
      <c r="DW61" s="34">
        <v>0</v>
      </c>
      <c r="DX61" s="34">
        <v>67</v>
      </c>
      <c r="DY61" s="34">
        <v>67</v>
      </c>
      <c r="EA61" s="152">
        <v>35704</v>
      </c>
      <c r="EB61" s="34">
        <f>100*(HAVERM!C100/HAVERM!B100)</f>
        <v>26.736190694476274</v>
      </c>
      <c r="EC61" s="34">
        <f t="shared" si="37"/>
        <v>25.050854271384292</v>
      </c>
      <c r="EE61" s="32">
        <f>HAVERM!C100</f>
        <v>2333</v>
      </c>
      <c r="EF61" s="32">
        <f>HAVERM!B100-HAVERM!C100</f>
        <v>6393</v>
      </c>
      <c r="FX61" s="34">
        <f>100*((AVERAGE(HAVERQ!B45:B64)/AVERAGE(HAVERQ!B41:B60))-1)</f>
        <v>3.2857760484219733</v>
      </c>
      <c r="FY61" s="34">
        <f>100*((AVERAGE(HAVERQ!B25:B64)/AVERAGE(HAVERQ!B21:B60))-1)</f>
        <v>3.1608013630221476</v>
      </c>
      <c r="FZ61" s="34">
        <f t="shared" si="85"/>
        <v>2.0390522566444025</v>
      </c>
    </row>
    <row r="62" spans="1:214">
      <c r="A62">
        <v>2038</v>
      </c>
      <c r="B62">
        <f>Data!F72*Data!G72</f>
        <v>1184966.2792201</v>
      </c>
      <c r="C62">
        <f>Data!H72/Data!I72</f>
        <v>14.767193855601292</v>
      </c>
      <c r="D62" s="32">
        <f>Data!E72</f>
        <v>3943931</v>
      </c>
      <c r="E62" s="33">
        <f>Data!J72</f>
        <v>-1.5597970000000001</v>
      </c>
      <c r="F62" s="32">
        <f>Data!D72</f>
        <v>3389844</v>
      </c>
      <c r="G62" s="32">
        <f>Data!B72</f>
        <v>3389847</v>
      </c>
      <c r="I62" s="34">
        <f t="shared" si="42"/>
        <v>1.5189612604982639</v>
      </c>
      <c r="J62" s="34">
        <f t="shared" si="42"/>
        <v>1.519020701531093</v>
      </c>
      <c r="L62">
        <v>2058</v>
      </c>
      <c r="M62" s="32">
        <f>'[2]2022-based'!L65</f>
        <v>271.97854202724068</v>
      </c>
      <c r="N62">
        <v>340</v>
      </c>
      <c r="O62" s="32">
        <v>340</v>
      </c>
      <c r="P62" s="32"/>
      <c r="DT62">
        <v>2032</v>
      </c>
      <c r="DU62" s="34">
        <f>100*((Data!M66/Data!M65)-1)</f>
        <v>0.11230406507249935</v>
      </c>
      <c r="DV62" s="34">
        <f t="shared" si="71"/>
        <v>0.49035797596892577</v>
      </c>
      <c r="DW62" s="34">
        <v>0</v>
      </c>
      <c r="DX62" s="34">
        <v>67</v>
      </c>
      <c r="DY62" s="34">
        <v>67</v>
      </c>
      <c r="EA62" s="152">
        <v>35735</v>
      </c>
      <c r="EB62" s="34">
        <f>100*(HAVERM!C101/HAVERM!B101)</f>
        <v>26.83903443541929</v>
      </c>
      <c r="EC62" s="34">
        <f t="shared" si="37"/>
        <v>25.050854271384292</v>
      </c>
      <c r="EE62" s="32">
        <f>HAVERM!C101</f>
        <v>2346</v>
      </c>
      <c r="EF62" s="32">
        <f>HAVERM!B101-HAVERM!C101</f>
        <v>6395</v>
      </c>
      <c r="FX62" s="34">
        <f>100*((AVERAGE(HAVERQ!B46:B65)/AVERAGE(HAVERQ!B42:B61))-1)</f>
        <v>3.1383890317052243</v>
      </c>
      <c r="FY62" s="34">
        <f>100*((AVERAGE(HAVERQ!B26:B65)/AVERAGE(HAVERQ!B22:B61))-1)</f>
        <v>3.0108904548366455</v>
      </c>
      <c r="FZ62" s="34">
        <f t="shared" si="85"/>
        <v>2.0390522566444025</v>
      </c>
    </row>
    <row r="63" spans="1:214">
      <c r="A63">
        <v>2039</v>
      </c>
      <c r="B63">
        <f>Data!F73*Data!G73</f>
        <v>1190654.1099443999</v>
      </c>
      <c r="C63">
        <f>Data!H73/Data!I73</f>
        <v>14.810802217426744</v>
      </c>
      <c r="D63" s="32">
        <f>Data!E73</f>
        <v>4018269</v>
      </c>
      <c r="E63" s="33">
        <f>Data!J73</f>
        <v>-1.555124</v>
      </c>
      <c r="F63" s="32">
        <f>Data!D73</f>
        <v>3441533</v>
      </c>
      <c r="G63" s="32">
        <f>Data!B73</f>
        <v>3441535</v>
      </c>
      <c r="I63" s="34">
        <f t="shared" si="42"/>
        <v>1.5248194312186714</v>
      </c>
      <c r="J63" s="34">
        <f t="shared" si="42"/>
        <v>1.5247885819035467</v>
      </c>
      <c r="L63">
        <v>2059</v>
      </c>
      <c r="M63" s="32">
        <f>'[2]2022-based'!L66</f>
        <v>271.97854202724068</v>
      </c>
      <c r="N63">
        <v>340</v>
      </c>
      <c r="O63" s="32">
        <v>340</v>
      </c>
      <c r="P63" s="32"/>
      <c r="DT63">
        <v>2033</v>
      </c>
      <c r="DU63" s="34">
        <f>100*((Data!M67/Data!M66)-1)</f>
        <v>0.13988723694449146</v>
      </c>
      <c r="DV63" s="34">
        <f t="shared" si="71"/>
        <v>0.37463949973726707</v>
      </c>
      <c r="DW63" s="34">
        <v>0</v>
      </c>
      <c r="DX63" s="34">
        <v>67</v>
      </c>
      <c r="DY63" s="34">
        <v>67</v>
      </c>
      <c r="EA63" s="152">
        <v>35765</v>
      </c>
      <c r="EB63" s="34">
        <f>100*(HAVERM!C102/HAVERM!B102)</f>
        <v>26.506024096385545</v>
      </c>
      <c r="EC63" s="34">
        <f t="shared" si="37"/>
        <v>25.050854271384292</v>
      </c>
      <c r="EE63" s="32">
        <f>HAVERM!C102</f>
        <v>2332</v>
      </c>
      <c r="EF63" s="32">
        <f>HAVERM!B102-HAVERM!C102</f>
        <v>6466</v>
      </c>
      <c r="FX63" s="34">
        <f>100*((AVERAGE(HAVERQ!B47:B66)/AVERAGE(HAVERQ!B43:B62))-1)</f>
        <v>2.909631517468414</v>
      </c>
      <c r="FY63" s="34">
        <f>100*((AVERAGE(HAVERQ!B27:B66)/AVERAGE(HAVERQ!B23:B62))-1)</f>
        <v>2.8653957250144746</v>
      </c>
      <c r="FZ63" s="34">
        <f t="shared" si="85"/>
        <v>2.0390522566444025</v>
      </c>
    </row>
    <row r="64" spans="1:214">
      <c r="A64">
        <v>2040</v>
      </c>
      <c r="B64">
        <f>Data!F74*Data!G74</f>
        <v>1196341.1139329001</v>
      </c>
      <c r="C64">
        <f>Data!H74/Data!I74</f>
        <v>14.853079558303442</v>
      </c>
      <c r="D64" s="32">
        <f>Data!E74</f>
        <v>4095163</v>
      </c>
      <c r="E64" s="33">
        <f>Data!J74</f>
        <v>-1.5502689999999999</v>
      </c>
      <c r="F64" s="32">
        <f>Data!D74</f>
        <v>3494877</v>
      </c>
      <c r="G64" s="32">
        <f>Data!B74</f>
        <v>3494880</v>
      </c>
      <c r="I64" s="34">
        <f t="shared" si="42"/>
        <v>1.5500069300512287</v>
      </c>
      <c r="J64" s="34">
        <f t="shared" si="42"/>
        <v>1.5500350860880419</v>
      </c>
      <c r="L64">
        <v>2060</v>
      </c>
      <c r="M64" s="32">
        <f>'[2]2022-based'!L67</f>
        <v>271.97854202724068</v>
      </c>
      <c r="N64">
        <v>340</v>
      </c>
      <c r="O64" s="32">
        <v>340</v>
      </c>
      <c r="P64" s="32"/>
      <c r="DT64">
        <v>2034</v>
      </c>
      <c r="DU64" s="34">
        <f>100*((Data!M68/Data!M67)-1)</f>
        <v>0.11836801472244751</v>
      </c>
      <c r="DV64" s="34">
        <f t="shared" si="71"/>
        <v>0.28224701730114155</v>
      </c>
      <c r="DW64" s="34">
        <v>0</v>
      </c>
      <c r="DX64" s="34">
        <v>67</v>
      </c>
      <c r="DY64" s="34">
        <v>67</v>
      </c>
      <c r="EA64" s="152">
        <v>35796</v>
      </c>
      <c r="EB64" s="34">
        <f>100*(HAVERM!C103/HAVERM!B103)</f>
        <v>26.8534335497096</v>
      </c>
      <c r="EC64" s="34">
        <f t="shared" si="37"/>
        <v>25.050854271384292</v>
      </c>
      <c r="EE64" s="32">
        <f>HAVERM!C103</f>
        <v>2358</v>
      </c>
      <c r="EF64" s="32">
        <f>HAVERM!B103-HAVERM!C103</f>
        <v>6423</v>
      </c>
      <c r="FW64">
        <v>1975</v>
      </c>
      <c r="FX64" s="34">
        <f>100*((AVERAGE(HAVERQ!B48:B67)/AVERAGE(HAVERQ!B44:B63))-1)</f>
        <v>2.8785322648671396</v>
      </c>
      <c r="FY64" s="34">
        <f>100*((AVERAGE(HAVERQ!B28:B67)/AVERAGE(HAVERQ!B24:B63))-1)</f>
        <v>2.8222336947169246</v>
      </c>
      <c r="FZ64" s="34">
        <f t="shared" si="85"/>
        <v>2.0390522566444025</v>
      </c>
    </row>
    <row r="65" spans="1:182">
      <c r="A65">
        <v>2041</v>
      </c>
      <c r="B65">
        <f>Data!F75*Data!G75</f>
        <v>1202409.7397147</v>
      </c>
      <c r="C65">
        <f>Data!H75/Data!I75</f>
        <v>14.894546062460362</v>
      </c>
      <c r="D65" s="32">
        <f>Data!E75</f>
        <v>4174660</v>
      </c>
      <c r="E65" s="33">
        <f>Data!J75</f>
        <v>-1.5453140000000001</v>
      </c>
      <c r="F65" s="32">
        <f>Data!D75</f>
        <v>3550358</v>
      </c>
      <c r="G65" s="32">
        <f>Data!B75</f>
        <v>3550360</v>
      </c>
      <c r="I65" s="34">
        <f t="shared" si="42"/>
        <v>1.5874950677806421</v>
      </c>
      <c r="J65" s="34">
        <f t="shared" si="42"/>
        <v>1.5874650917914179</v>
      </c>
      <c r="DT65">
        <v>2035</v>
      </c>
      <c r="DU65" s="34">
        <f>100*((Data!M69/Data!M68)-1)</f>
        <v>9.388054577939009E-2</v>
      </c>
      <c r="DV65" s="34">
        <f t="shared" si="71"/>
        <v>0.26518269540660167</v>
      </c>
      <c r="DW65" s="34">
        <v>0</v>
      </c>
      <c r="DX65" s="34">
        <v>67</v>
      </c>
      <c r="DY65" s="34">
        <v>67</v>
      </c>
      <c r="EA65" s="152">
        <v>35827</v>
      </c>
      <c r="EB65" s="34">
        <f>100*(HAVERM!C104/HAVERM!B104)</f>
        <v>27.028258887876028</v>
      </c>
      <c r="EC65" s="34">
        <f t="shared" si="37"/>
        <v>25.050854271384292</v>
      </c>
      <c r="EE65" s="32">
        <f>HAVERM!C104</f>
        <v>2372</v>
      </c>
      <c r="EF65" s="32">
        <f>HAVERM!B104-HAVERM!C104</f>
        <v>6404</v>
      </c>
      <c r="FX65" s="34">
        <f>100*((AVERAGE(HAVERQ!B49:B68)/AVERAGE(HAVERQ!B45:B64))-1)</f>
        <v>2.6161573880284505</v>
      </c>
      <c r="FY65" s="34">
        <f>100*((AVERAGE(HAVERQ!B29:B68)/AVERAGE(HAVERQ!B25:B64))-1)</f>
        <v>2.7222506976479544</v>
      </c>
      <c r="FZ65" s="34">
        <f t="shared" si="85"/>
        <v>2.0390522566444025</v>
      </c>
    </row>
    <row r="66" spans="1:182">
      <c r="A66">
        <v>2042</v>
      </c>
      <c r="B66">
        <f>Data!F76*Data!G76</f>
        <v>1208653.6145319999</v>
      </c>
      <c r="C66">
        <f>Data!H76/Data!I76</f>
        <v>14.935395221899915</v>
      </c>
      <c r="D66" s="32">
        <f>Data!E76</f>
        <v>4256788</v>
      </c>
      <c r="E66" s="33">
        <f>Data!J76</f>
        <v>-1.540375</v>
      </c>
      <c r="F66" s="32">
        <f>Data!D76</f>
        <v>3607228</v>
      </c>
      <c r="G66" s="32">
        <f>Data!B76</f>
        <v>3607231</v>
      </c>
      <c r="I66" s="34">
        <f t="shared" si="42"/>
        <v>1.6018102963137881</v>
      </c>
      <c r="J66" s="34">
        <f t="shared" si="42"/>
        <v>1.6018375601347445</v>
      </c>
      <c r="L66" t="s">
        <v>1567</v>
      </c>
      <c r="M66" s="32">
        <f>AVERAGE(M29:M34)</f>
        <v>174.49848119999001</v>
      </c>
      <c r="N66" s="32">
        <f t="shared" ref="N66:O66" si="86">AVERAGE(N29:N34)</f>
        <v>436.89999999999992</v>
      </c>
      <c r="O66" s="32">
        <f t="shared" si="86"/>
        <v>304.61799999999999</v>
      </c>
      <c r="DT66">
        <v>2036</v>
      </c>
      <c r="DU66" s="34">
        <f>100*((Data!M70/Data!M69)-1)</f>
        <v>9.1557251222540437E-2</v>
      </c>
      <c r="DV66" s="34">
        <f t="shared" si="71"/>
        <v>0.29096451388744171</v>
      </c>
      <c r="DW66" s="34">
        <v>0</v>
      </c>
      <c r="DX66" s="34">
        <v>67</v>
      </c>
      <c r="DY66" s="34">
        <v>67</v>
      </c>
      <c r="EA66" s="152">
        <v>35855</v>
      </c>
      <c r="EB66" s="34">
        <f>100*(HAVERM!C105/HAVERM!B105)</f>
        <v>27.169209747210203</v>
      </c>
      <c r="EC66" s="34">
        <f t="shared" si="37"/>
        <v>25.050854271384292</v>
      </c>
      <c r="EE66" s="32">
        <f>HAVERM!C105</f>
        <v>2386</v>
      </c>
      <c r="EF66" s="32">
        <f>HAVERM!B105-HAVERM!C105</f>
        <v>6396</v>
      </c>
      <c r="FX66" s="34">
        <f>100*((AVERAGE(HAVERQ!B50:B69)/AVERAGE(HAVERQ!B46:B65))-1)</f>
        <v>2.284764773081327</v>
      </c>
      <c r="FY66" s="34">
        <f>100*((AVERAGE(HAVERQ!B30:B69)/AVERAGE(HAVERQ!B26:B65))-1)</f>
        <v>2.5836725463591614</v>
      </c>
      <c r="FZ66" s="34">
        <f t="shared" si="85"/>
        <v>2.0390522566444025</v>
      </c>
    </row>
    <row r="67" spans="1:182">
      <c r="A67">
        <v>2043</v>
      </c>
      <c r="B67">
        <f>Data!F77*Data!G77</f>
        <v>1214198.0415360001</v>
      </c>
      <c r="C67">
        <f>Data!H77/Data!I77</f>
        <v>14.975707098524829</v>
      </c>
      <c r="D67" s="32">
        <f>Data!E77</f>
        <v>4341282</v>
      </c>
      <c r="E67" s="33">
        <f>Data!J77</f>
        <v>-1.535452</v>
      </c>
      <c r="F67" s="32">
        <f>Data!D77</f>
        <v>3663762</v>
      </c>
      <c r="G67" s="32">
        <f>Data!B77</f>
        <v>3663765</v>
      </c>
      <c r="I67" s="34">
        <f t="shared" si="42"/>
        <v>1.5672422147976262</v>
      </c>
      <c r="J67" s="34">
        <f t="shared" si="42"/>
        <v>1.5672409113804964</v>
      </c>
      <c r="L67" t="s">
        <v>668</v>
      </c>
      <c r="M67" s="32">
        <f>AVERAGE(M30:M34)</f>
        <v>168.59817743998804</v>
      </c>
      <c r="N67" s="32">
        <f>AVERAGE(N30:N34)</f>
        <v>398.1</v>
      </c>
      <c r="O67" s="32">
        <f>AVERAGE(O30:O34)</f>
        <v>295.4914</v>
      </c>
      <c r="P67" s="32"/>
      <c r="DT67">
        <v>2037</v>
      </c>
      <c r="DU67" s="34">
        <f>100*((Data!M71/Data!M70)-1)</f>
        <v>7.6169532931236184E-2</v>
      </c>
      <c r="DV67" s="34">
        <f t="shared" si="71"/>
        <v>0.25425026675143014</v>
      </c>
      <c r="DW67" s="34">
        <v>0</v>
      </c>
      <c r="DX67" s="34">
        <v>67</v>
      </c>
      <c r="DY67" s="34">
        <v>67</v>
      </c>
      <c r="EA67" s="152">
        <v>35886</v>
      </c>
      <c r="EB67" s="34">
        <f>100*(HAVERM!C106/HAVERM!B106)</f>
        <v>26.942298955020444</v>
      </c>
      <c r="EC67" s="34">
        <f t="shared" si="37"/>
        <v>25.050854271384292</v>
      </c>
      <c r="EE67" s="32">
        <f>HAVERM!C106</f>
        <v>2372</v>
      </c>
      <c r="EF67" s="32">
        <f>HAVERM!B106-HAVERM!C106</f>
        <v>6432</v>
      </c>
      <c r="FX67" s="34">
        <f>100*((AVERAGE(HAVERQ!B51:B70)/AVERAGE(HAVERQ!B47:B66))-1)</f>
        <v>2.0637705087194202</v>
      </c>
      <c r="FY67" s="34">
        <f>100*((AVERAGE(HAVERQ!B31:B70)/AVERAGE(HAVERQ!B27:B66))-1)</f>
        <v>2.5440862630574212</v>
      </c>
      <c r="FZ67" s="34">
        <f t="shared" si="85"/>
        <v>2.0390522566444025</v>
      </c>
    </row>
    <row r="68" spans="1:182">
      <c r="A68">
        <v>2044</v>
      </c>
      <c r="B68">
        <f>Data!F78*Data!G78</f>
        <v>1218491.54388</v>
      </c>
      <c r="C68">
        <f>Data!H78/Data!I78</f>
        <v>15.015437873122167</v>
      </c>
      <c r="D68" s="32">
        <f>Data!E78</f>
        <v>4427700</v>
      </c>
      <c r="E68" s="33">
        <f>Data!J78</f>
        <v>-1.530545</v>
      </c>
      <c r="F68" s="32">
        <f>Data!D78</f>
        <v>3718705</v>
      </c>
      <c r="G68" s="32">
        <f>Data!B78</f>
        <v>3718710</v>
      </c>
      <c r="I68" s="34">
        <f t="shared" si="42"/>
        <v>1.4996334368881037</v>
      </c>
      <c r="J68" s="34">
        <f t="shared" si="42"/>
        <v>1.4996867975975547</v>
      </c>
      <c r="DT68">
        <v>2038</v>
      </c>
      <c r="DU68" s="34">
        <f>100*((Data!M72/Data!M71)-1)</f>
        <v>7.4798913654627874E-2</v>
      </c>
      <c r="DV68" s="34">
        <f t="shared" si="71"/>
        <v>0.16771689793215971</v>
      </c>
      <c r="DW68" s="34">
        <v>0</v>
      </c>
      <c r="DX68" s="34">
        <v>67</v>
      </c>
      <c r="DY68" s="34">
        <v>67</v>
      </c>
      <c r="EA68" s="152">
        <v>35916</v>
      </c>
      <c r="EB68" s="34">
        <f>100*(HAVERM!C107/HAVERM!B107)</f>
        <v>26.867196367763906</v>
      </c>
      <c r="EC68" s="34">
        <f t="shared" si="37"/>
        <v>25.050854271384292</v>
      </c>
      <c r="EE68" s="32">
        <f>HAVERM!C107</f>
        <v>2367</v>
      </c>
      <c r="EF68" s="32">
        <f>HAVERM!B107-HAVERM!C107</f>
        <v>6443</v>
      </c>
      <c r="FW68">
        <v>1976</v>
      </c>
      <c r="FX68" s="34">
        <f>100*((AVERAGE(HAVERQ!B52:B71)/AVERAGE(HAVERQ!B48:B67))-1)</f>
        <v>1.8858255611356123</v>
      </c>
      <c r="FY68" s="34">
        <f>100*((AVERAGE(HAVERQ!B32:B71)/AVERAGE(HAVERQ!B28:B67))-1)</f>
        <v>2.5550906555090958</v>
      </c>
      <c r="FZ68" s="34">
        <f t="shared" si="85"/>
        <v>2.0390522566444025</v>
      </c>
    </row>
    <row r="69" spans="1:182">
      <c r="A69">
        <v>2045</v>
      </c>
      <c r="B69">
        <f>Data!F79*Data!G79</f>
        <v>1221707.7118400002</v>
      </c>
      <c r="C69">
        <f>Data!H79/Data!I79</f>
        <v>15.054305165900974</v>
      </c>
      <c r="D69" s="32">
        <f>Data!E79</f>
        <v>4515675</v>
      </c>
      <c r="E69" s="33">
        <f>Data!J79</f>
        <v>-1.5256529999999999</v>
      </c>
      <c r="F69" s="32">
        <f>Data!D79</f>
        <v>3772176</v>
      </c>
      <c r="G69" s="32">
        <f>Data!B79</f>
        <v>3772181</v>
      </c>
      <c r="I69" s="34">
        <f t="shared" si="42"/>
        <v>1.4378930299660864</v>
      </c>
      <c r="J69" s="34">
        <f t="shared" si="42"/>
        <v>1.4378910966437175</v>
      </c>
      <c r="L69" t="s">
        <v>669</v>
      </c>
      <c r="M69" s="32">
        <f>'[2]2022-based'!$Q$37</f>
        <v>70351.499887199927</v>
      </c>
      <c r="N69" s="69">
        <f>'ONS popproj Jan25 pp'!J20</f>
        <v>71879.987999999998</v>
      </c>
      <c r="O69" s="69">
        <f>'ONS popproj Jan25 migcv'!J20</f>
        <v>71011.585000000006</v>
      </c>
      <c r="P69" s="69"/>
      <c r="DT69">
        <v>2039</v>
      </c>
      <c r="DU69" s="34">
        <f>100*((Data!M73/Data!M72)-1)</f>
        <v>5.7188565522325874E-2</v>
      </c>
      <c r="DV69" s="34">
        <f t="shared" si="71"/>
        <v>0.10363531895137168</v>
      </c>
      <c r="DW69" s="34">
        <v>0</v>
      </c>
      <c r="DX69" s="34">
        <v>67</v>
      </c>
      <c r="DY69" s="34">
        <v>67</v>
      </c>
      <c r="EA69" s="152">
        <v>35947</v>
      </c>
      <c r="EB69" s="34">
        <f>100*(HAVERM!C108/HAVERM!B108)</f>
        <v>27.210418094585332</v>
      </c>
      <c r="EC69" s="34">
        <f t="shared" ref="EC69:EC132" si="87">AVERAGE($EB$7:$EB$399)</f>
        <v>25.050854271384292</v>
      </c>
      <c r="EE69" s="32">
        <f>HAVERM!C108</f>
        <v>2382</v>
      </c>
      <c r="EF69" s="32">
        <f>HAVERM!B108-HAVERM!C108</f>
        <v>6372</v>
      </c>
      <c r="FX69" s="34">
        <f>100*((AVERAGE(HAVERQ!B53:B72)/AVERAGE(HAVERQ!B49:B68))-1)</f>
        <v>1.8050173363246991</v>
      </c>
      <c r="FY69" s="34">
        <f>100*((AVERAGE(HAVERQ!B33:B72)/AVERAGE(HAVERQ!B29:B68))-1)</f>
        <v>2.5946665188224083</v>
      </c>
      <c r="FZ69" s="34">
        <f t="shared" si="85"/>
        <v>2.0390522566444025</v>
      </c>
    </row>
    <row r="70" spans="1:182">
      <c r="A70">
        <v>2046</v>
      </c>
      <c r="B70">
        <f>Data!F80*Data!G80</f>
        <v>1224514.4252138</v>
      </c>
      <c r="C70">
        <f>Data!H80/Data!I80</f>
        <v>15.092184535572041</v>
      </c>
      <c r="D70" s="32">
        <f>Data!E80</f>
        <v>4605080</v>
      </c>
      <c r="E70" s="33">
        <f>Data!J80</f>
        <v>-1.5207759999999999</v>
      </c>
      <c r="F70" s="32">
        <f>Data!D80</f>
        <v>3825352</v>
      </c>
      <c r="G70" s="32">
        <f>Data!B80</f>
        <v>3825357</v>
      </c>
      <c r="I70" s="34">
        <f t="shared" ref="I70:J74" si="88">100*((F70/F69)-1)</f>
        <v>1.4096903219786183</v>
      </c>
      <c r="J70" s="34">
        <f t="shared" si="88"/>
        <v>1.4096884534437804</v>
      </c>
      <c r="L70" t="s">
        <v>326</v>
      </c>
      <c r="N70" s="69">
        <f>N69-$M$69</f>
        <v>1528.4881128000707</v>
      </c>
      <c r="O70" s="69">
        <f>O69-$M$69</f>
        <v>660.08511280007951</v>
      </c>
      <c r="P70" s="69"/>
      <c r="DT70">
        <v>2040</v>
      </c>
      <c r="DU70" s="34">
        <f>100*((Data!M74/Data!M73)-1)</f>
        <v>6.5829764186120521E-2</v>
      </c>
      <c r="DV70" s="34">
        <f t="shared" si="71"/>
        <v>9.3455947405010065E-2</v>
      </c>
      <c r="DW70" s="34">
        <v>0</v>
      </c>
      <c r="DX70" s="34">
        <v>67</v>
      </c>
      <c r="DY70" s="34">
        <v>67</v>
      </c>
      <c r="EA70" s="152">
        <v>35977</v>
      </c>
      <c r="EB70" s="34">
        <f>100*(HAVERM!C109/HAVERM!B109)</f>
        <v>27.21002414070583</v>
      </c>
      <c r="EC70" s="34">
        <f t="shared" si="87"/>
        <v>25.050854271384292</v>
      </c>
      <c r="EE70" s="32">
        <f>HAVERM!C109</f>
        <v>2367</v>
      </c>
      <c r="EF70" s="32">
        <f>HAVERM!B109-HAVERM!C109</f>
        <v>6332</v>
      </c>
      <c r="FX70" s="34">
        <f>100*((AVERAGE(HAVERQ!B54:B73)/AVERAGE(HAVERQ!B50:B69))-1)</f>
        <v>1.7463701898669859</v>
      </c>
      <c r="FY70" s="34">
        <f>100*((AVERAGE(HAVERQ!B34:B73)/AVERAGE(HAVERQ!B30:B69))-1)</f>
        <v>2.6784238082116163</v>
      </c>
      <c r="FZ70" s="34">
        <f t="shared" si="85"/>
        <v>2.0390522566444025</v>
      </c>
    </row>
    <row r="71" spans="1:182">
      <c r="A71">
        <v>2047</v>
      </c>
      <c r="B71">
        <f>Data!F81*Data!G81</f>
        <v>1227404.3795175001</v>
      </c>
      <c r="C71">
        <f>Data!H81/Data!I81</f>
        <v>15.129115254497082</v>
      </c>
      <c r="D71" s="32">
        <f>Data!E81</f>
        <v>4695962</v>
      </c>
      <c r="E71" s="33">
        <f>Data!J81</f>
        <v>-1.515916</v>
      </c>
      <c r="F71" s="32">
        <f>Data!D81</f>
        <v>3879208</v>
      </c>
      <c r="G71" s="32">
        <f>Data!B81</f>
        <v>3879212</v>
      </c>
      <c r="I71" s="34">
        <f t="shared" si="88"/>
        <v>1.4078704391125241</v>
      </c>
      <c r="J71" s="34">
        <f t="shared" si="88"/>
        <v>1.4078424575797666</v>
      </c>
      <c r="DT71">
        <v>2041</v>
      </c>
      <c r="DU71" s="34">
        <f>100*((Data!M75/Data!M74)-1)</f>
        <v>0.12831961781409884</v>
      </c>
      <c r="DV71" s="34">
        <f t="shared" si="71"/>
        <v>9.5830350784977814E-2</v>
      </c>
      <c r="DW71" s="34">
        <v>0</v>
      </c>
      <c r="DX71">
        <v>67</v>
      </c>
      <c r="DY71">
        <v>67</v>
      </c>
      <c r="EA71" s="152">
        <v>36008</v>
      </c>
      <c r="EB71" s="34">
        <f>100*(HAVERM!C110/HAVERM!B110)</f>
        <v>27.164316018805184</v>
      </c>
      <c r="EC71" s="34">
        <f t="shared" si="87"/>
        <v>25.050854271384292</v>
      </c>
      <c r="EE71" s="32">
        <f>HAVERM!C110</f>
        <v>2369</v>
      </c>
      <c r="EF71" s="32">
        <f>HAVERM!B110-HAVERM!C110</f>
        <v>6352</v>
      </c>
      <c r="FX71" s="34">
        <f>100*((AVERAGE(HAVERQ!B55:B74)/AVERAGE(HAVERQ!B51:B70))-1)</f>
        <v>1.7389546051966187</v>
      </c>
      <c r="FY71" s="34">
        <f>100*((AVERAGE(HAVERQ!B35:B74)/AVERAGE(HAVERQ!B31:B70))-1)</f>
        <v>2.7712361027438348</v>
      </c>
      <c r="FZ71" s="34">
        <f t="shared" si="85"/>
        <v>2.0390522566444025</v>
      </c>
    </row>
    <row r="72" spans="1:182">
      <c r="A72">
        <v>2048</v>
      </c>
      <c r="B72">
        <f>Data!F82*Data!G82</f>
        <v>1229949.307785</v>
      </c>
      <c r="C72">
        <f>Data!H82/Data!I82</f>
        <v>15.165226993848918</v>
      </c>
      <c r="D72" s="32">
        <f>Data!E82</f>
        <v>4788220</v>
      </c>
      <c r="E72" s="33">
        <f>Data!J82</f>
        <v>-1.5110710000000001</v>
      </c>
      <c r="F72" s="32">
        <f>Data!D82</f>
        <v>3932860</v>
      </c>
      <c r="G72" s="32">
        <f>Data!B82</f>
        <v>3932862</v>
      </c>
      <c r="I72" s="34">
        <f t="shared" si="88"/>
        <v>1.3830658216831937</v>
      </c>
      <c r="J72" s="34">
        <f t="shared" si="88"/>
        <v>1.3830128386899121</v>
      </c>
      <c r="DT72">
        <v>2042</v>
      </c>
      <c r="DU72" s="34">
        <f>100*((Data!M76/Data!M75)-1)</f>
        <v>0.19202559527171648</v>
      </c>
      <c r="DV72" s="34">
        <f t="shared" si="71"/>
        <v>0.10380250380489953</v>
      </c>
      <c r="DW72" s="34">
        <v>0</v>
      </c>
      <c r="DX72">
        <v>67</v>
      </c>
      <c r="DY72">
        <v>67</v>
      </c>
      <c r="EA72" s="152">
        <v>36039</v>
      </c>
      <c r="EB72" s="34">
        <f>100*(HAVERM!C111/HAVERM!B111)</f>
        <v>27.236146240515062</v>
      </c>
      <c r="EC72" s="34">
        <f t="shared" si="87"/>
        <v>25.050854271384292</v>
      </c>
      <c r="EE72" s="32">
        <f>HAVERM!C111</f>
        <v>2369</v>
      </c>
      <c r="EF72" s="32">
        <f>HAVERM!B111-HAVERM!C111</f>
        <v>6329</v>
      </c>
      <c r="FW72">
        <v>1977</v>
      </c>
      <c r="FX72" s="34">
        <f>100*((AVERAGE(HAVERQ!B56:B75)/AVERAGE(HAVERQ!B52:B71))-1)</f>
        <v>1.7000301780504712</v>
      </c>
      <c r="FY72" s="34">
        <f>100*((AVERAGE(HAVERQ!B36:B75)/AVERAGE(HAVERQ!B32:B71))-1)</f>
        <v>2.7906217701136882</v>
      </c>
      <c r="FZ72" s="34">
        <f t="shared" si="85"/>
        <v>2.0390522566444025</v>
      </c>
    </row>
    <row r="73" spans="1:182">
      <c r="A73">
        <v>2049</v>
      </c>
      <c r="B73">
        <f>Data!F83*Data!G83</f>
        <v>1232217.1088640001</v>
      </c>
      <c r="C73">
        <f>Data!H83/Data!I83</f>
        <v>15.200656246923844</v>
      </c>
      <c r="D73" s="32">
        <f>Data!E83</f>
        <v>4881777</v>
      </c>
      <c r="E73" s="33">
        <f>Data!J83</f>
        <v>-1.5062409999999999</v>
      </c>
      <c r="F73" s="32">
        <f>Data!D83</f>
        <v>3986404</v>
      </c>
      <c r="G73" s="32">
        <f>Data!B83</f>
        <v>3986408</v>
      </c>
      <c r="I73" s="34">
        <f t="shared" si="88"/>
        <v>1.3614519713389228</v>
      </c>
      <c r="J73" s="34">
        <f t="shared" si="88"/>
        <v>1.3615021325436905</v>
      </c>
      <c r="DT73">
        <v>2043</v>
      </c>
      <c r="DU73" s="34">
        <f>100*((Data!M77/Data!M76)-1)</f>
        <v>0.22138777400599885</v>
      </c>
      <c r="DV73" s="34">
        <f t="shared" si="71"/>
        <v>0.11195255751105027</v>
      </c>
      <c r="DW73" s="34">
        <v>0</v>
      </c>
      <c r="DX73">
        <v>67</v>
      </c>
      <c r="DY73">
        <v>67</v>
      </c>
      <c r="EA73" s="152">
        <v>36069</v>
      </c>
      <c r="EB73" s="34">
        <f>100*(HAVERM!C112/HAVERM!B112)</f>
        <v>27.096550928596148</v>
      </c>
      <c r="EC73" s="34">
        <f t="shared" si="87"/>
        <v>25.050854271384292</v>
      </c>
      <c r="EE73" s="32">
        <f>HAVERM!C112</f>
        <v>2349</v>
      </c>
      <c r="EF73" s="32">
        <f>HAVERM!B112-HAVERM!C112</f>
        <v>6320</v>
      </c>
      <c r="FX73" s="34">
        <f>100*((AVERAGE(HAVERQ!B57:B76)/AVERAGE(HAVERQ!B53:B72))-1)</f>
        <v>1.5726735450265261</v>
      </c>
      <c r="FY73" s="34">
        <f>100*((AVERAGE(HAVERQ!B37:B76)/AVERAGE(HAVERQ!B33:B72))-1)</f>
        <v>2.7614158335585115</v>
      </c>
      <c r="FZ73" s="34">
        <f t="shared" si="85"/>
        <v>2.0390522566444025</v>
      </c>
    </row>
    <row r="74" spans="1:182">
      <c r="A74">
        <v>2050</v>
      </c>
      <c r="B74">
        <f>Data!F84*Data!G84</f>
        <v>1233990.7367417002</v>
      </c>
      <c r="C74">
        <f>Data!H84/Data!I84</f>
        <v>15.235409702699423</v>
      </c>
      <c r="D74" s="32">
        <f>Data!E84</f>
        <v>4976234</v>
      </c>
      <c r="E74" s="33">
        <f>Data!J84</f>
        <v>-1.5014270000000001</v>
      </c>
      <c r="F74" s="32">
        <f>Data!D84</f>
        <v>4039312</v>
      </c>
      <c r="G74" s="32">
        <f>Data!B84</f>
        <v>4039316</v>
      </c>
      <c r="I74" s="34">
        <f t="shared" si="88"/>
        <v>1.3272111908376516</v>
      </c>
      <c r="J74" s="34">
        <f t="shared" si="88"/>
        <v>1.3272098591012194</v>
      </c>
      <c r="DT74">
        <v>2044</v>
      </c>
      <c r="DU74" s="34">
        <f>100*((Data!M78/Data!M77)-1)</f>
        <v>0.29740543886032089</v>
      </c>
      <c r="DV74" s="34">
        <f t="shared" si="71"/>
        <v>0.1298562999248376</v>
      </c>
      <c r="DW74" s="34">
        <v>0</v>
      </c>
      <c r="DX74">
        <v>67.153424657534245</v>
      </c>
      <c r="DY74">
        <v>67.153424657534245</v>
      </c>
      <c r="EA74" s="152">
        <v>36100</v>
      </c>
      <c r="EB74" s="34">
        <f>100*(HAVERM!C113/HAVERM!B113)</f>
        <v>27.014873746108613</v>
      </c>
      <c r="EC74" s="34">
        <f t="shared" si="87"/>
        <v>25.050854271384292</v>
      </c>
      <c r="EE74" s="32">
        <f>HAVERM!C113</f>
        <v>2343</v>
      </c>
      <c r="EF74" s="32">
        <f>HAVERM!B113-HAVERM!C113</f>
        <v>6330</v>
      </c>
      <c r="FX74" s="34">
        <f>100*((AVERAGE(HAVERQ!B58:B77)/AVERAGE(HAVERQ!B54:B73))-1)</f>
        <v>1.4868775571300175</v>
      </c>
      <c r="FY74" s="34">
        <f>100*((AVERAGE(HAVERQ!B38:B77)/AVERAGE(HAVERQ!B34:B73))-1)</f>
        <v>2.7105362031023539</v>
      </c>
      <c r="FZ74" s="34">
        <f t="shared" si="85"/>
        <v>2.0390522566444025</v>
      </c>
    </row>
    <row r="75" spans="1:182">
      <c r="A75">
        <v>2051</v>
      </c>
      <c r="B75">
        <f>Data!F85*Data!G85</f>
        <v>1235530.62684</v>
      </c>
      <c r="C75">
        <f>Data!H85/Data!I85</f>
        <v>15.269632436436151</v>
      </c>
      <c r="D75" s="32">
        <f>Data!E85</f>
        <v>5071464</v>
      </c>
      <c r="E75" s="33">
        <f>Data!J85</f>
        <v>-1.4966280000000001</v>
      </c>
      <c r="F75" s="32">
        <f>Data!D85</f>
        <v>4092009</v>
      </c>
      <c r="G75" s="32">
        <f>Data!B85</f>
        <v>4092014</v>
      </c>
      <c r="I75" s="34">
        <f t="shared" ref="I75:I84" si="89">100*((F75/F74)-1)</f>
        <v>1.304603358195644</v>
      </c>
      <c r="J75" s="34">
        <f t="shared" ref="J75:J84" si="90">100*((G75/G74)-1)</f>
        <v>1.3046268229571556</v>
      </c>
      <c r="DT75">
        <v>2045</v>
      </c>
      <c r="DU75" s="34">
        <f>100*((Data!M79/Data!M78)-1)</f>
        <v>0.60499900400996509</v>
      </c>
      <c r="DV75" s="34">
        <f t="shared" si="71"/>
        <v>0.1809681457478951</v>
      </c>
      <c r="DW75" s="34">
        <v>0</v>
      </c>
      <c r="DX75">
        <v>67.649315068493152</v>
      </c>
      <c r="DY75">
        <v>67.649315068493152</v>
      </c>
      <c r="EA75" s="152">
        <v>36130</v>
      </c>
      <c r="EB75" s="34">
        <f>100*(HAVERM!C114/HAVERM!B114)</f>
        <v>27.006029684601113</v>
      </c>
      <c r="EC75" s="34">
        <f t="shared" si="87"/>
        <v>25.050854271384292</v>
      </c>
      <c r="EE75" s="32">
        <f>HAVERM!C114</f>
        <v>2329</v>
      </c>
      <c r="EF75" s="32">
        <f>HAVERM!B114-HAVERM!C114</f>
        <v>6295</v>
      </c>
      <c r="FX75" s="34">
        <f>100*((AVERAGE(HAVERQ!B59:B78)/AVERAGE(HAVERQ!B55:B74))-1)</f>
        <v>1.3812978237106144</v>
      </c>
      <c r="FY75" s="34">
        <f>100*((AVERAGE(HAVERQ!B39:B78)/AVERAGE(HAVERQ!B35:B74))-1)</f>
        <v>2.6432187583266709</v>
      </c>
      <c r="FZ75" s="34">
        <f t="shared" si="85"/>
        <v>2.0390522566444025</v>
      </c>
    </row>
    <row r="76" spans="1:182">
      <c r="A76">
        <v>2052</v>
      </c>
      <c r="B76">
        <f>Data!F86*Data!G86</f>
        <v>1236724.5289079999</v>
      </c>
      <c r="C76">
        <f>Data!H86/Data!I86</f>
        <v>15.303784492165631</v>
      </c>
      <c r="D76" s="32">
        <f>Data!E86</f>
        <v>5167431</v>
      </c>
      <c r="E76" s="33">
        <f>Data!J86</f>
        <v>-1.4918450000000001</v>
      </c>
      <c r="F76" s="32">
        <f>Data!D86</f>
        <v>4144264</v>
      </c>
      <c r="G76" s="32">
        <f>Data!B86</f>
        <v>4144268</v>
      </c>
      <c r="I76" s="34">
        <f t="shared" si="89"/>
        <v>1.2770011014149762</v>
      </c>
      <c r="J76" s="34">
        <f t="shared" si="90"/>
        <v>1.2769751032132293</v>
      </c>
      <c r="DT76">
        <v>2046</v>
      </c>
      <c r="DU76" s="34">
        <f>100*((Data!M80/Data!M79)-1)</f>
        <v>0.96923207378001308</v>
      </c>
      <c r="DV76" s="34">
        <f t="shared" si="71"/>
        <v>0.26873562800364237</v>
      </c>
      <c r="DW76" s="34">
        <v>0</v>
      </c>
      <c r="DX76">
        <v>68</v>
      </c>
      <c r="DY76">
        <v>68</v>
      </c>
      <c r="EA76" s="152">
        <v>36161</v>
      </c>
      <c r="EB76" s="34">
        <f>100*(HAVERM!C115/HAVERM!B115)</f>
        <v>26.939580192508405</v>
      </c>
      <c r="EC76" s="34">
        <f t="shared" si="87"/>
        <v>25.050854271384292</v>
      </c>
      <c r="EE76" s="32">
        <f>HAVERM!C115</f>
        <v>2323</v>
      </c>
      <c r="EF76" s="32">
        <f>HAVERM!B115-HAVERM!C115</f>
        <v>6300</v>
      </c>
      <c r="FW76">
        <v>1978</v>
      </c>
      <c r="FX76" s="34">
        <f>100*((AVERAGE(HAVERQ!B60:B79)/AVERAGE(HAVERQ!B56:B75))-1)</f>
        <v>1.0781404549950357</v>
      </c>
      <c r="FY76" s="34">
        <f>100*((AVERAGE(HAVERQ!B40:B79)/AVERAGE(HAVERQ!B36:B75))-1)</f>
        <v>2.5349280270956731</v>
      </c>
      <c r="FZ76" s="34">
        <f t="shared" si="85"/>
        <v>2.0390522566444025</v>
      </c>
    </row>
    <row r="77" spans="1:182">
      <c r="A77">
        <v>2053</v>
      </c>
      <c r="B77">
        <f>Data!F87*Data!G87</f>
        <v>1237451.8103792001</v>
      </c>
      <c r="C77">
        <f>Data!H87/Data!I87</f>
        <v>15.337849070332174</v>
      </c>
      <c r="D77" s="32">
        <f>Data!E87</f>
        <v>5264017</v>
      </c>
      <c r="E77" s="33">
        <f>Data!J87</f>
        <v>-1.4870760000000001</v>
      </c>
      <c r="F77" s="32">
        <f>Data!D87</f>
        <v>4195756</v>
      </c>
      <c r="G77" s="32">
        <f>Data!B87</f>
        <v>4195761</v>
      </c>
      <c r="I77" s="34">
        <f t="shared" si="89"/>
        <v>1.2424884129003333</v>
      </c>
      <c r="J77" s="34">
        <f t="shared" si="90"/>
        <v>1.242511343378383</v>
      </c>
      <c r="DT77">
        <v>2047</v>
      </c>
      <c r="DU77" s="34">
        <f>100*((Data!M81/Data!M80)-1)</f>
        <v>0.68973719902196695</v>
      </c>
      <c r="DV77" s="34">
        <f t="shared" si="71"/>
        <v>0.33009239461271545</v>
      </c>
      <c r="DW77" s="34">
        <v>0</v>
      </c>
      <c r="DX77">
        <v>68</v>
      </c>
      <c r="DY77">
        <v>68</v>
      </c>
      <c r="EA77" s="152">
        <v>36192</v>
      </c>
      <c r="EB77" s="34">
        <f>100*(HAVERM!C116/HAVERM!B116)</f>
        <v>27.032967032967033</v>
      </c>
      <c r="EC77" s="34">
        <f t="shared" si="87"/>
        <v>25.050854271384292</v>
      </c>
      <c r="EE77" s="32">
        <f>HAVERM!C116</f>
        <v>2337</v>
      </c>
      <c r="EF77" s="32">
        <f>HAVERM!B116-HAVERM!C116</f>
        <v>6308</v>
      </c>
      <c r="FX77" s="34">
        <f>100*((AVERAGE(HAVERQ!B61:B80)/AVERAGE(HAVERQ!B57:B76))-1)</f>
        <v>0.97633136094674722</v>
      </c>
      <c r="FY77" s="34">
        <f>100*((AVERAGE(HAVERQ!B41:B80)/AVERAGE(HAVERQ!B37:B76))-1)</f>
        <v>2.4978965082036231</v>
      </c>
      <c r="FZ77" s="34">
        <f t="shared" si="85"/>
        <v>2.0390522566444025</v>
      </c>
    </row>
    <row r="78" spans="1:182">
      <c r="A78">
        <v>2054</v>
      </c>
      <c r="B78">
        <f>Data!F88*Data!G88</f>
        <v>1238087.3454358</v>
      </c>
      <c r="C78">
        <f>Data!H88/Data!I88</f>
        <v>15.371583690482666</v>
      </c>
      <c r="D78" s="32">
        <f>Data!E88</f>
        <v>5361248</v>
      </c>
      <c r="E78" s="33">
        <f>Data!J88</f>
        <v>-1.4823230000000001</v>
      </c>
      <c r="F78" s="32">
        <f>Data!D88</f>
        <v>4247256</v>
      </c>
      <c r="G78" s="32">
        <f>Data!B88</f>
        <v>4247258</v>
      </c>
      <c r="I78" s="34">
        <f t="shared" si="89"/>
        <v>1.2274307657547334</v>
      </c>
      <c r="J78" s="34">
        <f t="shared" si="90"/>
        <v>1.2273578023152432</v>
      </c>
      <c r="DT78">
        <v>2048</v>
      </c>
      <c r="DU78" s="34">
        <f>100*((Data!M82/Data!M81)-1)</f>
        <v>0.15277773073523182</v>
      </c>
      <c r="DV78" s="34">
        <f t="shared" ref="DV78:DV80" si="91">AVERAGE(DU69:DU78)</f>
        <v>0.33789027632077584</v>
      </c>
      <c r="DW78" s="34">
        <v>0</v>
      </c>
      <c r="DX78">
        <v>68</v>
      </c>
      <c r="DY78">
        <v>68</v>
      </c>
      <c r="EA78" s="152">
        <v>36220</v>
      </c>
      <c r="EB78" s="34">
        <f>100*(HAVERM!C117/HAVERM!B117)</f>
        <v>27.221324717285945</v>
      </c>
      <c r="EC78" s="34">
        <f t="shared" si="87"/>
        <v>25.050854271384292</v>
      </c>
      <c r="EE78" s="32">
        <f>HAVERM!C117</f>
        <v>2359</v>
      </c>
      <c r="EF78" s="32">
        <f>HAVERM!B117-HAVERM!C117</f>
        <v>6307</v>
      </c>
      <c r="FX78" s="34">
        <f>100*((AVERAGE(HAVERQ!B62:B81)/AVERAGE(HAVERQ!B58:B77))-1)</f>
        <v>0.99311701081612469</v>
      </c>
      <c r="FY78" s="34">
        <f>100*((AVERAGE(HAVERQ!B42:B81)/AVERAGE(HAVERQ!B38:B77))-1)</f>
        <v>2.4613294314381085</v>
      </c>
      <c r="FZ78" s="34">
        <f t="shared" si="85"/>
        <v>2.0390522566444025</v>
      </c>
    </row>
    <row r="79" spans="1:182">
      <c r="A79">
        <v>2055</v>
      </c>
      <c r="B79">
        <f>Data!F89*Data!G89</f>
        <v>1238485.7979506</v>
      </c>
      <c r="C79">
        <f>Data!H89/Data!I89</f>
        <v>15.404940837424936</v>
      </c>
      <c r="D79" s="32">
        <f>Data!E89</f>
        <v>5459089</v>
      </c>
      <c r="E79" s="33">
        <f>Data!J89</f>
        <v>-1.4775860000000001</v>
      </c>
      <c r="F79" s="32">
        <f>Data!D89</f>
        <v>4298419</v>
      </c>
      <c r="G79" s="32">
        <f>Data!B89</f>
        <v>4298423</v>
      </c>
      <c r="I79" s="34">
        <f t="shared" si="89"/>
        <v>1.2046130489897555</v>
      </c>
      <c r="J79" s="34">
        <f t="shared" si="90"/>
        <v>1.2046595709514163</v>
      </c>
      <c r="DT79">
        <v>2049</v>
      </c>
      <c r="DU79" s="34">
        <f>100*((Data!M83/Data!M82)-1)</f>
        <v>5.5864705532981951E-2</v>
      </c>
      <c r="DV79" s="34">
        <f t="shared" si="91"/>
        <v>0.33775789032184145</v>
      </c>
      <c r="DW79" s="34">
        <v>0</v>
      </c>
      <c r="DX79">
        <v>68</v>
      </c>
      <c r="DY79">
        <v>68</v>
      </c>
      <c r="EA79" s="152">
        <v>36251</v>
      </c>
      <c r="EB79" s="34">
        <f>100*(HAVERM!C118/HAVERM!B118)</f>
        <v>27.108503049131283</v>
      </c>
      <c r="EC79" s="34">
        <f t="shared" si="87"/>
        <v>25.050854271384292</v>
      </c>
      <c r="EE79" s="32">
        <f>HAVERM!C118</f>
        <v>2356</v>
      </c>
      <c r="EF79" s="32">
        <f>HAVERM!B118-HAVERM!C118</f>
        <v>6335</v>
      </c>
      <c r="FX79" s="34">
        <f>100*((AVERAGE(HAVERQ!B63:B82)/AVERAGE(HAVERQ!B59:B78))-1)</f>
        <v>1.0390119584395396</v>
      </c>
      <c r="FY79" s="34">
        <f>100*((AVERAGE(HAVERQ!B43:B82)/AVERAGE(HAVERQ!B39:B78))-1)</f>
        <v>2.409013031514462</v>
      </c>
      <c r="FZ79" s="34">
        <f t="shared" si="85"/>
        <v>2.0390522566444025</v>
      </c>
    </row>
    <row r="80" spans="1:182">
      <c r="A80">
        <v>2056</v>
      </c>
      <c r="B80">
        <f>Data!F90*Data!G90</f>
        <v>1238685.938392</v>
      </c>
      <c r="C80">
        <f>Data!H90/Data!I90</f>
        <v>15.437829318553009</v>
      </c>
      <c r="D80" s="32">
        <f>Data!E90</f>
        <v>5557519</v>
      </c>
      <c r="E80" s="33">
        <f>Data!J90</f>
        <v>-1.472863</v>
      </c>
      <c r="F80" s="32">
        <f>Data!D90</f>
        <v>4349304</v>
      </c>
      <c r="G80" s="32">
        <f>Data!B90</f>
        <v>4349305</v>
      </c>
      <c r="I80" s="34">
        <f t="shared" si="89"/>
        <v>1.1838073487019374</v>
      </c>
      <c r="J80" s="34">
        <f t="shared" si="90"/>
        <v>1.1837364540437267</v>
      </c>
      <c r="DT80">
        <v>2050</v>
      </c>
      <c r="DU80" s="34">
        <f>100*((Data!M84/Data!M83)-1)</f>
        <v>5.3615383770377889E-2</v>
      </c>
      <c r="DV80" s="34">
        <f t="shared" si="91"/>
        <v>0.33653645228026718</v>
      </c>
      <c r="DW80" s="34">
        <v>0</v>
      </c>
      <c r="DX80">
        <v>68</v>
      </c>
      <c r="DY80">
        <v>68</v>
      </c>
      <c r="EA80" s="152">
        <v>36281</v>
      </c>
      <c r="EB80" s="34">
        <f>100*(HAVERM!C119/HAVERM!B119)</f>
        <v>27.049746660525102</v>
      </c>
      <c r="EC80" s="34">
        <f t="shared" si="87"/>
        <v>25.050854271384292</v>
      </c>
      <c r="EE80" s="32">
        <f>HAVERM!C119</f>
        <v>2349</v>
      </c>
      <c r="EF80" s="32">
        <f>HAVERM!B119-HAVERM!C119</f>
        <v>6335</v>
      </c>
      <c r="FW80">
        <v>1979</v>
      </c>
      <c r="FX80" s="34">
        <f>100*((AVERAGE(HAVERQ!B64:B83)/AVERAGE(HAVERQ!B60:B79))-1)</f>
        <v>1.3112829043937957</v>
      </c>
      <c r="FY80" s="34">
        <f>100*((AVERAGE(HAVERQ!B44:B83)/AVERAGE(HAVERQ!B40:B79))-1)</f>
        <v>2.3845161290322547</v>
      </c>
      <c r="FZ80" s="34">
        <f t="shared" si="85"/>
        <v>2.0390522566444025</v>
      </c>
    </row>
    <row r="81" spans="1:182">
      <c r="A81">
        <v>2057</v>
      </c>
      <c r="B81">
        <f>Data!F91*Data!G91</f>
        <v>1238893.613292</v>
      </c>
      <c r="C81">
        <f>Data!H91/Data!I91</f>
        <v>15.47014068078966</v>
      </c>
      <c r="D81" s="32">
        <f>Data!E91</f>
        <v>5656602</v>
      </c>
      <c r="E81" s="33">
        <f>Data!J91</f>
        <v>-1.468156</v>
      </c>
      <c r="F81" s="32">
        <f>Data!D91</f>
        <v>4400360</v>
      </c>
      <c r="G81" s="32">
        <f>Data!B91</f>
        <v>4400366</v>
      </c>
      <c r="I81" s="34">
        <f t="shared" si="89"/>
        <v>1.1738889716607526</v>
      </c>
      <c r="J81" s="34">
        <f t="shared" si="90"/>
        <v>1.1740036626541439</v>
      </c>
      <c r="DT81">
        <v>2051</v>
      </c>
      <c r="DU81" s="34">
        <f>100*((Data!M85/Data!M84)-1)</f>
        <v>6.0913118257599486E-2</v>
      </c>
      <c r="DV81" s="34">
        <f t="shared" ref="DV81:DV90" si="92">AVERAGE(DU72:DU81)</f>
        <v>0.32979580232461725</v>
      </c>
      <c r="DW81" s="34">
        <v>1</v>
      </c>
      <c r="DX81">
        <v>68</v>
      </c>
      <c r="DY81">
        <v>68</v>
      </c>
      <c r="EA81" s="152">
        <v>36312</v>
      </c>
      <c r="EB81" s="34">
        <f>100*(HAVERM!C120/HAVERM!B120)</f>
        <v>26.935020126509489</v>
      </c>
      <c r="EC81" s="34">
        <f t="shared" si="87"/>
        <v>25.050854271384292</v>
      </c>
      <c r="EE81" s="32">
        <f>HAVERM!C120</f>
        <v>2342</v>
      </c>
      <c r="EF81" s="32">
        <f>HAVERM!B120-HAVERM!C120</f>
        <v>6353</v>
      </c>
      <c r="FX81" s="34">
        <f>100*((AVERAGE(HAVERQ!B65:B84)/AVERAGE(HAVERQ!B61:B80))-1)</f>
        <v>1.6993847055376765</v>
      </c>
      <c r="FY81" s="34">
        <f>100*((AVERAGE(HAVERQ!B45:B84)/AVERAGE(HAVERQ!B41:B80))-1)</f>
        <v>2.4524139346364882</v>
      </c>
      <c r="FZ81" s="34">
        <f t="shared" si="85"/>
        <v>2.0390522566444025</v>
      </c>
    </row>
    <row r="82" spans="1:182">
      <c r="A82">
        <v>2058</v>
      </c>
      <c r="B82">
        <f>Data!F92*Data!G92</f>
        <v>1239204.2722282</v>
      </c>
      <c r="C82">
        <f>Data!H92/Data!I92</f>
        <v>15.501956295539266</v>
      </c>
      <c r="D82" s="32">
        <f>Data!E92</f>
        <v>5756439</v>
      </c>
      <c r="E82" s="33">
        <f>Data!J92</f>
        <v>-1.463463</v>
      </c>
      <c r="F82" s="32">
        <f>Data!D92</f>
        <v>4451854</v>
      </c>
      <c r="G82" s="32">
        <f>Data!B92</f>
        <v>4451856</v>
      </c>
      <c r="I82" s="34">
        <f t="shared" si="89"/>
        <v>1.1702224363461244</v>
      </c>
      <c r="J82" s="34">
        <f t="shared" si="90"/>
        <v>1.1701299391914111</v>
      </c>
      <c r="DT82">
        <v>2052</v>
      </c>
      <c r="DU82" s="34">
        <f>100*((Data!M86/Data!M85)-1)</f>
        <v>4.9945781290650082E-2</v>
      </c>
      <c r="DV82" s="34">
        <f t="shared" si="92"/>
        <v>0.31558782092651061</v>
      </c>
      <c r="DW82" s="34">
        <v>2</v>
      </c>
      <c r="DX82">
        <v>68</v>
      </c>
      <c r="DY82">
        <v>68</v>
      </c>
      <c r="EA82" s="152">
        <v>36342</v>
      </c>
      <c r="EB82" s="34">
        <f>100*(HAVERM!C121/HAVERM!B121)</f>
        <v>26.837134300852338</v>
      </c>
      <c r="EC82" s="34">
        <f t="shared" si="87"/>
        <v>25.050854271384292</v>
      </c>
      <c r="EE82" s="32">
        <f>HAVERM!C121</f>
        <v>2330</v>
      </c>
      <c r="EF82" s="32">
        <f>HAVERM!B121-HAVERM!C121</f>
        <v>6352</v>
      </c>
      <c r="FX82" s="34">
        <f>100*((AVERAGE(HAVERQ!B66:B85)/AVERAGE(HAVERQ!B62:B81))-1)</f>
        <v>1.83039626131829</v>
      </c>
      <c r="FY82" s="34">
        <f>100*((AVERAGE(HAVERQ!B46:B85)/AVERAGE(HAVERQ!B42:B81))-1)</f>
        <v>2.4532054878359855</v>
      </c>
      <c r="FZ82" s="34">
        <f t="shared" si="85"/>
        <v>2.0390522566444025</v>
      </c>
    </row>
    <row r="83" spans="1:182">
      <c r="A83">
        <v>2059</v>
      </c>
      <c r="B83">
        <f>Data!F93*Data!G93</f>
        <v>1239441.251712</v>
      </c>
      <c r="C83">
        <f>Data!H93/Data!I93</f>
        <v>15.533360636110528</v>
      </c>
      <c r="D83" s="32">
        <f>Data!E93</f>
        <v>5857050</v>
      </c>
      <c r="E83" s="33">
        <f>Data!J93</f>
        <v>-1.4587859999999999</v>
      </c>
      <c r="F83" s="32">
        <f>Data!D93</f>
        <v>4503388</v>
      </c>
      <c r="G83" s="32">
        <f>Data!B93</f>
        <v>4503392</v>
      </c>
      <c r="I83" s="34">
        <f t="shared" si="89"/>
        <v>1.1575851319472807</v>
      </c>
      <c r="J83" s="34">
        <f t="shared" si="90"/>
        <v>1.1576295369841283</v>
      </c>
      <c r="DT83">
        <v>2053</v>
      </c>
      <c r="DU83" s="34">
        <f>100*((Data!M87/Data!M86)-1)</f>
        <v>3.3786733582119588E-2</v>
      </c>
      <c r="DV83" s="34">
        <f t="shared" si="92"/>
        <v>0.29682771688412268</v>
      </c>
      <c r="DW83" s="34">
        <v>3</v>
      </c>
      <c r="DX83">
        <v>68</v>
      </c>
      <c r="DY83">
        <v>68</v>
      </c>
      <c r="EA83" s="152">
        <v>36373</v>
      </c>
      <c r="EB83" s="34">
        <f>100*(HAVERM!C122/HAVERM!B122)</f>
        <v>27.015477015477014</v>
      </c>
      <c r="EC83" s="34">
        <f t="shared" si="87"/>
        <v>25.050854271384292</v>
      </c>
      <c r="EE83" s="32">
        <f>HAVERM!C122</f>
        <v>2339</v>
      </c>
      <c r="EF83" s="32">
        <f>HAVERM!B122-HAVERM!C122</f>
        <v>6319</v>
      </c>
      <c r="FX83" s="34">
        <f>100*((AVERAGE(HAVERQ!B67:B86)/AVERAGE(HAVERQ!B63:B82))-1)</f>
        <v>2.0081490104773003</v>
      </c>
      <c r="FY83" s="34">
        <f>100*((AVERAGE(HAVERQ!B47:B86)/AVERAGE(HAVERQ!B43:B82))-1)</f>
        <v>2.4385297845373799</v>
      </c>
      <c r="FZ83" s="34">
        <f t="shared" si="85"/>
        <v>2.0390522566444025</v>
      </c>
    </row>
    <row r="84" spans="1:182">
      <c r="A84">
        <v>2060</v>
      </c>
      <c r="B84">
        <f>Data!F94*Data!G94</f>
        <v>1239788.850604</v>
      </c>
      <c r="C84">
        <f>Data!H94/Data!I94</f>
        <v>15.564342570428611</v>
      </c>
      <c r="D84" s="32">
        <f>Data!E94</f>
        <v>5958536</v>
      </c>
      <c r="E84" s="33">
        <f>Data!J94</f>
        <v>-1.4541230000000001</v>
      </c>
      <c r="F84" s="32">
        <f>Data!D94</f>
        <v>4555414</v>
      </c>
      <c r="G84" s="32">
        <f>Data!B94</f>
        <v>4555422</v>
      </c>
      <c r="I84" s="34">
        <f t="shared" si="89"/>
        <v>1.155263548244112</v>
      </c>
      <c r="J84" s="34">
        <f t="shared" si="90"/>
        <v>1.1553513440535568</v>
      </c>
      <c r="DT84">
        <v>2054</v>
      </c>
      <c r="DU84" s="34">
        <f>100*((Data!M88/Data!M87)-1)</f>
        <v>-1.5201003224041276E-2</v>
      </c>
      <c r="DV84" s="34">
        <f t="shared" si="92"/>
        <v>0.26556707267568647</v>
      </c>
      <c r="DW84" s="34">
        <v>4</v>
      </c>
      <c r="DX84">
        <v>68</v>
      </c>
      <c r="DY84">
        <v>68</v>
      </c>
      <c r="EA84" s="152">
        <v>36404</v>
      </c>
      <c r="EB84" s="34">
        <f>100*(HAVERM!C123/HAVERM!B123)</f>
        <v>26.728799907950751</v>
      </c>
      <c r="EC84" s="34">
        <f t="shared" si="87"/>
        <v>25.050854271384292</v>
      </c>
      <c r="EE84" s="32">
        <f>HAVERM!C123</f>
        <v>2323</v>
      </c>
      <c r="EF84" s="32">
        <f>HAVERM!B123-HAVERM!C123</f>
        <v>6368</v>
      </c>
      <c r="FW84">
        <v>1980</v>
      </c>
      <c r="FX84" s="34">
        <f>100*((AVERAGE(HAVERQ!B68:B87)/AVERAGE(HAVERQ!B64:B83))-1)</f>
        <v>2.0380566019511326</v>
      </c>
      <c r="FY84" s="34">
        <f>100*((AVERAGE(HAVERQ!B48:B87)/AVERAGE(HAVERQ!B44:B83))-1)</f>
        <v>2.4398850632656011</v>
      </c>
      <c r="FZ84" s="34">
        <f t="shared" si="85"/>
        <v>2.0390522566444025</v>
      </c>
    </row>
    <row r="85" spans="1:182">
      <c r="DT85">
        <v>2055</v>
      </c>
      <c r="DU85" s="34">
        <f>100*((Data!M89/Data!M88)-1)</f>
        <v>-3.443413622717939E-2</v>
      </c>
      <c r="DV85" s="34">
        <f t="shared" si="92"/>
        <v>0.20162375865197202</v>
      </c>
      <c r="DW85" s="34">
        <v>5</v>
      </c>
      <c r="DX85">
        <v>68</v>
      </c>
      <c r="DY85">
        <v>68</v>
      </c>
      <c r="EA85" s="152">
        <v>36434</v>
      </c>
      <c r="EB85" s="34">
        <f>100*(HAVERM!C124/HAVERM!B124)</f>
        <v>26.648160999306036</v>
      </c>
      <c r="EC85" s="34">
        <f t="shared" si="87"/>
        <v>25.050854271384292</v>
      </c>
      <c r="EE85" s="32">
        <f>HAVERM!C124</f>
        <v>2304</v>
      </c>
      <c r="EF85" s="32">
        <f>HAVERM!B124-HAVERM!C124</f>
        <v>6342</v>
      </c>
      <c r="FX85" s="34">
        <f>100*((AVERAGE(HAVERQ!B69:B88)/AVERAGE(HAVERQ!B65:B84))-1)</f>
        <v>1.9206760779794108</v>
      </c>
      <c r="FY85" s="34">
        <f>100*((AVERAGE(HAVERQ!B49:B88)/AVERAGE(HAVERQ!B45:B84))-1)</f>
        <v>2.2534929140167081</v>
      </c>
      <c r="FZ85" s="34">
        <f t="shared" si="85"/>
        <v>2.0390522566444025</v>
      </c>
    </row>
    <row r="86" spans="1:182">
      <c r="A86" s="29" t="s">
        <v>311</v>
      </c>
      <c r="DT86">
        <v>2056</v>
      </c>
      <c r="DU86" s="34">
        <f>100*((Data!M90/Data!M89)-1)</f>
        <v>-6.1973264168524445E-2</v>
      </c>
      <c r="DV86" s="34">
        <f t="shared" si="92"/>
        <v>9.8503224857118266E-2</v>
      </c>
      <c r="DW86" s="34">
        <v>6</v>
      </c>
      <c r="DX86">
        <v>68</v>
      </c>
      <c r="DY86">
        <v>68</v>
      </c>
      <c r="EA86" s="152">
        <v>36465</v>
      </c>
      <c r="EB86" s="34">
        <f>100*(HAVERM!C125/HAVERM!B125)</f>
        <v>26.485922836287802</v>
      </c>
      <c r="EC86" s="34">
        <f t="shared" si="87"/>
        <v>25.050854271384292</v>
      </c>
      <c r="EE86" s="32">
        <f>HAVERM!C125</f>
        <v>2286</v>
      </c>
      <c r="EF86" s="32">
        <f>HAVERM!B125-HAVERM!C125</f>
        <v>6345</v>
      </c>
      <c r="FX86" s="34">
        <f>100*((AVERAGE(HAVERQ!B70:B89)/AVERAGE(HAVERQ!B66:B85))-1)</f>
        <v>1.9791567071421712</v>
      </c>
      <c r="FY86" s="34">
        <f>100*((AVERAGE(HAVERQ!B50:B89)/AVERAGE(HAVERQ!B46:B85))-1)</f>
        <v>2.1256471525288534</v>
      </c>
      <c r="FZ86" s="34">
        <f t="shared" si="85"/>
        <v>2.0390522566444025</v>
      </c>
    </row>
    <row r="87" spans="1:182">
      <c r="A87" s="29"/>
      <c r="B87" s="31" t="s">
        <v>312</v>
      </c>
      <c r="C87" s="31" t="s">
        <v>313</v>
      </c>
      <c r="D87" s="31" t="s">
        <v>314</v>
      </c>
      <c r="E87" s="31" t="s">
        <v>315</v>
      </c>
      <c r="F87" s="31" t="s">
        <v>288</v>
      </c>
      <c r="G87" s="31" t="s">
        <v>263</v>
      </c>
      <c r="I87" s="31"/>
      <c r="J87" s="31"/>
      <c r="DT87">
        <v>2057</v>
      </c>
      <c r="DU87" s="34">
        <f>100*((Data!M91/Data!M90)-1)</f>
        <v>-0.10184017277159452</v>
      </c>
      <c r="DV87" s="34">
        <f t="shared" si="92"/>
        <v>1.9345487677762119E-2</v>
      </c>
      <c r="DW87" s="34">
        <v>7</v>
      </c>
      <c r="DX87">
        <v>68</v>
      </c>
      <c r="DY87">
        <v>68</v>
      </c>
      <c r="EA87" s="152">
        <v>36495</v>
      </c>
      <c r="EB87" s="34">
        <f>100*(HAVERM!C126/HAVERM!B126)</f>
        <v>26.50086755349913</v>
      </c>
      <c r="EC87" s="34">
        <f t="shared" si="87"/>
        <v>25.050854271384292</v>
      </c>
      <c r="EE87" s="32">
        <f>HAVERM!C126</f>
        <v>2291</v>
      </c>
      <c r="EF87" s="32">
        <f>HAVERM!B126-HAVERM!C126</f>
        <v>6354</v>
      </c>
      <c r="FX87" s="34">
        <f>100*((AVERAGE(HAVERQ!B71:B90)/AVERAGE(HAVERQ!B67:B86))-1)</f>
        <v>1.8449833571088758</v>
      </c>
      <c r="FY87" s="34">
        <f>100*((AVERAGE(HAVERQ!B51:B90)/AVERAGE(HAVERQ!B47:B86))-1)</f>
        <v>1.9499158665742922</v>
      </c>
      <c r="FZ87" s="34">
        <f t="shared" si="85"/>
        <v>2.0390522566444025</v>
      </c>
    </row>
    <row r="88" spans="1:182">
      <c r="A88" t="s">
        <v>316</v>
      </c>
      <c r="B88" s="34">
        <f>0.65*(100*((B23/B13)^(1/10)-1))</f>
        <v>0.1082410754313301</v>
      </c>
      <c r="C88" s="34">
        <f>0.3*(100*((C23/C13)^(1/10)-1))</f>
        <v>0.21475281346542863</v>
      </c>
      <c r="D88" s="34">
        <f>0.35*(100*((D23/D13)^(1/10)-1))</f>
        <v>0.95672637115339787</v>
      </c>
      <c r="E88" s="34">
        <f t="shared" ref="E88:E93" si="93">F88-B88-C88-D88</f>
        <v>1.0122259980944825</v>
      </c>
      <c r="F88" s="34">
        <f>100*((F23/F13)^(1/10)-1)</f>
        <v>2.2919462581446393</v>
      </c>
      <c r="G88" s="34">
        <f>100*((G23/G13)^(1/10)-1)</f>
        <v>2.1074674764129275</v>
      </c>
      <c r="I88" s="34"/>
      <c r="J88" s="34"/>
      <c r="DT88">
        <v>2058</v>
      </c>
      <c r="DU88" s="34">
        <f>100*((Data!M92/Data!M91)-1)</f>
        <v>-0.10376102553332212</v>
      </c>
      <c r="DV88" s="34">
        <f t="shared" si="92"/>
        <v>-6.3083879490932748E-3</v>
      </c>
      <c r="DW88" s="34">
        <v>8</v>
      </c>
      <c r="DX88">
        <v>68</v>
      </c>
      <c r="DY88">
        <v>68</v>
      </c>
      <c r="EA88" s="152">
        <v>36526</v>
      </c>
      <c r="EB88" s="34">
        <f>100*(HAVERM!C127/HAVERM!B127)</f>
        <v>26.43704642322313</v>
      </c>
      <c r="EC88" s="34">
        <f t="shared" si="87"/>
        <v>25.050854271384292</v>
      </c>
      <c r="EE88" s="32">
        <f>HAVERM!C127</f>
        <v>2295</v>
      </c>
      <c r="EF88" s="32">
        <f>HAVERM!B127-HAVERM!C127</f>
        <v>6386</v>
      </c>
      <c r="FW88">
        <v>1981</v>
      </c>
      <c r="FX88" s="34">
        <f>100*((AVERAGE(HAVERQ!B72:B91)/AVERAGE(HAVERQ!B68:B87))-1)</f>
        <v>1.7322983718288443</v>
      </c>
      <c r="FY88" s="34">
        <f>100*((AVERAGE(HAVERQ!B52:B91)/AVERAGE(HAVERQ!B48:B87))-1)</f>
        <v>1.8060134835884201</v>
      </c>
      <c r="FZ88" s="34">
        <f t="shared" si="85"/>
        <v>2.0390522566444025</v>
      </c>
    </row>
    <row r="89" spans="1:182">
      <c r="A89" t="s">
        <v>317</v>
      </c>
      <c r="B89" s="34">
        <f>0.65*(100*((B33/B23)^(1/10)-1))</f>
        <v>0.35329699284347371</v>
      </c>
      <c r="C89" s="34">
        <f>0.3*(100*((C33/C23)^(1/10)-1))</f>
        <v>0.69157834863030399</v>
      </c>
      <c r="D89" s="34">
        <f>0.35*(100*((D33/D23)^(1/10)-1))</f>
        <v>0.78568476548435018</v>
      </c>
      <c r="E89" s="34">
        <f t="shared" si="93"/>
        <v>0.46726974901085239</v>
      </c>
      <c r="F89" s="34">
        <f>100*((F33/F23)^(1/10)-1)</f>
        <v>2.2978298559689803</v>
      </c>
      <c r="G89" s="34">
        <f>100*((G33/G23)^(1/10)-1)</f>
        <v>1.7157207736332447</v>
      </c>
      <c r="I89" s="34"/>
      <c r="J89" s="34"/>
      <c r="DT89">
        <v>2059</v>
      </c>
      <c r="DU89" s="34">
        <f>100*((Data!M93/Data!M92)-1)</f>
        <v>-0.12776856567571215</v>
      </c>
      <c r="DV89" s="34">
        <f t="shared" si="92"/>
        <v>-2.4671715069962685E-2</v>
      </c>
      <c r="DW89" s="34">
        <v>9</v>
      </c>
      <c r="DX89">
        <v>68</v>
      </c>
      <c r="DY89">
        <v>68</v>
      </c>
      <c r="EA89" s="152">
        <v>36557</v>
      </c>
      <c r="EB89" s="34">
        <f>100*(HAVERM!C128/HAVERM!B128)</f>
        <v>26.658959537572251</v>
      </c>
      <c r="EC89" s="34">
        <f t="shared" si="87"/>
        <v>25.050854271384292</v>
      </c>
      <c r="EE89" s="32">
        <f>HAVERM!C128</f>
        <v>2306</v>
      </c>
      <c r="EF89" s="32">
        <f>HAVERM!B128-HAVERM!C128</f>
        <v>6344</v>
      </c>
      <c r="FX89" s="34">
        <f>100*((AVERAGE(HAVERQ!B73:B92)/AVERAGE(HAVERQ!B69:B88))-1)</f>
        <v>1.6866107603882075</v>
      </c>
      <c r="FY89" s="34">
        <f>100*((AVERAGE(HAVERQ!B53:B92)/AVERAGE(HAVERQ!B49:B88))-1)</f>
        <v>1.7434742151917426</v>
      </c>
      <c r="FZ89" s="34">
        <f t="shared" si="85"/>
        <v>2.0390522566444025</v>
      </c>
    </row>
    <row r="90" spans="1:182">
      <c r="A90" t="s">
        <v>318</v>
      </c>
      <c r="B90" s="35">
        <f>0.65*(100*((B43/B33)^(1/10)-1))</f>
        <v>0.68323710943795302</v>
      </c>
      <c r="C90" s="35">
        <f>0.3*(100*((C43/C33)^(1/10)-1))</f>
        <v>0.2377410186510609</v>
      </c>
      <c r="D90" s="35">
        <f>0.35*(100*((D43/D33)^(1/10)-1))</f>
        <v>0.65731660609425591</v>
      </c>
      <c r="E90" s="35">
        <f t="shared" si="93"/>
        <v>-8.3575604634942291E-2</v>
      </c>
      <c r="F90" s="35">
        <f>100*((F43/F33)^(1/10)-1)</f>
        <v>1.4947191295483275</v>
      </c>
      <c r="G90" s="35">
        <f>100*((G43/G33)^(1/10)-1)</f>
        <v>1.9672718864842453</v>
      </c>
      <c r="I90" s="35"/>
      <c r="J90" s="35"/>
      <c r="DT90">
        <v>2060</v>
      </c>
      <c r="DU90" s="34">
        <f>100*((Data!M94/Data!M93)-1)</f>
        <v>-0.14896107380730772</v>
      </c>
      <c r="DV90" s="34">
        <f t="shared" si="92"/>
        <v>-4.4929360827731246E-2</v>
      </c>
      <c r="DW90" s="34">
        <v>10</v>
      </c>
      <c r="DX90">
        <v>68</v>
      </c>
      <c r="DY90">
        <v>68</v>
      </c>
      <c r="EA90" s="152">
        <v>36586</v>
      </c>
      <c r="EB90" s="34">
        <f>100*(HAVERM!C129/HAVERM!B129)</f>
        <v>26.722145168747108</v>
      </c>
      <c r="EC90" s="34">
        <f t="shared" si="87"/>
        <v>25.050854271384292</v>
      </c>
      <c r="EE90" s="32">
        <f>HAVERM!C129</f>
        <v>2312</v>
      </c>
      <c r="EF90" s="32">
        <f>HAVERM!B129-HAVERM!C129</f>
        <v>6340</v>
      </c>
      <c r="FX90" s="34">
        <f>100*((AVERAGE(HAVERQ!B74:B93)/AVERAGE(HAVERQ!B70:B89))-1)</f>
        <v>1.6407275454715986</v>
      </c>
      <c r="FY90" s="34">
        <f>100*((AVERAGE(HAVERQ!B54:B93)/AVERAGE(HAVERQ!B50:B89))-1)</f>
        <v>1.6914452839385641</v>
      </c>
      <c r="FZ90" s="34">
        <f t="shared" si="85"/>
        <v>2.0390522566444025</v>
      </c>
    </row>
    <row r="91" spans="1:182">
      <c r="A91" t="s">
        <v>319</v>
      </c>
      <c r="B91" s="35">
        <f>0.65*(100*((B53/B43)^(1/10)-1))</f>
        <v>0.47474943931739566</v>
      </c>
      <c r="C91" s="35">
        <f>0.3*(100*((C53/C43)^(1/10)-1))</f>
        <v>0.18816966205058794</v>
      </c>
      <c r="D91" s="35">
        <f>0.35*(100*((D53/D43)^(1/10)-1))</f>
        <v>0.57304120021949068</v>
      </c>
      <c r="E91" s="35">
        <f t="shared" si="93"/>
        <v>-8.0017578403340783E-2</v>
      </c>
      <c r="F91" s="35">
        <f>100*((F53/F43)^(1/10)-1)</f>
        <v>1.1559427231841335</v>
      </c>
      <c r="G91" s="35">
        <f>100*((G53/G43)^(1/10)-1)</f>
        <v>1.0474125276469737</v>
      </c>
      <c r="I91" s="35"/>
      <c r="J91" s="35"/>
      <c r="EA91" s="152">
        <v>36617</v>
      </c>
      <c r="EB91" s="34">
        <f>100*(HAVERM!C130/HAVERM!B130)</f>
        <v>26.646602616043523</v>
      </c>
      <c r="EC91" s="34">
        <f t="shared" si="87"/>
        <v>25.050854271384292</v>
      </c>
      <c r="EE91" s="32">
        <f>HAVERM!C130</f>
        <v>2302</v>
      </c>
      <c r="EF91" s="32">
        <f>HAVERM!B130-HAVERM!C130</f>
        <v>6337</v>
      </c>
      <c r="FX91" s="34">
        <f>100*((AVERAGE(HAVERQ!B75:B94)/AVERAGE(HAVERQ!B71:B90))-1)</f>
        <v>1.6621533289756352</v>
      </c>
      <c r="FY91" s="34">
        <f>100*((AVERAGE(HAVERQ!B55:B94)/AVERAGE(HAVERQ!B51:B90))-1)</f>
        <v>1.6990291262136026</v>
      </c>
      <c r="FZ91" s="34">
        <f t="shared" si="85"/>
        <v>2.0390522566444025</v>
      </c>
    </row>
    <row r="92" spans="1:182">
      <c r="A92" t="s">
        <v>320</v>
      </c>
      <c r="B92" s="35">
        <f>0.65*(100*((B63/B53)^(1/10)-1))</f>
        <v>0.3440375315217381</v>
      </c>
      <c r="C92" s="35">
        <f>0.3*(100*((C63/C53)^(1/10)-1))</f>
        <v>0.12102743519389669</v>
      </c>
      <c r="D92" s="35">
        <f>0.35*(100*((D63/D53)^(1/10)-1))</f>
        <v>0.58763807640634602</v>
      </c>
      <c r="E92" s="35">
        <f t="shared" si="93"/>
        <v>0.38365613042318447</v>
      </c>
      <c r="F92" s="35">
        <f>100*((F63/F53)^(1/10)-1)</f>
        <v>1.4363591735451653</v>
      </c>
      <c r="G92" s="35">
        <f>100*((G63/G53)^(1/10)-1)</f>
        <v>1.4945147559719096</v>
      </c>
      <c r="I92" s="35"/>
      <c r="J92" s="35"/>
      <c r="DT92" t="s">
        <v>678</v>
      </c>
      <c r="DU92" s="34">
        <f>100*((Data!M59/Data!M49)^(1/10)-1)</f>
        <v>0.90337738336410123</v>
      </c>
      <c r="EA92" s="152">
        <v>36647</v>
      </c>
      <c r="EB92" s="34">
        <f>100*(HAVERM!C131/HAVERM!B131)</f>
        <v>26.412918108419838</v>
      </c>
      <c r="EC92" s="34">
        <f t="shared" si="87"/>
        <v>25.050854271384292</v>
      </c>
      <c r="EE92" s="32">
        <f>HAVERM!C131</f>
        <v>2290</v>
      </c>
      <c r="EF92" s="32">
        <f>HAVERM!B131-HAVERM!C131</f>
        <v>6380</v>
      </c>
      <c r="FW92">
        <v>1982</v>
      </c>
      <c r="FX92" s="34">
        <f>100*((AVERAGE(HAVERQ!B76:B95)/AVERAGE(HAVERQ!B72:B91))-1)</f>
        <v>1.7214106262212425</v>
      </c>
      <c r="FY92" s="34">
        <f>100*((AVERAGE(HAVERQ!B56:B95)/AVERAGE(HAVERQ!B52:B91))-1)</f>
        <v>1.7111368909512814</v>
      </c>
      <c r="FZ92" s="34">
        <f t="shared" si="85"/>
        <v>2.0390522566444025</v>
      </c>
    </row>
    <row r="93" spans="1:182">
      <c r="A93" t="s">
        <v>321</v>
      </c>
      <c r="B93" s="35">
        <f>0.65*(100*((B73/B63)^(1/10)-1))</f>
        <v>0.22341266921185654</v>
      </c>
      <c r="C93" s="35">
        <f>0.3*(100*((C73/C63)^(1/10)-1))</f>
        <v>7.8046766796420197E-2</v>
      </c>
      <c r="D93" s="35">
        <f>0.35*(100*((D73/D63)^(1/10)-1))</f>
        <v>0.68797757608995536</v>
      </c>
      <c r="E93" s="35">
        <f t="shared" si="93"/>
        <v>0.49114215939567996</v>
      </c>
      <c r="F93" s="35">
        <f>100*((F73/F63)^(1/10)-1)</f>
        <v>1.480579171493912</v>
      </c>
      <c r="G93" s="35">
        <f>100*((G73/G63)^(1/10)-1)</f>
        <v>1.4805834567538589</v>
      </c>
      <c r="I93" s="35"/>
      <c r="J93" s="35"/>
      <c r="DT93" t="s">
        <v>679</v>
      </c>
      <c r="DU93" s="34">
        <f>100*((Data!M69/Data!M59)^(1/10)-1)</f>
        <v>0.26469194815235131</v>
      </c>
      <c r="EA93" s="152">
        <v>36678</v>
      </c>
      <c r="EB93" s="34">
        <f>100*(HAVERM!C132/HAVERM!B132)</f>
        <v>26.359447004608295</v>
      </c>
      <c r="EC93" s="34">
        <f t="shared" si="87"/>
        <v>25.050854271384292</v>
      </c>
      <c r="EE93" s="32">
        <f>HAVERM!C132</f>
        <v>2288</v>
      </c>
      <c r="EF93" s="32">
        <f>HAVERM!B132-HAVERM!C132</f>
        <v>6392</v>
      </c>
      <c r="FX93" s="34">
        <f>100*((AVERAGE(HAVERQ!B77:B96)/AVERAGE(HAVERQ!B73:B92))-1)</f>
        <v>1.8532246108228234</v>
      </c>
      <c r="FY93" s="34">
        <f>100*((AVERAGE(HAVERQ!B57:B96)/AVERAGE(HAVERQ!B53:B92))-1)</f>
        <v>1.7184115523465771</v>
      </c>
      <c r="FZ93" s="34">
        <f t="shared" si="85"/>
        <v>2.0390522566444025</v>
      </c>
    </row>
    <row r="94" spans="1:182">
      <c r="A94" t="s">
        <v>327</v>
      </c>
      <c r="B94" s="35">
        <f>0.65*(100*((B83/B73)^(1/10)-1))</f>
        <v>3.8007509662800754E-2</v>
      </c>
      <c r="C94" s="35">
        <f>0.3*(100*((C83/C73)^(1/10)-1))</f>
        <v>6.5024595578400124E-2</v>
      </c>
      <c r="D94" s="35">
        <f>0.35*(100*((D83/D73)^(1/10)-1))</f>
        <v>0.64331952093017786</v>
      </c>
      <c r="E94" s="35">
        <f t="shared" ref="E94" si="94">F94-B94-C94-D94</f>
        <v>0.48051773026143496</v>
      </c>
      <c r="F94" s="35">
        <f>100*((F83/F73)^(1/10)-1)</f>
        <v>1.2268693564328137</v>
      </c>
      <c r="G94" s="35">
        <f>100*((G83/G73)^(1/10)-1)</f>
        <v>1.2268681903972345</v>
      </c>
      <c r="I94" s="35"/>
      <c r="J94" s="35"/>
      <c r="DT94" t="s">
        <v>680</v>
      </c>
      <c r="DU94" s="34">
        <f>100*((Data!M79/Data!M69)^(1/10)-1)</f>
        <v>0.18084025609228505</v>
      </c>
      <c r="EA94" s="152">
        <v>36708</v>
      </c>
      <c r="EB94" s="34">
        <f>100*(HAVERM!C133/HAVERM!B133)</f>
        <v>26.535315128471019</v>
      </c>
      <c r="EC94" s="34">
        <f t="shared" si="87"/>
        <v>25.050854271384292</v>
      </c>
      <c r="EE94" s="32">
        <f>HAVERM!C133</f>
        <v>2303</v>
      </c>
      <c r="EF94" s="32">
        <f>HAVERM!B133-HAVERM!C133</f>
        <v>6376</v>
      </c>
      <c r="FX94" s="34">
        <f>100*((AVERAGE(HAVERQ!B78:B97)/AVERAGE(HAVERQ!B74:B93))-1)</f>
        <v>1.9739876395166611</v>
      </c>
      <c r="FY94" s="34">
        <f>100*((AVERAGE(HAVERQ!B58:B97)/AVERAGE(HAVERQ!B54:B93))-1)</f>
        <v>1.7400057520851497</v>
      </c>
      <c r="FZ94" s="34">
        <f t="shared" si="85"/>
        <v>2.0390522566444025</v>
      </c>
    </row>
    <row r="95" spans="1:182">
      <c r="B95" s="34"/>
      <c r="C95" s="34"/>
      <c r="D95" s="34"/>
      <c r="E95" s="34"/>
      <c r="F95" s="34"/>
      <c r="G95" s="34"/>
      <c r="I95" s="34"/>
      <c r="J95" s="34"/>
      <c r="DT95" t="s">
        <v>681</v>
      </c>
      <c r="DU95" s="34">
        <f>100*((Data!M89/Data!M79)^(1/10)-1)</f>
        <v>0.20110319180524083</v>
      </c>
      <c r="EA95" s="152">
        <v>36739</v>
      </c>
      <c r="EB95" s="34">
        <f>100*(HAVERM!C134/HAVERM!B134)</f>
        <v>26.615969581749049</v>
      </c>
      <c r="EC95" s="34">
        <f t="shared" si="87"/>
        <v>25.050854271384292</v>
      </c>
      <c r="EE95" s="32">
        <f>HAVERM!C134</f>
        <v>2310</v>
      </c>
      <c r="EF95" s="32">
        <f>HAVERM!B134-HAVERM!C134</f>
        <v>6369</v>
      </c>
      <c r="FX95" s="34">
        <f>100*((AVERAGE(HAVERQ!B79:B98)/AVERAGE(HAVERQ!B75:B94))-1)</f>
        <v>2.1126113713603401</v>
      </c>
      <c r="FY95" s="34">
        <f>100*((AVERAGE(HAVERQ!B59:B98)/AVERAGE(HAVERQ!B55:B94))-1)</f>
        <v>1.7613365155131122</v>
      </c>
      <c r="FZ95" s="34">
        <f t="shared" si="85"/>
        <v>2.0390522566444025</v>
      </c>
    </row>
    <row r="96" spans="1:182">
      <c r="A96" s="36" t="s">
        <v>322</v>
      </c>
      <c r="EA96" s="152">
        <v>36770</v>
      </c>
      <c r="EB96" s="34">
        <f>100*(HAVERM!C135/HAVERM!B135)</f>
        <v>26.619200734956362</v>
      </c>
      <c r="EC96" s="34">
        <f t="shared" si="87"/>
        <v>25.050854271384292</v>
      </c>
      <c r="EE96" s="32">
        <f>HAVERM!C135</f>
        <v>2318</v>
      </c>
      <c r="EF96" s="32">
        <f>HAVERM!B135-HAVERM!C135</f>
        <v>6390</v>
      </c>
      <c r="FW96">
        <v>1983</v>
      </c>
      <c r="FX96" s="34">
        <f>100*((AVERAGE(HAVERQ!B80:B99)/AVERAGE(HAVERQ!B76:B95))-1)</f>
        <v>2.3600439077936297</v>
      </c>
      <c r="FY96" s="34">
        <f>100*((AVERAGE(HAVERQ!B60:B99)/AVERAGE(HAVERQ!B56:B95))-1)</f>
        <v>1.7441307860469379</v>
      </c>
      <c r="FZ96" s="34">
        <f t="shared" si="85"/>
        <v>2.0390522566444025</v>
      </c>
    </row>
    <row r="97" spans="1:182">
      <c r="A97" t="s">
        <v>323</v>
      </c>
      <c r="B97" s="35">
        <f t="shared" ref="B97:G100" si="95">B91-B$89</f>
        <v>0.12145244647392195</v>
      </c>
      <c r="C97" s="35">
        <f t="shared" si="95"/>
        <v>-0.50340868657971605</v>
      </c>
      <c r="D97" s="35">
        <f t="shared" si="95"/>
        <v>-0.2126435652648595</v>
      </c>
      <c r="E97" s="35">
        <f t="shared" si="95"/>
        <v>-0.54728732741419317</v>
      </c>
      <c r="F97" s="35">
        <f t="shared" si="95"/>
        <v>-1.1418871327848468</v>
      </c>
      <c r="G97" s="35">
        <f t="shared" si="95"/>
        <v>-0.66830824598627103</v>
      </c>
      <c r="I97" s="35"/>
      <c r="J97" s="35"/>
      <c r="EA97" s="152">
        <v>36800</v>
      </c>
      <c r="EB97" s="34">
        <f>100*(HAVERM!C136/HAVERM!B136)</f>
        <v>26.831491397971973</v>
      </c>
      <c r="EC97" s="34">
        <f t="shared" si="87"/>
        <v>25.050854271384292</v>
      </c>
      <c r="EE97" s="32">
        <f>HAVERM!C136</f>
        <v>2355</v>
      </c>
      <c r="EF97" s="32">
        <f>HAVERM!B136-HAVERM!C136</f>
        <v>6422</v>
      </c>
      <c r="FX97" s="34">
        <f>100*((AVERAGE(HAVERQ!B81:B100)/AVERAGE(HAVERQ!B77:B96))-1)</f>
        <v>2.4563318777292675</v>
      </c>
      <c r="FY97" s="34">
        <f>100*((AVERAGE(HAVERQ!B61:B100)/AVERAGE(HAVERQ!B57:B96))-1)</f>
        <v>1.7461669505962618</v>
      </c>
      <c r="FZ97" s="34">
        <f t="shared" si="85"/>
        <v>2.0390522566444025</v>
      </c>
    </row>
    <row r="98" spans="1:182">
      <c r="A98" t="s">
        <v>324</v>
      </c>
      <c r="B98" s="35">
        <f t="shared" si="95"/>
        <v>-9.259461321735607E-3</v>
      </c>
      <c r="C98" s="35">
        <f t="shared" si="95"/>
        <v>-0.57055091343640729</v>
      </c>
      <c r="D98" s="35">
        <f t="shared" si="95"/>
        <v>-0.19804668907800416</v>
      </c>
      <c r="E98" s="35">
        <f t="shared" si="95"/>
        <v>-8.3613618587667915E-2</v>
      </c>
      <c r="F98" s="35">
        <f t="shared" si="95"/>
        <v>-0.86147068242381497</v>
      </c>
      <c r="G98" s="35">
        <f t="shared" si="95"/>
        <v>-0.22120601766133507</v>
      </c>
      <c r="I98" s="35"/>
      <c r="J98" s="35"/>
      <c r="EA98" s="152">
        <v>36831</v>
      </c>
      <c r="EB98" s="34">
        <f>100*(HAVERM!C137/HAVERM!B137)</f>
        <v>26.675022789425707</v>
      </c>
      <c r="EC98" s="34">
        <f t="shared" si="87"/>
        <v>25.050854271384292</v>
      </c>
      <c r="EE98" s="32">
        <f>HAVERM!C137</f>
        <v>2341</v>
      </c>
      <c r="EF98" s="32">
        <f>HAVERM!B137-HAVERM!C137</f>
        <v>6435</v>
      </c>
      <c r="FX98" s="34">
        <f>100*((AVERAGE(HAVERQ!B82:B101)/AVERAGE(HAVERQ!B78:B97))-1)</f>
        <v>2.4875621890547039</v>
      </c>
      <c r="FY98" s="34">
        <f>100*((AVERAGE(HAVERQ!B62:B101)/AVERAGE(HAVERQ!B58:B97))-1)</f>
        <v>1.7714958775029599</v>
      </c>
      <c r="FZ98" s="34">
        <f t="shared" si="85"/>
        <v>2.0390522566444025</v>
      </c>
    </row>
    <row r="99" spans="1:182">
      <c r="A99" t="s">
        <v>325</v>
      </c>
      <c r="B99" s="35">
        <f t="shared" si="95"/>
        <v>-0.12988432363161717</v>
      </c>
      <c r="C99" s="35">
        <f t="shared" si="95"/>
        <v>-0.61353158183388379</v>
      </c>
      <c r="D99" s="35">
        <f t="shared" si="95"/>
        <v>-9.7707189394394822E-2</v>
      </c>
      <c r="E99" s="35">
        <f t="shared" si="95"/>
        <v>2.3872410384827569E-2</v>
      </c>
      <c r="F99" s="35">
        <f t="shared" si="95"/>
        <v>-0.81725068447506821</v>
      </c>
      <c r="G99" s="35">
        <f t="shared" si="95"/>
        <v>-0.23513731687938577</v>
      </c>
      <c r="I99" s="35"/>
      <c r="J99" s="35"/>
      <c r="EA99" s="152">
        <v>36861</v>
      </c>
      <c r="EB99" s="34">
        <f>100*(HAVERM!C138/HAVERM!B138)</f>
        <v>26.804360298336199</v>
      </c>
      <c r="EC99" s="34">
        <f t="shared" si="87"/>
        <v>25.050854271384292</v>
      </c>
      <c r="EE99" s="32">
        <f>HAVERM!C138</f>
        <v>2336</v>
      </c>
      <c r="EF99" s="32">
        <f>HAVERM!B138-HAVERM!C138</f>
        <v>6379</v>
      </c>
      <c r="FX99" s="34">
        <f>100*((AVERAGE(HAVERQ!B83:B102)/AVERAGE(HAVERQ!B79:B98))-1)</f>
        <v>2.5006746424395043</v>
      </c>
      <c r="FY99" s="34">
        <f>100*((AVERAGE(HAVERQ!B63:B102)/AVERAGE(HAVERQ!B59:B98))-1)</f>
        <v>1.801210188095137</v>
      </c>
      <c r="FZ99" s="34">
        <f t="shared" si="85"/>
        <v>2.0390522566444025</v>
      </c>
    </row>
    <row r="100" spans="1:182">
      <c r="A100" t="s">
        <v>328</v>
      </c>
      <c r="B100" s="35">
        <f t="shared" si="95"/>
        <v>-0.31528948318067296</v>
      </c>
      <c r="C100" s="35">
        <f t="shared" si="95"/>
        <v>-0.62655375305190386</v>
      </c>
      <c r="D100" s="35">
        <f t="shared" si="95"/>
        <v>-0.14236524455417232</v>
      </c>
      <c r="E100" s="35">
        <f t="shared" si="95"/>
        <v>1.3247981250582574E-2</v>
      </c>
      <c r="F100" s="35">
        <f t="shared" si="95"/>
        <v>-1.0709604995361666</v>
      </c>
      <c r="G100" s="35">
        <f t="shared" si="95"/>
        <v>-0.48885258323601022</v>
      </c>
      <c r="I100" s="35"/>
      <c r="J100" s="35"/>
      <c r="EA100" s="152">
        <v>36892</v>
      </c>
      <c r="EB100" s="34">
        <f>100*(HAVERM!C139/HAVERM!B139)</f>
        <v>26.739130434782609</v>
      </c>
      <c r="EC100" s="34">
        <f t="shared" si="87"/>
        <v>25.050854271384292</v>
      </c>
      <c r="EE100" s="32">
        <f>HAVERM!C139</f>
        <v>2337</v>
      </c>
      <c r="EF100" s="32">
        <f>HAVERM!B139-HAVERM!C139</f>
        <v>6403</v>
      </c>
      <c r="FW100">
        <v>1984</v>
      </c>
      <c r="FX100" s="34">
        <f>100*((AVERAGE(HAVERQ!B84:B103)/AVERAGE(HAVERQ!B80:B99))-1)</f>
        <v>2.4754244861483699</v>
      </c>
      <c r="FY100" s="34">
        <f>100*((AVERAGE(HAVERQ!B64:B103)/AVERAGE(HAVERQ!B60:B99))-1)</f>
        <v>1.9197533747489226</v>
      </c>
      <c r="FZ100" s="34">
        <f t="shared" si="85"/>
        <v>2.0390522566444025</v>
      </c>
    </row>
    <row r="101" spans="1:182">
      <c r="A101" s="36" t="s">
        <v>326</v>
      </c>
      <c r="EA101" s="152">
        <v>36923</v>
      </c>
      <c r="EB101" s="34">
        <f>100*(HAVERM!C140/HAVERM!B140)</f>
        <v>26.677298097733228</v>
      </c>
      <c r="EC101" s="34">
        <f t="shared" si="87"/>
        <v>25.050854271384292</v>
      </c>
      <c r="EE101" s="32">
        <f>HAVERM!C140</f>
        <v>2342</v>
      </c>
      <c r="EF101" s="32">
        <f>HAVERM!B140-HAVERM!C140</f>
        <v>6437</v>
      </c>
      <c r="FX101" s="34">
        <f>100*((AVERAGE(HAVERQ!B85:B104)/AVERAGE(HAVERQ!B81:B100))-1)</f>
        <v>2.1754572900017921</v>
      </c>
      <c r="FY101" s="34">
        <f>100*((AVERAGE(HAVERQ!B65:B104)/AVERAGE(HAVERQ!B61:B100))-1)</f>
        <v>1.9487465699269846</v>
      </c>
      <c r="FZ101" s="34">
        <f t="shared" si="85"/>
        <v>2.0390522566444025</v>
      </c>
    </row>
    <row r="102" spans="1:182">
      <c r="B102" s="35"/>
      <c r="C102" s="35"/>
      <c r="D102" s="35"/>
      <c r="E102" s="35"/>
      <c r="F102" s="35"/>
      <c r="G102" s="35"/>
      <c r="I102" s="35"/>
      <c r="J102" s="35"/>
      <c r="EA102" s="152">
        <v>36951</v>
      </c>
      <c r="EB102" s="34">
        <f>100*(HAVERM!C141/HAVERM!B141)</f>
        <v>26.650728597449909</v>
      </c>
      <c r="EC102" s="34">
        <f t="shared" si="87"/>
        <v>25.050854271384292</v>
      </c>
      <c r="EE102" s="32">
        <f>HAVERM!C141</f>
        <v>2341</v>
      </c>
      <c r="EF102" s="32">
        <f>HAVERM!B141-HAVERM!C141</f>
        <v>6443</v>
      </c>
      <c r="FX102" s="34">
        <f>100*((AVERAGE(HAVERQ!B86:B105)/AVERAGE(HAVERQ!B82:B101))-1)</f>
        <v>2.0211827007943661</v>
      </c>
      <c r="FY102" s="34">
        <f>100*((AVERAGE(HAVERQ!B66:B105)/AVERAGE(HAVERQ!B62:B101))-1)</f>
        <v>1.9304661821211822</v>
      </c>
      <c r="FZ102" s="34">
        <f t="shared" si="85"/>
        <v>2.0390522566444025</v>
      </c>
    </row>
    <row r="103" spans="1:182">
      <c r="A103" t="s">
        <v>1565</v>
      </c>
      <c r="B103" s="35">
        <f>0.65*(100*((B49/B43)^(1/6)-1))</f>
        <v>0.46095061737264964</v>
      </c>
      <c r="C103" s="35">
        <f>0.3*(100*((C49/C43)^(1/6)-1))</f>
        <v>0.19714309979793621</v>
      </c>
      <c r="D103" s="35">
        <f>0.35*(100*((D49/D43)^(1/6)-1))</f>
        <v>0.61569662437038652</v>
      </c>
      <c r="E103" s="35">
        <f t="shared" ref="E103:E104" si="96">F103-B103-C103-D103</f>
        <v>-0.18119173164007574</v>
      </c>
      <c r="F103" s="35">
        <f>100*((F49/F43)^(1/6)-1)</f>
        <v>1.0925986099008966</v>
      </c>
      <c r="G103" s="35">
        <f>100*((G49/G43)^(1/6)-1)</f>
        <v>0.89652078774629107</v>
      </c>
      <c r="I103" s="35"/>
      <c r="J103" s="35"/>
      <c r="EA103" s="152">
        <v>36982</v>
      </c>
      <c r="EB103" s="34">
        <f>100*(HAVERM!C142/HAVERM!B142)</f>
        <v>26.681054066333488</v>
      </c>
      <c r="EC103" s="34">
        <f t="shared" si="87"/>
        <v>25.050854271384292</v>
      </c>
      <c r="EE103" s="32">
        <f>HAVERM!C142</f>
        <v>2349</v>
      </c>
      <c r="EF103" s="32">
        <f>HAVERM!B142-HAVERM!C142</f>
        <v>6455</v>
      </c>
      <c r="FX103" s="34">
        <f>100*((AVERAGE(HAVERQ!B87:B106)/AVERAGE(HAVERQ!B83:B102))-1)</f>
        <v>1.9482229047828037</v>
      </c>
      <c r="FY103" s="34">
        <f>100*((AVERAGE(HAVERQ!B67:B106)/AVERAGE(HAVERQ!B63:B102))-1)</f>
        <v>1.9766852508869892</v>
      </c>
      <c r="FZ103" s="34">
        <f t="shared" si="85"/>
        <v>2.0390522566444025</v>
      </c>
    </row>
    <row r="104" spans="1:182">
      <c r="A104" s="36" t="s">
        <v>668</v>
      </c>
      <c r="B104" s="35">
        <f>0.65*(100*((B54/B49)^(1/5)-1))</f>
        <v>0.47407829393152578</v>
      </c>
      <c r="C104" s="35">
        <f>0.3*(100*((C54/C49)^(1/5)-1))</f>
        <v>0.17193181557500159</v>
      </c>
      <c r="D104" s="35">
        <f>0.35*(100*((D54/D49)^(1/5)-1))</f>
        <v>0.50969289684626773</v>
      </c>
      <c r="E104" s="35">
        <f t="shared" si="96"/>
        <v>9.3766918631186247E-2</v>
      </c>
      <c r="F104" s="35">
        <f>100*((F54/F49)^(1/5)-1)</f>
        <v>1.2494699249839814</v>
      </c>
      <c r="G104" s="35">
        <f>100*((G54/G49)^(1/5)-1)</f>
        <v>1.313935702510638</v>
      </c>
      <c r="I104" s="35"/>
      <c r="J104" s="35"/>
      <c r="EA104" s="152">
        <v>37012</v>
      </c>
      <c r="EB104" s="34">
        <f>100*(HAVERM!C143/HAVERM!B143)</f>
        <v>26.620423015692516</v>
      </c>
      <c r="EC104" s="34">
        <f t="shared" si="87"/>
        <v>25.050854271384292</v>
      </c>
      <c r="EE104" s="32">
        <f>HAVERM!C143</f>
        <v>2341</v>
      </c>
      <c r="EF104" s="32">
        <f>HAVERM!B143-HAVERM!C143</f>
        <v>6453</v>
      </c>
      <c r="FW104">
        <v>1985</v>
      </c>
      <c r="FX104" s="34">
        <f>100*((AVERAGE(HAVERQ!B88:B107)/AVERAGE(HAVERQ!B84:B103))-1)</f>
        <v>1.918548879393045</v>
      </c>
      <c r="FY104" s="34">
        <f>100*((AVERAGE(HAVERQ!B68:B107)/AVERAGE(HAVERQ!B64:B103))-1)</f>
        <v>1.9752520623281589</v>
      </c>
      <c r="FZ104" s="34">
        <f t="shared" si="85"/>
        <v>2.0390522566444025</v>
      </c>
    </row>
    <row r="105" spans="1:182">
      <c r="B105" s="35"/>
      <c r="C105" s="35"/>
      <c r="D105" s="35"/>
      <c r="E105" s="35"/>
      <c r="F105" s="35"/>
      <c r="G105" s="35"/>
      <c r="I105" s="35"/>
      <c r="J105" s="35"/>
      <c r="EA105" s="152">
        <v>37043</v>
      </c>
      <c r="EB105" s="34">
        <f>100*(HAVERM!C144/HAVERM!B144)</f>
        <v>26.751952903883165</v>
      </c>
      <c r="EC105" s="34">
        <f t="shared" si="87"/>
        <v>25.050854271384292</v>
      </c>
      <c r="EE105" s="32">
        <f>HAVERM!C144</f>
        <v>2363</v>
      </c>
      <c r="EF105" s="32">
        <f>HAVERM!B144-HAVERM!C144</f>
        <v>6470</v>
      </c>
      <c r="FX105" s="34">
        <f>100*((AVERAGE(HAVERQ!B89:B108)/AVERAGE(HAVERQ!B85:B104))-1)</f>
        <v>2.3377074824020072</v>
      </c>
      <c r="FY105" s="34">
        <f>100*((AVERAGE(HAVERQ!B69:B108)/AVERAGE(HAVERQ!B65:B104))-1)</f>
        <v>2.1395985401460038</v>
      </c>
      <c r="FZ105" s="34">
        <f t="shared" si="85"/>
        <v>2.0390522566444025</v>
      </c>
    </row>
    <row r="106" spans="1:182">
      <c r="B106" s="35"/>
      <c r="C106" s="35"/>
      <c r="D106" s="35"/>
      <c r="E106" s="35"/>
      <c r="F106" s="35"/>
      <c r="G106" s="35"/>
      <c r="I106" s="35"/>
      <c r="J106" s="35"/>
      <c r="EA106" s="152">
        <v>37073</v>
      </c>
      <c r="EB106" s="34">
        <f>100*(HAVERM!C145/HAVERM!B145)</f>
        <v>26.814058956916099</v>
      </c>
      <c r="EC106" s="34">
        <f t="shared" si="87"/>
        <v>25.050854271384292</v>
      </c>
      <c r="EE106" s="32">
        <f>HAVERM!C145</f>
        <v>2365</v>
      </c>
      <c r="EF106" s="32">
        <f>HAVERM!B145-HAVERM!C145</f>
        <v>6455</v>
      </c>
      <c r="FX106" s="34">
        <f>100*((AVERAGE(HAVERQ!B90:B109)/AVERAGE(HAVERQ!B86:B105))-1)</f>
        <v>2.612682758024043</v>
      </c>
      <c r="FY106" s="34">
        <f>100*((AVERAGE(HAVERQ!B70:B109)/AVERAGE(HAVERQ!B66:B105))-1)</f>
        <v>2.3117449359614684</v>
      </c>
      <c r="FZ106" s="34">
        <f t="shared" si="85"/>
        <v>2.0390522566444025</v>
      </c>
    </row>
    <row r="107" spans="1:182">
      <c r="B107" s="35"/>
      <c r="C107" s="35"/>
      <c r="D107" s="35"/>
      <c r="E107" s="35"/>
      <c r="F107" s="35"/>
      <c r="G107" s="35"/>
      <c r="I107" s="35"/>
      <c r="J107" s="35"/>
      <c r="EA107" s="152">
        <v>37104</v>
      </c>
      <c r="EB107" s="34">
        <f>100*(HAVERM!C146/HAVERM!B146)</f>
        <v>26.794799321650647</v>
      </c>
      <c r="EC107" s="34">
        <f t="shared" si="87"/>
        <v>25.050854271384292</v>
      </c>
      <c r="EE107" s="32">
        <f>HAVERM!C146</f>
        <v>2370</v>
      </c>
      <c r="EF107" s="32">
        <f>HAVERM!B146-HAVERM!C146</f>
        <v>6475</v>
      </c>
      <c r="FX107" s="34">
        <f>100*((AVERAGE(HAVERQ!B91:B110)/AVERAGE(HAVERQ!B87:B106))-1)</f>
        <v>2.8492726177154148</v>
      </c>
      <c r="FY107" s="34">
        <f>100*((AVERAGE(HAVERQ!B71:B110)/AVERAGE(HAVERQ!B67:B106))-1)</f>
        <v>2.3721308512560935</v>
      </c>
      <c r="FZ107" s="34">
        <f t="shared" si="85"/>
        <v>2.0390522566444025</v>
      </c>
    </row>
    <row r="108" spans="1:182">
      <c r="B108" s="35"/>
      <c r="C108" s="35"/>
      <c r="D108" s="35"/>
      <c r="E108" s="35"/>
      <c r="F108" s="35"/>
      <c r="G108" s="35"/>
      <c r="I108" s="35"/>
      <c r="J108" s="35"/>
      <c r="EA108" s="152">
        <v>37135</v>
      </c>
      <c r="EB108" s="34">
        <f>100*(HAVERM!C147/HAVERM!B147)</f>
        <v>27.023056057866185</v>
      </c>
      <c r="EC108" s="34">
        <f t="shared" si="87"/>
        <v>25.050854271384292</v>
      </c>
      <c r="EE108" s="32">
        <f>HAVERM!C147</f>
        <v>2391</v>
      </c>
      <c r="EF108" s="32">
        <f>HAVERM!B147-HAVERM!C147</f>
        <v>6457</v>
      </c>
      <c r="FW108">
        <v>1986</v>
      </c>
      <c r="FX108" s="34">
        <f>100*((AVERAGE(HAVERQ!B92:B111)/AVERAGE(HAVERQ!B88:B107))-1)</f>
        <v>2.9691109780097591</v>
      </c>
      <c r="FY108" s="34">
        <f>100*((AVERAGE(HAVERQ!B72:B111)/AVERAGE(HAVERQ!B68:B107))-1)</f>
        <v>2.3819154195316772</v>
      </c>
      <c r="FZ108" s="34">
        <f t="shared" si="85"/>
        <v>2.0390522566444025</v>
      </c>
    </row>
    <row r="109" spans="1:182">
      <c r="B109" s="35"/>
      <c r="C109" s="35"/>
      <c r="D109" s="35"/>
      <c r="E109" s="35"/>
      <c r="F109" s="35"/>
      <c r="G109" s="35"/>
      <c r="I109" s="35"/>
      <c r="J109" s="35"/>
      <c r="EA109" s="152">
        <v>37165</v>
      </c>
      <c r="EB109" s="34">
        <f>100*(HAVERM!C148/HAVERM!B148)</f>
        <v>27.066560834561741</v>
      </c>
      <c r="EC109" s="34">
        <f t="shared" si="87"/>
        <v>25.050854271384292</v>
      </c>
      <c r="EE109" s="32">
        <f>HAVERM!C148</f>
        <v>2387</v>
      </c>
      <c r="EF109" s="32">
        <f>HAVERM!B148-HAVERM!C148</f>
        <v>6432</v>
      </c>
      <c r="FX109" s="34">
        <f>100*((AVERAGE(HAVERQ!B93:B112)/AVERAGE(HAVERQ!B89:B108))-1)</f>
        <v>2.9211956521739024</v>
      </c>
      <c r="FY109" s="34">
        <f>100*((AVERAGE(HAVERQ!B73:B112)/AVERAGE(HAVERQ!B69:B108))-1)</f>
        <v>2.3359685559873222</v>
      </c>
      <c r="FZ109" s="34">
        <f t="shared" si="85"/>
        <v>2.0390522566444025</v>
      </c>
    </row>
    <row r="110" spans="1:182">
      <c r="B110" s="35"/>
      <c r="C110" s="35"/>
      <c r="D110" s="35"/>
      <c r="E110" s="35"/>
      <c r="F110" s="35"/>
      <c r="G110" s="35"/>
      <c r="I110" s="35"/>
      <c r="J110" s="35"/>
      <c r="EA110" s="152">
        <v>37196</v>
      </c>
      <c r="EB110" s="34">
        <f>100*(HAVERM!C149/HAVERM!B149)</f>
        <v>27.057087731245034</v>
      </c>
      <c r="EC110" s="34">
        <f t="shared" si="87"/>
        <v>25.050854271384292</v>
      </c>
      <c r="EE110" s="32">
        <f>HAVERM!C149</f>
        <v>2384</v>
      </c>
      <c r="EF110" s="32">
        <f>HAVERM!B149-HAVERM!C149</f>
        <v>6427</v>
      </c>
      <c r="FX110" s="34">
        <f>100*((AVERAGE(HAVERQ!B94:B113)/AVERAGE(HAVERQ!B90:B109))-1)</f>
        <v>2.8581063991231836</v>
      </c>
      <c r="FY110" s="34">
        <f>100*((AVERAGE(HAVERQ!B74:B113)/AVERAGE(HAVERQ!B70:B109))-1)</f>
        <v>2.281706396768346</v>
      </c>
      <c r="FZ110" s="34">
        <f t="shared" si="85"/>
        <v>2.0390522566444025</v>
      </c>
    </row>
    <row r="111" spans="1:182">
      <c r="EA111" s="152">
        <v>37226</v>
      </c>
      <c r="EB111" s="34">
        <f>100*(HAVERM!C150/HAVERM!B150)</f>
        <v>26.909624280717594</v>
      </c>
      <c r="EC111" s="34">
        <f t="shared" si="87"/>
        <v>25.050854271384292</v>
      </c>
      <c r="EE111" s="32">
        <f>HAVERM!C150</f>
        <v>2385</v>
      </c>
      <c r="EF111" s="32">
        <f>HAVERM!B150-HAVERM!C150</f>
        <v>6478</v>
      </c>
      <c r="FX111" s="34">
        <f>100*((AVERAGE(HAVERQ!B95:B114)/AVERAGE(HAVERQ!B91:B110))-1)</f>
        <v>2.7954469367257984</v>
      </c>
      <c r="FY111" s="34">
        <f>100*((AVERAGE(HAVERQ!B75:B114)/AVERAGE(HAVERQ!B71:B110))-1)</f>
        <v>2.259787262214763</v>
      </c>
      <c r="FZ111" s="34">
        <f t="shared" si="85"/>
        <v>2.0390522566444025</v>
      </c>
    </row>
    <row r="112" spans="1:182">
      <c r="A112" s="36"/>
      <c r="EA112" s="152">
        <v>37257</v>
      </c>
      <c r="EB112" s="34">
        <f>100*(HAVERM!C151/HAVERM!B151)</f>
        <v>26.824324324324323</v>
      </c>
      <c r="EC112" s="34">
        <f t="shared" si="87"/>
        <v>25.050854271384292</v>
      </c>
      <c r="EE112" s="32">
        <f>HAVERM!C151</f>
        <v>2382</v>
      </c>
      <c r="EF112" s="32">
        <f>HAVERM!B151-HAVERM!C151</f>
        <v>6498</v>
      </c>
      <c r="FW112">
        <v>1987</v>
      </c>
      <c r="FX112" s="34">
        <f>100*((AVERAGE(HAVERQ!B96:B115)/AVERAGE(HAVERQ!B92:B111))-1)</f>
        <v>2.7422303473491727</v>
      </c>
      <c r="FY112" s="34">
        <f>100*((AVERAGE(HAVERQ!B76:B115)/AVERAGE(HAVERQ!B72:B111))-1)</f>
        <v>2.2606558096659679</v>
      </c>
      <c r="FZ112" s="34">
        <f t="shared" si="85"/>
        <v>2.0390522566444025</v>
      </c>
    </row>
    <row r="113" spans="2:182">
      <c r="B113" s="35"/>
      <c r="C113" s="35"/>
      <c r="D113" s="35"/>
      <c r="E113" s="35"/>
      <c r="F113" s="35"/>
      <c r="G113" s="35"/>
      <c r="I113" s="35"/>
      <c r="J113" s="35"/>
      <c r="EA113" s="152">
        <v>37288</v>
      </c>
      <c r="EB113" s="34">
        <f>100*(HAVERM!C152/HAVERM!B152)</f>
        <v>26.837780029269393</v>
      </c>
      <c r="EC113" s="34">
        <f t="shared" si="87"/>
        <v>25.050854271384292</v>
      </c>
      <c r="EE113" s="32">
        <f>HAVERM!C152</f>
        <v>2384</v>
      </c>
      <c r="EF113" s="32">
        <f>HAVERM!B152-HAVERM!C152</f>
        <v>6499</v>
      </c>
      <c r="FX113" s="34">
        <f>100*((AVERAGE(HAVERQ!B97:B116)/AVERAGE(HAVERQ!B93:B112))-1)</f>
        <v>2.6732673267326534</v>
      </c>
      <c r="FY113" s="34">
        <f>100*((AVERAGE(HAVERQ!B77:B116)/AVERAGE(HAVERQ!B73:B112))-1)</f>
        <v>2.2870111731843501</v>
      </c>
      <c r="FZ113" s="34">
        <f t="shared" ref="FZ113:FZ176" si="97">$GD$6</f>
        <v>2.0390522566444025</v>
      </c>
    </row>
    <row r="114" spans="2:182">
      <c r="B114" s="35"/>
      <c r="C114" s="35"/>
      <c r="D114" s="35"/>
      <c r="E114" s="35"/>
      <c r="F114" s="35"/>
      <c r="G114" s="35"/>
      <c r="I114" s="35"/>
      <c r="J114" s="35"/>
      <c r="EA114" s="152">
        <v>37316</v>
      </c>
      <c r="EB114" s="34">
        <f>100*(HAVERM!C153/HAVERM!B153)</f>
        <v>26.711166421540899</v>
      </c>
      <c r="EC114" s="34">
        <f t="shared" si="87"/>
        <v>25.050854271384292</v>
      </c>
      <c r="EE114" s="32">
        <f>HAVERM!C153</f>
        <v>2361</v>
      </c>
      <c r="EF114" s="32">
        <f>HAVERM!B153-HAVERM!C153</f>
        <v>6478</v>
      </c>
      <c r="FX114" s="34">
        <f>100*((AVERAGE(HAVERQ!B98:B117)/AVERAGE(HAVERQ!B94:B113))-1)</f>
        <v>2.680327868852439</v>
      </c>
      <c r="FY114" s="34">
        <f>100*((AVERAGE(HAVERQ!B78:B117)/AVERAGE(HAVERQ!B74:B113))-1)</f>
        <v>2.3479883685604053</v>
      </c>
      <c r="FZ114" s="34">
        <f t="shared" si="97"/>
        <v>2.0390522566444025</v>
      </c>
    </row>
    <row r="115" spans="2:182">
      <c r="B115" s="35"/>
      <c r="C115" s="35"/>
      <c r="D115" s="35"/>
      <c r="E115" s="35"/>
      <c r="F115" s="35"/>
      <c r="G115" s="35"/>
      <c r="I115" s="35"/>
      <c r="J115" s="35"/>
      <c r="EA115" s="152">
        <v>37347</v>
      </c>
      <c r="EB115" s="34">
        <f>100*(HAVERM!C154/HAVERM!B154)</f>
        <v>26.877694576809617</v>
      </c>
      <c r="EC115" s="34">
        <f t="shared" si="87"/>
        <v>25.050854271384292</v>
      </c>
      <c r="EE115" s="32">
        <f>HAVERM!C154</f>
        <v>2369</v>
      </c>
      <c r="EF115" s="32">
        <f>HAVERM!B154-HAVERM!C154</f>
        <v>6445</v>
      </c>
      <c r="FX115" s="34">
        <f>100*((AVERAGE(HAVERQ!B99:B118)/AVERAGE(HAVERQ!B95:B114))-1)</f>
        <v>2.6298648428594751</v>
      </c>
      <c r="FY115" s="34">
        <f>100*((AVERAGE(HAVERQ!B79:B118)/AVERAGE(HAVERQ!B75:B114))-1)</f>
        <v>2.3868099615866445</v>
      </c>
      <c r="FZ115" s="34">
        <f t="shared" si="97"/>
        <v>2.0390522566444025</v>
      </c>
    </row>
    <row r="116" spans="2:182">
      <c r="B116" s="35"/>
      <c r="C116" s="35"/>
      <c r="D116" s="35"/>
      <c r="E116" s="35"/>
      <c r="F116" s="35"/>
      <c r="G116" s="35"/>
      <c r="I116" s="35"/>
      <c r="J116" s="35"/>
      <c r="EA116" s="152">
        <v>37377</v>
      </c>
      <c r="EB116" s="34">
        <f>100*(HAVERM!C155/HAVERM!B155)</f>
        <v>26.804357694053564</v>
      </c>
      <c r="EC116" s="34">
        <f t="shared" si="87"/>
        <v>25.050854271384292</v>
      </c>
      <c r="EE116" s="32">
        <f>HAVERM!C155</f>
        <v>2362</v>
      </c>
      <c r="EF116" s="32">
        <f>HAVERM!B155-HAVERM!C155</f>
        <v>6450</v>
      </c>
      <c r="FW116">
        <v>1988</v>
      </c>
      <c r="FX116" s="34">
        <f>100*((AVERAGE(HAVERQ!B100:B119)/AVERAGE(HAVERQ!B96:B115))-1)</f>
        <v>2.4830152054351462</v>
      </c>
      <c r="FY116" s="34">
        <f>100*((AVERAGE(HAVERQ!B80:B119)/AVERAGE(HAVERQ!B76:B115))-1)</f>
        <v>2.4253090659340781</v>
      </c>
      <c r="FZ116" s="34">
        <f t="shared" si="97"/>
        <v>2.0390522566444025</v>
      </c>
    </row>
    <row r="117" spans="2:182">
      <c r="B117" s="35"/>
      <c r="C117" s="35"/>
      <c r="D117" s="35"/>
      <c r="E117" s="35"/>
      <c r="F117" s="35"/>
      <c r="G117" s="35"/>
      <c r="I117" s="35"/>
      <c r="J117" s="35"/>
      <c r="EA117" s="152">
        <v>37408</v>
      </c>
      <c r="EB117" s="34">
        <f>100*(HAVERM!C156/HAVERM!B156)</f>
        <v>26.663653824426621</v>
      </c>
      <c r="EC117" s="34">
        <f t="shared" si="87"/>
        <v>25.050854271384292</v>
      </c>
      <c r="EE117" s="32">
        <f>HAVERM!C156</f>
        <v>2360</v>
      </c>
      <c r="EF117" s="32">
        <f>HAVERM!B156-HAVERM!C156</f>
        <v>6491</v>
      </c>
      <c r="FX117" s="34">
        <f>100*((AVERAGE(HAVERQ!B101:B120)/AVERAGE(HAVERQ!B97:B116))-1)</f>
        <v>2.3304403728704681</v>
      </c>
      <c r="FY117" s="34">
        <f>100*((AVERAGE(HAVERQ!B81:B120)/AVERAGE(HAVERQ!B77:B116))-1)</f>
        <v>2.3894862604540323</v>
      </c>
      <c r="FZ117" s="34">
        <f t="shared" si="97"/>
        <v>2.0390522566444025</v>
      </c>
    </row>
    <row r="118" spans="2:182">
      <c r="B118" s="35"/>
      <c r="C118" s="35"/>
      <c r="D118" s="35"/>
      <c r="E118" s="35"/>
      <c r="F118" s="35"/>
      <c r="G118" s="35"/>
      <c r="I118" s="35"/>
      <c r="J118" s="35"/>
      <c r="EA118" s="152">
        <v>37438</v>
      </c>
      <c r="EB118" s="34">
        <f>100*(HAVERM!C157/HAVERM!B157)</f>
        <v>26.288308740068107</v>
      </c>
      <c r="EC118" s="34">
        <f t="shared" si="87"/>
        <v>25.050854271384292</v>
      </c>
      <c r="EE118" s="32">
        <f>HAVERM!C157</f>
        <v>2316</v>
      </c>
      <c r="EF118" s="32">
        <f>HAVERM!B157-HAVERM!C157</f>
        <v>6494</v>
      </c>
      <c r="FX118" s="34">
        <f>100*((AVERAGE(HAVERQ!B102:B121)/AVERAGE(HAVERQ!B98:B117))-1)</f>
        <v>2.163327213219457</v>
      </c>
      <c r="FY118" s="34">
        <f>100*((AVERAGE(HAVERQ!B82:B121)/AVERAGE(HAVERQ!B78:B117))-1)</f>
        <v>2.3153252480705433</v>
      </c>
      <c r="FZ118" s="34">
        <f t="shared" si="97"/>
        <v>2.0390522566444025</v>
      </c>
    </row>
    <row r="119" spans="2:182">
      <c r="EA119" s="152">
        <v>37469</v>
      </c>
      <c r="EB119" s="34">
        <f>100*(HAVERM!C158/HAVERM!B158)</f>
        <v>26.141643059490082</v>
      </c>
      <c r="EC119" s="34">
        <f t="shared" si="87"/>
        <v>25.050854271384292</v>
      </c>
      <c r="EE119" s="32">
        <f>HAVERM!C158</f>
        <v>2307</v>
      </c>
      <c r="EF119" s="32">
        <f>HAVERM!B158-HAVERM!C158</f>
        <v>6518</v>
      </c>
      <c r="FX119" s="34">
        <f>100*((AVERAGE(HAVERQ!B103:B122)/AVERAGE(HAVERQ!B99:B118))-1)</f>
        <v>2.054740182467274</v>
      </c>
      <c r="FY119" s="34">
        <f>100*((AVERAGE(HAVERQ!B83:B122)/AVERAGE(HAVERQ!B79:B118))-1)</f>
        <v>2.2637214400134775</v>
      </c>
      <c r="FZ119" s="34">
        <f t="shared" si="97"/>
        <v>2.0390522566444025</v>
      </c>
    </row>
    <row r="120" spans="2:182">
      <c r="EA120" s="152">
        <v>37500</v>
      </c>
      <c r="EB120" s="34">
        <f>100*(HAVERM!C159/HAVERM!B159)</f>
        <v>26.101309049516217</v>
      </c>
      <c r="EC120" s="34">
        <f t="shared" si="87"/>
        <v>25.050854271384292</v>
      </c>
      <c r="EE120" s="32">
        <f>HAVERM!C159</f>
        <v>2293</v>
      </c>
      <c r="EF120" s="32">
        <f>HAVERM!B159-HAVERM!C159</f>
        <v>6492</v>
      </c>
      <c r="FW120">
        <v>1989</v>
      </c>
      <c r="FX120" s="34">
        <f>100*((AVERAGE(HAVERQ!B104:B123)/AVERAGE(HAVERQ!B100:B119))-1)</f>
        <v>2.0045773814221235</v>
      </c>
      <c r="FY120" s="34">
        <f>100*((AVERAGE(HAVERQ!B84:B123)/AVERAGE(HAVERQ!B80:B119))-1)</f>
        <v>2.2253887096097991</v>
      </c>
      <c r="FZ120" s="34">
        <f t="shared" si="97"/>
        <v>2.0390522566444025</v>
      </c>
    </row>
    <row r="121" spans="2:182">
      <c r="EA121" s="152">
        <v>37530</v>
      </c>
      <c r="EB121" s="34">
        <f>100*(HAVERM!C160/HAVERM!B160)</f>
        <v>26.072607260726073</v>
      </c>
      <c r="EC121" s="34">
        <f t="shared" si="87"/>
        <v>25.050854271384292</v>
      </c>
      <c r="EE121" s="32">
        <f>HAVERM!C160</f>
        <v>2291</v>
      </c>
      <c r="EF121" s="32">
        <f>HAVERM!B160-HAVERM!C160</f>
        <v>6496</v>
      </c>
      <c r="FX121" s="34">
        <f>100*((AVERAGE(HAVERQ!B105:B124)/AVERAGE(HAVERQ!B101:B120))-1)</f>
        <v>2.057483901366397</v>
      </c>
      <c r="FY121" s="34">
        <f>100*((AVERAGE(HAVERQ!B85:B124)/AVERAGE(HAVERQ!B81:B120))-1)</f>
        <v>2.1128521420236579</v>
      </c>
      <c r="FZ121" s="34">
        <f t="shared" si="97"/>
        <v>2.0390522566444025</v>
      </c>
    </row>
    <row r="122" spans="2:182">
      <c r="EA122" s="152">
        <v>37561</v>
      </c>
      <c r="EB122" s="34">
        <f>100*(HAVERM!C161/HAVERM!B161)</f>
        <v>26.020059266013224</v>
      </c>
      <c r="EC122" s="34">
        <f t="shared" si="87"/>
        <v>25.050854271384292</v>
      </c>
      <c r="EE122" s="32">
        <f>HAVERM!C161</f>
        <v>2283</v>
      </c>
      <c r="EF122" s="32">
        <f>HAVERM!B161-HAVERM!C161</f>
        <v>6491</v>
      </c>
      <c r="FX122" s="34">
        <f>100*((AVERAGE(HAVERQ!B106:B125)/AVERAGE(HAVERQ!B102:B121))-1)</f>
        <v>2.0940771995624052</v>
      </c>
      <c r="FY122" s="34">
        <f>100*((AVERAGE(HAVERQ!B86:B125)/AVERAGE(HAVERQ!B82:B121))-1)</f>
        <v>2.0598474801061029</v>
      </c>
      <c r="FZ122" s="34">
        <f t="shared" si="97"/>
        <v>2.0390522566444025</v>
      </c>
    </row>
    <row r="123" spans="2:182">
      <c r="EA123" s="152">
        <v>37591</v>
      </c>
      <c r="EB123" s="34">
        <f>100*(HAVERM!C162/HAVERM!B162)</f>
        <v>26.120329608307934</v>
      </c>
      <c r="EC123" s="34">
        <f t="shared" si="87"/>
        <v>25.050854271384292</v>
      </c>
      <c r="EE123" s="32">
        <f>HAVERM!C162</f>
        <v>2314</v>
      </c>
      <c r="EF123" s="32">
        <f>HAVERM!B162-HAVERM!C162</f>
        <v>6545</v>
      </c>
      <c r="FX123" s="34">
        <f>100*((AVERAGE(HAVERQ!B107:B126)/AVERAGE(HAVERQ!B103:B122))-1)</f>
        <v>2.0444651741293729</v>
      </c>
      <c r="FY123" s="34">
        <f>100*((AVERAGE(HAVERQ!B87:B126)/AVERAGE(HAVERQ!B83:B122))-1)</f>
        <v>1.9992580073374899</v>
      </c>
      <c r="FZ123" s="34">
        <f t="shared" si="97"/>
        <v>2.0390522566444025</v>
      </c>
    </row>
    <row r="124" spans="2:182">
      <c r="EA124" s="152">
        <v>37622</v>
      </c>
      <c r="EB124" s="34">
        <f>100*(HAVERM!C163/HAVERM!B163)</f>
        <v>26.165803108808287</v>
      </c>
      <c r="EC124" s="34">
        <f t="shared" si="87"/>
        <v>25.050854271384292</v>
      </c>
      <c r="EE124" s="32">
        <f>HAVERM!C163</f>
        <v>2323</v>
      </c>
      <c r="EF124" s="32">
        <f>HAVERM!B163-HAVERM!C163</f>
        <v>6555</v>
      </c>
      <c r="FW124">
        <v>1990</v>
      </c>
      <c r="FX124" s="34">
        <f>100*((AVERAGE(HAVERQ!B108:B127)/AVERAGE(HAVERQ!B104:B123))-1)</f>
        <v>2.0116054158607843</v>
      </c>
      <c r="FY124" s="34">
        <f>100*((AVERAGE(HAVERQ!B88:B127)/AVERAGE(HAVERQ!B84:B123))-1)</f>
        <v>1.9678583142013872</v>
      </c>
      <c r="FZ124" s="34">
        <f t="shared" si="97"/>
        <v>2.0390522566444025</v>
      </c>
    </row>
    <row r="125" spans="2:182">
      <c r="EA125" s="152">
        <v>37653</v>
      </c>
      <c r="EB125" s="34">
        <f>100*(HAVERM!C164/HAVERM!B164)</f>
        <v>26.06485142921704</v>
      </c>
      <c r="EC125" s="34">
        <f t="shared" si="87"/>
        <v>25.050854271384292</v>
      </c>
      <c r="EE125" s="32">
        <f>HAVERM!C164</f>
        <v>2307</v>
      </c>
      <c r="EF125" s="32">
        <f>HAVERM!B164-HAVERM!C164</f>
        <v>6544</v>
      </c>
      <c r="FX125" s="34">
        <f>100*((AVERAGE(HAVERQ!B109:B128)/AVERAGE(HAVERQ!B105:B124))-1)</f>
        <v>1.8236380424746068</v>
      </c>
      <c r="FY125" s="34">
        <f>100*((AVERAGE(HAVERQ!B89:B128)/AVERAGE(HAVERQ!B85:B124))-1)</f>
        <v>2.0650532587846104</v>
      </c>
      <c r="FZ125" s="34">
        <f t="shared" si="97"/>
        <v>2.0390522566444025</v>
      </c>
    </row>
    <row r="126" spans="2:182">
      <c r="EA126" s="152">
        <v>37681</v>
      </c>
      <c r="EB126" s="34">
        <f>100*(HAVERM!C165/HAVERM!B165)</f>
        <v>25.802078626299142</v>
      </c>
      <c r="EC126" s="34">
        <f t="shared" si="87"/>
        <v>25.050854271384292</v>
      </c>
      <c r="EE126" s="32">
        <f>HAVERM!C165</f>
        <v>2284</v>
      </c>
      <c r="EF126" s="32">
        <f>HAVERM!B165-HAVERM!C165</f>
        <v>6568</v>
      </c>
      <c r="FX126" s="34">
        <f>100*((AVERAGE(HAVERQ!B110:B129)/AVERAGE(HAVERQ!B106:B125))-1)</f>
        <v>1.6225317618246082</v>
      </c>
      <c r="FY126" s="34">
        <f>100*((AVERAGE(HAVERQ!B90:B129)/AVERAGE(HAVERQ!B86:B125))-1)</f>
        <v>2.0873096446700323</v>
      </c>
      <c r="FZ126" s="34">
        <f t="shared" si="97"/>
        <v>2.0390522566444025</v>
      </c>
    </row>
    <row r="127" spans="2:182">
      <c r="EA127" s="152">
        <v>37712</v>
      </c>
      <c r="EB127" s="34">
        <f>100*(HAVERM!C166/HAVERM!B166)</f>
        <v>25.649423989157444</v>
      </c>
      <c r="EC127" s="34">
        <f t="shared" si="87"/>
        <v>25.050854271384292</v>
      </c>
      <c r="EE127" s="32">
        <f>HAVERM!C166</f>
        <v>2271</v>
      </c>
      <c r="EF127" s="32">
        <f>HAVERM!B166-HAVERM!C166</f>
        <v>6583</v>
      </c>
      <c r="FX127" s="34">
        <f>100*((AVERAGE(HAVERQ!B111:B130)/AVERAGE(HAVERQ!B107:B126))-1)</f>
        <v>1.5083415860440264</v>
      </c>
      <c r="FY127" s="34">
        <f>100*((AVERAGE(HAVERQ!B91:B130)/AVERAGE(HAVERQ!B87:B126))-1)</f>
        <v>2.1378920142256286</v>
      </c>
      <c r="FZ127" s="34">
        <f t="shared" si="97"/>
        <v>2.0390522566444025</v>
      </c>
    </row>
    <row r="128" spans="2:182">
      <c r="EA128" s="152">
        <v>37742</v>
      </c>
      <c r="EB128" s="34">
        <f>100*(HAVERM!C167/HAVERM!B167)</f>
        <v>25.527831094049901</v>
      </c>
      <c r="EC128" s="34">
        <f t="shared" si="87"/>
        <v>25.050854271384292</v>
      </c>
      <c r="EE128" s="32">
        <f>HAVERM!C167</f>
        <v>2261</v>
      </c>
      <c r="EF128" s="32">
        <f>HAVERM!B167-HAVERM!C167</f>
        <v>6596</v>
      </c>
      <c r="FW128">
        <v>1991</v>
      </c>
      <c r="FX128" s="34">
        <f>100*((AVERAGE(HAVERQ!B112:B131)/AVERAGE(HAVERQ!B108:B127))-1)</f>
        <v>1.4106939704209065</v>
      </c>
      <c r="FY128" s="34">
        <f>100*((AVERAGE(HAVERQ!B92:B131)/AVERAGE(HAVERQ!B88:B127))-1)</f>
        <v>2.1429720167256194</v>
      </c>
      <c r="FZ128" s="34">
        <f t="shared" si="97"/>
        <v>2.0390522566444025</v>
      </c>
    </row>
    <row r="129" spans="131:182">
      <c r="EA129" s="152">
        <v>37773</v>
      </c>
      <c r="EB129" s="34">
        <f>100*(HAVERM!C168/HAVERM!B168)</f>
        <v>25.605340574790674</v>
      </c>
      <c r="EC129" s="34">
        <f t="shared" si="87"/>
        <v>25.050854271384292</v>
      </c>
      <c r="EE129" s="32">
        <f>HAVERM!C168</f>
        <v>2263</v>
      </c>
      <c r="EF129" s="32">
        <f>HAVERM!B168-HAVERM!C168</f>
        <v>6575</v>
      </c>
      <c r="FX129" s="34">
        <f>100*((AVERAGE(HAVERQ!B113:B132)/AVERAGE(HAVERQ!B109:B128))-1)</f>
        <v>1.3904632358497704</v>
      </c>
      <c r="FY129" s="34">
        <f>100*((AVERAGE(HAVERQ!B93:B132)/AVERAGE(HAVERQ!B89:B128))-1)</f>
        <v>2.1112399536166837</v>
      </c>
      <c r="FZ129" s="34">
        <f t="shared" si="97"/>
        <v>2.0390522566444025</v>
      </c>
    </row>
    <row r="130" spans="131:182">
      <c r="EA130" s="152">
        <v>37803</v>
      </c>
      <c r="EB130" s="34">
        <f>100*(HAVERM!C169/HAVERM!B169)</f>
        <v>25.422392430727641</v>
      </c>
      <c r="EC130" s="34">
        <f t="shared" si="87"/>
        <v>25.050854271384292</v>
      </c>
      <c r="EE130" s="32">
        <f>HAVERM!C169</f>
        <v>2257</v>
      </c>
      <c r="EF130" s="32">
        <f>HAVERM!B169-HAVERM!C169</f>
        <v>6621</v>
      </c>
      <c r="FX130" s="34">
        <f>100*((AVERAGE(HAVERQ!B114:B133)/AVERAGE(HAVERQ!B110:B129))-1)</f>
        <v>1.415875884922424</v>
      </c>
      <c r="FY130" s="34">
        <f>100*((AVERAGE(HAVERQ!B94:B133)/AVERAGE(HAVERQ!B90:B129))-1)</f>
        <v>2.0963443255499259</v>
      </c>
      <c r="FZ130" s="34">
        <f t="shared" si="97"/>
        <v>2.0390522566444025</v>
      </c>
    </row>
    <row r="131" spans="131:182">
      <c r="EA131" s="152">
        <v>37834</v>
      </c>
      <c r="EB131" s="34">
        <f>100*(HAVERM!C170/HAVERM!B170)</f>
        <v>25.523766614102279</v>
      </c>
      <c r="EC131" s="34">
        <f t="shared" si="87"/>
        <v>25.050854271384292</v>
      </c>
      <c r="EE131" s="32">
        <f>HAVERM!C170</f>
        <v>2266</v>
      </c>
      <c r="EF131" s="32">
        <f>HAVERM!B170-HAVERM!C170</f>
        <v>6612</v>
      </c>
      <c r="FX131" s="34">
        <f>100*((AVERAGE(HAVERQ!B115:B134)/AVERAGE(HAVERQ!B111:B130))-1)</f>
        <v>1.4108818011256963</v>
      </c>
      <c r="FY131" s="34">
        <f>100*((AVERAGE(HAVERQ!B95:B134)/AVERAGE(HAVERQ!B91:B130))-1)</f>
        <v>2.0654453369208348</v>
      </c>
      <c r="FZ131" s="34">
        <f t="shared" si="97"/>
        <v>2.0390522566444025</v>
      </c>
    </row>
    <row r="132" spans="131:182">
      <c r="EA132" s="152">
        <v>37865</v>
      </c>
      <c r="EB132" s="34">
        <f>100*(HAVERM!C171/HAVERM!B171)</f>
        <v>25.764044943820224</v>
      </c>
      <c r="EC132" s="34">
        <f t="shared" si="87"/>
        <v>25.050854271384292</v>
      </c>
      <c r="EE132" s="32">
        <f>HAVERM!C171</f>
        <v>2293</v>
      </c>
      <c r="EF132" s="32">
        <f>HAVERM!B171-HAVERM!C171</f>
        <v>6607</v>
      </c>
      <c r="FW132">
        <v>1992</v>
      </c>
      <c r="FX132" s="34">
        <f>100*((AVERAGE(HAVERQ!B116:B135)/AVERAGE(HAVERQ!B112:B131))-1)</f>
        <v>1.4135068431680553</v>
      </c>
      <c r="FY132" s="34">
        <f>100*((AVERAGE(HAVERQ!B96:B135)/AVERAGE(HAVERQ!B92:B131))-1)</f>
        <v>2.0429049399724564</v>
      </c>
      <c r="FZ132" s="34">
        <f t="shared" si="97"/>
        <v>2.0390522566444025</v>
      </c>
    </row>
    <row r="133" spans="131:182">
      <c r="EA133" s="152">
        <v>37895</v>
      </c>
      <c r="EB133" s="34">
        <f>100*(HAVERM!C172/HAVERM!B172)</f>
        <v>25.764877283424859</v>
      </c>
      <c r="EC133" s="34">
        <f t="shared" ref="EC133:EC196" si="98">AVERAGE($EB$7:$EB$399)</f>
        <v>25.050854271384292</v>
      </c>
      <c r="EE133" s="32">
        <f>HAVERM!C172</f>
        <v>2299</v>
      </c>
      <c r="EF133" s="32">
        <f>HAVERM!B172-HAVERM!C172</f>
        <v>6624</v>
      </c>
      <c r="FX133" s="34">
        <f>100*((AVERAGE(HAVERQ!B117:B136)/AVERAGE(HAVERQ!B113:B132))-1)</f>
        <v>1.3863009614668131</v>
      </c>
      <c r="FY133" s="34">
        <f>100*((AVERAGE(HAVERQ!B97:B136)/AVERAGE(HAVERQ!B93:B132))-1)</f>
        <v>1.9971022438031394</v>
      </c>
      <c r="FZ133" s="34">
        <f t="shared" si="97"/>
        <v>2.0390522566444025</v>
      </c>
    </row>
    <row r="134" spans="131:182">
      <c r="EA134" s="152">
        <v>37926</v>
      </c>
      <c r="EB134" s="34">
        <f>100*(HAVERM!C173/HAVERM!B173)</f>
        <v>25.706624958105241</v>
      </c>
      <c r="EC134" s="34">
        <f t="shared" si="98"/>
        <v>25.050854271384292</v>
      </c>
      <c r="EE134" s="32">
        <f>HAVERM!C173</f>
        <v>2301</v>
      </c>
      <c r="EF134" s="32">
        <f>HAVERM!B173-HAVERM!C173</f>
        <v>6650</v>
      </c>
      <c r="FX134" s="34">
        <f>100*((AVERAGE(HAVERQ!B118:B137)/AVERAGE(HAVERQ!B114:B133))-1)</f>
        <v>1.3218476162186299</v>
      </c>
      <c r="FY134" s="34">
        <f>100*((AVERAGE(HAVERQ!B98:B137)/AVERAGE(HAVERQ!B94:B133))-1)</f>
        <v>1.9675835735993408</v>
      </c>
      <c r="FZ134" s="34">
        <f t="shared" si="97"/>
        <v>2.0390522566444025</v>
      </c>
    </row>
    <row r="135" spans="131:182">
      <c r="EA135" s="152">
        <v>37956</v>
      </c>
      <c r="EB135" s="34">
        <f>100*(HAVERM!C174/HAVERM!B174)</f>
        <v>25.570930363370458</v>
      </c>
      <c r="EC135" s="34">
        <f t="shared" si="98"/>
        <v>25.050854271384292</v>
      </c>
      <c r="EE135" s="32">
        <f>HAVERM!C174</f>
        <v>2273</v>
      </c>
      <c r="EF135" s="32">
        <f>HAVERM!B174-HAVERM!C174</f>
        <v>6616</v>
      </c>
      <c r="FX135" s="34">
        <f>100*((AVERAGE(HAVERQ!B119:B138)/AVERAGE(HAVERQ!B115:B134))-1)</f>
        <v>1.332050617923497</v>
      </c>
      <c r="FY135" s="34">
        <f>100*((AVERAGE(HAVERQ!B99:B138)/AVERAGE(HAVERQ!B95:B134))-1)</f>
        <v>1.9499903081992898</v>
      </c>
      <c r="FZ135" s="34">
        <f t="shared" si="97"/>
        <v>2.0390522566444025</v>
      </c>
    </row>
    <row r="136" spans="131:182">
      <c r="EA136" s="152">
        <v>37987</v>
      </c>
      <c r="EB136" s="34">
        <f>100*(HAVERM!C175/HAVERM!B175)</f>
        <v>25.60549735270925</v>
      </c>
      <c r="EC136" s="34">
        <f t="shared" si="98"/>
        <v>25.050854271384292</v>
      </c>
      <c r="EE136" s="32">
        <f>HAVERM!C175</f>
        <v>2273</v>
      </c>
      <c r="EF136" s="32">
        <f>HAVERM!B175-HAVERM!C175</f>
        <v>6604</v>
      </c>
      <c r="FW136">
        <v>1993</v>
      </c>
      <c r="FX136" s="34">
        <f>100*((AVERAGE(HAVERQ!B120:B139)/AVERAGE(HAVERQ!B116:B135))-1)</f>
        <v>1.3495575221239342</v>
      </c>
      <c r="FY136" s="34">
        <f>100*((AVERAGE(HAVERQ!B100:B139)/AVERAGE(HAVERQ!B96:B135))-1)</f>
        <v>1.8901404104304964</v>
      </c>
      <c r="FZ136" s="34">
        <f t="shared" si="97"/>
        <v>2.0390522566444025</v>
      </c>
    </row>
    <row r="137" spans="131:182">
      <c r="EA137" s="152">
        <v>38018</v>
      </c>
      <c r="EB137" s="34">
        <f>100*(HAVERM!C176/HAVERM!B176)</f>
        <v>25.6355455568054</v>
      </c>
      <c r="EC137" s="34">
        <f t="shared" si="98"/>
        <v>25.050854271384292</v>
      </c>
      <c r="EE137" s="32">
        <f>HAVERM!C176</f>
        <v>2279</v>
      </c>
      <c r="EF137" s="32">
        <f>HAVERM!B176-HAVERM!C176</f>
        <v>6611</v>
      </c>
      <c r="FX137" s="34">
        <f>100*((AVERAGE(HAVERQ!B121:B140)/AVERAGE(HAVERQ!B117:B136))-1)</f>
        <v>1.4261559950011327</v>
      </c>
      <c r="FY137" s="34">
        <f>100*((AVERAGE(HAVERQ!B101:B140)/AVERAGE(HAVERQ!B97:B136))-1)</f>
        <v>1.8581794448497169</v>
      </c>
      <c r="FZ137" s="34">
        <f t="shared" si="97"/>
        <v>2.0390522566444025</v>
      </c>
    </row>
    <row r="138" spans="131:182">
      <c r="EA138" s="152">
        <v>38047</v>
      </c>
      <c r="EB138" s="34">
        <f>100*(HAVERM!C177/HAVERM!B177)</f>
        <v>25.820912249243527</v>
      </c>
      <c r="EC138" s="34">
        <f t="shared" si="98"/>
        <v>25.050854271384292</v>
      </c>
      <c r="EE138" s="32">
        <f>HAVERM!C177</f>
        <v>2304</v>
      </c>
      <c r="EF138" s="32">
        <f>HAVERM!B177-HAVERM!C177</f>
        <v>6619</v>
      </c>
      <c r="FX138" s="34">
        <f>100*((AVERAGE(HAVERQ!B122:B141)/AVERAGE(HAVERQ!B118:B137))-1)</f>
        <v>1.5391380826737411</v>
      </c>
      <c r="FY138" s="34">
        <f>100*((AVERAGE(HAVERQ!B102:B141)/AVERAGE(HAVERQ!B98:B137))-1)</f>
        <v>1.8379121928852493</v>
      </c>
      <c r="FZ138" s="34">
        <f t="shared" si="97"/>
        <v>2.0390522566444025</v>
      </c>
    </row>
    <row r="139" spans="131:182">
      <c r="EA139" s="152">
        <v>38078</v>
      </c>
      <c r="EB139" s="34">
        <f>100*(HAVERM!C178/HAVERM!B178)</f>
        <v>25.821963766495195</v>
      </c>
      <c r="EC139" s="34">
        <f t="shared" si="98"/>
        <v>25.050854271384292</v>
      </c>
      <c r="EE139" s="32">
        <f>HAVERM!C178</f>
        <v>2309</v>
      </c>
      <c r="EF139" s="32">
        <f>HAVERM!B178-HAVERM!C178</f>
        <v>6633</v>
      </c>
      <c r="FX139" s="34">
        <f>100*((AVERAGE(HAVERQ!B123:B142)/AVERAGE(HAVERQ!B119:B138))-1)</f>
        <v>1.6139633389323116</v>
      </c>
      <c r="FY139" s="34">
        <f>100*((AVERAGE(HAVERQ!B103:B142)/AVERAGE(HAVERQ!B99:B138))-1)</f>
        <v>1.8252338580880823</v>
      </c>
      <c r="FZ139" s="34">
        <f t="shared" si="97"/>
        <v>2.0390522566444025</v>
      </c>
    </row>
    <row r="140" spans="131:182">
      <c r="EA140" s="152">
        <v>38108</v>
      </c>
      <c r="EB140" s="34">
        <f>100*(HAVERM!C179/HAVERM!B179)</f>
        <v>25.819763551193397</v>
      </c>
      <c r="EC140" s="34">
        <f t="shared" si="98"/>
        <v>25.050854271384292</v>
      </c>
      <c r="EE140" s="32">
        <f>HAVERM!C179</f>
        <v>2315</v>
      </c>
      <c r="EF140" s="32">
        <f>HAVERM!B179-HAVERM!C179</f>
        <v>6651</v>
      </c>
      <c r="FW140">
        <v>1994</v>
      </c>
      <c r="FX140" s="34">
        <f>100*((AVERAGE(HAVERQ!B124:B143)/AVERAGE(HAVERQ!B120:B139))-1)</f>
        <v>1.7317907298260771</v>
      </c>
      <c r="FY140" s="34">
        <f>100*((AVERAGE(HAVERQ!B104:B143)/AVERAGE(HAVERQ!B100:B139))-1)</f>
        <v>1.8626485954418071</v>
      </c>
      <c r="FZ140" s="34">
        <f t="shared" si="97"/>
        <v>2.0390522566444025</v>
      </c>
    </row>
    <row r="141" spans="131:182">
      <c r="EA141" s="152">
        <v>38139</v>
      </c>
      <c r="EB141" s="34">
        <f>100*(HAVERM!C180/HAVERM!B180)</f>
        <v>25.769188048428305</v>
      </c>
      <c r="EC141" s="34">
        <f t="shared" si="98"/>
        <v>25.050854271384292</v>
      </c>
      <c r="EE141" s="32">
        <f>HAVERM!C180</f>
        <v>2320</v>
      </c>
      <c r="EF141" s="32">
        <f>HAVERM!B180-HAVERM!C180</f>
        <v>6683</v>
      </c>
      <c r="FX141" s="34">
        <f>100*((AVERAGE(HAVERQ!B125:B144)/AVERAGE(HAVERQ!B121:B140))-1)</f>
        <v>1.8554758280785677</v>
      </c>
      <c r="FY141" s="34">
        <f>100*((AVERAGE(HAVERQ!B105:B144)/AVERAGE(HAVERQ!B101:B140))-1)</f>
        <v>1.952433002902243</v>
      </c>
      <c r="FZ141" s="34">
        <f t="shared" si="97"/>
        <v>2.0390522566444025</v>
      </c>
    </row>
    <row r="142" spans="131:182">
      <c r="EA142" s="152">
        <v>38169</v>
      </c>
      <c r="EB142" s="34">
        <f>100*(HAVERM!C181/HAVERM!B181)</f>
        <v>25.87428065515715</v>
      </c>
      <c r="EC142" s="34">
        <f t="shared" si="98"/>
        <v>25.050854271384292</v>
      </c>
      <c r="EE142" s="32">
        <f>HAVERM!C181</f>
        <v>2338</v>
      </c>
      <c r="EF142" s="32">
        <f>HAVERM!B181-HAVERM!C181</f>
        <v>6698</v>
      </c>
      <c r="FX142" s="34">
        <f>100*((AVERAGE(HAVERQ!B126:B145)/AVERAGE(HAVERQ!B122:B141))-1)</f>
        <v>1.9777681536018221</v>
      </c>
      <c r="FY142" s="34">
        <f>100*((AVERAGE(HAVERQ!B106:B145)/AVERAGE(HAVERQ!B102:B141))-1)</f>
        <v>2.0336184901695642</v>
      </c>
      <c r="FZ142" s="34">
        <f t="shared" si="97"/>
        <v>2.0390522566444025</v>
      </c>
    </row>
    <row r="143" spans="131:182">
      <c r="EA143" s="152">
        <v>38200</v>
      </c>
      <c r="EB143" s="34">
        <f>100*(HAVERM!C182/HAVERM!B182)</f>
        <v>25.905415882157492</v>
      </c>
      <c r="EC143" s="34">
        <f t="shared" si="98"/>
        <v>25.050854271384292</v>
      </c>
      <c r="EE143" s="32">
        <f>HAVERM!C182</f>
        <v>2339</v>
      </c>
      <c r="EF143" s="32">
        <f>HAVERM!B182-HAVERM!C182</f>
        <v>6690</v>
      </c>
      <c r="FX143" s="34">
        <f>100*((AVERAGE(HAVERQ!B127:B146)/AVERAGE(HAVERQ!B123:B142))-1)</f>
        <v>2.0986057208566722</v>
      </c>
      <c r="FY143" s="34">
        <f>100*((AVERAGE(HAVERQ!B107:B146)/AVERAGE(HAVERQ!B103:B142))-1)</f>
        <v>2.0725969079094408</v>
      </c>
      <c r="FZ143" s="34">
        <f t="shared" si="97"/>
        <v>2.0390522566444025</v>
      </c>
    </row>
    <row r="144" spans="131:182">
      <c r="EA144" s="152">
        <v>38231</v>
      </c>
      <c r="EB144" s="34">
        <f>100*(HAVERM!C183/HAVERM!B183)</f>
        <v>25.696594427244584</v>
      </c>
      <c r="EC144" s="34">
        <f t="shared" si="98"/>
        <v>25.050854271384292</v>
      </c>
      <c r="EE144" s="32">
        <f>HAVERM!C183</f>
        <v>2324</v>
      </c>
      <c r="EF144" s="32">
        <f>HAVERM!B183-HAVERM!C183</f>
        <v>6720</v>
      </c>
      <c r="FW144">
        <v>1995</v>
      </c>
      <c r="FX144" s="34">
        <f>100*((AVERAGE(HAVERQ!B128:B147)/AVERAGE(HAVERQ!B124:B143))-1)</f>
        <v>2.160074386667632</v>
      </c>
      <c r="FY144" s="34">
        <f>100*((AVERAGE(HAVERQ!B108:B147)/AVERAGE(HAVERQ!B104:B143))-1)</f>
        <v>2.0887534378948525</v>
      </c>
      <c r="FZ144" s="34">
        <f t="shared" si="97"/>
        <v>2.0390522566444025</v>
      </c>
    </row>
    <row r="145" spans="131:182">
      <c r="EA145" s="152">
        <v>38261</v>
      </c>
      <c r="EB145" s="34">
        <f>100*(HAVERM!C184/HAVERM!B184)</f>
        <v>25.722543352601157</v>
      </c>
      <c r="EC145" s="34">
        <f t="shared" si="98"/>
        <v>25.050854271384292</v>
      </c>
      <c r="EE145" s="32">
        <f>HAVERM!C184</f>
        <v>2314</v>
      </c>
      <c r="EF145" s="32">
        <f>HAVERM!B184-HAVERM!C184</f>
        <v>6682</v>
      </c>
      <c r="FX145" s="34">
        <f>100*((AVERAGE(HAVERQ!B129:B148)/AVERAGE(HAVERQ!B125:B144))-1)</f>
        <v>2.1490073293958467</v>
      </c>
      <c r="FY145" s="34">
        <f>100*((AVERAGE(HAVERQ!B109:B148)/AVERAGE(HAVERQ!B105:B144))-1)</f>
        <v>1.9926799511996496</v>
      </c>
      <c r="FZ145" s="34">
        <f t="shared" si="97"/>
        <v>2.0390522566444025</v>
      </c>
    </row>
    <row r="146" spans="131:182">
      <c r="EA146" s="152">
        <v>38292</v>
      </c>
      <c r="EB146" s="34">
        <f>100*(HAVERM!C185/HAVERM!B185)</f>
        <v>25.70759973256073</v>
      </c>
      <c r="EC146" s="34">
        <f t="shared" si="98"/>
        <v>25.050854271384292</v>
      </c>
      <c r="EE146" s="32">
        <f>HAVERM!C185</f>
        <v>2307</v>
      </c>
      <c r="EF146" s="32">
        <f>HAVERM!B185-HAVERM!C185</f>
        <v>6667</v>
      </c>
      <c r="FX146" s="34">
        <f>100*((AVERAGE(HAVERQ!B130:B149)/AVERAGE(HAVERQ!B126:B145))-1)</f>
        <v>2.1942242355606156</v>
      </c>
      <c r="FY146" s="34">
        <f>100*((AVERAGE(HAVERQ!B110:B149)/AVERAGE(HAVERQ!B106:B145))-1)</f>
        <v>1.9195410752371966</v>
      </c>
      <c r="FZ146" s="34">
        <f t="shared" si="97"/>
        <v>2.0390522566444025</v>
      </c>
    </row>
    <row r="147" spans="131:182">
      <c r="EA147" s="152">
        <v>38322</v>
      </c>
      <c r="EB147" s="34">
        <f>100*(HAVERM!C186/HAVERM!B186)</f>
        <v>25.586068318821166</v>
      </c>
      <c r="EC147" s="34">
        <f t="shared" si="98"/>
        <v>25.050854271384292</v>
      </c>
      <c r="EE147" s="32">
        <f>HAVERM!C186</f>
        <v>2292</v>
      </c>
      <c r="EF147" s="32">
        <f>HAVERM!B186-HAVERM!C186</f>
        <v>6666</v>
      </c>
      <c r="FX147" s="34">
        <f>100*((AVERAGE(HAVERQ!B131:B150)/AVERAGE(HAVERQ!B127:B146))-1)</f>
        <v>2.2103336618330083</v>
      </c>
      <c r="FY147" s="34">
        <f>100*((AVERAGE(HAVERQ!B111:B150)/AVERAGE(HAVERQ!B107:B146))-1)</f>
        <v>1.8731935755314177</v>
      </c>
      <c r="FZ147" s="34">
        <f t="shared" si="97"/>
        <v>2.0390522566444025</v>
      </c>
    </row>
    <row r="148" spans="131:182">
      <c r="EA148" s="152">
        <v>38353</v>
      </c>
      <c r="EB148" s="34">
        <f>100*(HAVERM!C187/HAVERM!B187)</f>
        <v>25.602781204440955</v>
      </c>
      <c r="EC148" s="34">
        <f t="shared" si="98"/>
        <v>25.050854271384292</v>
      </c>
      <c r="EE148" s="32">
        <f>HAVERM!C187</f>
        <v>2283</v>
      </c>
      <c r="EF148" s="32">
        <f>HAVERM!B187-HAVERM!C187</f>
        <v>6634</v>
      </c>
      <c r="FW148">
        <v>1996</v>
      </c>
      <c r="FX148" s="34">
        <f>100*((AVERAGE(HAVERQ!B132:B151)/AVERAGE(HAVERQ!B128:B147))-1)</f>
        <v>2.2684310018903364</v>
      </c>
      <c r="FY148" s="34">
        <f>100*((AVERAGE(HAVERQ!B112:B151)/AVERAGE(HAVERQ!B108:B147))-1)</f>
        <v>1.8567059851463563</v>
      </c>
      <c r="FZ148" s="34">
        <f t="shared" si="97"/>
        <v>2.0390522566444025</v>
      </c>
    </row>
    <row r="149" spans="131:182">
      <c r="EA149" s="152">
        <v>38384</v>
      </c>
      <c r="EB149" s="34">
        <f>100*(HAVERM!C188/HAVERM!B188)</f>
        <v>25.408651173134661</v>
      </c>
      <c r="EC149" s="34">
        <f t="shared" si="98"/>
        <v>25.050854271384292</v>
      </c>
      <c r="EE149" s="32">
        <f>HAVERM!C188</f>
        <v>2285</v>
      </c>
      <c r="EF149" s="32">
        <f>HAVERM!B188-HAVERM!C188</f>
        <v>6708</v>
      </c>
      <c r="FX149" s="34">
        <f>100*((AVERAGE(HAVERQ!B133:B152)/AVERAGE(HAVERQ!B129:B148))-1)</f>
        <v>2.3336816440264752</v>
      </c>
      <c r="FY149" s="34">
        <f>100*((AVERAGE(HAVERQ!B113:B152)/AVERAGE(HAVERQ!B109:B148))-1)</f>
        <v>1.8812527185733341</v>
      </c>
      <c r="FZ149" s="34">
        <f t="shared" si="97"/>
        <v>2.0390522566444025</v>
      </c>
    </row>
    <row r="150" spans="131:182">
      <c r="EA150" s="152">
        <v>38412</v>
      </c>
      <c r="EB150" s="34">
        <f>100*(HAVERM!C189/HAVERM!B189)</f>
        <v>25.687161938403797</v>
      </c>
      <c r="EC150" s="34">
        <f t="shared" si="98"/>
        <v>25.050854271384292</v>
      </c>
      <c r="EE150" s="32">
        <f>HAVERM!C189</f>
        <v>2327</v>
      </c>
      <c r="EF150" s="32">
        <f>HAVERM!B189-HAVERM!C189</f>
        <v>6732</v>
      </c>
      <c r="FX150" s="34">
        <f>100*((AVERAGE(HAVERQ!B134:B153)/AVERAGE(HAVERQ!B130:B149))-1)</f>
        <v>2.2925612965784659</v>
      </c>
      <c r="FY150" s="34">
        <f>100*((AVERAGE(HAVERQ!B114:B153)/AVERAGE(HAVERQ!B110:B149))-1)</f>
        <v>1.8725645836340288</v>
      </c>
      <c r="FZ150" s="34">
        <f t="shared" si="97"/>
        <v>2.0390522566444025</v>
      </c>
    </row>
    <row r="151" spans="131:182">
      <c r="EA151" s="152">
        <v>38443</v>
      </c>
      <c r="EB151" s="34">
        <f>100*(HAVERM!C190/HAVERM!B190)</f>
        <v>25.516175333995804</v>
      </c>
      <c r="EC151" s="34">
        <f t="shared" si="98"/>
        <v>25.050854271384292</v>
      </c>
      <c r="EE151" s="32">
        <f>HAVERM!C190</f>
        <v>2311</v>
      </c>
      <c r="EF151" s="32">
        <f>HAVERM!B190-HAVERM!C190</f>
        <v>6746</v>
      </c>
      <c r="FX151" s="34">
        <f>100*((AVERAGE(HAVERQ!B135:B154)/AVERAGE(HAVERQ!B131:B150))-1)</f>
        <v>2.2589531680440755</v>
      </c>
      <c r="FY151" s="34">
        <f>100*((AVERAGE(HAVERQ!B115:B154)/AVERAGE(HAVERQ!B111:B150))-1)</f>
        <v>1.8531154605853972</v>
      </c>
      <c r="FZ151" s="34">
        <f t="shared" si="97"/>
        <v>2.0390522566444025</v>
      </c>
    </row>
    <row r="152" spans="131:182">
      <c r="EA152" s="152">
        <v>38473</v>
      </c>
      <c r="EB152" s="34">
        <f>100*(HAVERM!C191/HAVERM!B191)</f>
        <v>25.319805910895454</v>
      </c>
      <c r="EC152" s="34">
        <f t="shared" si="98"/>
        <v>25.050854271384292</v>
      </c>
      <c r="EE152" s="32">
        <f>HAVERM!C191</f>
        <v>2296</v>
      </c>
      <c r="EF152" s="32">
        <f>HAVERM!B191-HAVERM!C191</f>
        <v>6772</v>
      </c>
      <c r="FW152">
        <v>1997</v>
      </c>
      <c r="FX152" s="34">
        <f>100*((AVERAGE(HAVERQ!B136:B155)/AVERAGE(HAVERQ!B132:B151))-1)</f>
        <v>2.2044225371397275</v>
      </c>
      <c r="FY152" s="34">
        <f>100*((AVERAGE(HAVERQ!B116:B155)/AVERAGE(HAVERQ!B112:B151))-1)</f>
        <v>1.8264350561155274</v>
      </c>
      <c r="FZ152" s="34">
        <f t="shared" si="97"/>
        <v>2.0390522566444025</v>
      </c>
    </row>
    <row r="153" spans="131:182">
      <c r="EA153" s="152">
        <v>38504</v>
      </c>
      <c r="EB153" s="34">
        <f>100*(HAVERM!C192/HAVERM!B192)</f>
        <v>25</v>
      </c>
      <c r="EC153" s="34">
        <f t="shared" si="98"/>
        <v>25.050854271384292</v>
      </c>
      <c r="EE153" s="32">
        <f>HAVERM!C192</f>
        <v>2266</v>
      </c>
      <c r="EF153" s="32">
        <f>HAVERM!B192-HAVERM!C192</f>
        <v>6798</v>
      </c>
      <c r="FX153" s="34">
        <f>100*((AVERAGE(HAVERQ!B137:B156)/AVERAGE(HAVERQ!B133:B152))-1)</f>
        <v>2.1851599727705784</v>
      </c>
      <c r="FY153" s="34">
        <f>100*((AVERAGE(HAVERQ!B117:B156)/AVERAGE(HAVERQ!B113:B152))-1)</f>
        <v>1.8038211121784498</v>
      </c>
      <c r="FZ153" s="34">
        <f t="shared" si="97"/>
        <v>2.0390522566444025</v>
      </c>
    </row>
    <row r="154" spans="131:182">
      <c r="EA154" s="152">
        <v>38534</v>
      </c>
      <c r="EB154" s="34">
        <f>100*(HAVERM!C193/HAVERM!B193)</f>
        <v>24.930931594651344</v>
      </c>
      <c r="EC154" s="34">
        <f t="shared" si="98"/>
        <v>25.050854271384292</v>
      </c>
      <c r="EE154" s="32">
        <f>HAVERM!C193</f>
        <v>2256</v>
      </c>
      <c r="EF154" s="32">
        <f>HAVERM!B193-HAVERM!C193</f>
        <v>6793</v>
      </c>
      <c r="FX154" s="34">
        <f>100*((AVERAGE(HAVERQ!B138:B157)/AVERAGE(HAVERQ!B134:B153))-1)</f>
        <v>2.1802423996208242</v>
      </c>
      <c r="FY154" s="34">
        <f>100*((AVERAGE(HAVERQ!B118:B157)/AVERAGE(HAVERQ!B114:B153))-1)</f>
        <v>1.7708517797060397</v>
      </c>
      <c r="FZ154" s="34">
        <f t="shared" si="97"/>
        <v>2.0390522566444025</v>
      </c>
    </row>
    <row r="155" spans="131:182">
      <c r="EA155" s="152">
        <v>38565</v>
      </c>
      <c r="EB155" s="34">
        <f>100*(HAVERM!C194/HAVERM!B194)</f>
        <v>24.86175624861756</v>
      </c>
      <c r="EC155" s="34">
        <f t="shared" si="98"/>
        <v>25.050854271384292</v>
      </c>
      <c r="EE155" s="32">
        <f>HAVERM!C194</f>
        <v>2248</v>
      </c>
      <c r="EF155" s="32">
        <f>HAVERM!B194-HAVERM!C194</f>
        <v>6794</v>
      </c>
      <c r="FX155" s="34">
        <f>100*((AVERAGE(HAVERQ!B139:B158)/AVERAGE(HAVERQ!B135:B154))-1)</f>
        <v>2.1686422413793149</v>
      </c>
      <c r="FY155" s="34">
        <f>100*((AVERAGE(HAVERQ!B119:B158)/AVERAGE(HAVERQ!B115:B154))-1)</f>
        <v>1.7700363174782519</v>
      </c>
      <c r="FZ155" s="34">
        <f t="shared" si="97"/>
        <v>2.0390522566444025</v>
      </c>
    </row>
    <row r="156" spans="131:182">
      <c r="EA156" s="152">
        <v>38596</v>
      </c>
      <c r="EB156" s="34">
        <f>100*(HAVERM!C195/HAVERM!B195)</f>
        <v>25.049767750497676</v>
      </c>
      <c r="EC156" s="34">
        <f t="shared" si="98"/>
        <v>25.050854271384292</v>
      </c>
      <c r="EE156" s="32">
        <f>HAVERM!C195</f>
        <v>2265</v>
      </c>
      <c r="EF156" s="32">
        <f>HAVERM!B195-HAVERM!C195</f>
        <v>6777</v>
      </c>
      <c r="FW156">
        <v>1998</v>
      </c>
      <c r="FX156" s="34">
        <f>100*((AVERAGE(HAVERQ!B140:B159)/AVERAGE(HAVERQ!B136:B155))-1)</f>
        <v>2.1434791345702919</v>
      </c>
      <c r="FY156" s="34">
        <f>100*((AVERAGE(HAVERQ!B120:B159)/AVERAGE(HAVERQ!B116:B155))-1)</f>
        <v>1.7655937379339903</v>
      </c>
      <c r="FZ156" s="34">
        <f t="shared" si="97"/>
        <v>2.0390522566444025</v>
      </c>
    </row>
    <row r="157" spans="131:182">
      <c r="EA157" s="152">
        <v>38626</v>
      </c>
      <c r="EB157" s="34">
        <f>100*(HAVERM!C196/HAVERM!B196)</f>
        <v>24.950407758430682</v>
      </c>
      <c r="EC157" s="34">
        <f t="shared" si="98"/>
        <v>25.050854271384292</v>
      </c>
      <c r="EE157" s="32">
        <f>HAVERM!C196</f>
        <v>2264</v>
      </c>
      <c r="EF157" s="32">
        <f>HAVERM!B196-HAVERM!C196</f>
        <v>6810</v>
      </c>
      <c r="FX157" s="34">
        <f>100*((AVERAGE(HAVERQ!B141:B160)/AVERAGE(HAVERQ!B137:B156))-1)</f>
        <v>2.1184464725867658</v>
      </c>
      <c r="FY157" s="34">
        <f>100*((AVERAGE(HAVERQ!B121:B160)/AVERAGE(HAVERQ!B117:B156))-1)</f>
        <v>1.7893338925002</v>
      </c>
      <c r="FZ157" s="34">
        <f t="shared" si="97"/>
        <v>2.0390522566444025</v>
      </c>
    </row>
    <row r="158" spans="131:182">
      <c r="EA158" s="152">
        <v>38657</v>
      </c>
      <c r="EB158" s="34">
        <f>100*(HAVERM!C197/HAVERM!B197)</f>
        <v>24.823866138265082</v>
      </c>
      <c r="EC158" s="34">
        <f t="shared" si="98"/>
        <v>25.050854271384292</v>
      </c>
      <c r="EE158" s="32">
        <f>HAVERM!C197</f>
        <v>2255</v>
      </c>
      <c r="EF158" s="32">
        <f>HAVERM!B197-HAVERM!C197</f>
        <v>6829</v>
      </c>
      <c r="FX158" s="34">
        <f>100*((AVERAGE(HAVERQ!B142:B161)/AVERAGE(HAVERQ!B138:B157))-1)</f>
        <v>2.0542044927440051</v>
      </c>
      <c r="FY158" s="34">
        <f>100*((AVERAGE(HAVERQ!B122:B161)/AVERAGE(HAVERQ!B118:B157))-1)</f>
        <v>1.8096398120758916</v>
      </c>
      <c r="FZ158" s="34">
        <f t="shared" si="97"/>
        <v>2.0390522566444025</v>
      </c>
    </row>
    <row r="159" spans="131:182">
      <c r="EA159" s="152">
        <v>38687</v>
      </c>
      <c r="EB159" s="34">
        <f>100*(HAVERM!C198/HAVERM!B198)</f>
        <v>24.757602468047597</v>
      </c>
      <c r="EC159" s="34">
        <f t="shared" si="98"/>
        <v>25.050854271384292</v>
      </c>
      <c r="EE159" s="32">
        <f>HAVERM!C198</f>
        <v>2247</v>
      </c>
      <c r="EF159" s="32">
        <f>HAVERM!B198-HAVERM!C198</f>
        <v>6829</v>
      </c>
      <c r="FX159" s="34">
        <f>100*((AVERAGE(HAVERQ!B143:B162)/AVERAGE(HAVERQ!B139:B158))-1)</f>
        <v>1.9841793012524755</v>
      </c>
      <c r="FY159" s="34">
        <f>100*((AVERAGE(HAVERQ!B123:B162)/AVERAGE(HAVERQ!B119:B158))-1)</f>
        <v>1.8085438104146867</v>
      </c>
      <c r="FZ159" s="34">
        <f t="shared" si="97"/>
        <v>2.0390522566444025</v>
      </c>
    </row>
    <row r="160" spans="131:182">
      <c r="EA160" s="152">
        <v>38718</v>
      </c>
      <c r="EB160" s="34">
        <f>100*(HAVERM!C199/HAVERM!B199)</f>
        <v>24.700797872340424</v>
      </c>
      <c r="EC160" s="34">
        <f t="shared" si="98"/>
        <v>25.050854271384292</v>
      </c>
      <c r="EE160" s="32">
        <f>HAVERM!C199</f>
        <v>2229</v>
      </c>
      <c r="EF160" s="32">
        <f>HAVERM!B199-HAVERM!C199</f>
        <v>6795</v>
      </c>
      <c r="FW160">
        <v>1999</v>
      </c>
      <c r="FX160" s="34">
        <f>100*((AVERAGE(HAVERQ!B144:B163)/AVERAGE(HAVERQ!B140:B159))-1)</f>
        <v>1.9017640501016508</v>
      </c>
      <c r="FY160" s="34">
        <f>100*((AVERAGE(HAVERQ!B124:B163)/AVERAGE(HAVERQ!B120:B159))-1)</f>
        <v>1.8211920529801029</v>
      </c>
      <c r="FZ160" s="34">
        <f t="shared" si="97"/>
        <v>2.0390522566444025</v>
      </c>
    </row>
    <row r="161" spans="131:182">
      <c r="EA161" s="152">
        <v>38749</v>
      </c>
      <c r="EB161" s="34">
        <f>100*(HAVERM!C200/HAVERM!B200)</f>
        <v>24.752254760048991</v>
      </c>
      <c r="EC161" s="34">
        <f t="shared" si="98"/>
        <v>25.050854271384292</v>
      </c>
      <c r="EE161" s="32">
        <f>HAVERM!C200</f>
        <v>2223</v>
      </c>
      <c r="EF161" s="32">
        <f>HAVERM!B200-HAVERM!C200</f>
        <v>6758</v>
      </c>
      <c r="FX161" s="34">
        <f>100*((AVERAGE(HAVERQ!B145:B164)/AVERAGE(HAVERQ!B141:B160))-1)</f>
        <v>1.7874616739513405</v>
      </c>
      <c r="FY161" s="34">
        <f>100*((AVERAGE(HAVERQ!B125:B164)/AVERAGE(HAVERQ!B121:B160))-1)</f>
        <v>1.819680010986735</v>
      </c>
      <c r="FZ161" s="34">
        <f t="shared" si="97"/>
        <v>2.0390522566444025</v>
      </c>
    </row>
    <row r="162" spans="131:182">
      <c r="EA162" s="152">
        <v>38777</v>
      </c>
      <c r="EB162" s="34">
        <f>100*(HAVERM!C201/HAVERM!B201)</f>
        <v>24.684604220162999</v>
      </c>
      <c r="EC162" s="34">
        <f t="shared" si="98"/>
        <v>25.050854271384292</v>
      </c>
      <c r="EE162" s="32">
        <f>HAVERM!C201</f>
        <v>2211</v>
      </c>
      <c r="EF162" s="32">
        <f>HAVERM!B201-HAVERM!C201</f>
        <v>6746</v>
      </c>
      <c r="FX162" s="34">
        <f>100*((AVERAGE(HAVERQ!B146:B165)/AVERAGE(HAVERQ!B142:B161))-1)</f>
        <v>1.779105252905655</v>
      </c>
      <c r="FY162" s="34">
        <f>100*((AVERAGE(HAVERQ!B126:B165)/AVERAGE(HAVERQ!B122:B161))-1)</f>
        <v>1.8731840710989323</v>
      </c>
      <c r="FZ162" s="34">
        <f t="shared" si="97"/>
        <v>2.0390522566444025</v>
      </c>
    </row>
    <row r="163" spans="131:182">
      <c r="EA163" s="152">
        <v>38808</v>
      </c>
      <c r="EB163" s="34">
        <f>100*(HAVERM!C202/HAVERM!B202)</f>
        <v>24.88576841636019</v>
      </c>
      <c r="EC163" s="34">
        <f t="shared" si="98"/>
        <v>25.050854271384292</v>
      </c>
      <c r="EE163" s="32">
        <f>HAVERM!C202</f>
        <v>2233</v>
      </c>
      <c r="EF163" s="32">
        <f>HAVERM!B202-HAVERM!C202</f>
        <v>6740</v>
      </c>
      <c r="FX163" s="34">
        <f>100*((AVERAGE(HAVERQ!B147:B166)/AVERAGE(HAVERQ!B143:B162))-1)</f>
        <v>1.8356925861288786</v>
      </c>
      <c r="FY163" s="34">
        <f>100*((AVERAGE(HAVERQ!B127:B166)/AVERAGE(HAVERQ!B123:B162))-1)</f>
        <v>1.9601837672281741</v>
      </c>
      <c r="FZ163" s="34">
        <f t="shared" si="97"/>
        <v>2.0390522566444025</v>
      </c>
    </row>
    <row r="164" spans="131:182">
      <c r="EA164" s="152">
        <v>38838</v>
      </c>
      <c r="EB164" s="34">
        <f>100*(HAVERM!C203/HAVERM!B203)</f>
        <v>25.050279329608937</v>
      </c>
      <c r="EC164" s="34">
        <f t="shared" si="98"/>
        <v>25.050854271384292</v>
      </c>
      <c r="EE164" s="32">
        <f>HAVERM!C203</f>
        <v>2242</v>
      </c>
      <c r="EF164" s="32">
        <f>HAVERM!B203-HAVERM!C203</f>
        <v>6708</v>
      </c>
      <c r="FW164">
        <v>2000</v>
      </c>
      <c r="FX164" s="34">
        <f>100*((AVERAGE(HAVERQ!B148:B167)/AVERAGE(HAVERQ!B144:B163))-1)</f>
        <v>1.9499324280841668</v>
      </c>
      <c r="FY164" s="34">
        <f>100*((AVERAGE(HAVERQ!B128:B167)/AVERAGE(HAVERQ!B124:B163))-1)</f>
        <v>2.0494579945799396</v>
      </c>
      <c r="FZ164" s="34">
        <f t="shared" si="97"/>
        <v>2.0390522566444025</v>
      </c>
    </row>
    <row r="165" spans="131:182">
      <c r="EA165" s="152">
        <v>38869</v>
      </c>
      <c r="EB165" s="34">
        <f>100*(HAVERM!C204/HAVERM!B204)</f>
        <v>24.941202822264533</v>
      </c>
      <c r="EC165" s="34">
        <f t="shared" si="98"/>
        <v>25.050854271384292</v>
      </c>
      <c r="EE165" s="32">
        <f>HAVERM!C204</f>
        <v>2227</v>
      </c>
      <c r="EF165" s="32">
        <f>HAVERM!B204-HAVERM!C204</f>
        <v>6702</v>
      </c>
      <c r="FX165" s="34">
        <f>100*((AVERAGE(HAVERQ!B149:B168)/AVERAGE(HAVERQ!B145:B164))-1)</f>
        <v>2.1277959366788224</v>
      </c>
      <c r="FY165" s="34">
        <f>100*((AVERAGE(HAVERQ!B129:B168)/AVERAGE(HAVERQ!B125:B164))-1)</f>
        <v>2.1378473158888411</v>
      </c>
      <c r="FZ165" s="34">
        <f t="shared" si="97"/>
        <v>2.0390522566444025</v>
      </c>
    </row>
    <row r="166" spans="131:182">
      <c r="EA166" s="152">
        <v>38899</v>
      </c>
      <c r="EB166" s="34">
        <f>100*(HAVERM!C205/HAVERM!B205)</f>
        <v>24.716068818171596</v>
      </c>
      <c r="EC166" s="34">
        <f t="shared" si="98"/>
        <v>25.050854271384292</v>
      </c>
      <c r="EE166" s="32">
        <f>HAVERM!C205</f>
        <v>2198</v>
      </c>
      <c r="EF166" s="32">
        <f>HAVERM!B205-HAVERM!C205</f>
        <v>6695</v>
      </c>
      <c r="FX166" s="34">
        <f>100*((AVERAGE(HAVERQ!B150:B169)/AVERAGE(HAVERQ!B146:B165))-1)</f>
        <v>2.2328548644337864</v>
      </c>
      <c r="FY166" s="34">
        <f>100*((AVERAGE(HAVERQ!B130:B169)/AVERAGE(HAVERQ!B126:B165))-1)</f>
        <v>2.2145421601852178</v>
      </c>
      <c r="FZ166" s="34">
        <f t="shared" si="97"/>
        <v>2.0390522566444025</v>
      </c>
    </row>
    <row r="167" spans="131:182">
      <c r="EA167" s="152">
        <v>38930</v>
      </c>
      <c r="EB167" s="34">
        <f>100*(HAVERM!C206/HAVERM!B206)</f>
        <v>24.43207126948775</v>
      </c>
      <c r="EC167" s="34">
        <f t="shared" si="98"/>
        <v>25.050854271384292</v>
      </c>
      <c r="EE167" s="32">
        <f>HAVERM!C206</f>
        <v>2194</v>
      </c>
      <c r="EF167" s="32">
        <f>HAVERM!B206-HAVERM!C206</f>
        <v>6786</v>
      </c>
      <c r="FX167" s="34">
        <f>100*((AVERAGE(HAVERQ!B151:B170)/AVERAGE(HAVERQ!B147:B166))-1)</f>
        <v>2.3230720406220318</v>
      </c>
      <c r="FY167" s="34">
        <f>100*((AVERAGE(HAVERQ!B131:B170)/AVERAGE(HAVERQ!B127:B166))-1)</f>
        <v>2.2696171689863265</v>
      </c>
      <c r="FZ167" s="34">
        <f t="shared" si="97"/>
        <v>2.0390522566444025</v>
      </c>
    </row>
    <row r="168" spans="131:182">
      <c r="EA168" s="152">
        <v>38961</v>
      </c>
      <c r="EB168" s="34">
        <f>100*(HAVERM!C207/HAVERM!B207)</f>
        <v>24.59726697033663</v>
      </c>
      <c r="EC168" s="34">
        <f t="shared" si="98"/>
        <v>25.050854271384292</v>
      </c>
      <c r="EE168" s="32">
        <f>HAVERM!C207</f>
        <v>2214</v>
      </c>
      <c r="EF168" s="32">
        <f>HAVERM!B207-HAVERM!C207</f>
        <v>6787</v>
      </c>
      <c r="FW168">
        <v>2001</v>
      </c>
      <c r="FX168" s="34">
        <f>100*((AVERAGE(HAVERQ!B152:B171)/AVERAGE(HAVERQ!B148:B167))-1)</f>
        <v>2.3481883600555475</v>
      </c>
      <c r="FY168" s="34">
        <f>100*((AVERAGE(HAVERQ!B132:B171)/AVERAGE(HAVERQ!B128:B167))-1)</f>
        <v>2.3103734439833934</v>
      </c>
      <c r="FZ168" s="34">
        <f t="shared" si="97"/>
        <v>2.0390522566444025</v>
      </c>
    </row>
    <row r="169" spans="131:182">
      <c r="EA169" s="152">
        <v>38991</v>
      </c>
      <c r="EB169" s="34">
        <f>100*(HAVERM!C208/HAVERM!B208)</f>
        <v>24.651625746516256</v>
      </c>
      <c r="EC169" s="34">
        <f t="shared" si="98"/>
        <v>25.050854271384292</v>
      </c>
      <c r="EE169" s="32">
        <f>HAVERM!C208</f>
        <v>2229</v>
      </c>
      <c r="EF169" s="32">
        <f>HAVERM!B208-HAVERM!C208</f>
        <v>6813</v>
      </c>
      <c r="FX169" s="34">
        <f>100*((AVERAGE(HAVERQ!B153:B172)/AVERAGE(HAVERQ!B149:B168))-1)</f>
        <v>2.3219328522121385</v>
      </c>
      <c r="FY169" s="34">
        <f>100*((AVERAGE(HAVERQ!B133:B172)/AVERAGE(HAVERQ!B129:B168))-1)</f>
        <v>2.3275008253549112</v>
      </c>
      <c r="FZ169" s="34">
        <f t="shared" si="97"/>
        <v>2.0390522566444025</v>
      </c>
    </row>
    <row r="170" spans="131:182">
      <c r="EA170" s="152">
        <v>39022</v>
      </c>
      <c r="EB170" s="34">
        <f>100*(HAVERM!C209/HAVERM!B209)</f>
        <v>24.654199402456566</v>
      </c>
      <c r="EC170" s="34">
        <f t="shared" si="98"/>
        <v>25.050854271384292</v>
      </c>
      <c r="EE170" s="32">
        <f>HAVERM!C209</f>
        <v>2228</v>
      </c>
      <c r="EF170" s="32">
        <f>HAVERM!B209-HAVERM!C209</f>
        <v>6809</v>
      </c>
      <c r="FX170" s="34">
        <f>100*((AVERAGE(HAVERQ!B154:B173)/AVERAGE(HAVERQ!B150:B169))-1)</f>
        <v>2.3151326053042265</v>
      </c>
      <c r="FY170" s="34">
        <f>100*((AVERAGE(HAVERQ!B134:B173)/AVERAGE(HAVERQ!B130:B169))-1)</f>
        <v>2.3044348882250487</v>
      </c>
      <c r="FZ170" s="34">
        <f t="shared" si="97"/>
        <v>2.0390522566444025</v>
      </c>
    </row>
    <row r="171" spans="131:182">
      <c r="EA171" s="152">
        <v>39052</v>
      </c>
      <c r="EB171" s="34">
        <f>100*(HAVERM!C210/HAVERM!B210)</f>
        <v>24.399382852104914</v>
      </c>
      <c r="EC171" s="34">
        <f t="shared" si="98"/>
        <v>25.050854271384292</v>
      </c>
      <c r="EE171" s="32">
        <f>HAVERM!C210</f>
        <v>2214</v>
      </c>
      <c r="EF171" s="32">
        <f>HAVERM!B210-HAVERM!C210</f>
        <v>6860</v>
      </c>
      <c r="FX171" s="34">
        <f>100*((AVERAGE(HAVERQ!B155:B174)/AVERAGE(HAVERQ!B151:B170))-1)</f>
        <v>2.2269090006823644</v>
      </c>
      <c r="FY171" s="34">
        <f>100*((AVERAGE(HAVERQ!B135:B174)/AVERAGE(HAVERQ!B131:B170))-1)</f>
        <v>2.2420939264384376</v>
      </c>
      <c r="FZ171" s="34">
        <f t="shared" si="97"/>
        <v>2.0390522566444025</v>
      </c>
    </row>
    <row r="172" spans="131:182">
      <c r="EA172" s="152">
        <v>39083</v>
      </c>
      <c r="EB172" s="34">
        <f>100*(HAVERM!C211/HAVERM!B211)</f>
        <v>24.586573212134489</v>
      </c>
      <c r="EC172" s="34">
        <f t="shared" si="98"/>
        <v>25.050854271384292</v>
      </c>
      <c r="EE172" s="32">
        <f>HAVERM!C211</f>
        <v>2245</v>
      </c>
      <c r="EF172" s="32">
        <f>HAVERM!B211-HAVERM!C211</f>
        <v>6886</v>
      </c>
      <c r="FW172">
        <v>2002</v>
      </c>
      <c r="FX172" s="34">
        <f>100*((AVERAGE(HAVERQ!B156:B175)/AVERAGE(HAVERQ!B152:B171))-1)</f>
        <v>2.1462933267546669</v>
      </c>
      <c r="FY172" s="34">
        <f>100*((AVERAGE(HAVERQ!B136:B175)/AVERAGE(HAVERQ!B132:B171))-1)</f>
        <v>2.1738425099769643</v>
      </c>
      <c r="FZ172" s="34">
        <f t="shared" si="97"/>
        <v>2.0390522566444025</v>
      </c>
    </row>
    <row r="173" spans="131:182">
      <c r="EA173" s="152">
        <v>39114</v>
      </c>
      <c r="EB173" s="34">
        <f>100*(HAVERM!C212/HAVERM!B212)</f>
        <v>24.516129032258064</v>
      </c>
      <c r="EC173" s="34">
        <f t="shared" si="98"/>
        <v>25.050854271384292</v>
      </c>
      <c r="EE173" s="32">
        <f>HAVERM!C212</f>
        <v>2242</v>
      </c>
      <c r="EF173" s="32">
        <f>HAVERM!B212-HAVERM!C212</f>
        <v>6903</v>
      </c>
      <c r="FX173" s="34">
        <f>100*((AVERAGE(HAVERQ!B157:B176)/AVERAGE(HAVERQ!B153:B172))-1)</f>
        <v>2.054584483287325</v>
      </c>
      <c r="FY173" s="34">
        <f>100*((AVERAGE(HAVERQ!B137:B176)/AVERAGE(HAVERQ!B133:B172))-1)</f>
        <v>2.1164703984513533</v>
      </c>
      <c r="FZ173" s="34">
        <f t="shared" si="97"/>
        <v>2.0390522566444025</v>
      </c>
    </row>
    <row r="174" spans="131:182">
      <c r="EA174" s="152">
        <v>39142</v>
      </c>
      <c r="EB174" s="34">
        <f>100*(HAVERM!C213/HAVERM!B213)</f>
        <v>24.546646274852524</v>
      </c>
      <c r="EC174" s="34">
        <f t="shared" si="98"/>
        <v>25.050854271384292</v>
      </c>
      <c r="EE174" s="32">
        <f>HAVERM!C213</f>
        <v>2247</v>
      </c>
      <c r="EF174" s="32">
        <f>HAVERM!B213-HAVERM!C213</f>
        <v>6907</v>
      </c>
      <c r="FX174" s="34">
        <f>100*((AVERAGE(HAVERQ!B158:B177)/AVERAGE(HAVERQ!B154:B173))-1)</f>
        <v>1.9760917296901548</v>
      </c>
      <c r="FY174" s="34">
        <f>100*((AVERAGE(HAVERQ!B138:B177)/AVERAGE(HAVERQ!B134:B173))-1)</f>
        <v>2.0728381196855494</v>
      </c>
      <c r="FZ174" s="34">
        <f t="shared" si="97"/>
        <v>2.0390522566444025</v>
      </c>
    </row>
    <row r="175" spans="131:182">
      <c r="EA175" s="152">
        <v>39173</v>
      </c>
      <c r="EB175" s="34">
        <f>100*(HAVERM!C214/HAVERM!B214)</f>
        <v>24.235448865504768</v>
      </c>
      <c r="EC175" s="34">
        <f t="shared" si="98"/>
        <v>25.050854271384292</v>
      </c>
      <c r="EE175" s="32">
        <f>HAVERM!C214</f>
        <v>2211</v>
      </c>
      <c r="EF175" s="32">
        <f>HAVERM!B214-HAVERM!C214</f>
        <v>6912</v>
      </c>
      <c r="FX175" s="34">
        <f>100*((AVERAGE(HAVERQ!B159:B178)/AVERAGE(HAVERQ!B155:B174))-1)</f>
        <v>1.8871359223300965</v>
      </c>
      <c r="FY175" s="34">
        <f>100*((AVERAGE(HAVERQ!B139:B178)/AVERAGE(HAVERQ!B135:B174))-1)</f>
        <v>2.020556690500519</v>
      </c>
      <c r="FZ175" s="34">
        <f t="shared" si="97"/>
        <v>2.0390522566444025</v>
      </c>
    </row>
    <row r="176" spans="131:182">
      <c r="EA176" s="152">
        <v>39203</v>
      </c>
      <c r="EB176" s="34">
        <f>100*(HAVERM!C215/HAVERM!B215)</f>
        <v>24.110456232263697</v>
      </c>
      <c r="EC176" s="34">
        <f t="shared" si="98"/>
        <v>25.050854271384292</v>
      </c>
      <c r="EE176" s="32">
        <f>HAVERM!C215</f>
        <v>2209</v>
      </c>
      <c r="EF176" s="32">
        <f>HAVERM!B215-HAVERM!C215</f>
        <v>6953</v>
      </c>
      <c r="FW176">
        <v>2003</v>
      </c>
      <c r="FX176" s="34">
        <f>100*((AVERAGE(HAVERQ!B160:B179)/AVERAGE(HAVERQ!B156:B175))-1)</f>
        <v>1.8234512740007203</v>
      </c>
      <c r="FY176" s="34">
        <f>100*((AVERAGE(HAVERQ!B140:B179)/AVERAGE(HAVERQ!B136:B175))-1)</f>
        <v>1.9751675081769449</v>
      </c>
      <c r="FZ176" s="34">
        <f t="shared" si="97"/>
        <v>2.0390522566444025</v>
      </c>
    </row>
    <row r="177" spans="131:182">
      <c r="EA177" s="152">
        <v>39234</v>
      </c>
      <c r="EB177" s="34">
        <f>100*(HAVERM!C216/HAVERM!B216)</f>
        <v>24.121040600849025</v>
      </c>
      <c r="EC177" s="34">
        <f t="shared" si="98"/>
        <v>25.050854271384292</v>
      </c>
      <c r="EE177" s="32">
        <f>HAVERM!C216</f>
        <v>2216</v>
      </c>
      <c r="EF177" s="32">
        <f>HAVERM!B216-HAVERM!C216</f>
        <v>6971</v>
      </c>
      <c r="FX177" s="34">
        <f>100*((AVERAGE(HAVERQ!B161:B180)/AVERAGE(HAVERQ!B157:B176))-1)</f>
        <v>1.7848557692307532</v>
      </c>
      <c r="FY177" s="34">
        <f>100*((AVERAGE(HAVERQ!B141:B180)/AVERAGE(HAVERQ!B137:B176))-1)</f>
        <v>1.9430665697766303</v>
      </c>
      <c r="FZ177" s="34">
        <f t="shared" ref="FZ177:FZ195" si="99">$GD$6</f>
        <v>2.0390522566444025</v>
      </c>
    </row>
    <row r="178" spans="131:182">
      <c r="EA178" s="152">
        <v>39264</v>
      </c>
      <c r="EB178" s="34">
        <f>100*(HAVERM!C217/HAVERM!B217)</f>
        <v>24.10228509249184</v>
      </c>
      <c r="EC178" s="34">
        <f t="shared" si="98"/>
        <v>25.050854271384292</v>
      </c>
      <c r="EE178" s="32">
        <f>HAVERM!C217</f>
        <v>2215</v>
      </c>
      <c r="EF178" s="32">
        <f>HAVERM!B217-HAVERM!C217</f>
        <v>6975</v>
      </c>
      <c r="FX178" s="34">
        <f>100*((AVERAGE(HAVERQ!B162:B181)/AVERAGE(HAVERQ!B158:B177))-1)</f>
        <v>1.7882775119617333</v>
      </c>
      <c r="FY178" s="34">
        <f>100*((AVERAGE(HAVERQ!B142:B181)/AVERAGE(HAVERQ!B138:B177))-1)</f>
        <v>1.9144321146773446</v>
      </c>
      <c r="FZ178" s="34">
        <f t="shared" si="99"/>
        <v>2.0390522566444025</v>
      </c>
    </row>
    <row r="179" spans="131:182">
      <c r="EA179" s="152">
        <v>39295</v>
      </c>
      <c r="EB179" s="34">
        <f>100*(HAVERM!C218/HAVERM!B218)</f>
        <v>23.978201634877383</v>
      </c>
      <c r="EC179" s="34">
        <f t="shared" si="98"/>
        <v>25.050854271384292</v>
      </c>
      <c r="EE179" s="32">
        <f>HAVERM!C218</f>
        <v>2200</v>
      </c>
      <c r="EF179" s="32">
        <f>HAVERM!B218-HAVERM!C218</f>
        <v>6975</v>
      </c>
      <c r="FX179" s="34">
        <f>100*((AVERAGE(HAVERQ!B163:B182)/AVERAGE(HAVERQ!B159:B178))-1)</f>
        <v>1.870049431242915</v>
      </c>
      <c r="FY179" s="34">
        <f>100*((AVERAGE(HAVERQ!B143:B182)/AVERAGE(HAVERQ!B139:B178))-1)</f>
        <v>1.9242201432996708</v>
      </c>
      <c r="FZ179" s="34">
        <f t="shared" si="99"/>
        <v>2.0390522566444025</v>
      </c>
    </row>
    <row r="180" spans="131:182">
      <c r="EA180" s="152">
        <v>39326</v>
      </c>
      <c r="EB180" s="34">
        <f>100*(HAVERM!C219/HAVERM!B219)</f>
        <v>24.002181025081789</v>
      </c>
      <c r="EC180" s="34">
        <f t="shared" si="98"/>
        <v>25.050854271384292</v>
      </c>
      <c r="EE180" s="32">
        <f>HAVERM!C219</f>
        <v>2201</v>
      </c>
      <c r="EF180" s="32">
        <f>HAVERM!B219-HAVERM!C219</f>
        <v>6969</v>
      </c>
      <c r="FW180">
        <v>2004</v>
      </c>
      <c r="FX180" s="34">
        <f>100*((AVERAGE(HAVERQ!B164:B183)/AVERAGE(HAVERQ!B160:B179))-1)</f>
        <v>1.9093927893738316</v>
      </c>
      <c r="FY180" s="34">
        <f>100*((AVERAGE(HAVERQ!B144:B183)/AVERAGE(HAVERQ!B140:B179))-1)</f>
        <v>1.9057702488089134</v>
      </c>
      <c r="FZ180" s="34">
        <f t="shared" si="99"/>
        <v>2.0390522566444025</v>
      </c>
    </row>
    <row r="181" spans="131:182">
      <c r="EA181" s="152">
        <v>39356</v>
      </c>
      <c r="EB181" s="34">
        <f>100*(HAVERM!C220/HAVERM!B220)</f>
        <v>24.070835155225186</v>
      </c>
      <c r="EC181" s="34">
        <f t="shared" si="98"/>
        <v>25.050854271384292</v>
      </c>
      <c r="EE181" s="32">
        <f>HAVERM!C220</f>
        <v>2202</v>
      </c>
      <c r="EF181" s="32">
        <f>HAVERM!B220-HAVERM!C220</f>
        <v>6946</v>
      </c>
      <c r="FX181" s="34">
        <f>100*((AVERAGE(HAVERQ!B165:B184)/AVERAGE(HAVERQ!B161:B180))-1)</f>
        <v>1.9602054673200753</v>
      </c>
      <c r="FY181" s="34">
        <f>100*((AVERAGE(HAVERQ!B145:B184)/AVERAGE(HAVERQ!B141:B180))-1)</f>
        <v>1.8781379780574259</v>
      </c>
      <c r="FZ181" s="34">
        <f t="shared" si="99"/>
        <v>2.0390522566444025</v>
      </c>
    </row>
    <row r="182" spans="131:182">
      <c r="EA182" s="152">
        <v>39387</v>
      </c>
      <c r="EB182" s="34">
        <f>100*(HAVERM!C221/HAVERM!B221)</f>
        <v>24.275560415527611</v>
      </c>
      <c r="EC182" s="34">
        <f t="shared" si="98"/>
        <v>25.050854271384292</v>
      </c>
      <c r="EE182" s="32">
        <f>HAVERM!C221</f>
        <v>2220</v>
      </c>
      <c r="EF182" s="32">
        <f>HAVERM!B221-HAVERM!C221</f>
        <v>6925</v>
      </c>
      <c r="FX182" s="34">
        <f>100*((AVERAGE(HAVERQ!B166:B185)/AVERAGE(HAVERQ!B162:B181))-1)</f>
        <v>1.8920030554086864</v>
      </c>
      <c r="FY182" s="34">
        <f>100*((AVERAGE(HAVERQ!B146:B185)/AVERAGE(HAVERQ!B142:B181))-1)</f>
        <v>1.8383713756940034</v>
      </c>
      <c r="FZ182" s="34">
        <f t="shared" si="99"/>
        <v>2.0390522566444025</v>
      </c>
    </row>
    <row r="183" spans="131:182">
      <c r="EA183" s="152">
        <v>39417</v>
      </c>
      <c r="EB183" s="34">
        <f>100*(HAVERM!C222/HAVERM!B222)</f>
        <v>24.384371237824233</v>
      </c>
      <c r="EC183" s="34">
        <f t="shared" si="98"/>
        <v>25.050854271384292</v>
      </c>
      <c r="EE183" s="32">
        <f>HAVERM!C222</f>
        <v>2228</v>
      </c>
      <c r="EF183" s="32">
        <f>HAVERM!B222-HAVERM!C222</f>
        <v>6909</v>
      </c>
      <c r="FX183" s="34">
        <f>100*((AVERAGE(HAVERQ!B167:B186)/AVERAGE(HAVERQ!B163:B182))-1)</f>
        <v>1.7480268927214215</v>
      </c>
      <c r="FY183" s="34">
        <f>100*((AVERAGE(HAVERQ!B147:B186)/AVERAGE(HAVERQ!B143:B182))-1)</f>
        <v>1.7896611001964491</v>
      </c>
      <c r="FZ183" s="34">
        <f t="shared" si="99"/>
        <v>2.0390522566444025</v>
      </c>
    </row>
    <row r="184" spans="131:182">
      <c r="EA184" s="152">
        <v>39448</v>
      </c>
      <c r="EB184" s="34">
        <f>100*(HAVERM!C223/HAVERM!B223)</f>
        <v>24.324621128925983</v>
      </c>
      <c r="EC184" s="34">
        <f t="shared" si="98"/>
        <v>25.050854271384292</v>
      </c>
      <c r="EE184" s="32">
        <f>HAVERM!C223</f>
        <v>2215</v>
      </c>
      <c r="EF184" s="32">
        <f>HAVERM!B223-HAVERM!C223</f>
        <v>6891</v>
      </c>
      <c r="FW184">
        <v>2005</v>
      </c>
      <c r="FX184" s="34">
        <f>100*((AVERAGE(HAVERQ!B168:B187)/AVERAGE(HAVERQ!B164:B183))-1)</f>
        <v>1.6059583381822451</v>
      </c>
      <c r="FY184" s="34">
        <f>100*((AVERAGE(HAVERQ!B148:B187)/AVERAGE(HAVERQ!B144:B183))-1)</f>
        <v>1.7692895339954218</v>
      </c>
      <c r="FZ184" s="34">
        <f t="shared" si="99"/>
        <v>2.0390522566444025</v>
      </c>
    </row>
    <row r="185" spans="131:182">
      <c r="EA185" s="152">
        <v>39479</v>
      </c>
      <c r="EB185" s="34">
        <f>100*(HAVERM!C224/HAVERM!B224)</f>
        <v>24.359255202628695</v>
      </c>
      <c r="EC185" s="34">
        <f t="shared" si="98"/>
        <v>25.050854271384292</v>
      </c>
      <c r="EE185" s="32">
        <f>HAVERM!C224</f>
        <v>2224</v>
      </c>
      <c r="EF185" s="32">
        <f>HAVERM!B224-HAVERM!C224</f>
        <v>6906</v>
      </c>
      <c r="FX185" s="34">
        <f>100*((AVERAGE(HAVERQ!B169:B188)/AVERAGE(HAVERQ!B165:B184))-1)</f>
        <v>1.4766344316405222</v>
      </c>
      <c r="FY185" s="34">
        <f>100*((AVERAGE(HAVERQ!B149:B188)/AVERAGE(HAVERQ!B145:B184))-1)</f>
        <v>1.7857142857142794</v>
      </c>
      <c r="FZ185" s="34">
        <f t="shared" si="99"/>
        <v>2.0390522566444025</v>
      </c>
    </row>
    <row r="186" spans="131:182">
      <c r="EA186" s="152">
        <v>39508</v>
      </c>
      <c r="EB186" s="34">
        <f>100*(HAVERM!C225/HAVERM!B225)</f>
        <v>24.403911658059556</v>
      </c>
      <c r="EC186" s="34">
        <f t="shared" si="98"/>
        <v>25.050854271384292</v>
      </c>
      <c r="EE186" s="32">
        <f>HAVERM!C225</f>
        <v>2221</v>
      </c>
      <c r="EF186" s="32">
        <f>HAVERM!B225-HAVERM!C225</f>
        <v>6880</v>
      </c>
      <c r="FX186" s="34">
        <f>100*((AVERAGE(HAVERQ!B170:B189)/AVERAGE(HAVERQ!B166:B185))-1)</f>
        <v>1.4243699901966389</v>
      </c>
      <c r="FY186" s="34">
        <f>100*((AVERAGE(HAVERQ!B150:B189)/AVERAGE(HAVERQ!B146:B185))-1)</f>
        <v>1.8082141991761391</v>
      </c>
      <c r="FZ186" s="34">
        <f t="shared" si="99"/>
        <v>2.0390522566444025</v>
      </c>
    </row>
    <row r="187" spans="131:182">
      <c r="EA187" s="152">
        <v>39539</v>
      </c>
      <c r="EB187" s="34">
        <f>100*(HAVERM!C226/HAVERM!B226)</f>
        <v>24.068391056554141</v>
      </c>
      <c r="EC187" s="34">
        <f t="shared" si="98"/>
        <v>25.050854271384292</v>
      </c>
      <c r="EE187" s="32">
        <f>HAVERM!C226</f>
        <v>2196</v>
      </c>
      <c r="EF187" s="32">
        <f>HAVERM!B226-HAVERM!C226</f>
        <v>6928</v>
      </c>
      <c r="FX187" s="34">
        <f>100*((AVERAGE(HAVERQ!B171:B190)/AVERAGE(HAVERQ!B167:B186))-1)</f>
        <v>1.459434612732724</v>
      </c>
      <c r="FY187" s="34">
        <f>100*((AVERAGE(HAVERQ!B151:B190)/AVERAGE(HAVERQ!B147:B186))-1)</f>
        <v>1.8697789438764767</v>
      </c>
      <c r="FZ187" s="34">
        <f t="shared" si="99"/>
        <v>2.0390522566444025</v>
      </c>
    </row>
    <row r="188" spans="131:182">
      <c r="EA188" s="152">
        <v>39569</v>
      </c>
      <c r="EB188" s="34">
        <f>100*(HAVERM!C227/HAVERM!B227)</f>
        <v>23.822046898969976</v>
      </c>
      <c r="EC188" s="34">
        <f t="shared" si="98"/>
        <v>25.050854271384292</v>
      </c>
      <c r="EE188" s="32">
        <f>HAVERM!C227</f>
        <v>2174</v>
      </c>
      <c r="EF188" s="32">
        <f>HAVERM!B227-HAVERM!C227</f>
        <v>6952</v>
      </c>
      <c r="FW188">
        <v>2006</v>
      </c>
      <c r="FX188" s="34">
        <f>100*((AVERAGE(HAVERQ!B172:B191)/AVERAGE(HAVERQ!B168:B187))-1)</f>
        <v>1.494674149581976</v>
      </c>
      <c r="FY188" s="34">
        <f>100*((AVERAGE(HAVERQ!B152:B191)/AVERAGE(HAVERQ!B148:B187))-1)</f>
        <v>1.9006725918808254</v>
      </c>
      <c r="FZ188" s="34">
        <f t="shared" si="99"/>
        <v>2.0390522566444025</v>
      </c>
    </row>
    <row r="189" spans="131:182">
      <c r="EA189" s="152">
        <v>39600</v>
      </c>
      <c r="EB189" s="34">
        <f>100*(HAVERM!C228/HAVERM!B228)</f>
        <v>23.814737764151978</v>
      </c>
      <c r="EC189" s="34">
        <f t="shared" si="98"/>
        <v>25.050854271384292</v>
      </c>
      <c r="EE189" s="32">
        <f>HAVERM!C228</f>
        <v>2175</v>
      </c>
      <c r="EF189" s="32">
        <f>HAVERM!B228-HAVERM!C228</f>
        <v>6958</v>
      </c>
      <c r="FX189" s="34">
        <f>100*((AVERAGE(HAVERQ!B173:B192)/AVERAGE(HAVERQ!B169:B188))-1)</f>
        <v>1.5007989043597458</v>
      </c>
      <c r="FY189" s="34">
        <f>100*((AVERAGE(HAVERQ!B153:B192)/AVERAGE(HAVERQ!B149:B188))-1)</f>
        <v>1.8918676589258387</v>
      </c>
      <c r="FZ189" s="34">
        <f t="shared" si="99"/>
        <v>2.0390522566444025</v>
      </c>
    </row>
    <row r="190" spans="131:182">
      <c r="EA190" s="152">
        <v>39630</v>
      </c>
      <c r="EB190" s="34">
        <f>100*(HAVERM!C229/HAVERM!B229)</f>
        <v>24.017896115233523</v>
      </c>
      <c r="EC190" s="34">
        <f t="shared" si="98"/>
        <v>25.050854271384292</v>
      </c>
      <c r="EE190" s="32">
        <f>HAVERM!C229</f>
        <v>2201</v>
      </c>
      <c r="EF190" s="32">
        <f>HAVERM!B229-HAVERM!C229</f>
        <v>6963</v>
      </c>
      <c r="FX190" s="34">
        <f>100*((AVERAGE(HAVERQ!B174:B193)/AVERAGE(HAVERQ!B170:B189))-1)</f>
        <v>1.4669092563111219</v>
      </c>
      <c r="FY190" s="34">
        <f>100*((AVERAGE(HAVERQ!B154:B193)/AVERAGE(HAVERQ!B150:B189))-1)</f>
        <v>1.871299794722292</v>
      </c>
      <c r="FZ190" s="34">
        <f t="shared" si="99"/>
        <v>2.0390522566444025</v>
      </c>
    </row>
    <row r="191" spans="131:182">
      <c r="EA191" s="152">
        <v>39661</v>
      </c>
      <c r="EB191" s="34">
        <f>100*(HAVERM!C230/HAVERM!B230)</f>
        <v>24.283066186893468</v>
      </c>
      <c r="EC191" s="34">
        <f t="shared" si="98"/>
        <v>25.050854271384292</v>
      </c>
      <c r="EE191" s="32">
        <f>HAVERM!C230</f>
        <v>2227</v>
      </c>
      <c r="EF191" s="32">
        <f>HAVERM!B230-HAVERM!C230</f>
        <v>6944</v>
      </c>
      <c r="FX191" s="34">
        <f>100*((AVERAGE(HAVERQ!B175:B194)/AVERAGE(HAVERQ!B171:B190))-1)</f>
        <v>1.4157888775625516</v>
      </c>
      <c r="FY191" s="34">
        <f>100*((AVERAGE(HAVERQ!B155:B194)/AVERAGE(HAVERQ!B151:B190))-1)</f>
        <v>1.802895289973061</v>
      </c>
      <c r="FZ191" s="34">
        <f t="shared" si="99"/>
        <v>2.0390522566444025</v>
      </c>
    </row>
    <row r="192" spans="131:182">
      <c r="EA192" s="152">
        <v>39692</v>
      </c>
      <c r="EB192" s="34">
        <f>100*(HAVERM!C231/HAVERM!B231)</f>
        <v>23.867463335143942</v>
      </c>
      <c r="EC192" s="34">
        <f t="shared" si="98"/>
        <v>25.050854271384292</v>
      </c>
      <c r="EE192" s="32">
        <f>HAVERM!C231</f>
        <v>2197</v>
      </c>
      <c r="EF192" s="32">
        <f>HAVERM!B231-HAVERM!C231</f>
        <v>7008</v>
      </c>
      <c r="FW192">
        <v>2007</v>
      </c>
      <c r="FX192" s="34">
        <f>100*((AVERAGE(HAVERQ!B176:B195)/AVERAGE(HAVERQ!B172:B191))-1)</f>
        <v>1.4500930993623928</v>
      </c>
      <c r="FY192" s="34">
        <f>100*((AVERAGE(HAVERQ!B156:B195)/AVERAGE(HAVERQ!B152:B191))-1)</f>
        <v>1.78271503079237</v>
      </c>
      <c r="FZ192" s="34">
        <f t="shared" si="99"/>
        <v>2.0390522566444025</v>
      </c>
    </row>
    <row r="193" spans="131:183">
      <c r="EA193" s="152">
        <v>39722</v>
      </c>
      <c r="EB193" s="34">
        <f>100*(HAVERM!C232/HAVERM!B232)</f>
        <v>23.875697559908087</v>
      </c>
      <c r="EC193" s="34">
        <f t="shared" si="98"/>
        <v>25.050854271384292</v>
      </c>
      <c r="EE193" s="32">
        <f>HAVERM!C232</f>
        <v>2182</v>
      </c>
      <c r="EF193" s="32">
        <f>HAVERM!B232-HAVERM!C232</f>
        <v>6957</v>
      </c>
      <c r="FX193" s="34">
        <f>100*((AVERAGE(HAVERQ!B177:B196)/AVERAGE(HAVERQ!B173:B192))-1)</f>
        <v>1.51796255692358</v>
      </c>
      <c r="FY193" s="34">
        <f>100*((AVERAGE(HAVERQ!B157:B196)/AVERAGE(HAVERQ!B153:B192))-1)</f>
        <v>1.774609879150546</v>
      </c>
      <c r="FZ193" s="34">
        <f t="shared" si="99"/>
        <v>2.0390522566444025</v>
      </c>
    </row>
    <row r="194" spans="131:183">
      <c r="EA194" s="152">
        <v>39753</v>
      </c>
      <c r="EB194" s="34">
        <f>100*(HAVERM!C233/HAVERM!B233)</f>
        <v>23.550684931506851</v>
      </c>
      <c r="EC194" s="34">
        <f t="shared" si="98"/>
        <v>25.050854271384292</v>
      </c>
      <c r="EE194" s="32">
        <f>HAVERM!C233</f>
        <v>2149</v>
      </c>
      <c r="EF194" s="32">
        <f>HAVERM!B233-HAVERM!C233</f>
        <v>6976</v>
      </c>
      <c r="FX194" s="34">
        <f>100*((AVERAGE(HAVERQ!B178:B197)/AVERAGE(HAVERQ!B174:B193))-1)</f>
        <v>1.6082035189958432</v>
      </c>
      <c r="FY194" s="34">
        <f>100*((AVERAGE(HAVERQ!B158:B197)/AVERAGE(HAVERQ!B154:B193))-1)</f>
        <v>1.784358390280949</v>
      </c>
      <c r="FZ194" s="34">
        <f t="shared" si="99"/>
        <v>2.0390522566444025</v>
      </c>
    </row>
    <row r="195" spans="131:183">
      <c r="EA195" s="152">
        <v>39783</v>
      </c>
      <c r="EB195" s="34">
        <f>100*(HAVERM!C234/HAVERM!B234)</f>
        <v>23.85574059777214</v>
      </c>
      <c r="EC195" s="34">
        <f t="shared" si="98"/>
        <v>25.050854271384292</v>
      </c>
      <c r="EE195" s="32">
        <f>HAVERM!C234</f>
        <v>2163</v>
      </c>
      <c r="EF195" s="32">
        <f>HAVERM!B234-HAVERM!C234</f>
        <v>6904</v>
      </c>
      <c r="FX195" s="34">
        <f>100*((AVERAGE(HAVERQ!B179:B198)/AVERAGE(HAVERQ!B175:B194))-1)</f>
        <v>1.6919812374357912</v>
      </c>
      <c r="FY195" s="34">
        <f>100*((AVERAGE(HAVERQ!B159:B198)/AVERAGE(HAVERQ!B155:B194))-1)</f>
        <v>1.7855065720600249</v>
      </c>
      <c r="FZ195" s="34">
        <f t="shared" si="99"/>
        <v>2.0390522566444025</v>
      </c>
    </row>
    <row r="196" spans="131:183">
      <c r="EA196" s="152">
        <v>39814</v>
      </c>
      <c r="EB196" s="34">
        <f>100*(HAVERM!C235/HAVERM!B235)</f>
        <v>23.808480333077682</v>
      </c>
      <c r="EC196" s="34">
        <f t="shared" si="98"/>
        <v>25.050854271384292</v>
      </c>
      <c r="EE196" s="32">
        <f>HAVERM!C235</f>
        <v>2173</v>
      </c>
      <c r="EF196" s="32">
        <f>HAVERM!B235-HAVERM!C235</f>
        <v>6954</v>
      </c>
      <c r="FW196">
        <v>2008</v>
      </c>
      <c r="FX196" s="34">
        <f>100*((AVERAGE(HAVERQ!B180:B199)/AVERAGE(HAVERQ!B176:B195))-1)</f>
        <v>1.6907675194660632</v>
      </c>
      <c r="FY196" s="34">
        <f>100*((AVERAGE(HAVERQ!B160:B199)/AVERAGE(HAVERQ!B156:B195))-1)</f>
        <v>1.754385964912264</v>
      </c>
      <c r="FZ196" s="34"/>
      <c r="GA196" s="34">
        <f>$GG$6</f>
        <v>0.33872018568785744</v>
      </c>
    </row>
    <row r="197" spans="131:183">
      <c r="EA197" s="152">
        <v>39845</v>
      </c>
      <c r="EB197" s="34">
        <f>100*(HAVERM!C236/HAVERM!B236)</f>
        <v>23.707606190319392</v>
      </c>
      <c r="EC197" s="34">
        <f t="shared" ref="EC197:EC260" si="100">AVERAGE($EB$7:$EB$399)</f>
        <v>25.050854271384292</v>
      </c>
      <c r="EE197" s="32">
        <f>HAVERM!C236</f>
        <v>2160</v>
      </c>
      <c r="EF197" s="32">
        <f>HAVERM!B236-HAVERM!C236</f>
        <v>6951</v>
      </c>
      <c r="FX197" s="34">
        <f>100*((AVERAGE(HAVERQ!B181:B200)/AVERAGE(HAVERQ!B177:B196))-1)</f>
        <v>1.6115633826216946</v>
      </c>
      <c r="FY197" s="34">
        <f>100*((AVERAGE(HAVERQ!B161:B200)/AVERAGE(HAVERQ!B157:B196))-1)</f>
        <v>1.6946710090209427</v>
      </c>
      <c r="FZ197" s="34"/>
      <c r="GA197" s="34">
        <f t="shared" ref="GA197:GA258" si="101">$GG$6</f>
        <v>0.33872018568785744</v>
      </c>
    </row>
    <row r="198" spans="131:183">
      <c r="EA198" s="152">
        <v>39873</v>
      </c>
      <c r="EB198" s="34">
        <f>100*(HAVERM!C237/HAVERM!B237)</f>
        <v>23.409363745498197</v>
      </c>
      <c r="EC198" s="34">
        <f t="shared" si="100"/>
        <v>25.050854271384292</v>
      </c>
      <c r="EE198" s="32">
        <f>HAVERM!C237</f>
        <v>2145</v>
      </c>
      <c r="EF198" s="32">
        <f>HAVERM!B237-HAVERM!C237</f>
        <v>7018</v>
      </c>
      <c r="FX198" s="34">
        <f>100*((AVERAGE(HAVERQ!B182:B201)/AVERAGE(HAVERQ!B178:B197))-1)</f>
        <v>1.4393646942039373</v>
      </c>
      <c r="FY198" s="34">
        <f>100*((AVERAGE(HAVERQ!B162:B201)/AVERAGE(HAVERQ!B158:B197))-1)</f>
        <v>1.6067483430407536</v>
      </c>
      <c r="FZ198" s="34"/>
      <c r="GA198" s="34">
        <f t="shared" si="101"/>
        <v>0.33872018568785744</v>
      </c>
    </row>
    <row r="199" spans="131:183">
      <c r="EA199" s="152">
        <v>39904</v>
      </c>
      <c r="EB199" s="34">
        <f>100*(HAVERM!C238/HAVERM!B238)</f>
        <v>23.379302855901834</v>
      </c>
      <c r="EC199" s="34">
        <f t="shared" si="100"/>
        <v>25.050854271384292</v>
      </c>
      <c r="EE199" s="32">
        <f>HAVERM!C238</f>
        <v>2153</v>
      </c>
      <c r="EF199" s="32">
        <f>HAVERM!B238-HAVERM!C238</f>
        <v>7056</v>
      </c>
      <c r="FX199" s="34">
        <f>100*((AVERAGE(HAVERQ!B183:B202)/AVERAGE(HAVERQ!B179:B198))-1)</f>
        <v>1.120202075668586</v>
      </c>
      <c r="FY199" s="34">
        <f>100*((AVERAGE(HAVERQ!B163:B202)/AVERAGE(HAVERQ!B159:B198))-1)</f>
        <v>1.4799154334038001</v>
      </c>
      <c r="FZ199" s="34"/>
      <c r="GA199" s="34">
        <f t="shared" si="101"/>
        <v>0.33872018568785744</v>
      </c>
    </row>
    <row r="200" spans="131:183">
      <c r="EA200" s="152">
        <v>39934</v>
      </c>
      <c r="EB200" s="34">
        <f>100*(HAVERM!C239/HAVERM!B239)</f>
        <v>23.185898129122958</v>
      </c>
      <c r="EC200" s="34">
        <f t="shared" si="100"/>
        <v>25.050854271384292</v>
      </c>
      <c r="EE200" s="32">
        <f>HAVERM!C239</f>
        <v>2144</v>
      </c>
      <c r="EF200" s="32">
        <f>HAVERM!B239-HAVERM!C239</f>
        <v>7103</v>
      </c>
      <c r="FW200">
        <v>2009</v>
      </c>
      <c r="FX200" s="34">
        <f>100*((AVERAGE(HAVERQ!B184:B203)/AVERAGE(HAVERQ!B180:B199))-1)</f>
        <v>0.77663530956029181</v>
      </c>
      <c r="FY200" s="34">
        <f>100*((AVERAGE(HAVERQ!B164:B203)/AVERAGE(HAVERQ!B160:B199))-1)</f>
        <v>1.3201320132013139</v>
      </c>
      <c r="FZ200" s="34"/>
      <c r="GA200" s="34">
        <f t="shared" si="101"/>
        <v>0.33872018568785744</v>
      </c>
    </row>
    <row r="201" spans="131:183">
      <c r="EA201" s="152">
        <v>39965</v>
      </c>
      <c r="EB201" s="34">
        <f>100*(HAVERM!C240/HAVERM!B240)</f>
        <v>23.147949323598883</v>
      </c>
      <c r="EC201" s="34">
        <f t="shared" si="100"/>
        <v>25.050854271384292</v>
      </c>
      <c r="EE201" s="32">
        <f>HAVERM!C240</f>
        <v>2156</v>
      </c>
      <c r="EF201" s="32">
        <f>HAVERM!B240-HAVERM!C240</f>
        <v>7158</v>
      </c>
      <c r="FX201" s="34">
        <f>100*((AVERAGE(HAVERQ!B185:B204)/AVERAGE(HAVERQ!B181:B200))-1)</f>
        <v>0.49596686287336489</v>
      </c>
      <c r="FY201" s="34">
        <f>100*((AVERAGE(HAVERQ!B165:B204)/AVERAGE(HAVERQ!B161:B200))-1)</f>
        <v>1.1988096925038993</v>
      </c>
      <c r="FZ201" s="34"/>
      <c r="GA201" s="34">
        <f t="shared" si="101"/>
        <v>0.33872018568785744</v>
      </c>
    </row>
    <row r="202" spans="131:183">
      <c r="EA202" s="152">
        <v>39995</v>
      </c>
      <c r="EB202" s="34">
        <f>100*(HAVERM!C241/HAVERM!B241)</f>
        <v>23.447756375766708</v>
      </c>
      <c r="EC202" s="34">
        <f t="shared" si="100"/>
        <v>25.050854271384292</v>
      </c>
      <c r="EE202" s="32">
        <f>HAVERM!C241</f>
        <v>2179</v>
      </c>
      <c r="EF202" s="32">
        <f>HAVERM!B241-HAVERM!C241</f>
        <v>7114</v>
      </c>
      <c r="FX202" s="34">
        <f>100*((AVERAGE(HAVERQ!B186:B205)/AVERAGE(HAVERQ!B182:B201))-1)</f>
        <v>0.32619332390997346</v>
      </c>
      <c r="FY202" s="34">
        <f>100*((AVERAGE(HAVERQ!B166:B205)/AVERAGE(HAVERQ!B162:B201))-1)</f>
        <v>1.0786999124615448</v>
      </c>
      <c r="FZ202" s="34"/>
      <c r="GA202" s="34">
        <f t="shared" si="101"/>
        <v>0.33872018568785744</v>
      </c>
    </row>
    <row r="203" spans="131:183">
      <c r="EA203" s="152">
        <v>40026</v>
      </c>
      <c r="EB203" s="34">
        <f>100*(HAVERM!C242/HAVERM!B242)</f>
        <v>23.483386923901392</v>
      </c>
      <c r="EC203" s="34">
        <f t="shared" si="100"/>
        <v>25.050854271384292</v>
      </c>
      <c r="EE203" s="32">
        <f>HAVERM!C242</f>
        <v>2191</v>
      </c>
      <c r="EF203" s="32">
        <f>HAVERM!B242-HAVERM!C242</f>
        <v>7139</v>
      </c>
      <c r="FX203" s="34">
        <f>100*((AVERAGE(HAVERQ!B187:B206)/AVERAGE(HAVERQ!B183:B202))-1)</f>
        <v>0.30409991854467577</v>
      </c>
      <c r="FY203" s="34">
        <f>100*((AVERAGE(HAVERQ!B167:B206)/AVERAGE(HAVERQ!B163:B202))-1)</f>
        <v>0.99943693693693714</v>
      </c>
      <c r="FZ203" s="34"/>
      <c r="GA203" s="34">
        <f t="shared" si="101"/>
        <v>0.33872018568785744</v>
      </c>
    </row>
    <row r="204" spans="131:183">
      <c r="EA204" s="152">
        <v>40057</v>
      </c>
      <c r="EB204" s="34">
        <f>100*(HAVERM!C243/HAVERM!B243)</f>
        <v>23.221936589545844</v>
      </c>
      <c r="EC204" s="34">
        <f t="shared" si="100"/>
        <v>25.050854271384292</v>
      </c>
      <c r="EE204" s="32">
        <f>HAVERM!C243</f>
        <v>2168</v>
      </c>
      <c r="EF204" s="32">
        <f>HAVERM!B243-HAVERM!C243</f>
        <v>7168</v>
      </c>
      <c r="FW204">
        <v>2010</v>
      </c>
      <c r="FX204" s="34">
        <f>100*((AVERAGE(HAVERQ!B188:B207)/AVERAGE(HAVERQ!B184:B203))-1)</f>
        <v>0.3744708563985677</v>
      </c>
      <c r="FY204" s="34">
        <f>100*((AVERAGE(HAVERQ!B168:B207)/AVERAGE(HAVERQ!B164:B203))-1)</f>
        <v>0.96877457036954606</v>
      </c>
      <c r="FZ204" s="34"/>
      <c r="GA204" s="34">
        <f t="shared" si="101"/>
        <v>0.33872018568785744</v>
      </c>
    </row>
    <row r="205" spans="131:183">
      <c r="EA205" s="152">
        <v>40087</v>
      </c>
      <c r="EB205" s="34">
        <f>100*(HAVERM!C244/HAVERM!B244)</f>
        <v>23.283582089552237</v>
      </c>
      <c r="EC205" s="34">
        <f t="shared" si="100"/>
        <v>25.050854271384292</v>
      </c>
      <c r="EE205" s="32">
        <f>HAVERM!C244</f>
        <v>2184</v>
      </c>
      <c r="EF205" s="32">
        <f>HAVERM!B244-HAVERM!C244</f>
        <v>7196</v>
      </c>
      <c r="FX205" s="34">
        <f>100*((AVERAGE(HAVERQ!B189:B208)/AVERAGE(HAVERQ!B185:B204))-1)</f>
        <v>0.41759314496445654</v>
      </c>
      <c r="FY205" s="34">
        <f>100*((AVERAGE(HAVERQ!B169:B208)/AVERAGE(HAVERQ!B165:B204))-1)</f>
        <v>0.92976363840036047</v>
      </c>
      <c r="FZ205" s="34"/>
      <c r="GA205" s="34">
        <f t="shared" si="101"/>
        <v>0.33872018568785744</v>
      </c>
    </row>
    <row r="206" spans="131:183">
      <c r="EA206" s="152">
        <v>40118</v>
      </c>
      <c r="EB206" s="34">
        <f>100*(HAVERM!C245/HAVERM!B245)</f>
        <v>23.182543906333155</v>
      </c>
      <c r="EC206" s="34">
        <f t="shared" si="100"/>
        <v>25.050854271384292</v>
      </c>
      <c r="EE206" s="32">
        <f>HAVERM!C245</f>
        <v>2178</v>
      </c>
      <c r="EF206" s="32">
        <f>HAVERM!B245-HAVERM!C245</f>
        <v>7217</v>
      </c>
      <c r="FX206" s="34">
        <f>100*((AVERAGE(HAVERQ!B190:B209)/AVERAGE(HAVERQ!B186:B205))-1)</f>
        <v>0.4226725913081264</v>
      </c>
      <c r="FY206" s="34">
        <f>100*((AVERAGE(HAVERQ!B170:B209)/AVERAGE(HAVERQ!B166:B205))-1)</f>
        <v>0.90794803743539099</v>
      </c>
      <c r="FZ206" s="34"/>
      <c r="GA206" s="34">
        <f t="shared" si="101"/>
        <v>0.33872018568785744</v>
      </c>
    </row>
    <row r="207" spans="131:183">
      <c r="EA207" s="152">
        <v>40148</v>
      </c>
      <c r="EB207" s="34">
        <f>100*(HAVERM!C246/HAVERM!B246)</f>
        <v>22.950300728078506</v>
      </c>
      <c r="EC207" s="34">
        <f t="shared" si="100"/>
        <v>25.050854271384292</v>
      </c>
      <c r="EE207" s="32">
        <f>HAVERM!C246</f>
        <v>2175</v>
      </c>
      <c r="EF207" s="32">
        <f>HAVERM!B246-HAVERM!C246</f>
        <v>7302</v>
      </c>
      <c r="FX207" s="34">
        <f>100*((AVERAGE(HAVERQ!B191:B210)/AVERAGE(HAVERQ!B187:B206))-1)</f>
        <v>0.36273076714847807</v>
      </c>
      <c r="FY207" s="34">
        <f>100*((AVERAGE(HAVERQ!B171:B210)/AVERAGE(HAVERQ!B167:B206))-1)</f>
        <v>0.89477351916376069</v>
      </c>
      <c r="FZ207" s="34"/>
      <c r="GA207" s="34">
        <f t="shared" si="101"/>
        <v>0.33872018568785744</v>
      </c>
    </row>
    <row r="208" spans="131:183">
      <c r="EA208" s="152">
        <v>40179</v>
      </c>
      <c r="EB208" s="34">
        <f>100*(HAVERM!C247/HAVERM!B247)</f>
        <v>23.018469656992085</v>
      </c>
      <c r="EC208" s="34">
        <f t="shared" si="100"/>
        <v>25.050854271384292</v>
      </c>
      <c r="EE208" s="32">
        <f>HAVERM!C247</f>
        <v>2181</v>
      </c>
      <c r="EF208" s="32">
        <f>HAVERM!B247-HAVERM!C247</f>
        <v>7294</v>
      </c>
      <c r="FW208">
        <v>2011</v>
      </c>
      <c r="FX208" s="34">
        <f>100*((AVERAGE(HAVERQ!B192:B211)/AVERAGE(HAVERQ!B188:B207))-1)</f>
        <v>0.25412273587455125</v>
      </c>
      <c r="FY208" s="34">
        <f>100*((AVERAGE(HAVERQ!B172:B211)/AVERAGE(HAVERQ!B168:B207))-1)</f>
        <v>0.85657869121449348</v>
      </c>
      <c r="FZ208" s="34"/>
      <c r="GA208" s="34">
        <f t="shared" si="101"/>
        <v>0.33872018568785744</v>
      </c>
    </row>
    <row r="209" spans="131:183">
      <c r="EA209" s="152">
        <v>40210</v>
      </c>
      <c r="EB209" s="34">
        <f>100*(HAVERM!C248/HAVERM!B248)</f>
        <v>23.242331611679141</v>
      </c>
      <c r="EC209" s="34">
        <f t="shared" si="100"/>
        <v>25.050854271384292</v>
      </c>
      <c r="EE209" s="32">
        <f>HAVERM!C248</f>
        <v>2205</v>
      </c>
      <c r="EF209" s="32">
        <f>HAVERM!B248-HAVERM!C248</f>
        <v>7282</v>
      </c>
      <c r="FX209" s="34">
        <f>100*((AVERAGE(HAVERQ!B193:B212)/AVERAGE(HAVERQ!B189:B208))-1)</f>
        <v>0.16202203499675605</v>
      </c>
      <c r="FY209" s="34">
        <f>100*((AVERAGE(HAVERQ!B173:B212)/AVERAGE(HAVERQ!B169:B208))-1)</f>
        <v>0.81298557158713258</v>
      </c>
      <c r="FZ209" s="34"/>
      <c r="GA209" s="34">
        <f t="shared" si="101"/>
        <v>0.33872018568785744</v>
      </c>
    </row>
    <row r="210" spans="131:183">
      <c r="EA210" s="152">
        <v>40238</v>
      </c>
      <c r="EB210" s="34">
        <f>100*(HAVERM!C249/HAVERM!B249)</f>
        <v>23.45510053689862</v>
      </c>
      <c r="EC210" s="34">
        <f t="shared" si="100"/>
        <v>25.050854271384292</v>
      </c>
      <c r="EE210" s="32">
        <f>HAVERM!C249</f>
        <v>2228</v>
      </c>
      <c r="EF210" s="32">
        <f>HAVERM!B249-HAVERM!C249</f>
        <v>7271</v>
      </c>
      <c r="FX210" s="34">
        <f>100*((AVERAGE(HAVERQ!B194:B213)/AVERAGE(HAVERQ!B190:B209))-1)</f>
        <v>0.15109000647526294</v>
      </c>
      <c r="FY210" s="34">
        <f>100*((AVERAGE(HAVERQ!B174:B213)/AVERAGE(HAVERQ!B170:B209))-1)</f>
        <v>0.7918050941306598</v>
      </c>
      <c r="FZ210" s="34"/>
      <c r="GA210" s="34">
        <f t="shared" si="101"/>
        <v>0.33872018568785744</v>
      </c>
    </row>
    <row r="211" spans="131:183">
      <c r="EA211" s="152">
        <v>40269</v>
      </c>
      <c r="EB211" s="34">
        <f>100*(HAVERM!C250/HAVERM!B250)</f>
        <v>23.672214565885721</v>
      </c>
      <c r="EC211" s="34">
        <f t="shared" si="100"/>
        <v>25.050854271384292</v>
      </c>
      <c r="EE211" s="32">
        <f>HAVERM!C250</f>
        <v>2233</v>
      </c>
      <c r="EF211" s="32">
        <f>HAVERM!B250-HAVERM!C250</f>
        <v>7200</v>
      </c>
      <c r="FX211" s="34">
        <f>100*((AVERAGE(HAVERQ!B195:B214)/AVERAGE(HAVERQ!B191:B210))-1)</f>
        <v>0.17801273060740197</v>
      </c>
      <c r="FY211" s="34">
        <f>100*((AVERAGE(HAVERQ!B175:B214)/AVERAGE(HAVERQ!B171:B210))-1)</f>
        <v>0.78185434854680658</v>
      </c>
      <c r="FZ211" s="34"/>
      <c r="GA211" s="34">
        <f t="shared" si="101"/>
        <v>0.33872018568785744</v>
      </c>
    </row>
    <row r="212" spans="131:183">
      <c r="EA212" s="152">
        <v>40299</v>
      </c>
      <c r="EB212" s="34">
        <f>100*(HAVERM!C251/HAVERM!B251)</f>
        <v>23.777260215964429</v>
      </c>
      <c r="EC212" s="34">
        <f t="shared" si="100"/>
        <v>25.050854271384292</v>
      </c>
      <c r="EE212" s="32">
        <f>HAVERM!C251</f>
        <v>2246</v>
      </c>
      <c r="EF212" s="32">
        <f>HAVERM!B251-HAVERM!C251</f>
        <v>7200</v>
      </c>
      <c r="FW212">
        <v>2012</v>
      </c>
      <c r="FX212" s="34">
        <f>100*((AVERAGE(HAVERQ!B196:B215)/AVERAGE(HAVERQ!B192:B211))-1)</f>
        <v>0.17797432855140016</v>
      </c>
      <c r="FY212" s="34">
        <f>100*((AVERAGE(HAVERQ!B176:B215)/AVERAGE(HAVERQ!B172:B211))-1)</f>
        <v>0.79966910244035905</v>
      </c>
      <c r="FZ212" s="34"/>
      <c r="GA212" s="34">
        <f t="shared" si="101"/>
        <v>0.33872018568785744</v>
      </c>
    </row>
    <row r="213" spans="131:183">
      <c r="EA213" s="152">
        <v>40330</v>
      </c>
      <c r="EB213" s="34">
        <f>100*(HAVERM!C252/HAVERM!B252)</f>
        <v>23.839504855404972</v>
      </c>
      <c r="EC213" s="34">
        <f t="shared" si="100"/>
        <v>25.050854271384292</v>
      </c>
      <c r="EE213" s="32">
        <f>HAVERM!C252</f>
        <v>2234</v>
      </c>
      <c r="EF213" s="32">
        <f>HAVERM!B252-HAVERM!C252</f>
        <v>7137</v>
      </c>
      <c r="FX213" s="34">
        <f>100*((AVERAGE(HAVERQ!B197:B216)/AVERAGE(HAVERQ!B193:B212))-1)</f>
        <v>0.11323196376578082</v>
      </c>
      <c r="FY213" s="34">
        <f>100*((AVERAGE(HAVERQ!B177:B216)/AVERAGE(HAVERQ!B173:B212))-1)</f>
        <v>0.80092477912638849</v>
      </c>
      <c r="FZ213" s="34"/>
      <c r="GA213" s="34">
        <f t="shared" si="101"/>
        <v>0.33872018568785744</v>
      </c>
    </row>
    <row r="214" spans="131:183">
      <c r="EA214" s="152">
        <v>40360</v>
      </c>
      <c r="EB214" s="34">
        <f>100*(HAVERM!C253/HAVERM!B253)</f>
        <v>23.745070872855166</v>
      </c>
      <c r="EC214" s="34">
        <f t="shared" si="100"/>
        <v>25.050854271384292</v>
      </c>
      <c r="EE214" s="32">
        <f>HAVERM!C253</f>
        <v>2228</v>
      </c>
      <c r="EF214" s="32">
        <f>HAVERM!B253-HAVERM!C253</f>
        <v>7155</v>
      </c>
      <c r="FX214" s="34">
        <f>100*((AVERAGE(HAVERQ!B198:B217)/AVERAGE(HAVERQ!B194:B213))-1)</f>
        <v>5.3879310345061882E-3</v>
      </c>
      <c r="FY214" s="34">
        <f>100*((AVERAGE(HAVERQ!B178:B217)/AVERAGE(HAVERQ!B174:B213))-1)</f>
        <v>0.79107839367136279</v>
      </c>
      <c r="FZ214" s="34"/>
      <c r="GA214" s="34">
        <f t="shared" si="101"/>
        <v>0.33872018568785744</v>
      </c>
    </row>
    <row r="215" spans="131:183">
      <c r="EA215" s="152">
        <v>40391</v>
      </c>
      <c r="EB215" s="34">
        <f>100*(HAVERM!C254/HAVERM!B254)</f>
        <v>23.740392826643895</v>
      </c>
      <c r="EC215" s="34">
        <f t="shared" si="100"/>
        <v>25.050854271384292</v>
      </c>
      <c r="EE215" s="32">
        <f>HAVERM!C254</f>
        <v>2224</v>
      </c>
      <c r="EF215" s="32">
        <f>HAVERM!B254-HAVERM!C254</f>
        <v>7144</v>
      </c>
      <c r="FX215" s="34">
        <f>100*((AVERAGE(HAVERQ!B199:B218)/AVERAGE(HAVERQ!B195:B214))-1)</f>
        <v>-0.1292337515480968</v>
      </c>
      <c r="FY215" s="34">
        <f>100*((AVERAGE(HAVERQ!B179:B218)/AVERAGE(HAVERQ!B175:B214))-1)</f>
        <v>0.76482359713807568</v>
      </c>
      <c r="FZ215" s="34"/>
      <c r="GA215" s="34">
        <f t="shared" si="101"/>
        <v>0.33872018568785744</v>
      </c>
    </row>
    <row r="216" spans="131:183">
      <c r="EA216" s="152">
        <v>40422</v>
      </c>
      <c r="EB216" s="34">
        <f>100*(HAVERM!C255/HAVERM!B255)</f>
        <v>23.659339492407348</v>
      </c>
      <c r="EC216" s="34">
        <f t="shared" si="100"/>
        <v>25.050854271384292</v>
      </c>
      <c r="EE216" s="32">
        <f>HAVERM!C255</f>
        <v>2228</v>
      </c>
      <c r="EF216" s="32">
        <f>HAVERM!B255-HAVERM!C255</f>
        <v>7189</v>
      </c>
      <c r="FW216">
        <v>2013</v>
      </c>
      <c r="FX216" s="34">
        <f>100*((AVERAGE(HAVERQ!B200:B219)/AVERAGE(HAVERQ!B196:B215))-1)</f>
        <v>-0.22072678331092055</v>
      </c>
      <c r="FY216" s="34">
        <f>100*((AVERAGE(HAVERQ!B180:B219)/AVERAGE(HAVERQ!B176:B215))-1)</f>
        <v>0.71946382163863287</v>
      </c>
      <c r="FZ216" s="34"/>
      <c r="GA216" s="34">
        <f t="shared" si="101"/>
        <v>0.33872018568785744</v>
      </c>
    </row>
    <row r="217" spans="131:183">
      <c r="EA217" s="152">
        <v>40452</v>
      </c>
      <c r="EB217" s="34">
        <f>100*(HAVERM!C256/HAVERM!B256)</f>
        <v>23.478627079385134</v>
      </c>
      <c r="EC217" s="34">
        <f t="shared" si="100"/>
        <v>25.050854271384292</v>
      </c>
      <c r="EE217" s="32">
        <f>HAVERM!C256</f>
        <v>2230</v>
      </c>
      <c r="EF217" s="32">
        <f>HAVERM!B256-HAVERM!C256</f>
        <v>7268</v>
      </c>
      <c r="FX217" s="34">
        <f>100*((AVERAGE(HAVERQ!B201:B220)/AVERAGE(HAVERQ!B197:B216))-1)</f>
        <v>-0.19927828943825387</v>
      </c>
      <c r="FY217" s="34">
        <f>100*((AVERAGE(HAVERQ!B181:B220)/AVERAGE(HAVERQ!B177:B216))-1)</f>
        <v>0.69353429445173642</v>
      </c>
      <c r="FZ217" s="34"/>
      <c r="GA217" s="34">
        <f t="shared" si="101"/>
        <v>0.33872018568785744</v>
      </c>
    </row>
    <row r="218" spans="131:183">
      <c r="EA218" s="152">
        <v>40483</v>
      </c>
      <c r="EB218" s="34">
        <f>100*(HAVERM!C257/HAVERM!B257)</f>
        <v>23.51576505325319</v>
      </c>
      <c r="EC218" s="34">
        <f t="shared" si="100"/>
        <v>25.050854271384292</v>
      </c>
      <c r="EE218" s="32">
        <f>HAVERM!C257</f>
        <v>2230</v>
      </c>
      <c r="EF218" s="32">
        <f>HAVERM!B257-HAVERM!C257</f>
        <v>7253</v>
      </c>
      <c r="FX218" s="34">
        <f>100*((AVERAGE(HAVERQ!B202:B221)/AVERAGE(HAVERQ!B198:B217))-1)</f>
        <v>-0.13469101880287937</v>
      </c>
      <c r="FY218" s="34">
        <f>100*((AVERAGE(HAVERQ!B182:B221)/AVERAGE(HAVERQ!B178:B217))-1)</f>
        <v>0.64315691938738873</v>
      </c>
      <c r="FZ218" s="34"/>
      <c r="GA218" s="34">
        <f t="shared" si="101"/>
        <v>0.33872018568785744</v>
      </c>
    </row>
    <row r="219" spans="131:183">
      <c r="EA219" s="152">
        <v>40513</v>
      </c>
      <c r="EB219" s="34">
        <f>100*(HAVERM!C258/HAVERM!B258)</f>
        <v>23.367952522255191</v>
      </c>
      <c r="EC219" s="34">
        <f t="shared" si="100"/>
        <v>25.050854271384292</v>
      </c>
      <c r="EE219" s="32">
        <f>HAVERM!C258</f>
        <v>2205</v>
      </c>
      <c r="EF219" s="32">
        <f>HAVERM!B258-HAVERM!C258</f>
        <v>7231</v>
      </c>
      <c r="FX219" s="34">
        <f>100*((AVERAGE(HAVERQ!B203:B222)/AVERAGE(HAVERQ!B199:B218))-1)</f>
        <v>8.0875613306718996E-2</v>
      </c>
      <c r="FY219" s="34">
        <f>100*((AVERAGE(HAVERQ!B183:B222)/AVERAGE(HAVERQ!B179:B218))-1)</f>
        <v>0.59578867185374751</v>
      </c>
      <c r="FZ219" s="34"/>
      <c r="GA219" s="34">
        <f t="shared" si="101"/>
        <v>0.33872018568785744</v>
      </c>
    </row>
    <row r="220" spans="131:183">
      <c r="EA220" s="152">
        <v>40544</v>
      </c>
      <c r="EB220" s="34">
        <f>100*(HAVERM!C259/HAVERM!B259)</f>
        <v>23.164261460101869</v>
      </c>
      <c r="EC220" s="34">
        <f t="shared" si="100"/>
        <v>25.050854271384292</v>
      </c>
      <c r="EE220" s="32">
        <f>HAVERM!C259</f>
        <v>2183</v>
      </c>
      <c r="EF220" s="32">
        <f>HAVERM!B259-HAVERM!C259</f>
        <v>7241</v>
      </c>
      <c r="FW220">
        <v>2014</v>
      </c>
      <c r="FX220" s="34">
        <f>100*((AVERAGE(HAVERQ!B204:B223)/AVERAGE(HAVERQ!B200:B219))-1)</f>
        <v>0.36149778784935194</v>
      </c>
      <c r="FY220" s="34">
        <f>100*((AVERAGE(HAVERQ!B184:B223)/AVERAGE(HAVERQ!B180:B219))-1)</f>
        <v>0.5676571242327455</v>
      </c>
      <c r="FZ220" s="34"/>
      <c r="GA220" s="34">
        <f t="shared" si="101"/>
        <v>0.33872018568785744</v>
      </c>
    </row>
    <row r="221" spans="131:183">
      <c r="EA221" s="152">
        <v>40575</v>
      </c>
      <c r="EB221" s="34">
        <f>100*(HAVERM!C260/HAVERM!B260)</f>
        <v>23.16234796404019</v>
      </c>
      <c r="EC221" s="34">
        <f t="shared" si="100"/>
        <v>25.050854271384292</v>
      </c>
      <c r="EE221" s="32">
        <f>HAVERM!C260</f>
        <v>2190</v>
      </c>
      <c r="EF221" s="32">
        <f>HAVERM!B260-HAVERM!C260</f>
        <v>7265</v>
      </c>
      <c r="FX221" s="34">
        <f>100*((AVERAGE(HAVERQ!B205:B224)/AVERAGE(HAVERQ!B201:B220))-1)</f>
        <v>0.58823529411762276</v>
      </c>
      <c r="FY221" s="34">
        <f>100*((AVERAGE(HAVERQ!B185:B224)/AVERAGE(HAVERQ!B181:B220))-1)</f>
        <v>0.54232875969413286</v>
      </c>
      <c r="FZ221" s="34"/>
      <c r="GA221" s="34">
        <f t="shared" si="101"/>
        <v>0.33872018568785744</v>
      </c>
    </row>
    <row r="222" spans="131:183">
      <c r="EA222" s="152">
        <v>40603</v>
      </c>
      <c r="EB222" s="34">
        <f>100*(HAVERM!C261/HAVERM!B261)</f>
        <v>23.041329267010202</v>
      </c>
      <c r="EC222" s="34">
        <f t="shared" si="100"/>
        <v>25.050854271384292</v>
      </c>
      <c r="EE222" s="32">
        <f>HAVERM!C261</f>
        <v>2191</v>
      </c>
      <c r="EF222" s="32">
        <f>HAVERM!B261-HAVERM!C261</f>
        <v>7318</v>
      </c>
      <c r="FX222" s="34">
        <f>100*((AVERAGE(HAVERQ!B206:B225)/AVERAGE(HAVERQ!B202:B221))-1)</f>
        <v>0.77686663789380273</v>
      </c>
      <c r="FY222" s="34">
        <f>100*((AVERAGE(HAVERQ!B186:B225)/AVERAGE(HAVERQ!B182:B221))-1)</f>
        <v>0.55239642567017633</v>
      </c>
      <c r="FZ222" s="34"/>
      <c r="GA222" s="34">
        <f t="shared" si="101"/>
        <v>0.33872018568785744</v>
      </c>
    </row>
    <row r="223" spans="131:183">
      <c r="EA223" s="152">
        <v>40634</v>
      </c>
      <c r="EB223" s="34">
        <f>100*(HAVERM!C262/HAVERM!B262)</f>
        <v>23.159006867406234</v>
      </c>
      <c r="EC223" s="34">
        <f t="shared" si="100"/>
        <v>25.050854271384292</v>
      </c>
      <c r="EE223" s="32">
        <f>HAVERM!C262</f>
        <v>2192</v>
      </c>
      <c r="EF223" s="32">
        <f>HAVERM!B262-HAVERM!C262</f>
        <v>7273</v>
      </c>
      <c r="FX223" s="34">
        <f>100*((AVERAGE(HAVERQ!B207:B226)/AVERAGE(HAVERQ!B203:B222))-1)</f>
        <v>0.85120137916172567</v>
      </c>
      <c r="FY223" s="34">
        <f>100*((AVERAGE(HAVERQ!B187:B226)/AVERAGE(HAVERQ!B183:B222))-1)</f>
        <v>0.57873813451603251</v>
      </c>
      <c r="FZ223" s="34"/>
      <c r="GA223" s="34">
        <f t="shared" si="101"/>
        <v>0.33872018568785744</v>
      </c>
    </row>
    <row r="224" spans="131:183">
      <c r="EA224" s="152">
        <v>40664</v>
      </c>
      <c r="EB224" s="34">
        <f>100*(HAVERM!C263/HAVERM!B263)</f>
        <v>23.146875330443059</v>
      </c>
      <c r="EC224" s="34">
        <f t="shared" si="100"/>
        <v>25.050854271384292</v>
      </c>
      <c r="EE224" s="32">
        <f>HAVERM!C263</f>
        <v>2189</v>
      </c>
      <c r="EF224" s="32">
        <f>HAVERM!B263-HAVERM!C263</f>
        <v>7268</v>
      </c>
      <c r="FW224">
        <v>2015</v>
      </c>
      <c r="FX224" s="34">
        <f>100*((AVERAGE(HAVERQ!B208:B227)/AVERAGE(HAVERQ!B204:B223))-1)</f>
        <v>0.76877587226493738</v>
      </c>
      <c r="FY224" s="34">
        <f>100*((AVERAGE(HAVERQ!B188:B227)/AVERAGE(HAVERQ!B184:B223))-1)</f>
        <v>0.57255516244898441</v>
      </c>
      <c r="FZ224" s="34"/>
      <c r="GA224" s="34">
        <f t="shared" si="101"/>
        <v>0.33872018568785744</v>
      </c>
    </row>
    <row r="225" spans="131:183">
      <c r="EA225" s="152">
        <v>40695</v>
      </c>
      <c r="EB225" s="34">
        <f>100*(HAVERM!C264/HAVERM!B264)</f>
        <v>22.95683151718357</v>
      </c>
      <c r="EC225" s="34">
        <f t="shared" si="100"/>
        <v>25.050854271384292</v>
      </c>
      <c r="EE225" s="32">
        <f>HAVERM!C264</f>
        <v>2191</v>
      </c>
      <c r="EF225" s="32">
        <f>HAVERM!B264-HAVERM!C264</f>
        <v>7353</v>
      </c>
      <c r="FX225" s="34">
        <f>100*((AVERAGE(HAVERQ!B209:B228)/AVERAGE(HAVERQ!B205:B224))-1)</f>
        <v>0.69209721551586334</v>
      </c>
      <c r="FY225" s="34">
        <f>100*((AVERAGE(HAVERQ!B189:B228)/AVERAGE(HAVERQ!B185:B224))-1)</f>
        <v>0.55558552241217196</v>
      </c>
      <c r="FZ225" s="34"/>
      <c r="GA225" s="34">
        <f t="shared" si="101"/>
        <v>0.33872018568785744</v>
      </c>
    </row>
    <row r="226" spans="131:183">
      <c r="EA226" s="152">
        <v>40725</v>
      </c>
      <c r="EB226" s="34">
        <f>100*(HAVERM!C265/HAVERM!B265)</f>
        <v>23.044531003263501</v>
      </c>
      <c r="EC226" s="34">
        <f t="shared" si="100"/>
        <v>25.050854271384292</v>
      </c>
      <c r="EE226" s="32">
        <f>HAVERM!C265</f>
        <v>2189</v>
      </c>
      <c r="EF226" s="32">
        <f>HAVERM!B265-HAVERM!C265</f>
        <v>7310</v>
      </c>
      <c r="FX226" s="34">
        <f>100*((AVERAGE(HAVERQ!B210:B229)/AVERAGE(HAVERQ!B206:B225))-1)</f>
        <v>0.57815845824409351</v>
      </c>
      <c r="FY226" s="34">
        <f>100*((AVERAGE(HAVERQ!B190:B229)/AVERAGE(HAVERQ!B186:B225))-1)</f>
        <v>0.50088867345288168</v>
      </c>
      <c r="FZ226" s="34"/>
      <c r="GA226" s="34">
        <f t="shared" si="101"/>
        <v>0.33872018568785744</v>
      </c>
    </row>
    <row r="227" spans="131:183">
      <c r="EA227" s="152">
        <v>40756</v>
      </c>
      <c r="EB227" s="34">
        <f>100*(HAVERM!C266/HAVERM!B266)</f>
        <v>23.071247892074197</v>
      </c>
      <c r="EC227" s="34">
        <f t="shared" si="100"/>
        <v>25.050854271384292</v>
      </c>
      <c r="EE227" s="32">
        <f>HAVERM!C266</f>
        <v>2189</v>
      </c>
      <c r="EF227" s="32">
        <f>HAVERM!B266-HAVERM!C266</f>
        <v>7299</v>
      </c>
      <c r="FX227" s="34">
        <f>100*((AVERAGE(HAVERQ!B211:B230)/AVERAGE(HAVERQ!B207:B226))-1)</f>
        <v>0.45405982905981634</v>
      </c>
      <c r="FY227" s="34">
        <f>100*((AVERAGE(HAVERQ!B191:B230)/AVERAGE(HAVERQ!B187:B226))-1)</f>
        <v>0.40870102981904743</v>
      </c>
      <c r="FZ227" s="34"/>
      <c r="GA227" s="34">
        <f t="shared" si="101"/>
        <v>0.33872018568785744</v>
      </c>
    </row>
    <row r="228" spans="131:183">
      <c r="EA228" s="152">
        <v>40787</v>
      </c>
      <c r="EB228" s="34">
        <f>100*(HAVERM!C267/HAVERM!B267)</f>
        <v>23.105379980974526</v>
      </c>
      <c r="EC228" s="34">
        <f t="shared" si="100"/>
        <v>25.050854271384292</v>
      </c>
      <c r="EE228" s="32">
        <f>HAVERM!C267</f>
        <v>2186</v>
      </c>
      <c r="EF228" s="32">
        <f>HAVERM!B267-HAVERM!C267</f>
        <v>7275</v>
      </c>
      <c r="FW228">
        <v>2016</v>
      </c>
      <c r="FX228" s="34">
        <f>100*((AVERAGE(HAVERQ!B212:B231)/AVERAGE(HAVERQ!B208:B227))-1)</f>
        <v>0.45881348698251223</v>
      </c>
      <c r="FY228" s="34">
        <f>100*((AVERAGE(HAVERQ!B192:B231)/AVERAGE(HAVERQ!B188:B227))-1)</f>
        <v>0.35715244770266885</v>
      </c>
      <c r="FZ228" s="34"/>
      <c r="GA228" s="34">
        <f t="shared" si="101"/>
        <v>0.33872018568785744</v>
      </c>
    </row>
    <row r="229" spans="131:183">
      <c r="EA229" s="152">
        <v>40817</v>
      </c>
      <c r="EB229" s="34">
        <f>100*(HAVERM!C268/HAVERM!B268)</f>
        <v>23.084270855444704</v>
      </c>
      <c r="EC229" s="34">
        <f t="shared" si="100"/>
        <v>25.050854271384292</v>
      </c>
      <c r="EE229" s="32">
        <f>HAVERM!C268</f>
        <v>2175</v>
      </c>
      <c r="EF229" s="32">
        <f>HAVERM!B268-HAVERM!C268</f>
        <v>7247</v>
      </c>
      <c r="FX229" s="34">
        <f>100*((AVERAGE(HAVERQ!B213:B232)/AVERAGE(HAVERQ!B209:B228))-1)</f>
        <v>0.4795396419437381</v>
      </c>
      <c r="FY229" s="34">
        <f>100*((AVERAGE(HAVERQ!B193:B232)/AVERAGE(HAVERQ!B189:B228))-1)</f>
        <v>0.32185387833920664</v>
      </c>
      <c r="FZ229" s="34"/>
      <c r="GA229" s="34">
        <f t="shared" si="101"/>
        <v>0.33872018568785744</v>
      </c>
    </row>
    <row r="230" spans="131:183">
      <c r="EA230" s="152">
        <v>40848</v>
      </c>
      <c r="EB230" s="34">
        <f>100*(HAVERM!C269/HAVERM!B269)</f>
        <v>22.723892489110803</v>
      </c>
      <c r="EC230" s="34">
        <f t="shared" si="100"/>
        <v>25.050854271384292</v>
      </c>
      <c r="EE230" s="32">
        <f>HAVERM!C269</f>
        <v>2139</v>
      </c>
      <c r="EF230" s="32">
        <f>HAVERM!B269-HAVERM!C269</f>
        <v>7274</v>
      </c>
      <c r="FX230" s="34">
        <f>100*((AVERAGE(HAVERQ!B214:B233)/AVERAGE(HAVERQ!B210:B229))-1)</f>
        <v>0.49499680647222544</v>
      </c>
      <c r="FY230" s="34">
        <f>100*((AVERAGE(HAVERQ!B194:B233)/AVERAGE(HAVERQ!B190:B229))-1)</f>
        <v>0.32422293676312997</v>
      </c>
      <c r="FZ230" s="34"/>
      <c r="GA230" s="34">
        <f t="shared" si="101"/>
        <v>0.33872018568785744</v>
      </c>
    </row>
    <row r="231" spans="131:183">
      <c r="EA231" s="152">
        <v>40878</v>
      </c>
      <c r="EB231" s="34">
        <f>100*(HAVERM!C270/HAVERM!B270)</f>
        <v>22.53027405991077</v>
      </c>
      <c r="EC231" s="34">
        <f t="shared" si="100"/>
        <v>25.050854271384292</v>
      </c>
      <c r="EE231" s="32">
        <f>HAVERM!C270</f>
        <v>2121</v>
      </c>
      <c r="EF231" s="32">
        <f>HAVERM!B270-HAVERM!C270</f>
        <v>7293</v>
      </c>
      <c r="FX231" s="34">
        <f>100*((AVERAGE(HAVERQ!B215:B234)/AVERAGE(HAVERQ!B211:B230))-1)</f>
        <v>0.55836213772932908</v>
      </c>
      <c r="FY231" s="34">
        <f>100*((AVERAGE(HAVERQ!B195:B234)/AVERAGE(HAVERQ!B191:B230))-1)</f>
        <v>0.36954717082184896</v>
      </c>
      <c r="FZ231" s="34"/>
      <c r="GA231" s="34">
        <f t="shared" si="101"/>
        <v>0.33872018568785744</v>
      </c>
    </row>
    <row r="232" spans="131:183">
      <c r="EA232" s="152">
        <v>40909</v>
      </c>
      <c r="EB232" s="34">
        <f>100*(HAVERM!C271/HAVERM!B271)</f>
        <v>22.905146746065505</v>
      </c>
      <c r="EC232" s="34">
        <f t="shared" si="100"/>
        <v>25.050854271384292</v>
      </c>
      <c r="EE232" s="32">
        <f>HAVERM!C271</f>
        <v>2154</v>
      </c>
      <c r="EF232" s="32">
        <f>HAVERM!B271-HAVERM!C271</f>
        <v>7250</v>
      </c>
      <c r="FW232">
        <v>2017</v>
      </c>
      <c r="FX232" s="34">
        <f>100*((AVERAGE(HAVERQ!B216:B235)/AVERAGE(HAVERQ!B212:B231))-1)</f>
        <v>0.58417419012215532</v>
      </c>
      <c r="FY232" s="34">
        <f>100*((AVERAGE(HAVERQ!B196:B235)/AVERAGE(HAVERQ!B192:B231))-1)</f>
        <v>0.3826394091833718</v>
      </c>
      <c r="FZ232" s="34"/>
      <c r="GA232" s="34">
        <f t="shared" si="101"/>
        <v>0.33872018568785744</v>
      </c>
    </row>
    <row r="233" spans="131:183">
      <c r="EA233" s="152">
        <v>40940</v>
      </c>
      <c r="EB233" s="34">
        <f>100*(HAVERM!C272/HAVERM!B272)</f>
        <v>23.019431988041852</v>
      </c>
      <c r="EC233" s="34">
        <f t="shared" si="100"/>
        <v>25.050854271384292</v>
      </c>
      <c r="EE233" s="32">
        <f>HAVERM!C272</f>
        <v>2156</v>
      </c>
      <c r="EF233" s="32">
        <f>HAVERM!B272-HAVERM!C272</f>
        <v>7210</v>
      </c>
      <c r="FX233" s="34">
        <f>100*((AVERAGE(HAVERQ!B217:B236)/AVERAGE(HAVERQ!B213:B232))-1)</f>
        <v>0.65754586912716295</v>
      </c>
      <c r="FY233" s="34">
        <f>100*((AVERAGE(HAVERQ!B197:B236)/AVERAGE(HAVERQ!B193:B232))-1)</f>
        <v>0.38765907389586296</v>
      </c>
      <c r="FZ233" s="34"/>
      <c r="GA233" s="34">
        <f t="shared" si="101"/>
        <v>0.33872018568785744</v>
      </c>
    </row>
    <row r="234" spans="131:183">
      <c r="EA234" s="152">
        <v>40969</v>
      </c>
      <c r="EB234" s="34">
        <f>100*(HAVERM!C273/HAVERM!B273)</f>
        <v>23.095849379546426</v>
      </c>
      <c r="EC234" s="34">
        <f t="shared" si="100"/>
        <v>25.050854271384292</v>
      </c>
      <c r="EE234" s="32">
        <f>HAVERM!C273</f>
        <v>2159</v>
      </c>
      <c r="EF234" s="32">
        <f>HAVERM!B273-HAVERM!C273</f>
        <v>7189</v>
      </c>
      <c r="FX234" s="34">
        <f>100*((AVERAGE(HAVERQ!B218:B237)/AVERAGE(HAVERQ!B214:B233))-1)</f>
        <v>0.75207880938510385</v>
      </c>
      <c r="FY234" s="34">
        <f>100*((AVERAGE(HAVERQ!B198:B237)/AVERAGE(HAVERQ!B194:B233))-1)</f>
        <v>0.38193424320931424</v>
      </c>
      <c r="FZ234" s="34"/>
      <c r="GA234" s="34">
        <f t="shared" si="101"/>
        <v>0.33872018568785744</v>
      </c>
    </row>
    <row r="235" spans="131:183">
      <c r="EA235" s="152">
        <v>41000</v>
      </c>
      <c r="EB235" s="34">
        <f>100*(HAVERM!C274/HAVERM!B274)</f>
        <v>23.228853585229711</v>
      </c>
      <c r="EC235" s="34">
        <f t="shared" si="100"/>
        <v>25.050854271384292</v>
      </c>
      <c r="EE235" s="32">
        <f>HAVERM!C274</f>
        <v>2164</v>
      </c>
      <c r="EF235" s="32">
        <f>HAVERM!B274-HAVERM!C274</f>
        <v>7152</v>
      </c>
      <c r="FX235" s="34">
        <f>100*((AVERAGE(HAVERQ!B219:B238)/AVERAGE(HAVERQ!B215:B234))-1)</f>
        <v>0.86726599682711569</v>
      </c>
      <c r="FY235" s="34">
        <f>100*((AVERAGE(HAVERQ!B199:B238)/AVERAGE(HAVERQ!B195:B234))-1)</f>
        <v>0.37352258477627576</v>
      </c>
      <c r="FZ235" s="34"/>
      <c r="GA235" s="34">
        <f t="shared" si="101"/>
        <v>0.33872018568785744</v>
      </c>
    </row>
    <row r="236" spans="131:183">
      <c r="EA236" s="152">
        <v>41030</v>
      </c>
      <c r="EB236" s="34">
        <f>100*(HAVERM!C275/HAVERM!B275)</f>
        <v>23.17773204808838</v>
      </c>
      <c r="EC236" s="34">
        <f t="shared" si="100"/>
        <v>25.050854271384292</v>
      </c>
      <c r="EE236" s="32">
        <f>HAVERM!C275</f>
        <v>2140</v>
      </c>
      <c r="EF236" s="32">
        <f>HAVERM!B275-HAVERM!C275</f>
        <v>7093</v>
      </c>
      <c r="FW236">
        <v>2018</v>
      </c>
      <c r="FX236" s="34">
        <f>100*((AVERAGE(HAVERQ!B220:B239)/AVERAGE(HAVERQ!B216:B235))-1)</f>
        <v>0.93453009503696727</v>
      </c>
      <c r="FY236" s="34">
        <f>100*((AVERAGE(HAVERQ!B200:B239)/AVERAGE(HAVERQ!B196:B235))-1)</f>
        <v>0.36252165800347846</v>
      </c>
      <c r="FZ236" s="34"/>
      <c r="GA236" s="34">
        <f t="shared" si="101"/>
        <v>0.33872018568785744</v>
      </c>
    </row>
    <row r="237" spans="131:183">
      <c r="EA237" s="152">
        <v>41061</v>
      </c>
      <c r="EB237" s="34">
        <f>100*(HAVERM!C276/HAVERM!B276)</f>
        <v>23.226582140124606</v>
      </c>
      <c r="EC237" s="34">
        <f t="shared" si="100"/>
        <v>25.050854271384292</v>
      </c>
      <c r="EE237" s="32">
        <f>HAVERM!C276</f>
        <v>2125</v>
      </c>
      <c r="EF237" s="32">
        <f>HAVERM!B276-HAVERM!C276</f>
        <v>7024</v>
      </c>
      <c r="FX237" s="34">
        <f>100*((AVERAGE(HAVERQ!B221:B240)/AVERAGE(HAVERQ!B217:B236))-1)</f>
        <v>0.92192603519123395</v>
      </c>
      <c r="FY237" s="34">
        <f>100*((AVERAGE(HAVERQ!B201:B240)/AVERAGE(HAVERQ!B197:B236))-1)</f>
        <v>0.36751977416176196</v>
      </c>
      <c r="FZ237" s="34"/>
      <c r="GA237" s="34">
        <f t="shared" si="101"/>
        <v>0.33872018568785744</v>
      </c>
    </row>
    <row r="238" spans="131:183">
      <c r="EA238" s="152">
        <v>41091</v>
      </c>
      <c r="EB238" s="34">
        <f>100*(HAVERM!C277/HAVERM!B277)</f>
        <v>22.6250272985368</v>
      </c>
      <c r="EC238" s="34">
        <f t="shared" si="100"/>
        <v>25.050854271384292</v>
      </c>
      <c r="EE238" s="32">
        <f>HAVERM!C277</f>
        <v>2072</v>
      </c>
      <c r="EF238" s="32">
        <f>HAVERM!B277-HAVERM!C277</f>
        <v>7086</v>
      </c>
      <c r="FX238" s="34">
        <f>100*((AVERAGE(HAVERQ!B222:B241)/AVERAGE(HAVERQ!B218:B237))-1)</f>
        <v>0.92519581559167285</v>
      </c>
      <c r="FY238" s="34">
        <f>100*((AVERAGE(HAVERQ!B202:B241)/AVERAGE(HAVERQ!B198:B237))-1)</f>
        <v>0.40176670923799396</v>
      </c>
      <c r="FZ238" s="34"/>
      <c r="GA238" s="34">
        <f t="shared" si="101"/>
        <v>0.33872018568785744</v>
      </c>
    </row>
    <row r="239" spans="131:183">
      <c r="EA239" s="152">
        <v>41122</v>
      </c>
      <c r="EB239" s="34">
        <f>100*(HAVERM!C278/HAVERM!B278)</f>
        <v>22.47142079477409</v>
      </c>
      <c r="EC239" s="34">
        <f t="shared" si="100"/>
        <v>25.050854271384292</v>
      </c>
      <c r="EE239" s="32">
        <f>HAVERM!C278</f>
        <v>2064</v>
      </c>
      <c r="EF239" s="32">
        <f>HAVERM!B278-HAVERM!C278</f>
        <v>7121</v>
      </c>
      <c r="FX239" s="34">
        <f>100*((AVERAGE(HAVERQ!B223:B242)/AVERAGE(HAVERQ!B219:B238))-1)</f>
        <v>0.84932368669392577</v>
      </c>
      <c r="FY239" s="34">
        <f>100*((AVERAGE(HAVERQ!B203:B242)/AVERAGE(HAVERQ!B199:B238))-1)</f>
        <v>0.4704819116982728</v>
      </c>
      <c r="FZ239" s="34"/>
      <c r="GA239" s="34">
        <f t="shared" si="101"/>
        <v>0.33872018568785744</v>
      </c>
    </row>
    <row r="240" spans="131:183">
      <c r="EA240" s="152">
        <v>41153</v>
      </c>
      <c r="EB240" s="34">
        <f>100*(HAVERM!C279/HAVERM!B279)</f>
        <v>22.642942389063688</v>
      </c>
      <c r="EC240" s="34">
        <f t="shared" si="100"/>
        <v>25.050854271384292</v>
      </c>
      <c r="EE240" s="32">
        <f>HAVERM!C279</f>
        <v>2087</v>
      </c>
      <c r="EF240" s="32">
        <f>HAVERM!B279-HAVERM!C279</f>
        <v>7130</v>
      </c>
      <c r="FW240">
        <v>2019</v>
      </c>
      <c r="FX240" s="34">
        <f>100*((AVERAGE(HAVERQ!B224:B243)/AVERAGE(HAVERQ!B220:B239))-1)</f>
        <v>0.82648951195272158</v>
      </c>
      <c r="FY240" s="34">
        <f>100*((AVERAGE(HAVERQ!B204:B243)/AVERAGE(HAVERQ!B200:B239))-1)</f>
        <v>0.59759368941063595</v>
      </c>
      <c r="FZ240" s="34"/>
      <c r="GA240" s="34">
        <f t="shared" si="101"/>
        <v>0.33872018568785744</v>
      </c>
    </row>
    <row r="241" spans="131:183">
      <c r="EA241" s="152">
        <v>41183</v>
      </c>
      <c r="EB241" s="34">
        <f>100*(HAVERM!C280/HAVERM!B280)</f>
        <v>22.570052539404553</v>
      </c>
      <c r="EC241" s="34">
        <f t="shared" si="100"/>
        <v>25.050854271384292</v>
      </c>
      <c r="EE241" s="32">
        <f>HAVERM!C280</f>
        <v>2062</v>
      </c>
      <c r="EF241" s="32">
        <f>HAVERM!B280-HAVERM!C280</f>
        <v>7074</v>
      </c>
      <c r="FX241" s="34">
        <f>100*((AVERAGE(HAVERQ!B225:B244)/AVERAGE(HAVERQ!B221:B240))-1)</f>
        <v>0.78300360181657869</v>
      </c>
      <c r="FY241" s="34">
        <f>100*((AVERAGE(HAVERQ!B205:B244)/AVERAGE(HAVERQ!B201:B240))-1)</f>
        <v>0.68723963170322921</v>
      </c>
      <c r="FZ241" s="34"/>
      <c r="GA241" s="34">
        <f t="shared" si="101"/>
        <v>0.33872018568785744</v>
      </c>
    </row>
    <row r="242" spans="131:183">
      <c r="EA242" s="152">
        <v>41214</v>
      </c>
      <c r="EB242" s="34">
        <f>100*(HAVERM!C281/HAVERM!B281)</f>
        <v>22.579225352112676</v>
      </c>
      <c r="EC242" s="34">
        <f t="shared" si="100"/>
        <v>25.050854271384292</v>
      </c>
      <c r="EE242" s="32">
        <f>HAVERM!C281</f>
        <v>2052</v>
      </c>
      <c r="EF242" s="32">
        <f>HAVERM!B281-HAVERM!C281</f>
        <v>7036</v>
      </c>
      <c r="FX242" s="34">
        <f>100*((AVERAGE(HAVERQ!B226:B245)/AVERAGE(HAVERQ!B222:B241))-1)</f>
        <v>0.74483045991977637</v>
      </c>
      <c r="FY242" s="34">
        <f>100*((AVERAGE(HAVERQ!B206:B245)/AVERAGE(HAVERQ!B202:B241))-1)</f>
        <v>0.76056711276002442</v>
      </c>
      <c r="FZ242" s="34"/>
      <c r="GA242" s="34">
        <f t="shared" si="101"/>
        <v>0.33872018568785744</v>
      </c>
    </row>
    <row r="243" spans="131:183">
      <c r="EA243" s="152">
        <v>41244</v>
      </c>
      <c r="EB243" s="34">
        <f>100*(HAVERM!C282/HAVERM!B282)</f>
        <v>22.478576137112722</v>
      </c>
      <c r="EC243" s="34">
        <f t="shared" si="100"/>
        <v>25.050854271384292</v>
      </c>
      <c r="EE243" s="32">
        <f>HAVERM!C282</f>
        <v>2046</v>
      </c>
      <c r="EF243" s="32">
        <f>HAVERM!B282-HAVERM!C282</f>
        <v>7056</v>
      </c>
      <c r="FX243" s="34">
        <f>100*((AVERAGE(HAVERQ!B227:B246)/AVERAGE(HAVERQ!B223:B242))-1)</f>
        <v>0.70180910792261297</v>
      </c>
      <c r="FY243" s="34">
        <f>100*((AVERAGE(HAVERQ!B207:B246)/AVERAGE(HAVERQ!B203:B242))-1)</f>
        <v>0.77517328959202381</v>
      </c>
      <c r="FZ243" s="34"/>
      <c r="GA243" s="34">
        <f t="shared" si="101"/>
        <v>0.33872018568785744</v>
      </c>
    </row>
    <row r="244" spans="131:183">
      <c r="EA244" s="152">
        <v>41275</v>
      </c>
      <c r="EB244" s="34">
        <f>100*(HAVERM!C283/HAVERM!B283)</f>
        <v>22.476461572148018</v>
      </c>
      <c r="EC244" s="34">
        <f t="shared" si="100"/>
        <v>25.050854271384292</v>
      </c>
      <c r="EE244" s="32">
        <f>HAVERM!C283</f>
        <v>2053</v>
      </c>
      <c r="EF244" s="32">
        <f>HAVERM!B283-HAVERM!C283</f>
        <v>7081</v>
      </c>
      <c r="FW244">
        <v>2020</v>
      </c>
      <c r="FX244" s="34">
        <f>100*((AVERAGE(HAVERQ!B228:B247)/AVERAGE(HAVERQ!B224:B243))-1)</f>
        <v>0.56031128404665509</v>
      </c>
      <c r="FY244" s="34">
        <f>100*((AVERAGE(HAVERQ!B208:B247)/AVERAGE(HAVERQ!B204:B243))-1)</f>
        <v>0.66268877389377145</v>
      </c>
      <c r="FZ244" s="34"/>
      <c r="GA244" s="34">
        <f t="shared" si="101"/>
        <v>0.33872018568785744</v>
      </c>
    </row>
    <row r="245" spans="131:183">
      <c r="EA245" s="152">
        <v>41306</v>
      </c>
      <c r="EB245" s="34">
        <f>100*(HAVERM!C284/HAVERM!B284)</f>
        <v>22.558849171752399</v>
      </c>
      <c r="EC245" s="34">
        <f t="shared" si="100"/>
        <v>25.050854271384292</v>
      </c>
      <c r="EE245" s="32">
        <f>HAVERM!C284</f>
        <v>2070</v>
      </c>
      <c r="EF245" s="32">
        <f>HAVERM!B284-HAVERM!C284</f>
        <v>7106</v>
      </c>
      <c r="FX245" s="34">
        <f>100*((AVERAGE(HAVERQ!B229:B248)/AVERAGE(HAVERQ!B225:B244))-1)</f>
        <v>-0.51276739006579364</v>
      </c>
      <c r="FY245" s="34">
        <f>100*((AVERAGE(HAVERQ!B209:B248)/AVERAGE(HAVERQ!B205:B244))-1)</f>
        <v>7.9059716439155991E-2</v>
      </c>
      <c r="FZ245" s="34"/>
      <c r="GA245" s="34">
        <f t="shared" si="101"/>
        <v>0.33872018568785744</v>
      </c>
    </row>
    <row r="246" spans="131:183">
      <c r="EA246" s="152">
        <v>41334</v>
      </c>
      <c r="EB246" s="34">
        <f>100*(HAVERM!C285/HAVERM!B285)</f>
        <v>22.459659834278238</v>
      </c>
      <c r="EC246" s="34">
        <f t="shared" si="100"/>
        <v>25.050854271384292</v>
      </c>
      <c r="EE246" s="32">
        <f>HAVERM!C285</f>
        <v>2060</v>
      </c>
      <c r="EF246" s="32">
        <f>HAVERM!B285-HAVERM!C285</f>
        <v>7112</v>
      </c>
      <c r="FX246" s="34">
        <f>100*((AVERAGE(HAVERQ!B230:B249)/AVERAGE(HAVERQ!B226:B245))-1)</f>
        <v>-0.85306586702512677</v>
      </c>
      <c r="FY246" s="34">
        <f>100*((AVERAGE(HAVERQ!B210:B249)/AVERAGE(HAVERQ!B206:B245))-1)</f>
        <v>-0.14991320814264908</v>
      </c>
      <c r="FZ246" s="34"/>
      <c r="GA246" s="34">
        <f t="shared" si="101"/>
        <v>0.33872018568785744</v>
      </c>
    </row>
    <row r="247" spans="131:183">
      <c r="EA247" s="152">
        <v>41365</v>
      </c>
      <c r="EB247" s="34">
        <f>100*(HAVERM!C286/HAVERM!B286)</f>
        <v>22.375570528146056</v>
      </c>
      <c r="EC247" s="34">
        <f t="shared" si="100"/>
        <v>25.050854271384292</v>
      </c>
      <c r="EE247" s="32">
        <f>HAVERM!C286</f>
        <v>2059</v>
      </c>
      <c r="EF247" s="32">
        <f>HAVERM!B286-HAVERM!C286</f>
        <v>7143</v>
      </c>
      <c r="FX247" s="34">
        <f>100*((AVERAGE(HAVERQ!B231:B250)/AVERAGE(HAVERQ!B227:B246))-1)</f>
        <v>-1.0686077125599991</v>
      </c>
      <c r="FY247" s="34">
        <f>100*((AVERAGE(HAVERQ!B211:B250)/AVERAGE(HAVERQ!B207:B246))-1)</f>
        <v>-0.32028563177652902</v>
      </c>
      <c r="FZ247" s="34"/>
      <c r="GA247" s="34">
        <f t="shared" si="101"/>
        <v>0.33872018568785744</v>
      </c>
    </row>
    <row r="248" spans="131:183">
      <c r="EA248" s="152">
        <v>41395</v>
      </c>
      <c r="EB248" s="34">
        <f>100*(HAVERM!C287/HAVERM!B287)</f>
        <v>22.547520209744373</v>
      </c>
      <c r="EC248" s="34">
        <f t="shared" si="100"/>
        <v>25.050854271384292</v>
      </c>
      <c r="EE248" s="32">
        <f>HAVERM!C287</f>
        <v>2064</v>
      </c>
      <c r="EF248" s="32">
        <f>HAVERM!B287-HAVERM!C287</f>
        <v>7090</v>
      </c>
      <c r="FW248">
        <v>2021</v>
      </c>
      <c r="FX248" s="34">
        <f>100*((AVERAGE(HAVERQ!B232:B251)/AVERAGE(HAVERQ!B228:B247))-1)</f>
        <v>-1.2794717020068958</v>
      </c>
      <c r="FY248" s="34">
        <f>100*((AVERAGE(HAVERQ!B212:B251)/AVERAGE(HAVERQ!B208:B247))-1)</f>
        <v>-0.42489574317412515</v>
      </c>
      <c r="FZ248" s="34"/>
      <c r="GA248" s="34">
        <f t="shared" si="101"/>
        <v>0.33872018568785744</v>
      </c>
    </row>
    <row r="249" spans="131:183">
      <c r="EA249" s="152">
        <v>41426</v>
      </c>
      <c r="EB249" s="34">
        <f>100*(HAVERM!C288/HAVERM!B288)</f>
        <v>22.084476138233679</v>
      </c>
      <c r="EC249" s="34">
        <f t="shared" si="100"/>
        <v>25.050854271384292</v>
      </c>
      <c r="EE249" s="32">
        <f>HAVERM!C288</f>
        <v>2013</v>
      </c>
      <c r="EF249" s="32">
        <f>HAVERM!B288-HAVERM!C288</f>
        <v>7102</v>
      </c>
      <c r="FX249" s="34">
        <f>100*((AVERAGE(HAVERQ!B233:B252)/AVERAGE(HAVERQ!B229:B248))-1)</f>
        <v>-0.23427738442315382</v>
      </c>
      <c r="FY249" s="34">
        <f>100*((AVERAGE(HAVERQ!B213:B252)/AVERAGE(HAVERQ!B209:B248))-1)</f>
        <v>0.11849589214241174</v>
      </c>
      <c r="FZ249" s="34"/>
      <c r="GA249" s="34">
        <f t="shared" si="101"/>
        <v>0.33872018568785744</v>
      </c>
    </row>
    <row r="250" spans="131:183">
      <c r="EA250" s="152">
        <v>41456</v>
      </c>
      <c r="EB250" s="34">
        <f>100*(HAVERM!C289/HAVERM!B289)</f>
        <v>22.059793361178283</v>
      </c>
      <c r="EC250" s="34">
        <f t="shared" si="100"/>
        <v>25.050854271384292</v>
      </c>
      <c r="EE250" s="32">
        <f>HAVERM!C289</f>
        <v>2007</v>
      </c>
      <c r="EF250" s="32">
        <f>HAVERM!B289-HAVERM!C289</f>
        <v>7091</v>
      </c>
      <c r="FX250" s="34">
        <f>100*((AVERAGE(HAVERQ!B234:B253)/AVERAGE(HAVERQ!B230:B249))-1)</f>
        <v>9.3862439380498763E-2</v>
      </c>
      <c r="FY250" s="34">
        <f>100*((AVERAGE(HAVERQ!B214:B253)/AVERAGE(HAVERQ!B210:B249))-1)</f>
        <v>0.29237455551167635</v>
      </c>
      <c r="FZ250" s="34"/>
      <c r="GA250" s="34">
        <f t="shared" si="101"/>
        <v>0.33872018568785744</v>
      </c>
    </row>
    <row r="251" spans="131:183">
      <c r="EA251" s="152">
        <v>41487</v>
      </c>
      <c r="EB251" s="34">
        <f>100*(HAVERM!C290/HAVERM!B290)</f>
        <v>21.898454746136867</v>
      </c>
      <c r="EC251" s="34">
        <f t="shared" si="100"/>
        <v>25.050854271384292</v>
      </c>
      <c r="EE251" s="32">
        <f>HAVERM!C290</f>
        <v>1984</v>
      </c>
      <c r="EF251" s="32">
        <f>HAVERM!B290-HAVERM!C290</f>
        <v>7076</v>
      </c>
      <c r="FX251" s="34">
        <f>100*((AVERAGE(HAVERQ!B235:B254)/AVERAGE(HAVERQ!B231:B250))-1)</f>
        <v>0.36005009392610088</v>
      </c>
      <c r="FY251" s="34">
        <f>100*((AVERAGE(HAVERQ!B215:B254)/AVERAGE(HAVERQ!B211:B250))-1)</f>
        <v>0.45826858753192923</v>
      </c>
      <c r="FZ251" s="34"/>
      <c r="GA251" s="34">
        <f t="shared" si="101"/>
        <v>0.33872018568785744</v>
      </c>
    </row>
    <row r="252" spans="131:183">
      <c r="EA252" s="152">
        <v>41518</v>
      </c>
      <c r="EB252" s="34">
        <f>100*(HAVERM!C291/HAVERM!B291)</f>
        <v>21.797703180212014</v>
      </c>
      <c r="EC252" s="34">
        <f t="shared" si="100"/>
        <v>25.050854271384292</v>
      </c>
      <c r="EE252" s="32">
        <f>HAVERM!C291</f>
        <v>1974</v>
      </c>
      <c r="EF252" s="32">
        <f>HAVERM!B291-HAVERM!C291</f>
        <v>7082</v>
      </c>
      <c r="FW252">
        <v>2022</v>
      </c>
      <c r="FX252" s="34">
        <f>100*((AVERAGE(HAVERQ!B236:B255)/AVERAGE(HAVERQ!B232:B251))-1)</f>
        <v>0.72119153383851664</v>
      </c>
      <c r="FY252" s="34">
        <f>100*((AVERAGE(HAVERQ!B216:B255)/AVERAGE(HAVERQ!B212:B251))-1)</f>
        <v>0.65323324114316961</v>
      </c>
      <c r="FZ252" s="34"/>
      <c r="GA252" s="34">
        <f t="shared" si="101"/>
        <v>0.33872018568785744</v>
      </c>
    </row>
    <row r="253" spans="131:183">
      <c r="EA253" s="152">
        <v>41548</v>
      </c>
      <c r="EB253" s="34">
        <f>100*(HAVERM!C292/HAVERM!B292)</f>
        <v>22.256568778979908</v>
      </c>
      <c r="EC253" s="34">
        <f t="shared" si="100"/>
        <v>25.050854271384292</v>
      </c>
      <c r="EE253" s="32">
        <f>HAVERM!C292</f>
        <v>2016</v>
      </c>
      <c r="EF253" s="32">
        <f>HAVERM!B292-HAVERM!C292</f>
        <v>7042</v>
      </c>
      <c r="FX253" s="34">
        <f>100*((AVERAGE(HAVERQ!B237:B256)/AVERAGE(HAVERQ!B233:B252))-1)</f>
        <v>0.74622971351041567</v>
      </c>
      <c r="FY253" s="34">
        <f>100*((AVERAGE(HAVERQ!B217:B256)/AVERAGE(HAVERQ!B213:B252))-1)</f>
        <v>0.70224349701479838</v>
      </c>
      <c r="FZ253" s="34"/>
      <c r="GA253" s="34">
        <f t="shared" si="101"/>
        <v>0.33872018568785744</v>
      </c>
    </row>
    <row r="254" spans="131:183">
      <c r="EA254" s="152">
        <v>41579</v>
      </c>
      <c r="EB254" s="34">
        <f>100*(HAVERM!C293/HAVERM!B293)</f>
        <v>22.532259843388111</v>
      </c>
      <c r="EC254" s="34">
        <f t="shared" si="100"/>
        <v>25.050854271384292</v>
      </c>
      <c r="EE254" s="32">
        <f>HAVERM!C293</f>
        <v>2043</v>
      </c>
      <c r="EF254" s="32">
        <f>HAVERM!B293-HAVERM!C293</f>
        <v>7024</v>
      </c>
      <c r="FX254" s="34">
        <f>100*((AVERAGE(HAVERQ!B238:B257)/AVERAGE(HAVERQ!B234:B253))-1)</f>
        <v>0.73456629330557188</v>
      </c>
      <c r="FY254" s="34">
        <f>100*((AVERAGE(HAVERQ!B218:B257)/AVERAGE(HAVERQ!B214:B253))-1)</f>
        <v>0.74325034142241897</v>
      </c>
      <c r="FZ254" s="34"/>
      <c r="GA254" s="34">
        <f t="shared" si="101"/>
        <v>0.33872018568785744</v>
      </c>
    </row>
    <row r="255" spans="131:183">
      <c r="EA255" s="152">
        <v>41609</v>
      </c>
      <c r="EB255" s="34">
        <f>100*(HAVERM!C294/HAVERM!B294)</f>
        <v>22.567448031844318</v>
      </c>
      <c r="EC255" s="34">
        <f t="shared" si="100"/>
        <v>25.050854271384292</v>
      </c>
      <c r="EE255" s="32">
        <f>HAVERM!C294</f>
        <v>2041</v>
      </c>
      <c r="EF255" s="32">
        <f>HAVERM!B294-HAVERM!C294</f>
        <v>7003</v>
      </c>
      <c r="FX255" s="34">
        <f>100*((AVERAGE(HAVERQ!B239:B258)/AVERAGE(HAVERQ!B235:B254))-1)</f>
        <v>0.65512400561533735</v>
      </c>
      <c r="FY255" s="34">
        <f>100*((AVERAGE(HAVERQ!B219:B258)/AVERAGE(HAVERQ!B215:B254))-1)</f>
        <v>0.76029677791469297</v>
      </c>
      <c r="FZ255" s="34"/>
      <c r="GA255" s="34">
        <f t="shared" si="101"/>
        <v>0.33872018568785744</v>
      </c>
    </row>
    <row r="256" spans="131:183">
      <c r="EA256" s="152">
        <v>41640</v>
      </c>
      <c r="EB256" s="34">
        <f>100*(HAVERM!C295/HAVERM!B295)</f>
        <v>22.245621813345156</v>
      </c>
      <c r="EC256" s="34">
        <f t="shared" si="100"/>
        <v>25.050854271384292</v>
      </c>
      <c r="EE256" s="32">
        <f>HAVERM!C295</f>
        <v>2007</v>
      </c>
      <c r="EF256" s="32">
        <f>HAVERM!B295-HAVERM!C295</f>
        <v>7015</v>
      </c>
      <c r="FW256">
        <v>2023</v>
      </c>
      <c r="FX256" s="34">
        <f>100*((AVERAGE(HAVERQ!B240:B259)/AVERAGE(HAVERQ!B236:B255))-1)</f>
        <v>0.56555803455611287</v>
      </c>
      <c r="FY256" s="34">
        <f>100*((AVERAGE(HAVERQ!B220:B259)/AVERAGE(HAVERQ!B216:B255))-1)</f>
        <v>0.7484363959908924</v>
      </c>
      <c r="FZ256" s="34"/>
      <c r="GA256" s="34">
        <f t="shared" si="101"/>
        <v>0.33872018568785744</v>
      </c>
    </row>
    <row r="257" spans="131:183">
      <c r="EA257" s="152">
        <v>41671</v>
      </c>
      <c r="EB257" s="34">
        <f>100*(HAVERM!C296/HAVERM!B296)</f>
        <v>22.104097452934663</v>
      </c>
      <c r="EC257" s="34">
        <f t="shared" si="100"/>
        <v>25.050854271384292</v>
      </c>
      <c r="EE257" s="32">
        <f>HAVERM!C296</f>
        <v>1996</v>
      </c>
      <c r="EF257" s="32">
        <f>HAVERM!B296-HAVERM!C296</f>
        <v>7034</v>
      </c>
      <c r="FX257" s="34">
        <f>100*((AVERAGE(HAVERQ!B241:B260)/AVERAGE(HAVERQ!B237:B256))-1)</f>
        <v>0.50243447632860594</v>
      </c>
      <c r="FY257" s="34">
        <f>100*((AVERAGE(HAVERQ!B221:B260)/AVERAGE(HAVERQ!B217:B256))-1)</f>
        <v>0.71040534893438423</v>
      </c>
      <c r="FZ257" s="34"/>
      <c r="GA257" s="34">
        <f t="shared" si="101"/>
        <v>0.33872018568785744</v>
      </c>
    </row>
    <row r="258" spans="131:183">
      <c r="EA258" s="152">
        <v>41699</v>
      </c>
      <c r="EB258" s="34">
        <f>100*(HAVERM!C297/HAVERM!B297)</f>
        <v>22.217280106749694</v>
      </c>
      <c r="EC258" s="34">
        <f t="shared" si="100"/>
        <v>25.050854271384292</v>
      </c>
      <c r="EE258" s="32">
        <f>HAVERM!C297</f>
        <v>1998</v>
      </c>
      <c r="EF258" s="32">
        <f>HAVERM!B297-HAVERM!C297</f>
        <v>6995</v>
      </c>
      <c r="FX258" s="34">
        <f>100*((AVERAGE(HAVERQ!B242:B261)/AVERAGE(HAVERQ!B238:B257))-1)</f>
        <v>0.43959453868431808</v>
      </c>
      <c r="FY258" s="34">
        <f>100*((AVERAGE(HAVERQ!B222:B261)/AVERAGE(HAVERQ!B218:B257))-1)</f>
        <v>0.68041398368046124</v>
      </c>
      <c r="GA258" s="34">
        <f t="shared" si="101"/>
        <v>0.33872018568785744</v>
      </c>
    </row>
    <row r="259" spans="131:183">
      <c r="EA259" s="152">
        <v>41730</v>
      </c>
      <c r="EB259" s="34">
        <f>100*(HAVERM!C298/HAVERM!B298)</f>
        <v>22.214780084840367</v>
      </c>
      <c r="EC259" s="34">
        <f t="shared" si="100"/>
        <v>25.050854271384292</v>
      </c>
      <c r="EE259" s="32">
        <f>HAVERM!C298</f>
        <v>1990</v>
      </c>
      <c r="EF259" s="32">
        <f>HAVERM!B298-HAVERM!C298</f>
        <v>6968</v>
      </c>
      <c r="FX259" s="34">
        <f>100*((AVERAGE(HAVERQ!B243:B262)/AVERAGE(HAVERQ!B239:B258))-1)</f>
        <v>0.41324448576889328</v>
      </c>
      <c r="FY259" s="34">
        <f>100*((AVERAGE(HAVERQ!B223:B262)/AVERAGE(HAVERQ!B219:B258))-1)</f>
        <v>0.62966721307207152</v>
      </c>
    </row>
    <row r="260" spans="131:183">
      <c r="EA260" s="152">
        <v>41760</v>
      </c>
      <c r="EB260" s="34">
        <f>100*(HAVERM!C299/HAVERM!B299)</f>
        <v>22.026772873105433</v>
      </c>
      <c r="EC260" s="34">
        <f t="shared" si="100"/>
        <v>25.050854271384292</v>
      </c>
      <c r="EE260" s="32">
        <f>HAVERM!C299</f>
        <v>1991</v>
      </c>
      <c r="EF260" s="32">
        <f>HAVERM!B299-HAVERM!C299</f>
        <v>7048</v>
      </c>
      <c r="FW260">
        <v>2024</v>
      </c>
      <c r="FX260" s="34">
        <f>100*((AVERAGE(HAVERQ!B244:B263)/AVERAGE(HAVERQ!B240:B259))-1)</f>
        <v>0.42823238055926804</v>
      </c>
      <c r="FY260" s="34">
        <f>100*((AVERAGE(HAVERQ!B224:B263)/AVERAGE(HAVERQ!B220:B259))-1)</f>
        <v>0.62599028546195257</v>
      </c>
    </row>
    <row r="261" spans="131:183">
      <c r="EA261" s="152">
        <v>41791</v>
      </c>
      <c r="EB261" s="34">
        <f>100*(HAVERM!C300/HAVERM!B300)</f>
        <v>22.260048319789149</v>
      </c>
      <c r="EC261" s="34">
        <f t="shared" ref="EC261:EC324" si="102">AVERAGE($EB$7:$EB$399)</f>
        <v>25.050854271384292</v>
      </c>
      <c r="EE261" s="32">
        <f>HAVERM!C300</f>
        <v>2027</v>
      </c>
      <c r="EF261" s="32">
        <f>HAVERM!B300-HAVERM!C300</f>
        <v>7079</v>
      </c>
      <c r="FX261" s="34">
        <f>100*((AVERAGE(HAVERQ!B245:B264)/AVERAGE(HAVERQ!B241:B260))-1)</f>
        <v>0.47930732360974559</v>
      </c>
      <c r="FY261" s="34">
        <f>100*((AVERAGE(HAVERQ!B225:B264)/AVERAGE(HAVERQ!B221:B260))-1)</f>
        <v>0.63018672199171011</v>
      </c>
    </row>
    <row r="262" spans="131:183">
      <c r="EA262" s="152">
        <v>41821</v>
      </c>
      <c r="EB262" s="34">
        <f>100*(HAVERM!C301/HAVERM!B301)</f>
        <v>22.246720317495313</v>
      </c>
      <c r="EC262" s="34">
        <f t="shared" si="102"/>
        <v>25.050854271384292</v>
      </c>
      <c r="EE262" s="32">
        <f>HAVERM!C301</f>
        <v>2018</v>
      </c>
      <c r="EF262" s="32">
        <f>HAVERM!B301-HAVERM!C301</f>
        <v>7053</v>
      </c>
      <c r="FX262" s="34">
        <f>100*((AVERAGE(HAVERQ!B246:B265)/AVERAGE(HAVERQ!B242:B261))-1)</f>
        <v>0.46856495546054866</v>
      </c>
      <c r="FY262" s="34">
        <f>100*((AVERAGE(HAVERQ!B226:B265)/AVERAGE(HAVERQ!B222:B261))-1)</f>
        <v>0.60590367685138258</v>
      </c>
    </row>
    <row r="263" spans="131:183">
      <c r="EA263" s="152">
        <v>41852</v>
      </c>
      <c r="EB263" s="34">
        <f>100*(HAVERM!C302/HAVERM!B302)</f>
        <v>22.31541772431299</v>
      </c>
      <c r="EC263" s="34">
        <f t="shared" si="102"/>
        <v>25.050854271384292</v>
      </c>
      <c r="EE263" s="32">
        <f>HAVERM!C302</f>
        <v>2022</v>
      </c>
      <c r="EF263" s="32">
        <f>HAVERM!B302-HAVERM!C302</f>
        <v>7039</v>
      </c>
      <c r="FX263" s="34">
        <f>100*((AVERAGE(HAVERQ!B247:B266)/AVERAGE(HAVERQ!B243:B262))-1)</f>
        <v>0.47841967179380607</v>
      </c>
      <c r="FY263" s="34">
        <f>100*((AVERAGE(HAVERQ!B227:B266)/AVERAGE(HAVERQ!B223:B262))-1)</f>
        <v>0.58952811893988599</v>
      </c>
    </row>
    <row r="264" spans="131:183">
      <c r="EA264" s="152">
        <v>41883</v>
      </c>
      <c r="EB264" s="34">
        <f>100*(HAVERM!C303/HAVERM!B303)</f>
        <v>22.273577638384506</v>
      </c>
      <c r="EC264" s="34">
        <f t="shared" si="102"/>
        <v>25.050854271384292</v>
      </c>
      <c r="EE264" s="32">
        <f>HAVERM!C303</f>
        <v>2024</v>
      </c>
      <c r="EF264" s="32">
        <f>HAVERM!B303-HAVERM!C303</f>
        <v>7063</v>
      </c>
      <c r="FW264">
        <v>2025</v>
      </c>
      <c r="FX264" s="34">
        <f>100*((AVERAGE(HAVERQ!B248:B267)/AVERAGE(HAVERQ!B244:B263))-1)</f>
        <v>0.57539172874390143</v>
      </c>
      <c r="FY264" s="34">
        <f>100*((AVERAGE(HAVERQ!B228:B267)/AVERAGE(HAVERQ!B224:B263))-1)</f>
        <v>0.56788848735156439</v>
      </c>
    </row>
    <row r="265" spans="131:183">
      <c r="EA265" s="152">
        <v>41913</v>
      </c>
      <c r="EB265" s="34">
        <f>100*(HAVERM!C304/HAVERM!B304)</f>
        <v>22.340308973375699</v>
      </c>
      <c r="EC265" s="34">
        <f t="shared" si="102"/>
        <v>25.050854271384292</v>
      </c>
      <c r="EE265" s="32">
        <f>HAVERM!C304</f>
        <v>2039</v>
      </c>
      <c r="EF265" s="32">
        <f>HAVERM!B304-HAVERM!C304</f>
        <v>7088</v>
      </c>
      <c r="FX265" s="34">
        <f>100*((AVERAGE(HAVERQ!B249:B268)/AVERAGE(HAVERQ!B245:B264))-1)</f>
        <v>1.5592942141977817</v>
      </c>
      <c r="FY265" s="34">
        <f>100*((AVERAGE(HAVERQ!B229:B268)/AVERAGE(HAVERQ!B225:B264))-1)</f>
        <v>0.52830966677834823</v>
      </c>
    </row>
    <row r="266" spans="131:183">
      <c r="EA266" s="152">
        <v>41944</v>
      </c>
      <c r="EB266" s="34">
        <f>100*(HAVERM!C305/HAVERM!B305)</f>
        <v>22.373626373626372</v>
      </c>
      <c r="EC266" s="34">
        <f t="shared" si="102"/>
        <v>25.050854271384292</v>
      </c>
      <c r="EE266" s="32">
        <f>HAVERM!C305</f>
        <v>2036</v>
      </c>
      <c r="EF266" s="32">
        <f>HAVERM!B305-HAVERM!C305</f>
        <v>7064</v>
      </c>
      <c r="FX266" s="34">
        <f>100*((AVERAGE(HAVERQ!B250:B269)/AVERAGE(HAVERQ!B246:B265))-1)</f>
        <v>1.8698344878185669</v>
      </c>
      <c r="FY266" s="34">
        <f>100*((AVERAGE(HAVERQ!B230:B269)/AVERAGE(HAVERQ!B226:B265))-1)</f>
        <v>0.46815626678704536</v>
      </c>
    </row>
    <row r="267" spans="131:183">
      <c r="EA267" s="152">
        <v>41974</v>
      </c>
      <c r="EB267" s="34">
        <f>100*(HAVERM!C306/HAVERM!B306)</f>
        <v>22.334801762114537</v>
      </c>
      <c r="EC267" s="34">
        <f t="shared" si="102"/>
        <v>25.050854271384292</v>
      </c>
      <c r="EE267" s="32">
        <f>HAVERM!C306</f>
        <v>2028</v>
      </c>
      <c r="EF267" s="32">
        <f>HAVERM!B306-HAVERM!C306</f>
        <v>7052</v>
      </c>
    </row>
    <row r="268" spans="131:183">
      <c r="EA268" s="152">
        <v>42005</v>
      </c>
      <c r="EB268" s="34">
        <f>100*(HAVERM!C307/HAVERM!B307)</f>
        <v>22.372057035481376</v>
      </c>
      <c r="EC268" s="34">
        <f t="shared" si="102"/>
        <v>25.050854271384292</v>
      </c>
      <c r="EE268" s="32">
        <f>HAVERM!C307</f>
        <v>2024</v>
      </c>
      <c r="EF268" s="32">
        <f>HAVERM!B307-HAVERM!C307</f>
        <v>7023</v>
      </c>
    </row>
    <row r="269" spans="131:183">
      <c r="EA269" s="152">
        <v>42036</v>
      </c>
      <c r="EB269" s="34">
        <f>100*(HAVERM!C308/HAVERM!B308)</f>
        <v>22.344766736517041</v>
      </c>
      <c r="EC269" s="34">
        <f t="shared" si="102"/>
        <v>25.050854271384292</v>
      </c>
      <c r="EE269" s="32">
        <f>HAVERM!C308</f>
        <v>2026</v>
      </c>
      <c r="EF269" s="32">
        <f>HAVERM!B308-HAVERM!C308</f>
        <v>7041</v>
      </c>
    </row>
    <row r="270" spans="131:183">
      <c r="EA270" s="152">
        <v>42064</v>
      </c>
      <c r="EB270" s="34">
        <f>100*(HAVERM!C309/HAVERM!B309)</f>
        <v>22.479084103918979</v>
      </c>
      <c r="EC270" s="34">
        <f t="shared" si="102"/>
        <v>25.050854271384292</v>
      </c>
      <c r="EE270" s="32">
        <f>HAVERM!C309</f>
        <v>2042</v>
      </c>
      <c r="EF270" s="32">
        <f>HAVERM!B309-HAVERM!C309</f>
        <v>7042</v>
      </c>
    </row>
    <row r="271" spans="131:183">
      <c r="EA271" s="152">
        <v>42095</v>
      </c>
      <c r="EB271" s="34">
        <f>100*(HAVERM!C310/HAVERM!B310)</f>
        <v>22.794683071514886</v>
      </c>
      <c r="EC271" s="34">
        <f t="shared" si="102"/>
        <v>25.050854271384292</v>
      </c>
      <c r="EE271" s="32">
        <f>HAVERM!C310</f>
        <v>2075</v>
      </c>
      <c r="EF271" s="32">
        <f>HAVERM!B310-HAVERM!C310</f>
        <v>7028</v>
      </c>
    </row>
    <row r="272" spans="131:183">
      <c r="EA272" s="152">
        <v>42125</v>
      </c>
      <c r="EB272" s="34">
        <f>100*(HAVERM!C311/HAVERM!B311)</f>
        <v>22.957498348381414</v>
      </c>
      <c r="EC272" s="34">
        <f t="shared" si="102"/>
        <v>25.050854271384292</v>
      </c>
      <c r="EE272" s="32">
        <f>HAVERM!C311</f>
        <v>2085</v>
      </c>
      <c r="EF272" s="32">
        <f>HAVERM!B311-HAVERM!C311</f>
        <v>6997</v>
      </c>
    </row>
    <row r="273" spans="131:136">
      <c r="EA273" s="152">
        <v>42156</v>
      </c>
      <c r="EB273" s="34">
        <f>100*(HAVERM!C312/HAVERM!B312)</f>
        <v>23.076923076923077</v>
      </c>
      <c r="EC273" s="34">
        <f t="shared" si="102"/>
        <v>25.050854271384292</v>
      </c>
      <c r="EE273" s="32">
        <f>HAVERM!C312</f>
        <v>2094</v>
      </c>
      <c r="EF273" s="32">
        <f>HAVERM!B312-HAVERM!C312</f>
        <v>6980</v>
      </c>
    </row>
    <row r="274" spans="131:136">
      <c r="EA274" s="152">
        <v>42186</v>
      </c>
      <c r="EB274" s="34">
        <f>100*(HAVERM!C313/HAVERM!B313)</f>
        <v>23.119225692916849</v>
      </c>
      <c r="EC274" s="34">
        <f t="shared" si="102"/>
        <v>25.050854271384292</v>
      </c>
      <c r="EE274" s="32">
        <f>HAVERM!C313</f>
        <v>2102</v>
      </c>
      <c r="EF274" s="32">
        <f>HAVERM!B313-HAVERM!C313</f>
        <v>6990</v>
      </c>
    </row>
    <row r="275" spans="131:136">
      <c r="EA275" s="152">
        <v>42217</v>
      </c>
      <c r="EB275" s="34">
        <f>100*(HAVERM!C314/HAVERM!B314)</f>
        <v>23.390581717451521</v>
      </c>
      <c r="EC275" s="34">
        <f t="shared" si="102"/>
        <v>25.050854271384292</v>
      </c>
      <c r="EE275" s="32">
        <f>HAVERM!C314</f>
        <v>2111</v>
      </c>
      <c r="EF275" s="32">
        <f>HAVERM!B314-HAVERM!C314</f>
        <v>6914</v>
      </c>
    </row>
    <row r="276" spans="131:136">
      <c r="EA276" s="152">
        <v>42248</v>
      </c>
      <c r="EB276" s="34">
        <f>100*(HAVERM!C315/HAVERM!B315)</f>
        <v>23.109430604982208</v>
      </c>
      <c r="EC276" s="34">
        <f t="shared" si="102"/>
        <v>25.050854271384292</v>
      </c>
      <c r="EE276" s="32">
        <f>HAVERM!C315</f>
        <v>2078</v>
      </c>
      <c r="EF276" s="32">
        <f>HAVERM!B315-HAVERM!C315</f>
        <v>6914</v>
      </c>
    </row>
    <row r="277" spans="131:136">
      <c r="EA277" s="152">
        <v>42278</v>
      </c>
      <c r="EB277" s="34">
        <f>100*(HAVERM!C316/HAVERM!B316)</f>
        <v>23.210315695864828</v>
      </c>
      <c r="EC277" s="34">
        <f t="shared" si="102"/>
        <v>25.050854271384292</v>
      </c>
      <c r="EE277" s="32">
        <f>HAVERM!C316</f>
        <v>2088</v>
      </c>
      <c r="EF277" s="32">
        <f>HAVERM!B316-HAVERM!C316</f>
        <v>6908</v>
      </c>
    </row>
    <row r="278" spans="131:136">
      <c r="EA278" s="152">
        <v>42309</v>
      </c>
      <c r="EB278" s="34">
        <f>100*(HAVERM!C317/HAVERM!B317)</f>
        <v>23.108635097493035</v>
      </c>
      <c r="EC278" s="34">
        <f t="shared" si="102"/>
        <v>25.050854271384292</v>
      </c>
      <c r="EE278" s="32">
        <f>HAVERM!C317</f>
        <v>2074</v>
      </c>
      <c r="EF278" s="32">
        <f>HAVERM!B317-HAVERM!C317</f>
        <v>6901</v>
      </c>
    </row>
    <row r="279" spans="131:136">
      <c r="EA279" s="152">
        <v>42339</v>
      </c>
      <c r="EB279" s="34">
        <f>100*(HAVERM!C318/HAVERM!B318)</f>
        <v>23.404491883477874</v>
      </c>
      <c r="EC279" s="34">
        <f t="shared" si="102"/>
        <v>25.050854271384292</v>
      </c>
      <c r="EE279" s="32">
        <f>HAVERM!C318</f>
        <v>2105</v>
      </c>
      <c r="EF279" s="32">
        <f>HAVERM!B318-HAVERM!C318</f>
        <v>6889</v>
      </c>
    </row>
    <row r="280" spans="131:136">
      <c r="EA280" s="152">
        <v>42370</v>
      </c>
      <c r="EB280" s="34">
        <f>100*(HAVERM!C319/HAVERM!B319)</f>
        <v>23.212493028443948</v>
      </c>
      <c r="EC280" s="34">
        <f t="shared" si="102"/>
        <v>25.050854271384292</v>
      </c>
      <c r="EE280" s="32">
        <f>HAVERM!C319</f>
        <v>2081</v>
      </c>
      <c r="EF280" s="32">
        <f>HAVERM!B319-HAVERM!C319</f>
        <v>6884</v>
      </c>
    </row>
    <row r="281" spans="131:136">
      <c r="EA281" s="152">
        <v>42401</v>
      </c>
      <c r="EB281" s="34">
        <f>100*(HAVERM!C320/HAVERM!B320)</f>
        <v>23.367085790586405</v>
      </c>
      <c r="EC281" s="34">
        <f t="shared" si="102"/>
        <v>25.050854271384292</v>
      </c>
      <c r="EE281" s="32">
        <f>HAVERM!C320</f>
        <v>2100</v>
      </c>
      <c r="EF281" s="32">
        <f>HAVERM!B320-HAVERM!C320</f>
        <v>6887</v>
      </c>
    </row>
    <row r="282" spans="131:136">
      <c r="EA282" s="152">
        <v>42430</v>
      </c>
      <c r="EB282" s="34">
        <f>100*(HAVERM!C321/HAVERM!B321)</f>
        <v>23.234345456567677</v>
      </c>
      <c r="EC282" s="34">
        <f t="shared" si="102"/>
        <v>25.050854271384292</v>
      </c>
      <c r="EE282" s="32">
        <f>HAVERM!C321</f>
        <v>2089</v>
      </c>
      <c r="EF282" s="32">
        <f>HAVERM!B321-HAVERM!C321</f>
        <v>6902</v>
      </c>
    </row>
    <row r="283" spans="131:136">
      <c r="EA283" s="152">
        <v>42461</v>
      </c>
      <c r="EB283" s="34">
        <f>100*(HAVERM!C322/HAVERM!B322)</f>
        <v>22.971160295103957</v>
      </c>
      <c r="EC283" s="34">
        <f t="shared" si="102"/>
        <v>25.050854271384292</v>
      </c>
      <c r="EE283" s="32">
        <f>HAVERM!C322</f>
        <v>2055</v>
      </c>
      <c r="EF283" s="32">
        <f>HAVERM!B322-HAVERM!C322</f>
        <v>6891</v>
      </c>
    </row>
    <row r="284" spans="131:136">
      <c r="EA284" s="152">
        <v>42491</v>
      </c>
      <c r="EB284" s="34">
        <f>100*(HAVERM!C323/HAVERM!B323)</f>
        <v>22.871863799283155</v>
      </c>
      <c r="EC284" s="34">
        <f t="shared" si="102"/>
        <v>25.050854271384292</v>
      </c>
      <c r="EE284" s="32">
        <f>HAVERM!C323</f>
        <v>2042</v>
      </c>
      <c r="EF284" s="32">
        <f>HAVERM!B323-HAVERM!C323</f>
        <v>6886</v>
      </c>
    </row>
    <row r="285" spans="131:136">
      <c r="EA285" s="152">
        <v>42522</v>
      </c>
      <c r="EB285" s="34">
        <f>100*(HAVERM!C324/HAVERM!B324)</f>
        <v>22.852330151600224</v>
      </c>
      <c r="EC285" s="34">
        <f t="shared" si="102"/>
        <v>25.050854271384292</v>
      </c>
      <c r="EE285" s="32">
        <f>HAVERM!C324</f>
        <v>2035</v>
      </c>
      <c r="EF285" s="32">
        <f>HAVERM!B324-HAVERM!C324</f>
        <v>6870</v>
      </c>
    </row>
    <row r="286" spans="131:136">
      <c r="EA286" s="152">
        <v>42552</v>
      </c>
      <c r="EB286" s="34">
        <f>100*(HAVERM!C325/HAVERM!B325)</f>
        <v>22.621326427204146</v>
      </c>
      <c r="EC286" s="34">
        <f t="shared" si="102"/>
        <v>25.050854271384292</v>
      </c>
      <c r="EE286" s="32">
        <f>HAVERM!C325</f>
        <v>2009</v>
      </c>
      <c r="EF286" s="32">
        <f>HAVERM!B325-HAVERM!C325</f>
        <v>6872</v>
      </c>
    </row>
    <row r="287" spans="131:136">
      <c r="EA287" s="152">
        <v>42583</v>
      </c>
      <c r="EB287" s="34">
        <f>100*(HAVERM!C326/HAVERM!B326)</f>
        <v>22.419571045576408</v>
      </c>
      <c r="EC287" s="34">
        <f t="shared" si="102"/>
        <v>25.050854271384292</v>
      </c>
      <c r="EE287" s="32">
        <f>HAVERM!C326</f>
        <v>2007</v>
      </c>
      <c r="EF287" s="32">
        <f>HAVERM!B326-HAVERM!C326</f>
        <v>6945</v>
      </c>
    </row>
    <row r="288" spans="131:136">
      <c r="EA288" s="152">
        <v>42614</v>
      </c>
      <c r="EB288" s="34">
        <f>100*(HAVERM!C327/HAVERM!B327)</f>
        <v>22.197434467373117</v>
      </c>
      <c r="EC288" s="34">
        <f t="shared" si="102"/>
        <v>25.050854271384292</v>
      </c>
      <c r="EE288" s="32">
        <f>HAVERM!C327</f>
        <v>1990</v>
      </c>
      <c r="EF288" s="32">
        <f>HAVERM!B327-HAVERM!C327</f>
        <v>6975</v>
      </c>
    </row>
    <row r="289" spans="131:136">
      <c r="EA289" s="152">
        <v>42644</v>
      </c>
      <c r="EB289" s="34">
        <f>100*(HAVERM!C328/HAVERM!B328)</f>
        <v>22.275462447069312</v>
      </c>
      <c r="EC289" s="34">
        <f t="shared" si="102"/>
        <v>25.050854271384292</v>
      </c>
      <c r="EE289" s="32">
        <f>HAVERM!C328</f>
        <v>1999</v>
      </c>
      <c r="EF289" s="32">
        <f>HAVERM!B328-HAVERM!C328</f>
        <v>6975</v>
      </c>
    </row>
    <row r="290" spans="131:136">
      <c r="EA290" s="152">
        <v>42675</v>
      </c>
      <c r="EB290" s="34">
        <f>100*(HAVERM!C329/HAVERM!B329)</f>
        <v>21.900503074343209</v>
      </c>
      <c r="EC290" s="34">
        <f t="shared" si="102"/>
        <v>25.050854271384292</v>
      </c>
      <c r="EE290" s="32">
        <f>HAVERM!C329</f>
        <v>1959</v>
      </c>
      <c r="EF290" s="32">
        <f>HAVERM!B329-HAVERM!C329</f>
        <v>6986</v>
      </c>
    </row>
    <row r="291" spans="131:136">
      <c r="EA291" s="152">
        <v>42705</v>
      </c>
      <c r="EB291" s="34">
        <f>100*(HAVERM!C330/HAVERM!B330)</f>
        <v>22.193735369524024</v>
      </c>
      <c r="EC291" s="34">
        <f t="shared" si="102"/>
        <v>25.050854271384292</v>
      </c>
      <c r="EE291" s="32">
        <f>HAVERM!C330</f>
        <v>1991</v>
      </c>
      <c r="EF291" s="32">
        <f>HAVERM!B330-HAVERM!C330</f>
        <v>6980</v>
      </c>
    </row>
    <row r="292" spans="131:136">
      <c r="EA292" s="152">
        <v>42736</v>
      </c>
      <c r="EB292" s="34">
        <f>100*(HAVERM!C331/HAVERM!B331)</f>
        <v>22.158964054476446</v>
      </c>
      <c r="EC292" s="34">
        <f t="shared" si="102"/>
        <v>25.050854271384292</v>
      </c>
      <c r="EE292" s="32">
        <f>HAVERM!C331</f>
        <v>1985</v>
      </c>
      <c r="EF292" s="32">
        <f>HAVERM!B331-HAVERM!C331</f>
        <v>6973</v>
      </c>
    </row>
    <row r="293" spans="131:136">
      <c r="EA293" s="152">
        <v>42767</v>
      </c>
      <c r="EB293" s="34">
        <f>100*(HAVERM!C332/HAVERM!B332)</f>
        <v>22.308123249299719</v>
      </c>
      <c r="EC293" s="34">
        <f t="shared" si="102"/>
        <v>25.050854271384292</v>
      </c>
      <c r="EE293" s="32">
        <f>HAVERM!C332</f>
        <v>1991</v>
      </c>
      <c r="EF293" s="32">
        <f>HAVERM!B332-HAVERM!C332</f>
        <v>6934</v>
      </c>
    </row>
    <row r="294" spans="131:136">
      <c r="EA294" s="152">
        <v>42795</v>
      </c>
      <c r="EB294" s="34">
        <f>100*(HAVERM!C333/HAVERM!B333)</f>
        <v>22.148852825965303</v>
      </c>
      <c r="EC294" s="34">
        <f t="shared" si="102"/>
        <v>25.050854271384292</v>
      </c>
      <c r="EE294" s="32">
        <f>HAVERM!C333</f>
        <v>1979</v>
      </c>
      <c r="EF294" s="32">
        <f>HAVERM!B333-HAVERM!C333</f>
        <v>6956</v>
      </c>
    </row>
    <row r="295" spans="131:136">
      <c r="EA295" s="152">
        <v>42826</v>
      </c>
      <c r="EB295" s="34">
        <f>100*(HAVERM!C334/HAVERM!B334)</f>
        <v>22.376837616429132</v>
      </c>
      <c r="EC295" s="34">
        <f t="shared" si="102"/>
        <v>25.050854271384292</v>
      </c>
      <c r="EE295" s="32">
        <f>HAVERM!C334</f>
        <v>1994</v>
      </c>
      <c r="EF295" s="32">
        <f>HAVERM!B334-HAVERM!C334</f>
        <v>6917</v>
      </c>
    </row>
    <row r="296" spans="131:136">
      <c r="EA296" s="152">
        <v>42856</v>
      </c>
      <c r="EB296" s="34">
        <f>100*(HAVERM!C335/HAVERM!B335)</f>
        <v>22.410673903211219</v>
      </c>
      <c r="EC296" s="34">
        <f t="shared" si="102"/>
        <v>25.050854271384292</v>
      </c>
      <c r="EE296" s="32">
        <f>HAVERM!C335</f>
        <v>1982</v>
      </c>
      <c r="EF296" s="32">
        <f>HAVERM!B335-HAVERM!C335</f>
        <v>6862</v>
      </c>
    </row>
    <row r="297" spans="131:136">
      <c r="EA297" s="152">
        <v>42887</v>
      </c>
      <c r="EB297" s="34">
        <f>100*(HAVERM!C336/HAVERM!B336)</f>
        <v>22.76800907543959</v>
      </c>
      <c r="EC297" s="34">
        <f t="shared" si="102"/>
        <v>25.050854271384292</v>
      </c>
      <c r="EE297" s="32">
        <f>HAVERM!C336</f>
        <v>2007</v>
      </c>
      <c r="EF297" s="32">
        <f>HAVERM!B336-HAVERM!C336</f>
        <v>6808</v>
      </c>
    </row>
    <row r="298" spans="131:136">
      <c r="EA298" s="152">
        <v>42917</v>
      </c>
      <c r="EB298" s="34">
        <f>100*(HAVERM!C337/HAVERM!B337)</f>
        <v>22.794366197183098</v>
      </c>
      <c r="EC298" s="34">
        <f t="shared" si="102"/>
        <v>25.050854271384292</v>
      </c>
      <c r="EE298" s="32">
        <f>HAVERM!C337</f>
        <v>2023</v>
      </c>
      <c r="EF298" s="32">
        <f>HAVERM!B337-HAVERM!C337</f>
        <v>6852</v>
      </c>
    </row>
    <row r="299" spans="131:136">
      <c r="EA299" s="152">
        <v>42948</v>
      </c>
      <c r="EB299" s="34">
        <f>100*(HAVERM!C338/HAVERM!B338)</f>
        <v>22.950636587000222</v>
      </c>
      <c r="EC299" s="34">
        <f t="shared" si="102"/>
        <v>25.050854271384292</v>
      </c>
      <c r="EE299" s="32">
        <f>HAVERM!C338</f>
        <v>2055</v>
      </c>
      <c r="EF299" s="32">
        <f>HAVERM!B338-HAVERM!C338</f>
        <v>6899</v>
      </c>
    </row>
    <row r="300" spans="131:136">
      <c r="EA300" s="152">
        <v>42979</v>
      </c>
      <c r="EB300" s="34">
        <f>100*(HAVERM!C339/HAVERM!B339)</f>
        <v>22.736936332102495</v>
      </c>
      <c r="EC300" s="34">
        <f t="shared" si="102"/>
        <v>25.050854271384292</v>
      </c>
      <c r="EE300" s="32">
        <f>HAVERM!C339</f>
        <v>2032</v>
      </c>
      <c r="EF300" s="32">
        <f>HAVERM!B339-HAVERM!C339</f>
        <v>6905</v>
      </c>
    </row>
    <row r="301" spans="131:136">
      <c r="EA301" s="152">
        <v>43009</v>
      </c>
      <c r="EB301" s="34">
        <f>100*(HAVERM!C340/HAVERM!B340)</f>
        <v>22.47930134966542</v>
      </c>
      <c r="EC301" s="34">
        <f t="shared" si="102"/>
        <v>25.050854271384292</v>
      </c>
      <c r="EE301" s="32">
        <f>HAVERM!C340</f>
        <v>1982</v>
      </c>
      <c r="EF301" s="32">
        <f>HAVERM!B340-HAVERM!C340</f>
        <v>6835</v>
      </c>
    </row>
    <row r="302" spans="131:136">
      <c r="EA302" s="152">
        <v>43040</v>
      </c>
      <c r="EB302" s="34">
        <f>100*(HAVERM!C341/HAVERM!B341)</f>
        <v>22.534416610245994</v>
      </c>
      <c r="EC302" s="34">
        <f t="shared" si="102"/>
        <v>25.050854271384292</v>
      </c>
      <c r="EE302" s="32">
        <f>HAVERM!C341</f>
        <v>1997</v>
      </c>
      <c r="EF302" s="32">
        <f>HAVERM!B341-HAVERM!C341</f>
        <v>6865</v>
      </c>
    </row>
    <row r="303" spans="131:136">
      <c r="EA303" s="152">
        <v>43070</v>
      </c>
      <c r="EB303" s="34">
        <f>100*(HAVERM!C342/HAVERM!B342)</f>
        <v>22.52579072667498</v>
      </c>
      <c r="EC303" s="34">
        <f t="shared" si="102"/>
        <v>25.050854271384292</v>
      </c>
      <c r="EE303" s="32">
        <f>HAVERM!C342</f>
        <v>1987</v>
      </c>
      <c r="EF303" s="32">
        <f>HAVERM!B342-HAVERM!C342</f>
        <v>6834</v>
      </c>
    </row>
    <row r="304" spans="131:136">
      <c r="EA304" s="152">
        <v>43101</v>
      </c>
      <c r="EB304" s="34">
        <f>100*(HAVERM!C343/HAVERM!B343)</f>
        <v>22.468856172140431</v>
      </c>
      <c r="EC304" s="34">
        <f t="shared" si="102"/>
        <v>25.050854271384292</v>
      </c>
      <c r="EE304" s="32">
        <f>HAVERM!C343</f>
        <v>1984</v>
      </c>
      <c r="EF304" s="32">
        <f>HAVERM!B343-HAVERM!C343</f>
        <v>6846</v>
      </c>
    </row>
    <row r="305" spans="131:136">
      <c r="EA305" s="152">
        <v>43132</v>
      </c>
      <c r="EB305" s="34">
        <f>100*(HAVERM!C344/HAVERM!B344)</f>
        <v>22.56334170280758</v>
      </c>
      <c r="EC305" s="34">
        <f t="shared" si="102"/>
        <v>25.050854271384292</v>
      </c>
      <c r="EE305" s="32">
        <f>HAVERM!C344</f>
        <v>1977</v>
      </c>
      <c r="EF305" s="32">
        <f>HAVERM!B344-HAVERM!C344</f>
        <v>6785</v>
      </c>
    </row>
    <row r="306" spans="131:136">
      <c r="EA306" s="152">
        <v>43160</v>
      </c>
      <c r="EB306" s="34">
        <f>100*(HAVERM!C345/HAVERM!B345)</f>
        <v>22.689363646749687</v>
      </c>
      <c r="EC306" s="34">
        <f t="shared" si="102"/>
        <v>25.050854271384292</v>
      </c>
      <c r="EE306" s="32">
        <f>HAVERM!C345</f>
        <v>1986</v>
      </c>
      <c r="EF306" s="32">
        <f>HAVERM!B345-HAVERM!C345</f>
        <v>6767</v>
      </c>
    </row>
    <row r="307" spans="131:136">
      <c r="EA307" s="152">
        <v>43191</v>
      </c>
      <c r="EB307" s="34">
        <f>100*(HAVERM!C346/HAVERM!B346)</f>
        <v>22.90285714285714</v>
      </c>
      <c r="EC307" s="34">
        <f t="shared" si="102"/>
        <v>25.050854271384292</v>
      </c>
      <c r="EE307" s="32">
        <f>HAVERM!C346</f>
        <v>2004</v>
      </c>
      <c r="EF307" s="32">
        <f>HAVERM!B346-HAVERM!C346</f>
        <v>6746</v>
      </c>
    </row>
    <row r="308" spans="131:136">
      <c r="EA308" s="152">
        <v>43221</v>
      </c>
      <c r="EB308" s="34">
        <f>100*(HAVERM!C347/HAVERM!B347)</f>
        <v>23.139653414882773</v>
      </c>
      <c r="EC308" s="34">
        <f t="shared" si="102"/>
        <v>25.050854271384292</v>
      </c>
      <c r="EE308" s="32">
        <f>HAVERM!C347</f>
        <v>2043</v>
      </c>
      <c r="EF308" s="32">
        <f>HAVERM!B347-HAVERM!C347</f>
        <v>6786</v>
      </c>
    </row>
    <row r="309" spans="131:136">
      <c r="EA309" s="152">
        <v>43252</v>
      </c>
      <c r="EB309" s="34">
        <f>100*(HAVERM!C348/HAVERM!B348)</f>
        <v>23.155158775002825</v>
      </c>
      <c r="EC309" s="34">
        <f t="shared" si="102"/>
        <v>25.050854271384292</v>
      </c>
      <c r="EE309" s="32">
        <f>HAVERM!C348</f>
        <v>2049</v>
      </c>
      <c r="EF309" s="32">
        <f>HAVERM!B348-HAVERM!C348</f>
        <v>6800</v>
      </c>
    </row>
    <row r="310" spans="131:136">
      <c r="EA310" s="152">
        <v>43282</v>
      </c>
      <c r="EB310" s="34">
        <f>100*(HAVERM!C349/HAVERM!B349)</f>
        <v>23.002037582069278</v>
      </c>
      <c r="EC310" s="34">
        <f t="shared" si="102"/>
        <v>25.050854271384292</v>
      </c>
      <c r="EE310" s="32">
        <f>HAVERM!C349</f>
        <v>2032</v>
      </c>
      <c r="EF310" s="32">
        <f>HAVERM!B349-HAVERM!C349</f>
        <v>6802</v>
      </c>
    </row>
    <row r="311" spans="131:136">
      <c r="EA311" s="152">
        <v>43313</v>
      </c>
      <c r="EB311" s="34">
        <f>100*(HAVERM!C350/HAVERM!B350)</f>
        <v>22.668026748271565</v>
      </c>
      <c r="EC311" s="34">
        <f t="shared" si="102"/>
        <v>25.050854271384292</v>
      </c>
      <c r="EE311" s="32">
        <f>HAVERM!C350</f>
        <v>2000</v>
      </c>
      <c r="EF311" s="32">
        <f>HAVERM!B350-HAVERM!C350</f>
        <v>6823</v>
      </c>
    </row>
    <row r="312" spans="131:136">
      <c r="EA312" s="152">
        <v>43344</v>
      </c>
      <c r="EB312" s="34">
        <f>100*(HAVERM!C351/HAVERM!B351)</f>
        <v>22.624073017683973</v>
      </c>
      <c r="EC312" s="34">
        <f t="shared" si="102"/>
        <v>25.050854271384292</v>
      </c>
      <c r="EE312" s="32">
        <f>HAVERM!C351</f>
        <v>1983</v>
      </c>
      <c r="EF312" s="32">
        <f>HAVERM!B351-HAVERM!C351</f>
        <v>6782</v>
      </c>
    </row>
    <row r="313" spans="131:136">
      <c r="EA313" s="152">
        <v>43374</v>
      </c>
      <c r="EB313" s="34">
        <f>100*(HAVERM!C352/HAVERM!B352)</f>
        <v>22.760511882998173</v>
      </c>
      <c r="EC313" s="34">
        <f t="shared" si="102"/>
        <v>25.050854271384292</v>
      </c>
      <c r="EE313" s="32">
        <f>HAVERM!C352</f>
        <v>1992</v>
      </c>
      <c r="EF313" s="32">
        <f>HAVERM!B352-HAVERM!C352</f>
        <v>6760</v>
      </c>
    </row>
    <row r="314" spans="131:136">
      <c r="EA314" s="152">
        <v>43405</v>
      </c>
      <c r="EB314" s="34">
        <f>100*(HAVERM!C353/HAVERM!B353)</f>
        <v>22.971271603525238</v>
      </c>
      <c r="EC314" s="34">
        <f t="shared" si="102"/>
        <v>25.050854271384292</v>
      </c>
      <c r="EE314" s="32">
        <f>HAVERM!C353</f>
        <v>2007</v>
      </c>
      <c r="EF314" s="32">
        <f>HAVERM!B353-HAVERM!C353</f>
        <v>6730</v>
      </c>
    </row>
    <row r="315" spans="131:136">
      <c r="EA315" s="152">
        <v>43435</v>
      </c>
      <c r="EB315" s="34">
        <f>100*(HAVERM!C354/HAVERM!B354)</f>
        <v>23.177354130560371</v>
      </c>
      <c r="EC315" s="34">
        <f t="shared" si="102"/>
        <v>25.050854271384292</v>
      </c>
      <c r="EE315" s="32">
        <f>HAVERM!C354</f>
        <v>2006</v>
      </c>
      <c r="EF315" s="32">
        <f>HAVERM!B354-HAVERM!C354</f>
        <v>6649</v>
      </c>
    </row>
    <row r="316" spans="131:136">
      <c r="EA316" s="152">
        <v>43466</v>
      </c>
      <c r="EB316" s="34">
        <f>100*(HAVERM!C355/HAVERM!B355)</f>
        <v>22.891844997108155</v>
      </c>
      <c r="EC316" s="34">
        <f t="shared" si="102"/>
        <v>25.050854271384292</v>
      </c>
      <c r="EE316" s="32">
        <f>HAVERM!C355</f>
        <v>1979</v>
      </c>
      <c r="EF316" s="32">
        <f>HAVERM!B355-HAVERM!C355</f>
        <v>6666</v>
      </c>
    </row>
    <row r="317" spans="131:136">
      <c r="EA317" s="152">
        <v>43497</v>
      </c>
      <c r="EB317" s="34">
        <f>100*(HAVERM!C356/HAVERM!B356)</f>
        <v>23.078687772424868</v>
      </c>
      <c r="EC317" s="34">
        <f t="shared" si="102"/>
        <v>25.050854271384292</v>
      </c>
      <c r="EE317" s="32">
        <f>HAVERM!C356</f>
        <v>2012</v>
      </c>
      <c r="EF317" s="32">
        <f>HAVERM!B356-HAVERM!C356</f>
        <v>6706</v>
      </c>
    </row>
    <row r="318" spans="131:136">
      <c r="EA318" s="152">
        <v>43525</v>
      </c>
      <c r="EB318" s="34">
        <f>100*(HAVERM!C357/HAVERM!B357)</f>
        <v>22.8719723183391</v>
      </c>
      <c r="EC318" s="34">
        <f t="shared" si="102"/>
        <v>25.050854271384292</v>
      </c>
      <c r="EE318" s="32">
        <f>HAVERM!C357</f>
        <v>1983</v>
      </c>
      <c r="EF318" s="32">
        <f>HAVERM!B357-HAVERM!C357</f>
        <v>6687</v>
      </c>
    </row>
    <row r="319" spans="131:136">
      <c r="EA319" s="152">
        <v>43556</v>
      </c>
      <c r="EB319" s="34">
        <f>100*(HAVERM!C358/HAVERM!B358)</f>
        <v>23.319521178637199</v>
      </c>
      <c r="EC319" s="34">
        <f t="shared" si="102"/>
        <v>25.050854271384292</v>
      </c>
      <c r="EE319" s="32">
        <f>HAVERM!C358</f>
        <v>2026</v>
      </c>
      <c r="EF319" s="32">
        <f>HAVERM!B358-HAVERM!C358</f>
        <v>6662</v>
      </c>
    </row>
    <row r="320" spans="131:136">
      <c r="EA320" s="152">
        <v>43586</v>
      </c>
      <c r="EB320" s="34">
        <f>100*(HAVERM!C359/HAVERM!B359)</f>
        <v>23.544421247970309</v>
      </c>
      <c r="EC320" s="34">
        <f t="shared" si="102"/>
        <v>25.050854271384292</v>
      </c>
      <c r="EE320" s="32">
        <f>HAVERM!C359</f>
        <v>2030</v>
      </c>
      <c r="EF320" s="32">
        <f>HAVERM!B359-HAVERM!C359</f>
        <v>6592</v>
      </c>
    </row>
    <row r="321" spans="131:136">
      <c r="EA321" s="152">
        <v>43617</v>
      </c>
      <c r="EB321" s="34">
        <f>100*(HAVERM!C360/HAVERM!B360)</f>
        <v>23.827131962098452</v>
      </c>
      <c r="EC321" s="34">
        <f t="shared" si="102"/>
        <v>25.050854271384292</v>
      </c>
      <c r="EE321" s="32">
        <f>HAVERM!C360</f>
        <v>2062</v>
      </c>
      <c r="EF321" s="32">
        <f>HAVERM!B360-HAVERM!C360</f>
        <v>6592</v>
      </c>
    </row>
    <row r="322" spans="131:136">
      <c r="EA322" s="152">
        <v>43647</v>
      </c>
      <c r="EB322" s="34">
        <f>100*(HAVERM!C361/HAVERM!B361)</f>
        <v>23.766816143497756</v>
      </c>
      <c r="EC322" s="34">
        <f t="shared" si="102"/>
        <v>25.050854271384292</v>
      </c>
      <c r="EE322" s="32">
        <f>HAVERM!C361</f>
        <v>2067</v>
      </c>
      <c r="EF322" s="32">
        <f>HAVERM!B361-HAVERM!C361</f>
        <v>6630</v>
      </c>
    </row>
    <row r="323" spans="131:136">
      <c r="EA323" s="152">
        <v>43678</v>
      </c>
      <c r="EB323" s="34">
        <f>100*(HAVERM!C362/HAVERM!B362)</f>
        <v>23.794138010616201</v>
      </c>
      <c r="EC323" s="34">
        <f t="shared" si="102"/>
        <v>25.050854271384292</v>
      </c>
      <c r="EE323" s="32">
        <f>HAVERM!C362</f>
        <v>2062</v>
      </c>
      <c r="EF323" s="32">
        <f>HAVERM!B362-HAVERM!C362</f>
        <v>6604</v>
      </c>
    </row>
    <row r="324" spans="131:136">
      <c r="EA324" s="152">
        <v>43709</v>
      </c>
      <c r="EB324" s="34">
        <f>100*(HAVERM!C363/HAVERM!B363)</f>
        <v>24.052964881980426</v>
      </c>
      <c r="EC324" s="34">
        <f t="shared" si="102"/>
        <v>25.050854271384292</v>
      </c>
      <c r="EE324" s="32">
        <f>HAVERM!C363</f>
        <v>2089</v>
      </c>
      <c r="EF324" s="32">
        <f>HAVERM!B363-HAVERM!C363</f>
        <v>6596</v>
      </c>
    </row>
    <row r="325" spans="131:136">
      <c r="EA325" s="152">
        <v>43739</v>
      </c>
      <c r="EB325" s="34">
        <f>100*(HAVERM!C364/HAVERM!B364)</f>
        <v>24.255813953488374</v>
      </c>
      <c r="EC325" s="34">
        <f t="shared" ref="EC325:EC388" si="103">AVERAGE($EB$7:$EB$399)</f>
        <v>25.050854271384292</v>
      </c>
      <c r="EE325" s="32">
        <f>HAVERM!C364</f>
        <v>2086</v>
      </c>
      <c r="EF325" s="32">
        <f>HAVERM!B364-HAVERM!C364</f>
        <v>6514</v>
      </c>
    </row>
    <row r="326" spans="131:136">
      <c r="EA326" s="152">
        <v>43770</v>
      </c>
      <c r="EB326" s="34">
        <f>100*(HAVERM!C365/HAVERM!B365)</f>
        <v>24.265048996733551</v>
      </c>
      <c r="EC326" s="34">
        <f t="shared" si="103"/>
        <v>25.050854271384292</v>
      </c>
      <c r="EE326" s="32">
        <f>HAVERM!C365</f>
        <v>2080</v>
      </c>
      <c r="EF326" s="32">
        <f>HAVERM!B365-HAVERM!C365</f>
        <v>6492</v>
      </c>
    </row>
    <row r="327" spans="131:136">
      <c r="EA327" s="152">
        <v>43800</v>
      </c>
      <c r="EB327" s="34">
        <f>100*(HAVERM!C366/HAVERM!B366)</f>
        <v>24.864928353300446</v>
      </c>
      <c r="EC327" s="34">
        <f t="shared" si="103"/>
        <v>25.050854271384292</v>
      </c>
      <c r="EE327" s="32">
        <f>HAVERM!C366</f>
        <v>2117</v>
      </c>
      <c r="EF327" s="32">
        <f>HAVERM!B366-HAVERM!C366</f>
        <v>6397</v>
      </c>
    </row>
    <row r="328" spans="131:136">
      <c r="EA328" s="152">
        <v>43831</v>
      </c>
      <c r="EB328" s="34">
        <f>100*(HAVERM!C367/HAVERM!B367)</f>
        <v>25.076959507459151</v>
      </c>
      <c r="EC328" s="34">
        <f t="shared" si="103"/>
        <v>25.050854271384292</v>
      </c>
      <c r="EE328" s="32">
        <f>HAVERM!C367</f>
        <v>2118</v>
      </c>
      <c r="EF328" s="32">
        <f>HAVERM!B367-HAVERM!C367</f>
        <v>6328</v>
      </c>
    </row>
    <row r="329" spans="131:136">
      <c r="EA329" s="152">
        <v>43862</v>
      </c>
      <c r="EB329" s="34">
        <f>100*(HAVERM!C368/HAVERM!B368)</f>
        <v>25.863267670915413</v>
      </c>
      <c r="EC329" s="34">
        <f t="shared" si="103"/>
        <v>25.050854271384292</v>
      </c>
      <c r="EE329" s="32">
        <f>HAVERM!C368</f>
        <v>2232</v>
      </c>
      <c r="EF329" s="32">
        <f>HAVERM!B368-HAVERM!C368</f>
        <v>6398</v>
      </c>
    </row>
    <row r="330" spans="131:136">
      <c r="EA330" s="152">
        <v>43891</v>
      </c>
      <c r="EB330" s="34">
        <f>100*(HAVERM!C369/HAVERM!B369)</f>
        <v>25.74891378916076</v>
      </c>
      <c r="EC330" s="34">
        <f t="shared" si="103"/>
        <v>25.050854271384292</v>
      </c>
      <c r="EE330" s="32">
        <f>HAVERM!C369</f>
        <v>2252</v>
      </c>
      <c r="EF330" s="32">
        <f>HAVERM!B369-HAVERM!C369</f>
        <v>6494</v>
      </c>
    </row>
    <row r="331" spans="131:136">
      <c r="EA331" s="152">
        <v>43922</v>
      </c>
      <c r="EB331" s="34">
        <f>100*(HAVERM!C370/HAVERM!B370)</f>
        <v>25.428538994210463</v>
      </c>
      <c r="EC331" s="34">
        <f t="shared" si="103"/>
        <v>25.050854271384292</v>
      </c>
      <c r="EE331" s="32">
        <f>HAVERM!C370</f>
        <v>2240</v>
      </c>
      <c r="EF331" s="32">
        <f>HAVERM!B370-HAVERM!C370</f>
        <v>6569</v>
      </c>
    </row>
    <row r="332" spans="131:136">
      <c r="EA332" s="152">
        <v>43952</v>
      </c>
      <c r="EB332" s="34">
        <f>100*(HAVERM!C371/HAVERM!B371)</f>
        <v>25.174983066154887</v>
      </c>
      <c r="EC332" s="34">
        <f t="shared" si="103"/>
        <v>25.050854271384292</v>
      </c>
      <c r="EE332" s="32">
        <f>HAVERM!C371</f>
        <v>2230</v>
      </c>
      <c r="EF332" s="32">
        <f>HAVERM!B371-HAVERM!C371</f>
        <v>6628</v>
      </c>
    </row>
    <row r="333" spans="131:136">
      <c r="EA333" s="152">
        <v>43983</v>
      </c>
      <c r="EB333" s="34">
        <f>100*(HAVERM!C372/HAVERM!B372)</f>
        <v>25.602716468590831</v>
      </c>
      <c r="EC333" s="34">
        <f t="shared" si="103"/>
        <v>25.050854271384292</v>
      </c>
      <c r="EE333" s="32">
        <f>HAVERM!C372</f>
        <v>2262</v>
      </c>
      <c r="EF333" s="32">
        <f>HAVERM!B372-HAVERM!C372</f>
        <v>6573</v>
      </c>
    </row>
    <row r="334" spans="131:136">
      <c r="EA334" s="152">
        <v>44013</v>
      </c>
      <c r="EB334" s="34">
        <f>100*(HAVERM!C373/HAVERM!B373)</f>
        <v>25.697188664333297</v>
      </c>
      <c r="EC334" s="34">
        <f t="shared" si="103"/>
        <v>25.050854271384292</v>
      </c>
      <c r="EE334" s="32">
        <f>HAVERM!C373</f>
        <v>2276</v>
      </c>
      <c r="EF334" s="32">
        <f>HAVERM!B373-HAVERM!C373</f>
        <v>6581</v>
      </c>
    </row>
    <row r="335" spans="131:136">
      <c r="EA335" s="152">
        <v>44044</v>
      </c>
      <c r="EB335" s="34">
        <f>100*(HAVERM!C374/HAVERM!B374)</f>
        <v>25.995289895704833</v>
      </c>
      <c r="EC335" s="34">
        <f t="shared" si="103"/>
        <v>25.050854271384292</v>
      </c>
      <c r="EE335" s="32">
        <f>HAVERM!C374</f>
        <v>2318</v>
      </c>
      <c r="EF335" s="32">
        <f>HAVERM!B374-HAVERM!C374</f>
        <v>6599</v>
      </c>
    </row>
    <row r="336" spans="131:136">
      <c r="EA336" s="152">
        <v>44075</v>
      </c>
      <c r="EB336" s="34">
        <f>100*(HAVERM!C375/HAVERM!B375)</f>
        <v>26.074755864855764</v>
      </c>
      <c r="EC336" s="34">
        <f t="shared" si="103"/>
        <v>25.050854271384292</v>
      </c>
      <c r="EE336" s="32">
        <f>HAVERM!C375</f>
        <v>2323</v>
      </c>
      <c r="EF336" s="32">
        <f>HAVERM!B375-HAVERM!C375</f>
        <v>6586</v>
      </c>
    </row>
    <row r="337" spans="131:136">
      <c r="EA337" s="152">
        <v>44105</v>
      </c>
      <c r="EB337" s="34">
        <f>100*(HAVERM!C376/HAVERM!B376)</f>
        <v>25.912984670874661</v>
      </c>
      <c r="EC337" s="34">
        <f t="shared" si="103"/>
        <v>25.050854271384292</v>
      </c>
      <c r="EE337" s="32">
        <f>HAVERM!C376</f>
        <v>2299</v>
      </c>
      <c r="EF337" s="32">
        <f>HAVERM!B376-HAVERM!C376</f>
        <v>6573</v>
      </c>
    </row>
    <row r="338" spans="131:136">
      <c r="EA338" s="152">
        <v>44136</v>
      </c>
      <c r="EB338" s="34">
        <f>100*(HAVERM!C377/HAVERM!B377)</f>
        <v>26.023261015432791</v>
      </c>
      <c r="EC338" s="34">
        <f t="shared" si="103"/>
        <v>25.050854271384292</v>
      </c>
      <c r="EE338" s="32">
        <f>HAVERM!C377</f>
        <v>2327</v>
      </c>
      <c r="EF338" s="32">
        <f>HAVERM!B377-HAVERM!C377</f>
        <v>6615</v>
      </c>
    </row>
    <row r="339" spans="131:136">
      <c r="EA339" s="152">
        <v>44166</v>
      </c>
      <c r="EB339" s="34">
        <f>100*(HAVERM!C378/HAVERM!B378)</f>
        <v>25.540450189436147</v>
      </c>
      <c r="EC339" s="34">
        <f t="shared" si="103"/>
        <v>25.050854271384292</v>
      </c>
      <c r="EE339" s="32">
        <f>HAVERM!C378</f>
        <v>2292</v>
      </c>
      <c r="EF339" s="32">
        <f>HAVERM!B378-HAVERM!C378</f>
        <v>6682</v>
      </c>
    </row>
    <row r="340" spans="131:136">
      <c r="EA340" s="152">
        <v>44197</v>
      </c>
      <c r="EB340" s="34">
        <f>100*(HAVERM!C379/HAVERM!B379)</f>
        <v>25.315748295518052</v>
      </c>
      <c r="EC340" s="34">
        <f t="shared" si="103"/>
        <v>25.050854271384292</v>
      </c>
      <c r="EE340" s="32">
        <f>HAVERM!C379</f>
        <v>2265</v>
      </c>
      <c r="EF340" s="32">
        <f>HAVERM!B379-HAVERM!C379</f>
        <v>6682</v>
      </c>
    </row>
    <row r="341" spans="131:136">
      <c r="EA341" s="152">
        <v>44228</v>
      </c>
      <c r="EB341" s="34">
        <f>100*(HAVERM!C380/HAVERM!B380)</f>
        <v>25.550758330565703</v>
      </c>
      <c r="EC341" s="34">
        <f t="shared" si="103"/>
        <v>25.050854271384292</v>
      </c>
      <c r="EE341" s="32">
        <f>HAVERM!C380</f>
        <v>2308</v>
      </c>
      <c r="EF341" s="32">
        <f>HAVERM!B380-HAVERM!C380</f>
        <v>6725</v>
      </c>
    </row>
    <row r="342" spans="131:136">
      <c r="EA342" s="152">
        <v>44256</v>
      </c>
      <c r="EB342" s="34">
        <f>100*(HAVERM!C381/HAVERM!B381)</f>
        <v>25.314500110350917</v>
      </c>
      <c r="EC342" s="34">
        <f t="shared" si="103"/>
        <v>25.050854271384292</v>
      </c>
      <c r="EE342" s="32">
        <f>HAVERM!C381</f>
        <v>2294</v>
      </c>
      <c r="EF342" s="32">
        <f>HAVERM!B381-HAVERM!C381</f>
        <v>6768</v>
      </c>
    </row>
    <row r="343" spans="131:136">
      <c r="EA343" s="152">
        <v>44287</v>
      </c>
      <c r="EB343" s="34">
        <f>100*(HAVERM!C382/HAVERM!B382)</f>
        <v>25.538020086083215</v>
      </c>
      <c r="EC343" s="34">
        <f t="shared" si="103"/>
        <v>25.050854271384292</v>
      </c>
      <c r="EE343" s="32">
        <f>HAVERM!C382</f>
        <v>2314</v>
      </c>
      <c r="EF343" s="32">
        <f>HAVERM!B382-HAVERM!C382</f>
        <v>6747</v>
      </c>
    </row>
    <row r="344" spans="131:136">
      <c r="EA344" s="152">
        <v>44317</v>
      </c>
      <c r="EB344" s="34">
        <f>100*(HAVERM!C383/HAVERM!B383)</f>
        <v>25.491939966648136</v>
      </c>
      <c r="EC344" s="34">
        <f t="shared" si="103"/>
        <v>25.050854271384292</v>
      </c>
      <c r="EE344" s="32">
        <f>HAVERM!C383</f>
        <v>2293</v>
      </c>
      <c r="EF344" s="32">
        <f>HAVERM!B383-HAVERM!C383</f>
        <v>6702</v>
      </c>
    </row>
    <row r="345" spans="131:136">
      <c r="EA345" s="152">
        <v>44348</v>
      </c>
      <c r="EB345" s="34">
        <f>100*(HAVERM!C384/HAVERM!B384)</f>
        <v>25.935412026726056</v>
      </c>
      <c r="EC345" s="34">
        <f t="shared" si="103"/>
        <v>25.050854271384292</v>
      </c>
      <c r="EE345" s="32">
        <f>HAVERM!C384</f>
        <v>2329</v>
      </c>
      <c r="EF345" s="32">
        <f>HAVERM!B384-HAVERM!C384</f>
        <v>6651</v>
      </c>
    </row>
    <row r="346" spans="131:136">
      <c r="EA346" s="152">
        <v>44378</v>
      </c>
      <c r="EB346" s="34">
        <f>100*(HAVERM!C385/HAVERM!B385)</f>
        <v>26.386873534992745</v>
      </c>
      <c r="EC346" s="34">
        <f t="shared" si="103"/>
        <v>25.050854271384292</v>
      </c>
      <c r="EE346" s="32">
        <f>HAVERM!C385</f>
        <v>2364</v>
      </c>
      <c r="EF346" s="32">
        <f>HAVERM!B385-HAVERM!C385</f>
        <v>6595</v>
      </c>
    </row>
    <row r="347" spans="131:136">
      <c r="EA347" s="152">
        <v>44409</v>
      </c>
      <c r="EB347" s="34">
        <f>100*(HAVERM!C386/HAVERM!B386)</f>
        <v>26.645103725184029</v>
      </c>
      <c r="EC347" s="34">
        <f t="shared" si="103"/>
        <v>25.050854271384292</v>
      </c>
      <c r="EE347" s="32">
        <f>HAVERM!C386</f>
        <v>2389</v>
      </c>
      <c r="EF347" s="32">
        <f>HAVERM!B386-HAVERM!C386</f>
        <v>6577</v>
      </c>
    </row>
    <row r="348" spans="131:136">
      <c r="EA348" s="152">
        <v>44440</v>
      </c>
      <c r="EB348" s="34">
        <f>100*(HAVERM!C387/HAVERM!B387)</f>
        <v>26.643023384683584</v>
      </c>
      <c r="EC348" s="34">
        <f t="shared" si="103"/>
        <v>25.050854271384292</v>
      </c>
      <c r="EE348" s="32">
        <f>HAVERM!C387</f>
        <v>2404</v>
      </c>
      <c r="EF348" s="32">
        <f>HAVERM!B387-HAVERM!C387</f>
        <v>6619</v>
      </c>
    </row>
    <row r="349" spans="131:136">
      <c r="EA349" s="152">
        <v>44470</v>
      </c>
      <c r="EB349" s="34">
        <f>100*(HAVERM!C388/HAVERM!B388)</f>
        <v>27.113220039726333</v>
      </c>
      <c r="EC349" s="34">
        <f t="shared" si="103"/>
        <v>25.050854271384292</v>
      </c>
      <c r="EE349" s="32">
        <f>HAVERM!C388</f>
        <v>2457</v>
      </c>
      <c r="EF349" s="32">
        <f>HAVERM!B388-HAVERM!C388</f>
        <v>6605</v>
      </c>
    </row>
    <row r="350" spans="131:136">
      <c r="EA350" s="152">
        <v>44501</v>
      </c>
      <c r="EB350" s="34">
        <f>100*(HAVERM!C389/HAVERM!B389)</f>
        <v>26.895027624309392</v>
      </c>
      <c r="EC350" s="34">
        <f t="shared" si="103"/>
        <v>25.050854271384292</v>
      </c>
      <c r="EE350" s="32">
        <f>HAVERM!C389</f>
        <v>2434</v>
      </c>
      <c r="EF350" s="32">
        <f>HAVERM!B389-HAVERM!C389</f>
        <v>6616</v>
      </c>
    </row>
    <row r="351" spans="131:136">
      <c r="EA351" s="152">
        <v>44531</v>
      </c>
      <c r="EB351" s="34">
        <f>100*(HAVERM!C390/HAVERM!B390)</f>
        <v>26.862550896885661</v>
      </c>
      <c r="EC351" s="34">
        <f t="shared" si="103"/>
        <v>25.050854271384292</v>
      </c>
      <c r="EE351" s="32">
        <f>HAVERM!C390</f>
        <v>2441</v>
      </c>
      <c r="EF351" s="32">
        <f>HAVERM!B390-HAVERM!C390</f>
        <v>6646</v>
      </c>
    </row>
    <row r="352" spans="131:136">
      <c r="EA352" s="152">
        <v>44562</v>
      </c>
      <c r="EB352" s="34">
        <f>100*(HAVERM!C391/HAVERM!B391)</f>
        <v>26.847909160388689</v>
      </c>
      <c r="EC352" s="34">
        <f t="shared" si="103"/>
        <v>25.050854271384292</v>
      </c>
      <c r="EE352" s="32">
        <f>HAVERM!C391</f>
        <v>2459</v>
      </c>
      <c r="EF352" s="32">
        <f>HAVERM!B391-HAVERM!C391</f>
        <v>6700</v>
      </c>
    </row>
    <row r="353" spans="131:136">
      <c r="EA353" s="152">
        <v>44593</v>
      </c>
      <c r="EB353" s="34">
        <f>100*(HAVERM!C392/HAVERM!B392)</f>
        <v>26.588209654571209</v>
      </c>
      <c r="EC353" s="34">
        <f t="shared" si="103"/>
        <v>25.050854271384292</v>
      </c>
      <c r="EE353" s="32">
        <f>HAVERM!C392</f>
        <v>2440</v>
      </c>
      <c r="EF353" s="32">
        <f>HAVERM!B392-HAVERM!C392</f>
        <v>6737</v>
      </c>
    </row>
    <row r="354" spans="131:136">
      <c r="EA354" s="152">
        <v>44621</v>
      </c>
      <c r="EB354" s="34">
        <f>100*(HAVERM!C393/HAVERM!B393)</f>
        <v>27.068984366458949</v>
      </c>
      <c r="EC354" s="34">
        <f t="shared" si="103"/>
        <v>25.050854271384292</v>
      </c>
      <c r="EE354" s="32">
        <f>HAVERM!C393</f>
        <v>2476</v>
      </c>
      <c r="EF354" s="32">
        <f>HAVERM!B393-HAVERM!C393</f>
        <v>6671</v>
      </c>
    </row>
    <row r="355" spans="131:136">
      <c r="EA355" s="152">
        <v>44652</v>
      </c>
      <c r="EB355" s="34">
        <f>100*(HAVERM!C394/HAVERM!B394)</f>
        <v>26.924347538817312</v>
      </c>
      <c r="EC355" s="34">
        <f t="shared" si="103"/>
        <v>25.050854271384292</v>
      </c>
      <c r="EE355" s="32">
        <f>HAVERM!C394</f>
        <v>2445</v>
      </c>
      <c r="EF355" s="32">
        <f>HAVERM!B394-HAVERM!C394</f>
        <v>6636</v>
      </c>
    </row>
    <row r="356" spans="131:136">
      <c r="EA356" s="152">
        <v>44682</v>
      </c>
      <c r="EB356" s="34">
        <f>100*(HAVERM!C395/HAVERM!B395)</f>
        <v>27.162235485621274</v>
      </c>
      <c r="EC356" s="34">
        <f t="shared" si="103"/>
        <v>25.050854271384292</v>
      </c>
      <c r="EE356" s="32">
        <f>HAVERM!C395</f>
        <v>2503</v>
      </c>
      <c r="EF356" s="32">
        <f>HAVERM!B395-HAVERM!C395</f>
        <v>6712</v>
      </c>
    </row>
    <row r="357" spans="131:136">
      <c r="EA357" s="152">
        <v>44713</v>
      </c>
      <c r="EB357" s="34">
        <f>100*(HAVERM!C396/HAVERM!B396)</f>
        <v>27.713427713427713</v>
      </c>
      <c r="EC357" s="34">
        <f t="shared" si="103"/>
        <v>25.050854271384292</v>
      </c>
      <c r="EE357" s="32">
        <f>HAVERM!C396</f>
        <v>2584</v>
      </c>
      <c r="EF357" s="32">
        <f>HAVERM!B396-HAVERM!C396</f>
        <v>6740</v>
      </c>
    </row>
    <row r="358" spans="131:136">
      <c r="EA358" s="152">
        <v>44743</v>
      </c>
      <c r="EB358" s="34">
        <f>100*(HAVERM!C397/HAVERM!B397)</f>
        <v>28.284239948398195</v>
      </c>
      <c r="EC358" s="34">
        <f t="shared" si="103"/>
        <v>25.050854271384292</v>
      </c>
      <c r="EE358" s="32">
        <f>HAVERM!C397</f>
        <v>2631</v>
      </c>
      <c r="EF358" s="32">
        <f>HAVERM!B397-HAVERM!C397</f>
        <v>6671</v>
      </c>
    </row>
    <row r="359" spans="131:136">
      <c r="EA359" s="152">
        <v>44774</v>
      </c>
      <c r="EB359" s="34">
        <f>100*(HAVERM!C398/HAVERM!B398)</f>
        <v>28.308784001720245</v>
      </c>
      <c r="EC359" s="34">
        <f t="shared" si="103"/>
        <v>25.050854271384292</v>
      </c>
      <c r="EE359" s="32">
        <f>HAVERM!C398</f>
        <v>2633</v>
      </c>
      <c r="EF359" s="32">
        <f>HAVERM!B398-HAVERM!C398</f>
        <v>6668</v>
      </c>
    </row>
    <row r="360" spans="131:136">
      <c r="EA360" s="152">
        <v>44805</v>
      </c>
      <c r="EB360" s="34">
        <f>100*(HAVERM!C399/HAVERM!B399)</f>
        <v>27.984429065743942</v>
      </c>
      <c r="EC360" s="34">
        <f t="shared" si="103"/>
        <v>25.050854271384292</v>
      </c>
      <c r="EE360" s="32">
        <f>HAVERM!C399</f>
        <v>2588</v>
      </c>
      <c r="EF360" s="32">
        <f>HAVERM!B399-HAVERM!C399</f>
        <v>6660</v>
      </c>
    </row>
    <row r="361" spans="131:136">
      <c r="EA361" s="152">
        <v>44835</v>
      </c>
      <c r="EB361" s="34">
        <f>100*(HAVERM!C400/HAVERM!B400)</f>
        <v>27.813209382769433</v>
      </c>
      <c r="EC361" s="34">
        <f t="shared" si="103"/>
        <v>25.050854271384292</v>
      </c>
      <c r="EE361" s="32">
        <f>HAVERM!C400</f>
        <v>2573</v>
      </c>
      <c r="EF361" s="32">
        <f>HAVERM!B400-HAVERM!C400</f>
        <v>6678</v>
      </c>
    </row>
    <row r="362" spans="131:136">
      <c r="EA362" s="152">
        <v>44866</v>
      </c>
      <c r="EB362" s="34">
        <f>100*(HAVERM!C401/HAVERM!B401)</f>
        <v>28.114111498257838</v>
      </c>
      <c r="EC362" s="34">
        <f t="shared" si="103"/>
        <v>25.050854271384292</v>
      </c>
      <c r="EE362" s="32">
        <f>HAVERM!C401</f>
        <v>2582</v>
      </c>
      <c r="EF362" s="32">
        <f>HAVERM!B401-HAVERM!C401</f>
        <v>6602</v>
      </c>
    </row>
    <row r="363" spans="131:136">
      <c r="EA363" s="152">
        <v>44896</v>
      </c>
      <c r="EB363" s="34">
        <f>100*(HAVERM!C402/HAVERM!B402)</f>
        <v>29.004893964110927</v>
      </c>
      <c r="EC363" s="34">
        <f t="shared" si="103"/>
        <v>25.050854271384292</v>
      </c>
      <c r="EE363" s="32">
        <f>HAVERM!C402</f>
        <v>2667</v>
      </c>
      <c r="EF363" s="32">
        <f>HAVERM!B402-HAVERM!C402</f>
        <v>6528</v>
      </c>
    </row>
    <row r="364" spans="131:136">
      <c r="EA364" s="152">
        <v>44927</v>
      </c>
      <c r="EB364" s="34">
        <f>100*(HAVERM!C403/HAVERM!B403)</f>
        <v>29.454743729552892</v>
      </c>
      <c r="EC364" s="34">
        <f t="shared" si="103"/>
        <v>25.050854271384292</v>
      </c>
      <c r="EE364" s="32">
        <f>HAVERM!C403</f>
        <v>2701</v>
      </c>
      <c r="EF364" s="32">
        <f>HAVERM!B403-HAVERM!C403</f>
        <v>6469</v>
      </c>
    </row>
    <row r="365" spans="131:136">
      <c r="EA365" s="152">
        <v>44958</v>
      </c>
      <c r="EB365" s="34">
        <f>100*(HAVERM!C404/HAVERM!B404)</f>
        <v>29.617030615604083</v>
      </c>
      <c r="EC365" s="34">
        <f t="shared" si="103"/>
        <v>25.050854271384292</v>
      </c>
      <c r="EE365" s="32">
        <f>HAVERM!C404</f>
        <v>2699</v>
      </c>
      <c r="EF365" s="32">
        <f>HAVERM!B404-HAVERM!C404</f>
        <v>6414</v>
      </c>
    </row>
    <row r="366" spans="131:136">
      <c r="EA366" s="152">
        <v>44986</v>
      </c>
      <c r="EB366" s="34">
        <f>100*(HAVERM!C405/HAVERM!B405)</f>
        <v>29.748788012340238</v>
      </c>
      <c r="EC366" s="34">
        <f t="shared" si="103"/>
        <v>25.050854271384292</v>
      </c>
      <c r="EE366" s="32">
        <f>HAVERM!C405</f>
        <v>2700</v>
      </c>
      <c r="EF366" s="32">
        <f>HAVERM!B405-HAVERM!C405</f>
        <v>6376</v>
      </c>
    </row>
    <row r="367" spans="131:136">
      <c r="EA367" s="152">
        <v>45017</v>
      </c>
      <c r="EB367" s="34">
        <f>100*(HAVERM!C406/HAVERM!B406)</f>
        <v>29.491712707182323</v>
      </c>
      <c r="EC367" s="34">
        <f t="shared" si="103"/>
        <v>25.050854271384292</v>
      </c>
      <c r="EE367" s="32">
        <f>HAVERM!C406</f>
        <v>2669</v>
      </c>
      <c r="EF367" s="32">
        <f>HAVERM!B406-HAVERM!C406</f>
        <v>6381</v>
      </c>
    </row>
    <row r="368" spans="131:136">
      <c r="EA368" s="152">
        <v>45047</v>
      </c>
      <c r="EB368" s="34">
        <f>100*(HAVERM!C407/HAVERM!B407)</f>
        <v>29.781150335422851</v>
      </c>
      <c r="EC368" s="34">
        <f t="shared" si="103"/>
        <v>25.050854271384292</v>
      </c>
      <c r="EE368" s="32">
        <f>HAVERM!C407</f>
        <v>2708</v>
      </c>
      <c r="EF368" s="32">
        <f>HAVERM!B407-HAVERM!C407</f>
        <v>6385</v>
      </c>
    </row>
    <row r="369" spans="131:136">
      <c r="EA369" s="152">
        <v>45078</v>
      </c>
      <c r="EB369" s="34">
        <f>100*(HAVERM!C408/HAVERM!B408)</f>
        <v>29.771490750816103</v>
      </c>
      <c r="EC369" s="34">
        <f t="shared" si="103"/>
        <v>25.050854271384292</v>
      </c>
      <c r="EE369" s="32">
        <f>HAVERM!C408</f>
        <v>2736</v>
      </c>
      <c r="EF369" s="32">
        <f>HAVERM!B408-HAVERM!C408</f>
        <v>6454</v>
      </c>
    </row>
    <row r="370" spans="131:136">
      <c r="EA370" s="152">
        <v>45108</v>
      </c>
      <c r="EB370" s="34">
        <f>100*(HAVERM!C409/HAVERM!B409)</f>
        <v>29.312567132116001</v>
      </c>
      <c r="EC370" s="34">
        <f t="shared" si="103"/>
        <v>25.050854271384292</v>
      </c>
      <c r="EE370" s="32">
        <f>HAVERM!C409</f>
        <v>2729</v>
      </c>
      <c r="EF370" s="32">
        <f>HAVERM!B409-HAVERM!C409</f>
        <v>6581</v>
      </c>
    </row>
    <row r="371" spans="131:136">
      <c r="EA371" s="152">
        <v>45139</v>
      </c>
      <c r="EB371" s="34">
        <f>100*(HAVERM!C410/HAVERM!B410)</f>
        <v>29.489664082687341</v>
      </c>
      <c r="EC371" s="34">
        <f t="shared" si="103"/>
        <v>25.050854271384292</v>
      </c>
      <c r="EE371" s="32">
        <f>HAVERM!C410</f>
        <v>2739</v>
      </c>
      <c r="EF371" s="32">
        <f>HAVERM!B410-HAVERM!C410</f>
        <v>6549</v>
      </c>
    </row>
    <row r="372" spans="131:136">
      <c r="EA372" s="152">
        <v>45170</v>
      </c>
      <c r="EB372" s="34">
        <f>100*(HAVERM!C411/HAVERM!B411)</f>
        <v>30.253001715265864</v>
      </c>
      <c r="EC372" s="34">
        <f t="shared" si="103"/>
        <v>25.050854271384292</v>
      </c>
      <c r="EE372" s="32">
        <f>HAVERM!C411</f>
        <v>2822</v>
      </c>
      <c r="EF372" s="32">
        <f>HAVERM!B411-HAVERM!C411</f>
        <v>6506</v>
      </c>
    </row>
    <row r="373" spans="131:136">
      <c r="EA373" s="152">
        <v>45200</v>
      </c>
      <c r="EB373" s="34">
        <f>100*(HAVERM!C412/HAVERM!B412)</f>
        <v>30.52058886281203</v>
      </c>
      <c r="EC373" s="34">
        <f t="shared" si="103"/>
        <v>25.050854271384292</v>
      </c>
      <c r="EE373" s="32">
        <f>HAVERM!C412</f>
        <v>2861</v>
      </c>
      <c r="EF373" s="32">
        <f>HAVERM!B412-HAVERM!C412</f>
        <v>6513</v>
      </c>
    </row>
    <row r="374" spans="131:136">
      <c r="EA374" s="152">
        <v>45231</v>
      </c>
      <c r="EB374" s="34">
        <f>100*(HAVERM!C413/HAVERM!B413)</f>
        <v>30.214528462192014</v>
      </c>
      <c r="EC374" s="34">
        <f t="shared" si="103"/>
        <v>25.050854271384292</v>
      </c>
      <c r="EE374" s="32">
        <f>HAVERM!C413</f>
        <v>2845</v>
      </c>
      <c r="EF374" s="32">
        <f>HAVERM!B413-HAVERM!C413</f>
        <v>6571</v>
      </c>
    </row>
    <row r="375" spans="131:136">
      <c r="EA375" s="152">
        <v>45261</v>
      </c>
      <c r="EB375" s="34">
        <f>100*(HAVERM!C414/HAVERM!B414)</f>
        <v>29.892974462223165</v>
      </c>
      <c r="EC375" s="34">
        <f t="shared" si="103"/>
        <v>25.050854271384292</v>
      </c>
      <c r="EE375" s="32">
        <f>HAVERM!C414</f>
        <v>2821</v>
      </c>
      <c r="EF375" s="32">
        <f>HAVERM!B414-HAVERM!C414</f>
        <v>6616</v>
      </c>
    </row>
    <row r="376" spans="131:136">
      <c r="EA376" s="152">
        <v>45292</v>
      </c>
      <c r="EB376" s="34">
        <f>100*(HAVERM!C415/HAVERM!B415)</f>
        <v>29.973558963511373</v>
      </c>
      <c r="EC376" s="34">
        <f t="shared" si="103"/>
        <v>25.050854271384292</v>
      </c>
      <c r="EE376" s="32">
        <f>HAVERM!C415</f>
        <v>2834</v>
      </c>
      <c r="EF376" s="32">
        <f>HAVERM!B415-HAVERM!C415</f>
        <v>6621</v>
      </c>
    </row>
    <row r="377" spans="131:136">
      <c r="EA377" s="152">
        <v>45323</v>
      </c>
      <c r="EB377" s="34">
        <f>100*(HAVERM!C416/HAVERM!B416)</f>
        <v>29.857067231339336</v>
      </c>
      <c r="EC377" s="34">
        <f t="shared" si="103"/>
        <v>25.050854271384292</v>
      </c>
      <c r="EE377" s="32">
        <f>HAVERM!C416</f>
        <v>2820</v>
      </c>
      <c r="EF377" s="32">
        <f>HAVERM!B416-HAVERM!C416</f>
        <v>6625</v>
      </c>
    </row>
    <row r="378" spans="131:136">
      <c r="EA378" s="152">
        <v>45352</v>
      </c>
      <c r="EB378" s="34">
        <f>100*(HAVERM!C417/HAVERM!B417)</f>
        <v>29.915700737618543</v>
      </c>
      <c r="EC378" s="34">
        <f t="shared" si="103"/>
        <v>25.050854271384292</v>
      </c>
      <c r="EE378" s="32">
        <f>HAVERM!C417</f>
        <v>2839</v>
      </c>
      <c r="EF378" s="32">
        <f>HAVERM!B417-HAVERM!C417</f>
        <v>6651</v>
      </c>
    </row>
    <row r="379" spans="131:136">
      <c r="EA379" s="152">
        <v>45383</v>
      </c>
      <c r="EB379" s="34">
        <f>100*(HAVERM!C418/HAVERM!B418)</f>
        <v>29.93341084451961</v>
      </c>
      <c r="EC379" s="34">
        <f t="shared" si="103"/>
        <v>25.050854271384292</v>
      </c>
      <c r="EE379" s="32">
        <f>HAVERM!C418</f>
        <v>2832</v>
      </c>
      <c r="EF379" s="32">
        <f>HAVERM!B418-HAVERM!C418</f>
        <v>6629</v>
      </c>
    </row>
    <row r="380" spans="131:136">
      <c r="EA380" s="152">
        <v>45413</v>
      </c>
      <c r="EB380" s="34">
        <f>100*(HAVERM!C419/HAVERM!B419)</f>
        <v>29.819563152896489</v>
      </c>
      <c r="EC380" s="34">
        <f t="shared" si="103"/>
        <v>25.050854271384292</v>
      </c>
      <c r="EE380" s="32">
        <f>HAVERM!C419</f>
        <v>2826</v>
      </c>
      <c r="EF380" s="32">
        <f>HAVERM!B419-HAVERM!C419</f>
        <v>6651</v>
      </c>
    </row>
    <row r="381" spans="131:136">
      <c r="EA381" s="152">
        <v>45444</v>
      </c>
      <c r="EB381" s="34">
        <f>100*(HAVERM!C420/HAVERM!B420)</f>
        <v>30.12432260121135</v>
      </c>
      <c r="EC381" s="34">
        <f t="shared" si="103"/>
        <v>25.050854271384292</v>
      </c>
      <c r="EE381" s="32">
        <f>HAVERM!C420</f>
        <v>2835</v>
      </c>
      <c r="EF381" s="32">
        <f>HAVERM!B420-HAVERM!C420</f>
        <v>6576</v>
      </c>
    </row>
    <row r="382" spans="131:136">
      <c r="EA382" s="152">
        <v>45474</v>
      </c>
      <c r="EB382" s="34">
        <f>100*(HAVERM!C421/HAVERM!B421)</f>
        <v>29.822497861420018</v>
      </c>
      <c r="EC382" s="34">
        <f t="shared" si="103"/>
        <v>25.050854271384292</v>
      </c>
      <c r="EE382" s="32">
        <f>HAVERM!C421</f>
        <v>2789</v>
      </c>
      <c r="EF382" s="32">
        <f>HAVERM!B421-HAVERM!C421</f>
        <v>6563</v>
      </c>
    </row>
    <row r="383" spans="131:136">
      <c r="EA383" s="152">
        <v>45505</v>
      </c>
      <c r="EB383" s="34">
        <f>100*(HAVERM!C422/HAVERM!B422)</f>
        <v>29.998925539916193</v>
      </c>
      <c r="EC383" s="34">
        <f t="shared" si="103"/>
        <v>25.050854271384292</v>
      </c>
      <c r="EE383" s="32">
        <f>HAVERM!C422</f>
        <v>2792</v>
      </c>
      <c r="EF383" s="32">
        <f>HAVERM!B422-HAVERM!C422</f>
        <v>6515</v>
      </c>
    </row>
    <row r="384" spans="131:136">
      <c r="EA384" s="152">
        <v>45536</v>
      </c>
      <c r="EB384" s="34">
        <f>100*(HAVERM!C423/HAVERM!B423)</f>
        <v>29.947498124933031</v>
      </c>
      <c r="EC384" s="34">
        <f t="shared" si="103"/>
        <v>25.050854271384292</v>
      </c>
      <c r="EE384" s="32">
        <f>HAVERM!C423</f>
        <v>2795</v>
      </c>
      <c r="EF384" s="32">
        <f>HAVERM!B423-HAVERM!C423</f>
        <v>6538</v>
      </c>
    </row>
    <row r="385" spans="131:136">
      <c r="EA385" s="152">
        <v>45566</v>
      </c>
      <c r="EB385" s="34">
        <f>100*(HAVERM!C424/HAVERM!B424)</f>
        <v>30.256795960030086</v>
      </c>
      <c r="EC385" s="34">
        <f t="shared" si="103"/>
        <v>25.050854271384292</v>
      </c>
      <c r="EE385" s="32">
        <f>HAVERM!C424</f>
        <v>2816</v>
      </c>
      <c r="EF385" s="32">
        <f>HAVERM!B424-HAVERM!C424</f>
        <v>6491</v>
      </c>
    </row>
    <row r="386" spans="131:136">
      <c r="EA386" s="152">
        <v>45597</v>
      </c>
      <c r="EB386" s="34">
        <f>100*(HAVERM!C425/HAVERM!B425)</f>
        <v>29.850263923300659</v>
      </c>
      <c r="EC386" s="34">
        <f t="shared" si="103"/>
        <v>25.050854271384292</v>
      </c>
      <c r="EE386" s="32">
        <f>HAVERM!C425</f>
        <v>2771</v>
      </c>
      <c r="EF386" s="32">
        <f>HAVERM!B425-HAVERM!C425</f>
        <v>6512</v>
      </c>
    </row>
    <row r="387" spans="131:136">
      <c r="EA387" s="152">
        <v>45627</v>
      </c>
      <c r="EB387" s="34">
        <f>100*(HAVERM!C426/HAVERM!B426)</f>
        <v>30.340958135520069</v>
      </c>
      <c r="EC387" s="34">
        <f t="shared" si="103"/>
        <v>25.050854271384292</v>
      </c>
      <c r="EE387" s="32">
        <f>HAVERM!C426</f>
        <v>2812</v>
      </c>
      <c r="EF387" s="32">
        <f>HAVERM!B426-HAVERM!C426</f>
        <v>6456</v>
      </c>
    </row>
    <row r="388" spans="131:136">
      <c r="EA388" s="152">
        <v>45658</v>
      </c>
      <c r="EB388" s="34">
        <f>100*(HAVERM!C427/HAVERM!B427)</f>
        <v>30.192974848222033</v>
      </c>
      <c r="EC388" s="34">
        <f t="shared" si="103"/>
        <v>25.050854271384292</v>
      </c>
      <c r="EE388" s="32">
        <f>HAVERM!C427</f>
        <v>2785</v>
      </c>
      <c r="EF388" s="32">
        <f>HAVERM!B427-HAVERM!C427</f>
        <v>6439</v>
      </c>
    </row>
    <row r="389" spans="131:136">
      <c r="EA389" s="152">
        <v>45689</v>
      </c>
      <c r="EB389" s="34">
        <f>100*(HAVERM!C428/HAVERM!B428)</f>
        <v>30.111604724238809</v>
      </c>
      <c r="EC389" s="34">
        <f t="shared" ref="EC389:EC399" si="104">AVERAGE($EB$7:$EB$399)</f>
        <v>25.050854271384292</v>
      </c>
      <c r="EE389" s="32">
        <f>HAVERM!C428</f>
        <v>2779</v>
      </c>
      <c r="EF389" s="32">
        <f>HAVERM!B428-HAVERM!C428</f>
        <v>6450</v>
      </c>
    </row>
    <row r="390" spans="131:136">
      <c r="EA390" s="152">
        <v>45717</v>
      </c>
      <c r="EB390" s="34">
        <f>100*(HAVERM!C429/HAVERM!B429)</f>
        <v>30.434309350168714</v>
      </c>
      <c r="EC390" s="34">
        <f t="shared" si="104"/>
        <v>25.050854271384292</v>
      </c>
      <c r="EE390" s="32">
        <f>HAVERM!C429</f>
        <v>2796</v>
      </c>
      <c r="EF390" s="32">
        <f>HAVERM!B429-HAVERM!C429</f>
        <v>6391</v>
      </c>
    </row>
    <row r="391" spans="131:136">
      <c r="EA391" s="152">
        <v>45748</v>
      </c>
      <c r="EB391" s="34">
        <f>100*(HAVERM!C430/HAVERM!B430)</f>
        <v>30.632911392405067</v>
      </c>
      <c r="EC391" s="34">
        <f t="shared" si="104"/>
        <v>25.050854271384292</v>
      </c>
      <c r="EE391" s="32">
        <f>HAVERM!C430</f>
        <v>2783</v>
      </c>
      <c r="EF391" s="32">
        <f>HAVERM!B430-HAVERM!C430</f>
        <v>6302</v>
      </c>
    </row>
    <row r="392" spans="131:136">
      <c r="EA392" s="152">
        <v>45778</v>
      </c>
      <c r="EB392" s="34">
        <f>100*(HAVERM!C431/HAVERM!B431)</f>
        <v>30.695470076049819</v>
      </c>
      <c r="EC392" s="34">
        <f t="shared" si="104"/>
        <v>25.050854271384292</v>
      </c>
      <c r="EE392" s="32">
        <f>HAVERM!C431</f>
        <v>2785</v>
      </c>
      <c r="EF392" s="32">
        <f>HAVERM!B431-HAVERM!C431</f>
        <v>6288</v>
      </c>
    </row>
    <row r="393" spans="131:136">
      <c r="EA393" s="152">
        <v>45809</v>
      </c>
      <c r="EB393" s="34">
        <f>100*(HAVERM!C432/HAVERM!B432)</f>
        <v>30.655414291977202</v>
      </c>
      <c r="EC393" s="34">
        <f t="shared" si="104"/>
        <v>25.050854271384292</v>
      </c>
      <c r="EE393" s="32">
        <f>HAVERM!C432</f>
        <v>2797</v>
      </c>
      <c r="EF393" s="32">
        <f>HAVERM!B432-HAVERM!C432</f>
        <v>6327</v>
      </c>
    </row>
    <row r="394" spans="131:136">
      <c r="EA394" s="152">
        <v>45839</v>
      </c>
      <c r="EB394" s="34">
        <f>100*(HAVERM!C433/HAVERM!B433)</f>
        <v>30.970927043335163</v>
      </c>
      <c r="EC394" s="34">
        <f t="shared" si="104"/>
        <v>25.050854271384292</v>
      </c>
      <c r="EE394" s="32">
        <f>HAVERM!C433</f>
        <v>2823</v>
      </c>
      <c r="EF394" s="32">
        <f>HAVERM!B433-HAVERM!C433</f>
        <v>6292</v>
      </c>
    </row>
    <row r="395" spans="131:136">
      <c r="EA395" s="152">
        <v>45870</v>
      </c>
      <c r="EB395" s="34">
        <f>100*(HAVERM!C434/HAVERM!B434)</f>
        <v>31.079295154185022</v>
      </c>
      <c r="EC395" s="34">
        <f t="shared" si="104"/>
        <v>25.050854271384292</v>
      </c>
      <c r="EE395" s="32">
        <f>HAVERM!C434</f>
        <v>2822</v>
      </c>
      <c r="EF395" s="32">
        <f>HAVERM!B434-HAVERM!C434</f>
        <v>6258</v>
      </c>
    </row>
    <row r="396" spans="131:136">
      <c r="EA396" s="152">
        <v>45901</v>
      </c>
      <c r="EB396" s="34">
        <f>100*(HAVERM!C435/HAVERM!B435)</f>
        <v>30.882514562039788</v>
      </c>
      <c r="EC396" s="34">
        <f t="shared" si="104"/>
        <v>25.050854271384292</v>
      </c>
      <c r="EE396" s="32">
        <f>HAVERM!C435</f>
        <v>2810</v>
      </c>
      <c r="EF396" s="32">
        <f>HAVERM!B435-HAVERM!C435</f>
        <v>6289</v>
      </c>
    </row>
    <row r="397" spans="131:136">
      <c r="EA397" s="152">
        <v>45931</v>
      </c>
      <c r="EB397" s="34">
        <f>100*(HAVERM!C436/HAVERM!B436)</f>
        <v>31.160625207848351</v>
      </c>
      <c r="EC397" s="34">
        <f t="shared" si="104"/>
        <v>25.050854271384292</v>
      </c>
      <c r="EE397" s="32">
        <f>HAVERM!C436</f>
        <v>2811</v>
      </c>
      <c r="EF397" s="32">
        <f>HAVERM!B436-HAVERM!C436</f>
        <v>6210</v>
      </c>
    </row>
    <row r="398" spans="131:136">
      <c r="EA398" s="152">
        <v>45962</v>
      </c>
      <c r="EB398" s="34"/>
      <c r="EC398" s="34">
        <f t="shared" si="104"/>
        <v>25.050854271384292</v>
      </c>
    </row>
    <row r="399" spans="131:136">
      <c r="EA399" s="152">
        <v>45992</v>
      </c>
      <c r="EB399" s="34"/>
      <c r="EC399" s="34">
        <f t="shared" si="104"/>
        <v>25.050854271384292</v>
      </c>
    </row>
    <row r="400" spans="131:136">
      <c r="EA400" s="152"/>
    </row>
    <row r="401" spans="131:131">
      <c r="EA401" s="152"/>
    </row>
    <row r="402" spans="131:131">
      <c r="EA402" s="152"/>
    </row>
    <row r="403" spans="131:131">
      <c r="EA403" s="152"/>
    </row>
    <row r="404" spans="131:131">
      <c r="EA404" s="152"/>
    </row>
    <row r="405" spans="131:131">
      <c r="EA405" s="152"/>
    </row>
    <row r="406" spans="131:131">
      <c r="EA406" s="152"/>
    </row>
    <row r="407" spans="131:131">
      <c r="EA407" s="152"/>
    </row>
    <row r="408" spans="131:131">
      <c r="EA408" s="152"/>
    </row>
    <row r="409" spans="131:131">
      <c r="EA409" s="152"/>
    </row>
    <row r="410" spans="131:131">
      <c r="EA410" s="15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FEFFB-EDE1-48FB-BD73-3C9E29E1F986}">
  <dimension ref="A1:AT159"/>
  <sheetViews>
    <sheetView showGridLines="0" zoomScaleNormal="100" zoomScaleSheetLayoutView="100" workbookViewId="0">
      <pane xSplit="3" ySplit="4" topLeftCell="D53" activePane="bottomRight" state="frozen"/>
      <selection pane="topRight" activeCell="D1" sqref="D1"/>
      <selection pane="bottomLeft" activeCell="A5" sqref="A5"/>
      <selection pane="bottomRight" activeCell="D66" sqref="D66"/>
    </sheetView>
  </sheetViews>
  <sheetFormatPr defaultColWidth="10" defaultRowHeight="15"/>
  <cols>
    <col min="1" max="1" width="8.42578125" style="96" customWidth="1"/>
    <col min="2" max="2" width="8.85546875" style="96" customWidth="1"/>
    <col min="3" max="3" width="2" style="227" customWidth="1"/>
    <col min="4" max="4" width="12.28515625" style="96" customWidth="1"/>
    <col min="5" max="5" width="1.140625" style="227" customWidth="1"/>
    <col min="6" max="6" width="11.140625" style="96" customWidth="1"/>
    <col min="7" max="7" width="15.140625" style="96" customWidth="1"/>
    <col min="8" max="8" width="16" style="96" customWidth="1"/>
    <col min="9" max="9" width="14" style="96" customWidth="1"/>
    <col min="10" max="10" width="8.7109375" style="96" customWidth="1"/>
    <col min="11" max="11" width="11.7109375" style="96" customWidth="1"/>
    <col min="12" max="12" width="1.140625" style="227" customWidth="1"/>
    <col min="13" max="13" width="12.28515625" style="227" customWidth="1"/>
    <col min="14" max="14" width="1.140625" style="227" customWidth="1"/>
    <col min="15" max="15" width="10" style="227" customWidth="1"/>
    <col min="16" max="16" width="15.140625" style="227" bestFit="1" customWidth="1"/>
    <col min="17" max="17" width="16" style="227" customWidth="1"/>
    <col min="18" max="18" width="14" style="227" customWidth="1"/>
    <col min="19" max="19" width="8.85546875" style="227" customWidth="1"/>
    <col min="20" max="20" width="11.140625" style="227" customWidth="1"/>
    <col min="21" max="46" width="10" style="227"/>
    <col min="47" max="16384" width="10" style="96"/>
  </cols>
  <sheetData>
    <row r="1" spans="1:26" ht="33.75" customHeight="1" thickBot="1">
      <c r="A1" s="93" t="s">
        <v>499</v>
      </c>
      <c r="B1" s="222"/>
      <c r="C1" s="126"/>
      <c r="D1" s="223"/>
      <c r="E1" s="126"/>
      <c r="F1" s="223"/>
      <c r="G1" s="126"/>
      <c r="H1" s="126"/>
      <c r="I1" s="126"/>
      <c r="J1" s="126"/>
      <c r="K1" s="126"/>
      <c r="L1" s="126"/>
      <c r="M1" s="126"/>
      <c r="N1" s="126"/>
      <c r="O1" s="224"/>
      <c r="P1" s="224"/>
      <c r="Q1" s="224"/>
      <c r="R1" s="225"/>
      <c r="S1" s="225"/>
      <c r="T1" s="225"/>
      <c r="U1" s="226"/>
    </row>
    <row r="2" spans="1:26" ht="19.5" thickBot="1">
      <c r="A2" s="95"/>
      <c r="B2" s="322" t="s">
        <v>1462</v>
      </c>
      <c r="C2" s="323"/>
      <c r="D2" s="323"/>
      <c r="E2" s="323"/>
      <c r="F2" s="323"/>
      <c r="G2" s="323"/>
      <c r="H2" s="323"/>
      <c r="I2" s="323"/>
      <c r="J2" s="323"/>
      <c r="K2" s="323"/>
      <c r="L2" s="323"/>
      <c r="M2" s="323"/>
      <c r="N2" s="323"/>
      <c r="O2" s="323"/>
      <c r="P2" s="323"/>
      <c r="Q2" s="323"/>
      <c r="R2" s="323"/>
      <c r="S2" s="323"/>
      <c r="T2" s="324"/>
    </row>
    <row r="3" spans="1:26" ht="15.75">
      <c r="A3" s="95"/>
      <c r="B3" s="228"/>
      <c r="C3" s="325" t="s">
        <v>683</v>
      </c>
      <c r="D3" s="325"/>
      <c r="E3" s="325"/>
      <c r="F3" s="325"/>
      <c r="G3" s="325"/>
      <c r="H3" s="325"/>
      <c r="I3" s="325"/>
      <c r="J3" s="325"/>
      <c r="K3" s="326"/>
      <c r="L3" s="327" t="s">
        <v>1463</v>
      </c>
      <c r="M3" s="328"/>
      <c r="N3" s="328"/>
      <c r="O3" s="328"/>
      <c r="P3" s="328"/>
      <c r="Q3" s="328"/>
      <c r="R3" s="328"/>
      <c r="S3" s="328"/>
      <c r="T3" s="329"/>
    </row>
    <row r="4" spans="1:26" ht="63">
      <c r="A4" s="95"/>
      <c r="B4" s="228"/>
      <c r="C4" s="229"/>
      <c r="D4" s="230" t="s">
        <v>1464</v>
      </c>
      <c r="E4" s="229"/>
      <c r="F4" s="230" t="s">
        <v>1465</v>
      </c>
      <c r="G4" s="230" t="s">
        <v>1466</v>
      </c>
      <c r="H4" s="231" t="s">
        <v>1467</v>
      </c>
      <c r="I4" s="231" t="s">
        <v>1468</v>
      </c>
      <c r="J4" s="232" t="s">
        <v>1469</v>
      </c>
      <c r="K4" s="232" t="s">
        <v>1470</v>
      </c>
      <c r="L4" s="229"/>
      <c r="M4" s="230" t="s">
        <v>1471</v>
      </c>
      <c r="N4" s="229"/>
      <c r="O4" s="232" t="s">
        <v>1465</v>
      </c>
      <c r="P4" s="232" t="s">
        <v>1472</v>
      </c>
      <c r="Q4" s="231" t="s">
        <v>1467</v>
      </c>
      <c r="R4" s="233" t="s">
        <v>1468</v>
      </c>
      <c r="S4" s="232" t="s">
        <v>1469</v>
      </c>
      <c r="T4" s="232" t="s">
        <v>1470</v>
      </c>
      <c r="V4" s="234"/>
      <c r="W4"/>
      <c r="X4"/>
      <c r="Y4"/>
      <c r="Z4"/>
    </row>
    <row r="5" spans="1:26" s="242" customFormat="1" ht="15.75">
      <c r="A5" s="235"/>
      <c r="B5" s="236" t="s">
        <v>564</v>
      </c>
      <c r="C5" s="237"/>
      <c r="D5" s="238">
        <v>660703.19869464845</v>
      </c>
      <c r="E5" s="239"/>
      <c r="F5" s="238">
        <v>53301</v>
      </c>
      <c r="G5" s="240">
        <v>61.24324648104713</v>
      </c>
      <c r="H5" s="240">
        <v>63.774380794351842</v>
      </c>
      <c r="I5" s="240">
        <v>3.9688888888888938</v>
      </c>
      <c r="J5" s="240">
        <v>31.777531471225007</v>
      </c>
      <c r="K5" s="240">
        <v>636.93144510731565</v>
      </c>
      <c r="L5" s="239"/>
      <c r="M5" s="241">
        <v>0.52524372310776002</v>
      </c>
      <c r="N5" s="239"/>
      <c r="O5" s="241">
        <v>0.57361737456838036</v>
      </c>
      <c r="P5" s="241">
        <v>0.46377685806073821</v>
      </c>
      <c r="Q5" s="241">
        <v>9.1576860953868078E-2</v>
      </c>
      <c r="R5" s="241">
        <v>0.37185945988631453</v>
      </c>
      <c r="S5" s="241">
        <v>-0.71858087590032094</v>
      </c>
      <c r="T5" s="108">
        <v>0.21058246574352513</v>
      </c>
      <c r="V5" s="243"/>
      <c r="W5"/>
      <c r="X5"/>
      <c r="Y5"/>
      <c r="Z5"/>
    </row>
    <row r="6" spans="1:26" s="242" customFormat="1" ht="15.75">
      <c r="A6" s="235"/>
      <c r="B6" s="236" t="s">
        <v>565</v>
      </c>
      <c r="C6" s="237"/>
      <c r="D6" s="238">
        <v>661753.04380341561</v>
      </c>
      <c r="E6" s="239"/>
      <c r="F6" s="238">
        <v>53381</v>
      </c>
      <c r="G6" s="240">
        <v>61.240665417316215</v>
      </c>
      <c r="H6" s="240">
        <v>63.776858489932529</v>
      </c>
      <c r="I6" s="240">
        <v>3.976666666666671</v>
      </c>
      <c r="J6" s="240">
        <v>31.727531471225006</v>
      </c>
      <c r="K6" s="240">
        <v>638.01818571899128</v>
      </c>
      <c r="L6" s="239"/>
      <c r="M6" s="241">
        <v>0.5137299899641512</v>
      </c>
      <c r="N6" s="239"/>
      <c r="O6" s="241">
        <v>0.59549608970130841</v>
      </c>
      <c r="P6" s="241">
        <v>0.23416933530455708</v>
      </c>
      <c r="Q6" s="241">
        <v>6.9588635837081192E-2</v>
      </c>
      <c r="R6" s="241">
        <v>0.16446624964794321</v>
      </c>
      <c r="S6" s="241">
        <v>-0.62641861360391848</v>
      </c>
      <c r="T6" s="108">
        <v>0.31366905616232454</v>
      </c>
      <c r="V6" s="243"/>
      <c r="W6"/>
      <c r="X6"/>
      <c r="Y6"/>
      <c r="Z6"/>
    </row>
    <row r="7" spans="1:26" s="242" customFormat="1" ht="15.75">
      <c r="A7" s="235"/>
      <c r="B7" s="236" t="s">
        <v>566</v>
      </c>
      <c r="C7" s="237"/>
      <c r="D7" s="238">
        <v>664170.11187846796</v>
      </c>
      <c r="E7" s="239"/>
      <c r="F7" s="238">
        <v>53435</v>
      </c>
      <c r="G7" s="240">
        <v>61.230210130497376</v>
      </c>
      <c r="H7" s="240">
        <v>63.771135600073642</v>
      </c>
      <c r="I7" s="240">
        <v>3.9844444444444496</v>
      </c>
      <c r="J7" s="240">
        <v>31.677531471225009</v>
      </c>
      <c r="K7" s="240">
        <v>640.82055463475251</v>
      </c>
      <c r="L7" s="239"/>
      <c r="M7" s="241">
        <v>0.78069577582864369</v>
      </c>
      <c r="N7" s="239"/>
      <c r="O7" s="241">
        <v>0.55324514028716187</v>
      </c>
      <c r="P7" s="241">
        <v>5.0761411527378009E-2</v>
      </c>
      <c r="Q7" s="241">
        <v>3.4552109102303774E-2</v>
      </c>
      <c r="R7" s="241">
        <v>1.6203703703698835E-2</v>
      </c>
      <c r="S7" s="241">
        <v>-0.62740115300500277</v>
      </c>
      <c r="T7" s="108">
        <v>0.80781819207695893</v>
      </c>
      <c r="V7" s="243"/>
      <c r="W7"/>
      <c r="X7"/>
      <c r="Y7"/>
      <c r="Z7"/>
    </row>
    <row r="8" spans="1:26" s="242" customFormat="1" ht="15.75">
      <c r="A8" s="235"/>
      <c r="B8" s="236" t="s">
        <v>567</v>
      </c>
      <c r="C8" s="237"/>
      <c r="D8" s="238">
        <v>667414.55984514276</v>
      </c>
      <c r="E8" s="239"/>
      <c r="F8" s="238">
        <v>53475</v>
      </c>
      <c r="G8" s="240">
        <v>61.215991820866776</v>
      </c>
      <c r="H8" s="240">
        <v>63.761492285092757</v>
      </c>
      <c r="I8" s="240">
        <v>3.9922222222222281</v>
      </c>
      <c r="J8" s="240">
        <v>31.627531471225009</v>
      </c>
      <c r="K8" s="240">
        <v>644.63620978355755</v>
      </c>
      <c r="L8" s="239"/>
      <c r="M8" s="241">
        <v>1.1378530357722294</v>
      </c>
      <c r="N8" s="239"/>
      <c r="O8" s="241">
        <v>0.47725521880461752</v>
      </c>
      <c r="P8" s="241">
        <v>-3.8760341833088408E-2</v>
      </c>
      <c r="Q8" s="241">
        <v>-6.3681200173970609E-3</v>
      </c>
      <c r="R8" s="241">
        <v>-3.239428472262551E-2</v>
      </c>
      <c r="S8" s="241">
        <v>-0.62838677947995025</v>
      </c>
      <c r="T8" s="108">
        <v>1.3332551369196866</v>
      </c>
      <c r="V8" s="243"/>
      <c r="W8"/>
      <c r="X8"/>
      <c r="Y8"/>
      <c r="Z8"/>
    </row>
    <row r="9" spans="1:26" s="242" customFormat="1" ht="15.75">
      <c r="A9" s="235"/>
      <c r="B9" s="236" t="s">
        <v>568</v>
      </c>
      <c r="C9" s="237"/>
      <c r="D9" s="238">
        <v>652180</v>
      </c>
      <c r="E9" s="239"/>
      <c r="F9" s="238">
        <v>53515</v>
      </c>
      <c r="G9" s="240">
        <v>61.195265020092961</v>
      </c>
      <c r="H9" s="240">
        <v>63.745067729263504</v>
      </c>
      <c r="I9" s="240">
        <v>4.0000000000000062</v>
      </c>
      <c r="J9" s="240">
        <v>31.309119573126363</v>
      </c>
      <c r="K9" s="240">
        <v>636.06759626863436</v>
      </c>
      <c r="L9" s="239"/>
      <c r="M9" s="241">
        <v>-1.2900192872514871</v>
      </c>
      <c r="N9" s="239"/>
      <c r="O9" s="241">
        <v>0.40149340537700695</v>
      </c>
      <c r="P9" s="241">
        <v>-7.8345717627847922E-2</v>
      </c>
      <c r="Q9" s="241">
        <v>-4.5963700036322219E-2</v>
      </c>
      <c r="R9" s="241">
        <v>-3.2396908409304537E-2</v>
      </c>
      <c r="S9" s="241">
        <v>-1.4740348806602466</v>
      </c>
      <c r="T9" s="108">
        <v>-0.1356266589312094</v>
      </c>
      <c r="V9" s="243"/>
      <c r="W9"/>
      <c r="X9"/>
      <c r="Y9"/>
      <c r="Z9"/>
    </row>
    <row r="10" spans="1:26" s="242" customFormat="1" ht="15.75">
      <c r="A10" s="235"/>
      <c r="B10" s="236" t="s">
        <v>569</v>
      </c>
      <c r="C10" s="237"/>
      <c r="D10" s="238">
        <v>522347.25431352126</v>
      </c>
      <c r="E10" s="239"/>
      <c r="F10" s="238">
        <v>53555</v>
      </c>
      <c r="G10" s="240">
        <v>60.853309457737559</v>
      </c>
      <c r="H10" s="240">
        <v>63.720742887683315</v>
      </c>
      <c r="I10" s="240">
        <v>4.5</v>
      </c>
      <c r="J10" s="240">
        <v>26.205521953035401</v>
      </c>
      <c r="K10" s="240">
        <v>611.6208420512778</v>
      </c>
      <c r="L10" s="239"/>
      <c r="M10" s="241">
        <v>-21.066134987254713</v>
      </c>
      <c r="N10" s="239"/>
      <c r="O10" s="241">
        <v>0.32595867443472315</v>
      </c>
      <c r="P10" s="241">
        <v>-0.63251428922117547</v>
      </c>
      <c r="Q10" s="241">
        <v>-8.7987404174305617E-2</v>
      </c>
      <c r="R10" s="241">
        <v>-0.54500642205018712</v>
      </c>
      <c r="S10" s="241">
        <v>-17.404472589358999</v>
      </c>
      <c r="T10" s="108">
        <v>-4.1373967480199614</v>
      </c>
      <c r="V10" s="243"/>
      <c r="W10"/>
      <c r="X10"/>
      <c r="Y10"/>
      <c r="Z10"/>
    </row>
    <row r="11" spans="1:26" s="242" customFormat="1" ht="15.75">
      <c r="A11" s="235"/>
      <c r="B11" s="236" t="s">
        <v>570</v>
      </c>
      <c r="C11" s="237"/>
      <c r="D11" s="238">
        <v>616029.42062252865</v>
      </c>
      <c r="E11" s="239"/>
      <c r="F11" s="238">
        <v>53618</v>
      </c>
      <c r="G11" s="240">
        <v>60.831210017755559</v>
      </c>
      <c r="H11" s="240">
        <v>63.697602112833067</v>
      </c>
      <c r="I11" s="240">
        <v>4.5</v>
      </c>
      <c r="J11" s="240">
        <v>30.607669999999999</v>
      </c>
      <c r="K11" s="240">
        <v>617.06955249269504</v>
      </c>
      <c r="L11" s="239"/>
      <c r="M11" s="241">
        <v>-7.248247157611976</v>
      </c>
      <c r="N11" s="239"/>
      <c r="O11" s="241">
        <v>0.34247216244034373</v>
      </c>
      <c r="P11" s="241">
        <v>-0.6516393000962184</v>
      </c>
      <c r="Q11" s="241">
        <v>-0.11530841743468967</v>
      </c>
      <c r="R11" s="241">
        <v>-0.53695003124493157</v>
      </c>
      <c r="S11" s="241">
        <v>-3.3773511430233882</v>
      </c>
      <c r="T11" s="108">
        <v>-3.706342121874473</v>
      </c>
      <c r="V11" s="243"/>
      <c r="W11"/>
      <c r="X11"/>
      <c r="Y11"/>
      <c r="Z11"/>
    </row>
    <row r="12" spans="1:26" s="242" customFormat="1" ht="15.75">
      <c r="A12" s="235"/>
      <c r="B12" s="236" t="s">
        <v>571</v>
      </c>
      <c r="C12" s="237"/>
      <c r="D12" s="238">
        <v>624312.05960691324</v>
      </c>
      <c r="E12" s="239"/>
      <c r="F12" s="238">
        <v>53692</v>
      </c>
      <c r="G12" s="240">
        <v>60.80988459443509</v>
      </c>
      <c r="H12" s="240">
        <v>63.675271826633598</v>
      </c>
      <c r="I12" s="240">
        <v>4.5</v>
      </c>
      <c r="J12" s="240">
        <v>31.123035920587999</v>
      </c>
      <c r="K12" s="240">
        <v>614.3785002059202</v>
      </c>
      <c r="L12" s="239"/>
      <c r="M12" s="241">
        <v>-6.4581300486208137</v>
      </c>
      <c r="N12" s="239"/>
      <c r="O12" s="241">
        <v>0.40579710144927894</v>
      </c>
      <c r="P12" s="241">
        <v>-0.66340055000669862</v>
      </c>
      <c r="Q12" s="241">
        <v>-0.13522340109866082</v>
      </c>
      <c r="R12" s="241">
        <v>-0.52889233511174139</v>
      </c>
      <c r="S12" s="241">
        <v>-1.5951151644446382</v>
      </c>
      <c r="T12" s="108">
        <v>-4.6937651218501468</v>
      </c>
      <c r="V12" s="243"/>
      <c r="W12"/>
      <c r="X12"/>
      <c r="Y12"/>
      <c r="Z12"/>
    </row>
    <row r="13" spans="1:26" s="242" customFormat="1" ht="15.75">
      <c r="A13" s="235"/>
      <c r="B13" s="236" t="s">
        <v>572</v>
      </c>
      <c r="C13" s="237"/>
      <c r="D13" s="238">
        <v>609814.63881640846</v>
      </c>
      <c r="E13" s="239"/>
      <c r="F13" s="238">
        <v>53767</v>
      </c>
      <c r="G13" s="240">
        <v>60.789230003460617</v>
      </c>
      <c r="H13" s="240">
        <v>63.653643982681267</v>
      </c>
      <c r="I13" s="240">
        <v>4.5</v>
      </c>
      <c r="J13" s="240">
        <v>30.45</v>
      </c>
      <c r="K13" s="240">
        <v>612.72852799268014</v>
      </c>
      <c r="L13" s="239"/>
      <c r="M13" s="241">
        <v>-6.495961419177454</v>
      </c>
      <c r="N13" s="239"/>
      <c r="O13" s="241">
        <v>0.47089601046435003</v>
      </c>
      <c r="P13" s="241">
        <v>-0.66350724439060427</v>
      </c>
      <c r="Q13" s="241">
        <v>-0.14342089488480481</v>
      </c>
      <c r="R13" s="241">
        <v>-0.52083333333333703</v>
      </c>
      <c r="S13" s="241">
        <v>-2.7439914786482</v>
      </c>
      <c r="T13" s="108">
        <v>-3.6692748401063513</v>
      </c>
      <c r="V13" s="243"/>
      <c r="W13"/>
      <c r="X13"/>
      <c r="Y13"/>
      <c r="Z13"/>
    </row>
    <row r="14" spans="1:26" ht="15.75">
      <c r="A14" s="95"/>
      <c r="B14" s="236" t="s">
        <v>573</v>
      </c>
      <c r="C14" s="237"/>
      <c r="D14" s="238">
        <v>645942.30327572941</v>
      </c>
      <c r="E14" s="239"/>
      <c r="F14" s="238">
        <v>53842</v>
      </c>
      <c r="G14" s="240">
        <v>60.899000063552243</v>
      </c>
      <c r="H14" s="240">
        <v>63.635318770692002</v>
      </c>
      <c r="I14" s="240">
        <v>4.3</v>
      </c>
      <c r="J14" s="240">
        <v>31.3</v>
      </c>
      <c r="K14" s="240">
        <v>629.38740064624437</v>
      </c>
      <c r="L14" s="239"/>
      <c r="M14" s="241">
        <v>23.66147193108905</v>
      </c>
      <c r="N14" s="239"/>
      <c r="O14" s="241">
        <v>0.5358976752870781</v>
      </c>
      <c r="P14" s="241">
        <v>7.5083189758839985E-2</v>
      </c>
      <c r="Q14" s="241">
        <v>-0.13406013979134768</v>
      </c>
      <c r="R14" s="241">
        <v>0.20942408376962707</v>
      </c>
      <c r="S14" s="241">
        <v>19.440475393295898</v>
      </c>
      <c r="T14" s="108">
        <v>2.9048321073200212</v>
      </c>
      <c r="V14" s="234"/>
      <c r="W14"/>
      <c r="X14"/>
      <c r="Y14"/>
      <c r="Z14"/>
    </row>
    <row r="15" spans="1:26" ht="15.75">
      <c r="A15" s="244"/>
      <c r="B15" s="236" t="s">
        <v>574</v>
      </c>
      <c r="C15" s="245"/>
      <c r="D15" s="238">
        <v>655412.16885741963</v>
      </c>
      <c r="E15" s="239"/>
      <c r="F15" s="238">
        <v>53949</v>
      </c>
      <c r="G15" s="240">
        <v>61.010675143351691</v>
      </c>
      <c r="H15" s="240">
        <v>63.61905645813524</v>
      </c>
      <c r="I15" s="240">
        <v>4.0999999999999988</v>
      </c>
      <c r="J15" s="240">
        <v>31.39</v>
      </c>
      <c r="K15" s="240">
        <v>634.35731893675222</v>
      </c>
      <c r="L15" s="239"/>
      <c r="M15" s="241">
        <v>6.3929979505025436</v>
      </c>
      <c r="N15" s="239"/>
      <c r="O15" s="241">
        <v>0.61733000111903191</v>
      </c>
      <c r="P15" s="241">
        <v>0.29502146273885366</v>
      </c>
      <c r="Q15" s="241">
        <v>-0.12331022219438381</v>
      </c>
      <c r="R15" s="241">
        <v>0.41884816753927634</v>
      </c>
      <c r="S15" s="241">
        <v>2.5559933180147487</v>
      </c>
      <c r="T15" s="108">
        <v>2.8015912265030751</v>
      </c>
      <c r="V15" s="246"/>
      <c r="W15" s="246"/>
      <c r="X15" s="246"/>
      <c r="Y15" s="246"/>
    </row>
    <row r="16" spans="1:26" ht="15.75">
      <c r="A16" s="244"/>
      <c r="B16" s="236" t="s">
        <v>575</v>
      </c>
      <c r="C16" s="245"/>
      <c r="D16" s="238">
        <v>662998.80679085827</v>
      </c>
      <c r="E16" s="239"/>
      <c r="F16" s="238">
        <v>54073</v>
      </c>
      <c r="G16" s="247">
        <v>61.036931236602221</v>
      </c>
      <c r="H16" s="247">
        <v>63.601541069577024</v>
      </c>
      <c r="I16" s="247">
        <v>4.0323076923076986</v>
      </c>
      <c r="J16" s="247">
        <v>31.51</v>
      </c>
      <c r="K16" s="247">
        <v>637.51614557459868</v>
      </c>
      <c r="L16" s="239"/>
      <c r="M16" s="241">
        <v>6.1967002861202936</v>
      </c>
      <c r="N16" s="239"/>
      <c r="O16" s="241">
        <v>0.70960292036057471</v>
      </c>
      <c r="P16" s="241">
        <v>0.3733712762018726</v>
      </c>
      <c r="Q16" s="241">
        <v>-0.11579182144257905</v>
      </c>
      <c r="R16" s="241">
        <v>0.48973016512283696</v>
      </c>
      <c r="S16" s="241">
        <v>1.2433365446718136</v>
      </c>
      <c r="T16" s="108">
        <v>3.7660245859715946</v>
      </c>
      <c r="V16" s="246"/>
      <c r="W16" s="246"/>
      <c r="X16" s="246"/>
      <c r="Y16" s="246"/>
    </row>
    <row r="17" spans="1:42" ht="15.75">
      <c r="A17" s="244"/>
      <c r="B17" s="236" t="s">
        <v>576</v>
      </c>
      <c r="C17" s="245"/>
      <c r="D17" s="238">
        <v>668811.68090190866</v>
      </c>
      <c r="E17" s="239"/>
      <c r="F17" s="238">
        <v>54198</v>
      </c>
      <c r="G17" s="247">
        <v>61.014684895635959</v>
      </c>
      <c r="H17" s="247">
        <v>63.585495386011978</v>
      </c>
      <c r="I17" s="247">
        <v>4.0430769230769297</v>
      </c>
      <c r="J17" s="247">
        <v>31.618500000000001</v>
      </c>
      <c r="K17" s="247">
        <v>639.65375435467047</v>
      </c>
      <c r="L17" s="239"/>
      <c r="M17" s="241">
        <v>9.6745860676627604</v>
      </c>
      <c r="N17" s="239"/>
      <c r="O17" s="241">
        <v>0.80160693362099078</v>
      </c>
      <c r="P17" s="241">
        <v>0.37087966431308406</v>
      </c>
      <c r="Q17" s="241">
        <v>-0.10706157951904105</v>
      </c>
      <c r="R17" s="241">
        <v>0.47845348368908969</v>
      </c>
      <c r="S17" s="241">
        <v>3.8374384236453229</v>
      </c>
      <c r="T17" s="108">
        <v>4.3943157747523776</v>
      </c>
      <c r="V17" s="246"/>
      <c r="W17" s="246"/>
      <c r="X17" s="246"/>
      <c r="Y17" s="246"/>
    </row>
    <row r="18" spans="1:42" ht="15.75">
      <c r="A18" s="244"/>
      <c r="B18" s="236" t="s">
        <v>577</v>
      </c>
      <c r="C18" s="245"/>
      <c r="D18" s="238">
        <v>675181.19634597062</v>
      </c>
      <c r="E18" s="239"/>
      <c r="F18" s="238">
        <v>54322</v>
      </c>
      <c r="G18" s="247">
        <v>60.997324554394474</v>
      </c>
      <c r="H18" s="247">
        <v>63.574538539816267</v>
      </c>
      <c r="I18" s="247">
        <v>4.0538461538461599</v>
      </c>
      <c r="J18" s="247">
        <v>31.701609621082369</v>
      </c>
      <c r="K18" s="247">
        <v>642.76539504233551</v>
      </c>
      <c r="L18" s="239"/>
      <c r="M18" s="241">
        <v>4.5265487214513955</v>
      </c>
      <c r="N18" s="239"/>
      <c r="O18" s="241">
        <v>0.89149734408082715</v>
      </c>
      <c r="P18" s="241">
        <v>0.161455016896217</v>
      </c>
      <c r="Q18" s="241">
        <v>-9.5513359640353457E-2</v>
      </c>
      <c r="R18" s="241">
        <v>0.25721405031748912</v>
      </c>
      <c r="S18" s="241">
        <v>1.2830978309340768</v>
      </c>
      <c r="T18" s="108">
        <v>2.1255580239380123</v>
      </c>
      <c r="V18" s="246"/>
      <c r="W18" s="246"/>
      <c r="X18" s="246"/>
      <c r="Y18" s="246"/>
    </row>
    <row r="19" spans="1:42" ht="15.75">
      <c r="A19" s="244"/>
      <c r="B19" s="236" t="s">
        <v>578</v>
      </c>
      <c r="C19" s="245"/>
      <c r="D19" s="238">
        <v>679883.78689336486</v>
      </c>
      <c r="E19" s="239"/>
      <c r="F19" s="238">
        <v>54472</v>
      </c>
      <c r="G19" s="247">
        <v>60.980676816118027</v>
      </c>
      <c r="H19" s="247">
        <v>63.564322028411297</v>
      </c>
      <c r="I19" s="247">
        <v>4.064615384615391</v>
      </c>
      <c r="J19" s="247">
        <v>31.765218839217155</v>
      </c>
      <c r="K19" s="247">
        <v>644.34323274650546</v>
      </c>
      <c r="L19" s="239"/>
      <c r="M19" s="241">
        <v>3.7337753552251884</v>
      </c>
      <c r="N19" s="239"/>
      <c r="O19" s="241">
        <v>0.96943409516394574</v>
      </c>
      <c r="P19" s="241">
        <v>-4.9168980941738383E-2</v>
      </c>
      <c r="Q19" s="241">
        <v>-8.6034645546750887E-2</v>
      </c>
      <c r="R19" s="241">
        <v>3.689740916017481E-2</v>
      </c>
      <c r="S19" s="241">
        <v>1.1953451392709535</v>
      </c>
      <c r="T19" s="108">
        <v>1.5741780715150755</v>
      </c>
      <c r="V19" s="246"/>
      <c r="W19" s="246"/>
      <c r="X19" s="246"/>
      <c r="Y19" s="246"/>
    </row>
    <row r="20" spans="1:42" ht="15.75">
      <c r="A20" s="244"/>
      <c r="B20" s="236" t="s">
        <v>579</v>
      </c>
      <c r="C20" s="245"/>
      <c r="D20" s="238">
        <v>683626.89808258868</v>
      </c>
      <c r="E20" s="239"/>
      <c r="F20" s="238">
        <v>54636</v>
      </c>
      <c r="G20" s="247">
        <v>60.969701417312848</v>
      </c>
      <c r="H20" s="247">
        <v>63.560016553468841</v>
      </c>
      <c r="I20" s="247">
        <v>4.0753846153846212</v>
      </c>
      <c r="J20" s="247">
        <v>31.813872923115955</v>
      </c>
      <c r="K20" s="247">
        <v>645.07414533060205</v>
      </c>
      <c r="L20" s="239"/>
      <c r="M20" s="241">
        <v>3.1113315861875268</v>
      </c>
      <c r="N20" s="239"/>
      <c r="O20" s="241">
        <v>1.041185064634842</v>
      </c>
      <c r="P20" s="241">
        <v>-0.11014613272211093</v>
      </c>
      <c r="Q20" s="241">
        <v>-6.5288537683005909E-2</v>
      </c>
      <c r="R20" s="241">
        <v>-4.4886901040419591E-2</v>
      </c>
      <c r="S20" s="241">
        <v>0.96436979725786909</v>
      </c>
      <c r="T20" s="108">
        <v>1.1855385637631555</v>
      </c>
      <c r="V20" s="246"/>
      <c r="W20" s="246"/>
      <c r="X20" s="246"/>
      <c r="Y20" s="246"/>
    </row>
    <row r="21" spans="1:42" ht="15.75">
      <c r="A21" s="244"/>
      <c r="B21" s="236" t="s">
        <v>580</v>
      </c>
      <c r="C21" s="245"/>
      <c r="D21" s="238">
        <v>684745.58160410356</v>
      </c>
      <c r="E21" s="239"/>
      <c r="F21" s="238">
        <v>54799</v>
      </c>
      <c r="G21" s="247">
        <v>60.955292511958426</v>
      </c>
      <c r="H21" s="247">
        <v>63.552130329739782</v>
      </c>
      <c r="I21" s="247">
        <v>4.0861538461538531</v>
      </c>
      <c r="J21" s="247">
        <v>31.851070332493201</v>
      </c>
      <c r="K21" s="247">
        <v>643.60758622298272</v>
      </c>
      <c r="L21" s="239"/>
      <c r="M21" s="241">
        <v>2.3824196193325431</v>
      </c>
      <c r="N21" s="239"/>
      <c r="O21" s="241">
        <v>1.108897007269638</v>
      </c>
      <c r="P21" s="241">
        <v>-9.7341129892125622E-2</v>
      </c>
      <c r="Q21" s="241">
        <v>-5.247274723526596E-2</v>
      </c>
      <c r="R21" s="241">
        <v>-4.4891938690438948E-2</v>
      </c>
      <c r="S21" s="241">
        <v>0.73555144138146566</v>
      </c>
      <c r="T21" s="108">
        <v>0.61812063814135065</v>
      </c>
      <c r="V21" s="246"/>
      <c r="W21" s="246"/>
      <c r="X21" s="246"/>
      <c r="Y21" s="246"/>
    </row>
    <row r="22" spans="1:42" ht="15.75">
      <c r="A22" s="244"/>
      <c r="B22" s="236" t="s">
        <v>581</v>
      </c>
      <c r="C22" s="245"/>
      <c r="D22" s="238">
        <v>687009.12807820516</v>
      </c>
      <c r="E22" s="239"/>
      <c r="F22" s="238">
        <v>54963</v>
      </c>
      <c r="G22" s="247">
        <v>60.938049450626686</v>
      </c>
      <c r="H22" s="247">
        <v>63.541287105422711</v>
      </c>
      <c r="I22" s="247">
        <v>4.0969230769230833</v>
      </c>
      <c r="J22" s="247">
        <v>31.879498501442736</v>
      </c>
      <c r="K22" s="247">
        <v>643.41628418982532</v>
      </c>
      <c r="L22" s="239"/>
      <c r="M22" s="241">
        <v>1.7518159267832623</v>
      </c>
      <c r="N22" s="239"/>
      <c r="O22" s="241">
        <v>1.1800007363499176</v>
      </c>
      <c r="P22" s="241">
        <v>-9.7176563399814508E-2</v>
      </c>
      <c r="Q22" s="241">
        <v>-5.2303068425307853E-2</v>
      </c>
      <c r="R22" s="241">
        <v>-4.4896977471320376E-2</v>
      </c>
      <c r="S22" s="241">
        <v>0.5611351678561638</v>
      </c>
      <c r="T22" s="108">
        <v>0.10126387520394964</v>
      </c>
      <c r="V22" s="246"/>
      <c r="W22" s="246"/>
      <c r="X22" s="246"/>
      <c r="Y22" s="246"/>
    </row>
    <row r="23" spans="1:42" ht="15.75">
      <c r="A23" s="244"/>
      <c r="B23" s="236" t="s">
        <v>582</v>
      </c>
      <c r="C23" s="245"/>
      <c r="D23" s="238">
        <v>687484.4718202115</v>
      </c>
      <c r="E23" s="239"/>
      <c r="F23" s="238">
        <v>55126</v>
      </c>
      <c r="G23" s="247">
        <v>60.928696074458387</v>
      </c>
      <c r="H23" s="247">
        <v>63.538669097381614</v>
      </c>
      <c r="I23" s="247">
        <v>4.1076923076923135</v>
      </c>
      <c r="J23" s="247">
        <v>31.901218762558777</v>
      </c>
      <c r="K23" s="247">
        <v>641.61905492995083</v>
      </c>
      <c r="L23" s="239"/>
      <c r="M23" s="241">
        <v>1.1179388409270574</v>
      </c>
      <c r="N23" s="239"/>
      <c r="O23" s="241">
        <v>1.200616830665302</v>
      </c>
      <c r="P23" s="241">
        <v>-8.5241332785435109E-2</v>
      </c>
      <c r="Q23" s="241">
        <v>-4.0357436705162897E-2</v>
      </c>
      <c r="R23" s="241">
        <v>-4.4902017383496862E-2</v>
      </c>
      <c r="S23" s="241">
        <v>0.42814099292058927</v>
      </c>
      <c r="T23" s="108">
        <v>-0.4227836466820456</v>
      </c>
      <c r="V23" s="246"/>
      <c r="W23" s="246"/>
      <c r="X23" s="246"/>
      <c r="Y23" s="246"/>
    </row>
    <row r="24" spans="1:42" ht="15.75">
      <c r="A24" s="244"/>
      <c r="B24" s="236" t="s">
        <v>583</v>
      </c>
      <c r="C24" s="245"/>
      <c r="D24" s="238">
        <v>686764.04370757297</v>
      </c>
      <c r="E24" s="239"/>
      <c r="F24" s="238">
        <v>55290</v>
      </c>
      <c r="G24" s="247">
        <v>60.919343262168738</v>
      </c>
      <c r="H24" s="247">
        <v>63.536051089340496</v>
      </c>
      <c r="I24" s="247">
        <v>4.1184615384615437</v>
      </c>
      <c r="J24" s="247">
        <v>31.917810411144213</v>
      </c>
      <c r="K24" s="247">
        <v>638.8113968315098</v>
      </c>
      <c r="L24" s="239"/>
      <c r="M24" s="241">
        <v>0.45889733621997664</v>
      </c>
      <c r="N24" s="239"/>
      <c r="O24" s="241">
        <v>1.1970129584889078</v>
      </c>
      <c r="P24" s="241">
        <v>-8.2595377660499292E-2</v>
      </c>
      <c r="Q24" s="241">
        <v>-3.7705251552577757E-2</v>
      </c>
      <c r="R24" s="241">
        <v>-4.4907058427290369E-2</v>
      </c>
      <c r="S24" s="241">
        <v>0.32670491982991212</v>
      </c>
      <c r="T24" s="108">
        <v>-0.97085715563480779</v>
      </c>
      <c r="V24" s="246"/>
      <c r="W24" s="246"/>
      <c r="X24" s="246"/>
      <c r="Y24" s="246"/>
    </row>
    <row r="25" spans="1:42" ht="15.75">
      <c r="A25" s="244"/>
      <c r="B25" s="236" t="s">
        <v>584</v>
      </c>
      <c r="C25" s="245"/>
      <c r="D25" s="238">
        <v>692649.80518497294</v>
      </c>
      <c r="E25" s="239"/>
      <c r="F25" s="238">
        <v>55454</v>
      </c>
      <c r="G25" s="247">
        <v>60.909991013757733</v>
      </c>
      <c r="H25" s="247">
        <v>63.5334330812994</v>
      </c>
      <c r="I25" s="247">
        <v>4.1292307692307757</v>
      </c>
      <c r="J25" s="247">
        <v>31.930482378938624</v>
      </c>
      <c r="K25" s="247">
        <v>642.22443205574734</v>
      </c>
      <c r="L25" s="239"/>
      <c r="M25" s="241">
        <v>1.1543299866722423</v>
      </c>
      <c r="N25" s="239"/>
      <c r="O25" s="241">
        <v>1.1952772860818639</v>
      </c>
      <c r="P25" s="241">
        <v>-7.4319220421759091E-2</v>
      </c>
      <c r="Q25" s="241">
        <v>-2.9420333108221008E-2</v>
      </c>
      <c r="R25" s="241">
        <v>-4.4912100603111682E-2</v>
      </c>
      <c r="S25" s="241">
        <v>0.24932300741056235</v>
      </c>
      <c r="T25" s="108">
        <v>-0.21490644250363733</v>
      </c>
      <c r="V25" s="246"/>
      <c r="W25" s="246"/>
      <c r="X25" s="246"/>
      <c r="Y25" s="246"/>
      <c r="AK25" s="242"/>
      <c r="AL25" s="242"/>
      <c r="AM25" s="242"/>
      <c r="AN25" s="242"/>
      <c r="AO25" s="242"/>
      <c r="AP25" s="242"/>
    </row>
    <row r="26" spans="1:42" ht="15.75">
      <c r="A26" s="244"/>
      <c r="B26" s="236" t="s">
        <v>585</v>
      </c>
      <c r="C26" s="245"/>
      <c r="D26" s="238">
        <v>697146.4798004101</v>
      </c>
      <c r="E26" s="239"/>
      <c r="F26" s="238">
        <v>55617</v>
      </c>
      <c r="G26" s="247">
        <v>60.900639329225399</v>
      </c>
      <c r="H26" s="247">
        <v>63.530815073258303</v>
      </c>
      <c r="I26" s="247">
        <v>4.1400000000000059</v>
      </c>
      <c r="J26" s="247">
        <v>31.940159477261279</v>
      </c>
      <c r="K26" s="247">
        <v>644.40299097917364</v>
      </c>
      <c r="L26" s="239"/>
      <c r="M26" s="241">
        <v>1.4755774425534218</v>
      </c>
      <c r="N26" s="239"/>
      <c r="O26" s="241">
        <v>1.1898913814748058</v>
      </c>
      <c r="P26" s="241">
        <v>-6.1390414919004765E-2</v>
      </c>
      <c r="Q26" s="241">
        <v>-1.6480673655594469E-2</v>
      </c>
      <c r="R26" s="241">
        <v>-4.4917143911327173E-2</v>
      </c>
      <c r="S26" s="241">
        <v>0.19028208933649093</v>
      </c>
      <c r="T26" s="108">
        <v>0.15335433895502515</v>
      </c>
      <c r="V26" s="246"/>
      <c r="W26" s="246"/>
      <c r="X26" s="246"/>
      <c r="Y26" s="246"/>
      <c r="AK26" s="242"/>
      <c r="AL26" s="242"/>
      <c r="AM26" s="242"/>
      <c r="AN26" s="242"/>
      <c r="AO26" s="242"/>
      <c r="AP26" s="242"/>
    </row>
    <row r="27" spans="1:42" ht="15.75">
      <c r="A27" s="244"/>
      <c r="B27" s="236" t="s">
        <v>586</v>
      </c>
      <c r="C27" s="245"/>
      <c r="D27" s="238">
        <v>699300.15909551596</v>
      </c>
      <c r="E27" s="239"/>
      <c r="F27" s="238">
        <v>55771</v>
      </c>
      <c r="G27" s="247">
        <v>60.898129706717185</v>
      </c>
      <c r="H27" s="247">
        <v>63.528197065217185</v>
      </c>
      <c r="I27" s="247">
        <v>4.1400000000000059</v>
      </c>
      <c r="J27" s="247">
        <v>31.947548814008407</v>
      </c>
      <c r="K27" s="247">
        <v>644.48631224320638</v>
      </c>
      <c r="L27" s="239"/>
      <c r="M27" s="241">
        <v>1.7186842408266623</v>
      </c>
      <c r="N27" s="239"/>
      <c r="O27" s="241">
        <v>1.1700468018720711</v>
      </c>
      <c r="P27" s="241">
        <v>-5.0167441141113489E-2</v>
      </c>
      <c r="Q27" s="241">
        <v>-1.6481352715114195E-2</v>
      </c>
      <c r="R27" s="241">
        <v>-3.3691641264232963E-2</v>
      </c>
      <c r="S27" s="241">
        <v>0.14522972239545684</v>
      </c>
      <c r="T27" s="108">
        <v>0.44687845400237514</v>
      </c>
      <c r="V27" s="246"/>
      <c r="W27" s="246"/>
      <c r="X27" s="246"/>
      <c r="Y27" s="246"/>
      <c r="AK27" s="242"/>
      <c r="AL27" s="242"/>
      <c r="AM27" s="242"/>
      <c r="AN27" s="242"/>
      <c r="AO27" s="242"/>
      <c r="AP27" s="242"/>
    </row>
    <row r="28" spans="1:42" ht="15.75">
      <c r="A28" s="244"/>
      <c r="B28" s="236" t="s">
        <v>587</v>
      </c>
      <c r="C28" s="245"/>
      <c r="D28" s="238">
        <v>702146.89335844421</v>
      </c>
      <c r="E28" s="239"/>
      <c r="F28" s="238">
        <v>55918</v>
      </c>
      <c r="G28" s="247">
        <v>60.895620084208986</v>
      </c>
      <c r="H28" s="247">
        <v>63.525579057176088</v>
      </c>
      <c r="I28" s="247">
        <v>4.1400000000000059</v>
      </c>
      <c r="J28" s="247">
        <v>31.953190834058592</v>
      </c>
      <c r="K28" s="247">
        <v>645.32138706677995</v>
      </c>
      <c r="L28" s="239"/>
      <c r="M28" s="241">
        <v>2.2399031795294899</v>
      </c>
      <c r="N28" s="239"/>
      <c r="O28" s="241">
        <v>1.1358292638813605</v>
      </c>
      <c r="P28" s="241">
        <v>-3.8941946333304056E-2</v>
      </c>
      <c r="Q28" s="241">
        <v>-1.648203183053365E-2</v>
      </c>
      <c r="R28" s="241">
        <v>-2.2463616963230848E-2</v>
      </c>
      <c r="S28" s="241">
        <v>0.11084852769858156</v>
      </c>
      <c r="T28" s="108">
        <v>1.0190785993424045</v>
      </c>
      <c r="V28" s="246"/>
      <c r="W28" s="246"/>
      <c r="X28" s="246"/>
      <c r="Y28" s="246"/>
      <c r="AK28" s="242"/>
      <c r="AL28" s="69"/>
      <c r="AM28" s="248"/>
      <c r="AN28" s="248"/>
      <c r="AO28" s="248"/>
      <c r="AP28" s="242"/>
    </row>
    <row r="29" spans="1:42" ht="15.75">
      <c r="A29" s="244"/>
      <c r="B29" s="236" t="s">
        <v>588</v>
      </c>
      <c r="C29" s="245"/>
      <c r="D29" s="238">
        <v>707313.79582660866</v>
      </c>
      <c r="E29" s="239"/>
      <c r="F29" s="238">
        <v>56065</v>
      </c>
      <c r="G29" s="247">
        <v>60.893110461700786</v>
      </c>
      <c r="H29" s="247">
        <v>63.522961049134985</v>
      </c>
      <c r="I29" s="247">
        <v>4.1400000000000059</v>
      </c>
      <c r="J29" s="247">
        <v>31.957498480200247</v>
      </c>
      <c r="K29" s="247">
        <v>648.30499357055714</v>
      </c>
      <c r="L29" s="239"/>
      <c r="M29" s="241">
        <v>2.1170857960062017</v>
      </c>
      <c r="N29" s="239"/>
      <c r="O29" s="241">
        <v>1.1018141162044248</v>
      </c>
      <c r="P29" s="241">
        <v>-2.7713929646011604E-2</v>
      </c>
      <c r="Q29" s="241">
        <v>-1.6482711001963857E-2</v>
      </c>
      <c r="R29" s="241">
        <v>-1.1233070158545022E-2</v>
      </c>
      <c r="S29" s="241">
        <v>8.4609123473322612E-2</v>
      </c>
      <c r="T29" s="108">
        <v>0.94679697801998142</v>
      </c>
      <c r="V29" s="246"/>
      <c r="W29" s="246"/>
      <c r="X29" s="246"/>
      <c r="Y29" s="246"/>
      <c r="AK29" s="242"/>
      <c r="AL29" s="69"/>
      <c r="AM29" s="248"/>
      <c r="AN29" s="248"/>
      <c r="AO29" s="248"/>
      <c r="AP29" s="242"/>
    </row>
    <row r="30" spans="1:42" ht="15.75">
      <c r="A30" s="244"/>
      <c r="B30" s="236" t="s">
        <v>589</v>
      </c>
      <c r="C30" s="245"/>
      <c r="D30" s="238">
        <v>709208.41743920709</v>
      </c>
      <c r="E30" s="239"/>
      <c r="F30" s="238">
        <v>56213</v>
      </c>
      <c r="G30" s="247">
        <v>60.890600839192615</v>
      </c>
      <c r="H30" s="247">
        <v>63.520343041093902</v>
      </c>
      <c r="I30" s="247">
        <v>4.1400000000000059</v>
      </c>
      <c r="J30" s="247">
        <v>31.96078720299441</v>
      </c>
      <c r="K30" s="247">
        <v>648.29010202491418</v>
      </c>
      <c r="L30" s="239"/>
      <c r="M30" s="241">
        <v>1.7301869819740467</v>
      </c>
      <c r="N30" s="239"/>
      <c r="O30" s="241">
        <v>1.0716147940377896</v>
      </c>
      <c r="P30" s="241">
        <v>-1.6483390229315997E-2</v>
      </c>
      <c r="Q30" s="241">
        <v>-1.6483390229338202E-2</v>
      </c>
      <c r="R30" s="241">
        <v>0</v>
      </c>
      <c r="S30" s="241">
        <v>6.4582413083491552E-2</v>
      </c>
      <c r="T30" s="108">
        <v>0.60321120481363621</v>
      </c>
      <c r="V30" s="246"/>
      <c r="W30" s="246"/>
      <c r="X30" s="246"/>
      <c r="Y30" s="246"/>
      <c r="AK30" s="242"/>
      <c r="AL30" s="69"/>
      <c r="AM30" s="248"/>
      <c r="AN30" s="248"/>
      <c r="AO30" s="248"/>
      <c r="AP30" s="242"/>
    </row>
    <row r="31" spans="1:42" ht="15.75">
      <c r="A31" s="244"/>
      <c r="B31" s="236" t="s">
        <v>590</v>
      </c>
      <c r="C31" s="245"/>
      <c r="D31" s="238">
        <v>711049.50479386235</v>
      </c>
      <c r="E31" s="239"/>
      <c r="F31" s="238">
        <v>56311.016199999998</v>
      </c>
      <c r="G31" s="247">
        <v>60.884581498075953</v>
      </c>
      <c r="H31" s="247">
        <v>63.514063736778581</v>
      </c>
      <c r="I31" s="247">
        <v>4.1400000000000059</v>
      </c>
      <c r="J31" s="247">
        <v>31.960223475679065</v>
      </c>
      <c r="K31" s="247">
        <v>648.91728316399292</v>
      </c>
      <c r="L31" s="239"/>
      <c r="M31" s="241">
        <v>1.6801577327743233</v>
      </c>
      <c r="N31" s="239"/>
      <c r="O31" s="241">
        <v>0.96827419268077364</v>
      </c>
      <c r="P31" s="241">
        <v>-2.2247331250535574E-2</v>
      </c>
      <c r="Q31" s="241">
        <v>-2.2247331250557778E-2</v>
      </c>
      <c r="R31" s="241">
        <v>0</v>
      </c>
      <c r="S31" s="241">
        <v>3.9673346285340472E-2</v>
      </c>
      <c r="T31" s="108">
        <v>0.68751978693915028</v>
      </c>
      <c r="V31" s="246"/>
      <c r="W31" s="246"/>
      <c r="X31" s="246"/>
      <c r="Y31" s="246"/>
      <c r="AK31" s="242"/>
      <c r="AL31" s="69"/>
      <c r="AM31" s="248"/>
      <c r="AN31" s="248"/>
      <c r="AO31" s="248"/>
      <c r="AP31" s="242"/>
    </row>
    <row r="32" spans="1:42" ht="15.75">
      <c r="A32" s="244"/>
      <c r="B32" s="236" t="s">
        <v>591</v>
      </c>
      <c r="C32" s="245"/>
      <c r="D32" s="238">
        <v>713114.95337696932</v>
      </c>
      <c r="E32" s="239"/>
      <c r="F32" s="238">
        <v>56409.032299999999</v>
      </c>
      <c r="G32" s="247">
        <v>60.874619531592529</v>
      </c>
      <c r="H32" s="247">
        <v>63.503671533061265</v>
      </c>
      <c r="I32" s="247">
        <v>4.1400000000000059</v>
      </c>
      <c r="J32" s="247">
        <v>31.958341255835325</v>
      </c>
      <c r="K32" s="247">
        <v>649.81600504855066</v>
      </c>
      <c r="L32" s="239"/>
      <c r="M32" s="241">
        <v>1.5620748481936175</v>
      </c>
      <c r="N32" s="239"/>
      <c r="O32" s="241">
        <v>0.87812922493650802</v>
      </c>
      <c r="P32" s="241">
        <v>-3.4486146273604579E-2</v>
      </c>
      <c r="Q32" s="241">
        <v>-3.4486146273626783E-2</v>
      </c>
      <c r="R32" s="241">
        <v>0</v>
      </c>
      <c r="S32" s="241">
        <v>1.6118646189289265E-2</v>
      </c>
      <c r="T32" s="108">
        <v>0.69649295248068732</v>
      </c>
      <c r="V32" s="246"/>
      <c r="W32" s="246"/>
      <c r="X32" s="246"/>
      <c r="Y32" s="246"/>
      <c r="AK32" s="242"/>
      <c r="AL32" s="69"/>
      <c r="AM32" s="248"/>
      <c r="AN32" s="248"/>
      <c r="AO32" s="248"/>
      <c r="AP32" s="242"/>
    </row>
    <row r="33" spans="1:42" ht="15.75">
      <c r="A33" s="244"/>
      <c r="B33" s="236" t="s">
        <v>592</v>
      </c>
      <c r="C33" s="245"/>
      <c r="D33" s="238">
        <v>715623.93579546816</v>
      </c>
      <c r="E33" s="239"/>
      <c r="F33" s="238">
        <v>56507.048499999997</v>
      </c>
      <c r="G33" s="247">
        <v>60.860714939742273</v>
      </c>
      <c r="H33" s="247">
        <v>63.489166429941889</v>
      </c>
      <c r="I33" s="247">
        <v>4.1400000000000059</v>
      </c>
      <c r="J33" s="247">
        <v>31.955140543462988</v>
      </c>
      <c r="K33" s="247">
        <v>651.1850971484198</v>
      </c>
      <c r="L33" s="239"/>
      <c r="M33" s="241">
        <v>1.1748873014908234</v>
      </c>
      <c r="N33" s="239"/>
      <c r="O33" s="241">
        <v>0.78845714795325872</v>
      </c>
      <c r="P33" s="241">
        <v>-5.3200635856642808E-2</v>
      </c>
      <c r="Q33" s="241">
        <v>-5.3200635856620604E-2</v>
      </c>
      <c r="R33" s="241">
        <v>0</v>
      </c>
      <c r="S33" s="241">
        <v>-7.3783520281422987E-3</v>
      </c>
      <c r="T33" s="108">
        <v>0.44425133331156275</v>
      </c>
      <c r="V33" s="246"/>
      <c r="W33" s="246"/>
      <c r="X33" s="246"/>
      <c r="Y33" s="246"/>
      <c r="AK33" s="242"/>
      <c r="AL33" s="69"/>
      <c r="AM33" s="248"/>
      <c r="AN33" s="248"/>
      <c r="AO33" s="248"/>
      <c r="AP33" s="242"/>
    </row>
    <row r="34" spans="1:42" ht="15.75">
      <c r="A34" s="244"/>
      <c r="B34" s="236" t="s">
        <v>593</v>
      </c>
      <c r="C34" s="245"/>
      <c r="D34" s="238">
        <v>718009.81851289107</v>
      </c>
      <c r="E34" s="239"/>
      <c r="F34" s="238">
        <v>56605.064700000003</v>
      </c>
      <c r="G34" s="247">
        <v>60.842867722525177</v>
      </c>
      <c r="H34" s="247">
        <v>63.470548427420376</v>
      </c>
      <c r="I34" s="247">
        <v>4.1400000000000006</v>
      </c>
      <c r="J34" s="247">
        <v>31.950621338562151</v>
      </c>
      <c r="K34" s="247">
        <v>652.50840239312652</v>
      </c>
      <c r="L34" s="239"/>
      <c r="M34" s="241">
        <v>1.2410175707535887</v>
      </c>
      <c r="N34" s="239"/>
      <c r="O34" s="241">
        <v>0.69746268656716293</v>
      </c>
      <c r="P34" s="241">
        <v>-7.8391600689731167E-2</v>
      </c>
      <c r="Q34" s="241">
        <v>-7.8391600689742269E-2</v>
      </c>
      <c r="R34" s="241">
        <v>0</v>
      </c>
      <c r="S34" s="241">
        <v>-3.1807303016950783E-2</v>
      </c>
      <c r="T34" s="108">
        <v>0.65068097677822845</v>
      </c>
      <c r="V34" s="246"/>
      <c r="W34" s="246"/>
      <c r="X34" s="246"/>
      <c r="Y34" s="246"/>
      <c r="AK34" s="242"/>
      <c r="AL34" s="69"/>
      <c r="AM34" s="248"/>
      <c r="AN34" s="248"/>
      <c r="AO34" s="248"/>
      <c r="AP34" s="242"/>
    </row>
    <row r="35" spans="1:42" ht="15.75">
      <c r="A35" s="244"/>
      <c r="B35" s="236" t="s">
        <v>594</v>
      </c>
      <c r="C35" s="245"/>
      <c r="D35" s="238">
        <v>720315.37557110307</v>
      </c>
      <c r="E35" s="239"/>
      <c r="F35" s="238">
        <v>56704.2736</v>
      </c>
      <c r="G35" s="247">
        <v>60.826760052036953</v>
      </c>
      <c r="H35" s="247">
        <v>63.453745099141415</v>
      </c>
      <c r="I35" s="247">
        <v>4.1400000000000006</v>
      </c>
      <c r="J35" s="247">
        <v>31.944178587111033</v>
      </c>
      <c r="K35" s="247">
        <v>653.76322064150906</v>
      </c>
      <c r="L35" s="239"/>
      <c r="M35" s="241">
        <v>1.3031259729133771</v>
      </c>
      <c r="N35" s="239"/>
      <c r="O35" s="241">
        <v>0.69836672562126889</v>
      </c>
      <c r="P35" s="241">
        <v>-9.4968947172324736E-2</v>
      </c>
      <c r="Q35" s="241">
        <v>-9.4968947172302531E-2</v>
      </c>
      <c r="R35" s="241">
        <v>0</v>
      </c>
      <c r="S35" s="241">
        <v>-5.0202679528332794E-2</v>
      </c>
      <c r="T35" s="108">
        <v>0.74677275567207602</v>
      </c>
      <c r="V35" s="246"/>
      <c r="W35" s="246"/>
      <c r="X35" s="246"/>
      <c r="Y35" s="246"/>
      <c r="AK35" s="242"/>
      <c r="AL35" s="69"/>
      <c r="AM35" s="248"/>
      <c r="AN35" s="248"/>
      <c r="AO35" s="248"/>
      <c r="AP35" s="242"/>
    </row>
    <row r="36" spans="1:42" ht="15.75">
      <c r="A36" s="244"/>
      <c r="B36" s="236" t="s">
        <v>595</v>
      </c>
      <c r="C36" s="245"/>
      <c r="D36" s="249">
        <v>722635.89479287842</v>
      </c>
      <c r="E36" s="239"/>
      <c r="F36" s="238">
        <v>56803.482499999998</v>
      </c>
      <c r="G36" s="247">
        <v>60.812391928277648</v>
      </c>
      <c r="H36" s="247">
        <v>63.438756445104985</v>
      </c>
      <c r="I36" s="247">
        <v>4.1400000000000006</v>
      </c>
      <c r="J36" s="247">
        <v>31.935812289109723</v>
      </c>
      <c r="K36" s="247">
        <v>655.05009654160324</v>
      </c>
      <c r="L36" s="239"/>
      <c r="M36" s="241">
        <v>1.335120147294977</v>
      </c>
      <c r="N36" s="239"/>
      <c r="O36" s="241">
        <v>0.69926780147937517</v>
      </c>
      <c r="P36" s="241">
        <v>-0.10222257452070505</v>
      </c>
      <c r="Q36" s="241">
        <v>-0.10222257452072725</v>
      </c>
      <c r="R36" s="241">
        <v>0</v>
      </c>
      <c r="S36" s="241">
        <v>-7.0494793660447197E-2</v>
      </c>
      <c r="T36" s="108">
        <v>0.80547284960479359</v>
      </c>
      <c r="V36" s="246"/>
      <c r="W36" s="246"/>
      <c r="X36" s="246"/>
      <c r="Y36" s="246"/>
      <c r="AK36" s="242"/>
      <c r="AL36" s="69"/>
      <c r="AM36" s="248"/>
      <c r="AN36" s="248"/>
      <c r="AO36" s="248"/>
      <c r="AP36" s="242"/>
    </row>
    <row r="37" spans="1:42" ht="15.75">
      <c r="A37" s="244"/>
      <c r="B37" s="236" t="s">
        <v>596</v>
      </c>
      <c r="C37" s="245"/>
      <c r="D37" s="249">
        <v>724897.94830957556</v>
      </c>
      <c r="E37" s="239"/>
      <c r="F37" s="238">
        <v>56902.691400000003</v>
      </c>
      <c r="G37" s="247">
        <v>60.799763351247023</v>
      </c>
      <c r="H37" s="247">
        <v>63.425582465310896</v>
      </c>
      <c r="I37" s="247">
        <v>4.1400000000000006</v>
      </c>
      <c r="J37" s="247">
        <v>31.925522444558037</v>
      </c>
      <c r="K37" s="247">
        <v>656.30265334537819</v>
      </c>
      <c r="L37" s="239"/>
      <c r="M37" s="241">
        <v>1.2959338068812221</v>
      </c>
      <c r="N37" s="239"/>
      <c r="O37" s="241">
        <v>0.70016557314971362</v>
      </c>
      <c r="P37" s="241">
        <v>-0.10014931397962501</v>
      </c>
      <c r="Q37" s="241">
        <v>-0.10014931397965832</v>
      </c>
      <c r="R37" s="241">
        <v>0</v>
      </c>
      <c r="S37" s="241">
        <v>-9.2686492380367191E-2</v>
      </c>
      <c r="T37" s="108">
        <v>0.78588349447314965</v>
      </c>
      <c r="V37" s="246"/>
      <c r="W37" s="246"/>
      <c r="X37" s="246"/>
      <c r="Y37" s="246"/>
      <c r="AK37" s="242"/>
      <c r="AL37" s="69"/>
      <c r="AM37" s="248"/>
      <c r="AN37" s="248"/>
      <c r="AO37" s="248"/>
      <c r="AP37" s="242"/>
    </row>
    <row r="38" spans="1:42" ht="15.75">
      <c r="A38" s="244"/>
      <c r="B38" s="236" t="s">
        <v>597</v>
      </c>
      <c r="C38" s="245"/>
      <c r="D38" s="249">
        <v>727156.79439997231</v>
      </c>
      <c r="E38" s="239"/>
      <c r="F38" s="238">
        <v>57001.900399999999</v>
      </c>
      <c r="G38" s="247">
        <v>60.78887432094524</v>
      </c>
      <c r="H38" s="247">
        <v>63.414223159759267</v>
      </c>
      <c r="I38" s="247">
        <v>4.1400000000000006</v>
      </c>
      <c r="J38" s="247">
        <v>31.913309053456164</v>
      </c>
      <c r="K38" s="247">
        <v>657.57121280409251</v>
      </c>
      <c r="L38" s="239"/>
      <c r="M38" s="241">
        <v>1.2739346525965312</v>
      </c>
      <c r="N38" s="239"/>
      <c r="O38" s="241">
        <v>0.70106041235564742</v>
      </c>
      <c r="P38" s="241">
        <v>-8.8742368006344829E-2</v>
      </c>
      <c r="Q38" s="241">
        <v>-8.8742368006344829E-2</v>
      </c>
      <c r="R38" s="241">
        <v>0</v>
      </c>
      <c r="S38" s="241">
        <v>-0.11678109389676727</v>
      </c>
      <c r="T38" s="108">
        <v>0.77589965008844075</v>
      </c>
      <c r="V38" s="246"/>
      <c r="W38" s="246"/>
      <c r="X38" s="246"/>
      <c r="Y38" s="246"/>
      <c r="AK38" s="242"/>
      <c r="AL38" s="69"/>
      <c r="AM38" s="248"/>
      <c r="AN38" s="248"/>
      <c r="AO38" s="248"/>
      <c r="AP38" s="242"/>
    </row>
    <row r="39" spans="1:42" ht="15.75">
      <c r="A39" s="244"/>
      <c r="B39" s="236" t="s">
        <v>598</v>
      </c>
      <c r="C39" s="245"/>
      <c r="D39" s="249">
        <v>729517.20190272178</v>
      </c>
      <c r="E39" s="239"/>
      <c r="F39" s="238">
        <v>57106.683599999997</v>
      </c>
      <c r="G39" s="247">
        <v>60.778309970072002</v>
      </c>
      <c r="H39" s="247">
        <v>63.403202555885663</v>
      </c>
      <c r="I39" s="247">
        <v>4.1400000000000006</v>
      </c>
      <c r="J39" s="247">
        <v>31.900393657318212</v>
      </c>
      <c r="K39" s="247">
        <v>658.87637417962287</v>
      </c>
      <c r="L39" s="239"/>
      <c r="M39" s="241">
        <v>1.2774718746386693</v>
      </c>
      <c r="N39" s="239"/>
      <c r="O39" s="241">
        <v>0.70966432413657188</v>
      </c>
      <c r="P39" s="241">
        <v>-7.9652577128064284E-2</v>
      </c>
      <c r="Q39" s="241">
        <v>-7.9652577128086488E-2</v>
      </c>
      <c r="R39" s="241">
        <v>0</v>
      </c>
      <c r="S39" s="241">
        <v>-0.13706700791639159</v>
      </c>
      <c r="T39" s="108">
        <v>0.78211091977558045</v>
      </c>
      <c r="V39" s="246"/>
      <c r="W39" s="246"/>
      <c r="X39" s="246"/>
      <c r="Y39" s="246"/>
      <c r="AK39" s="242"/>
      <c r="AL39" s="69"/>
      <c r="AM39" s="248"/>
      <c r="AN39" s="248"/>
      <c r="AO39" s="248"/>
      <c r="AP39" s="242"/>
    </row>
    <row r="40" spans="1:42" ht="15.75">
      <c r="A40" s="244"/>
      <c r="B40" s="236" t="s">
        <v>599</v>
      </c>
      <c r="C40" s="245"/>
      <c r="D40" s="249">
        <v>731904.60657178925</v>
      </c>
      <c r="E40" s="239"/>
      <c r="F40" s="238">
        <v>57211.466800000002</v>
      </c>
      <c r="G40" s="247">
        <v>60.768070298627414</v>
      </c>
      <c r="H40" s="247">
        <v>63.392520653690184</v>
      </c>
      <c r="I40" s="247">
        <v>4.1400000000000006</v>
      </c>
      <c r="J40" s="247">
        <v>31.886776256144401</v>
      </c>
      <c r="K40" s="247">
        <v>660.21492510651979</v>
      </c>
      <c r="L40" s="239"/>
      <c r="M40" s="241">
        <v>1.2826254335964515</v>
      </c>
      <c r="N40" s="239"/>
      <c r="O40" s="241">
        <v>0.71823818196359301</v>
      </c>
      <c r="P40" s="241">
        <v>-7.2882562656817473E-2</v>
      </c>
      <c r="Q40" s="241">
        <v>-7.2882562656806371E-2</v>
      </c>
      <c r="R40" s="241">
        <v>0</v>
      </c>
      <c r="S40" s="241">
        <v>-0.15354559489956232</v>
      </c>
      <c r="T40" s="108">
        <v>0.78846314078644397</v>
      </c>
      <c r="V40" s="246"/>
      <c r="W40" s="246"/>
      <c r="X40" s="246"/>
      <c r="Y40" s="246"/>
      <c r="AK40" s="242"/>
      <c r="AL40" s="69"/>
      <c r="AM40" s="248"/>
      <c r="AN40" s="248"/>
      <c r="AO40" s="248"/>
      <c r="AP40" s="242"/>
    </row>
    <row r="41" spans="1:42" ht="15.75">
      <c r="A41" s="244"/>
      <c r="B41" s="236" t="s">
        <v>600</v>
      </c>
      <c r="C41" s="245"/>
      <c r="D41" s="249">
        <v>734319.01508018724</v>
      </c>
      <c r="E41" s="239"/>
      <c r="F41" s="238">
        <v>57316.250099999997</v>
      </c>
      <c r="G41" s="247">
        <v>60.758155306611485</v>
      </c>
      <c r="H41" s="247">
        <v>63.382177453172851</v>
      </c>
      <c r="I41" s="247">
        <v>4.1400000000000006</v>
      </c>
      <c r="J41" s="247">
        <v>31.872456849934707</v>
      </c>
      <c r="K41" s="247">
        <v>661.58687984008179</v>
      </c>
      <c r="L41" s="239"/>
      <c r="M41" s="241">
        <v>1.2996404242253901</v>
      </c>
      <c r="N41" s="239"/>
      <c r="O41" s="241">
        <v>0.72678231877094657</v>
      </c>
      <c r="P41" s="241">
        <v>-6.8434550304352637E-2</v>
      </c>
      <c r="Q41" s="241">
        <v>-6.8434550304341535E-2</v>
      </c>
      <c r="R41" s="241">
        <v>0</v>
      </c>
      <c r="S41" s="241">
        <v>-0.16621684019575422</v>
      </c>
      <c r="T41" s="108">
        <v>0.80515086565142724</v>
      </c>
      <c r="V41" s="246"/>
      <c r="W41" s="246"/>
      <c r="X41" s="246"/>
      <c r="Y41" s="246"/>
      <c r="AK41" s="242"/>
      <c r="AL41" s="69"/>
      <c r="AM41" s="248"/>
      <c r="AN41" s="248"/>
      <c r="AO41" s="248"/>
      <c r="AP41" s="242"/>
    </row>
    <row r="42" spans="1:42" ht="15.75">
      <c r="A42" s="244"/>
      <c r="B42" s="236" t="s">
        <v>601</v>
      </c>
      <c r="C42" s="245"/>
      <c r="D42" s="249">
        <v>736782.93613920314</v>
      </c>
      <c r="E42" s="239"/>
      <c r="F42" s="238">
        <v>57421.033300000003</v>
      </c>
      <c r="G42" s="247">
        <v>60.748564994024022</v>
      </c>
      <c r="H42" s="247">
        <v>63.372172954333422</v>
      </c>
      <c r="I42" s="247">
        <v>4.1400000000000006</v>
      </c>
      <c r="J42" s="247">
        <v>31.857435438688952</v>
      </c>
      <c r="K42" s="247">
        <v>663.01250624881902</v>
      </c>
      <c r="L42" s="239"/>
      <c r="M42" s="241">
        <v>1.3238055139365157</v>
      </c>
      <c r="N42" s="239"/>
      <c r="O42" s="241">
        <v>0.73529636215428074</v>
      </c>
      <c r="P42" s="241">
        <v>-6.6310369079047859E-2</v>
      </c>
      <c r="Q42" s="241">
        <v>-6.6310369079047859E-2</v>
      </c>
      <c r="R42" s="241">
        <v>0</v>
      </c>
      <c r="S42" s="241">
        <v>-0.17507935223395332</v>
      </c>
      <c r="T42" s="108">
        <v>0.82748352403128056</v>
      </c>
      <c r="V42" s="246"/>
      <c r="W42" s="246"/>
      <c r="X42" s="246"/>
      <c r="Y42" s="246"/>
      <c r="AK42" s="242"/>
      <c r="AL42" s="69"/>
      <c r="AM42" s="248"/>
      <c r="AN42" s="248"/>
      <c r="AO42" s="248"/>
      <c r="AP42" s="242"/>
    </row>
    <row r="43" spans="1:42" ht="15.75">
      <c r="A43" s="244"/>
      <c r="B43" s="236" t="s">
        <v>602</v>
      </c>
      <c r="C43" s="245"/>
      <c r="D43" s="249">
        <v>739350.22698983259</v>
      </c>
      <c r="E43" s="239"/>
      <c r="F43" s="238">
        <v>57527.127800000002</v>
      </c>
      <c r="G43" s="247">
        <v>60.740759858130936</v>
      </c>
      <c r="H43" s="247">
        <v>63.364030730368185</v>
      </c>
      <c r="I43" s="247">
        <v>4.1400000000000006</v>
      </c>
      <c r="J43" s="247">
        <v>31.843080538530121</v>
      </c>
      <c r="K43" s="247">
        <v>664.48047389607666</v>
      </c>
      <c r="L43" s="239"/>
      <c r="M43" s="241">
        <v>1.3478811824401582</v>
      </c>
      <c r="N43" s="239"/>
      <c r="O43" s="241">
        <v>0.73624341932545523</v>
      </c>
      <c r="P43" s="241">
        <v>-6.1782092920248388E-2</v>
      </c>
      <c r="Q43" s="241">
        <v>-6.1782092920226184E-2</v>
      </c>
      <c r="R43" s="241">
        <v>0</v>
      </c>
      <c r="S43" s="241">
        <v>-0.1796627320771127</v>
      </c>
      <c r="T43" s="108">
        <v>0.85055405476202051</v>
      </c>
      <c r="V43" s="246"/>
      <c r="W43" s="246"/>
      <c r="X43" s="246"/>
      <c r="Y43" s="246"/>
      <c r="AK43" s="242"/>
      <c r="AL43" s="69"/>
      <c r="AM43" s="248"/>
      <c r="AN43" s="248"/>
      <c r="AO43" s="248"/>
      <c r="AP43" s="242"/>
    </row>
    <row r="44" spans="1:42" ht="15.75">
      <c r="A44" s="244"/>
      <c r="B44" s="236" t="s">
        <v>603</v>
      </c>
      <c r="C44" s="245"/>
      <c r="D44" s="249">
        <v>741994.85996244603</v>
      </c>
      <c r="E44" s="239"/>
      <c r="F44" s="238">
        <v>57633.222300000001</v>
      </c>
      <c r="G44" s="247">
        <v>60.734739898932155</v>
      </c>
      <c r="H44" s="247">
        <v>63.357750781277026</v>
      </c>
      <c r="I44" s="247">
        <v>4.1400000000000006</v>
      </c>
      <c r="J44" s="247">
        <v>31.829392149457998</v>
      </c>
      <c r="K44" s="247">
        <v>665.98197372195091</v>
      </c>
      <c r="L44" s="239"/>
      <c r="M44" s="241">
        <v>1.378629578234114</v>
      </c>
      <c r="N44" s="239"/>
      <c r="O44" s="241">
        <v>0.73718700741298715</v>
      </c>
      <c r="P44" s="241">
        <v>-5.4848540576435401E-2</v>
      </c>
      <c r="Q44" s="241">
        <v>-5.4848540576424298E-2</v>
      </c>
      <c r="R44" s="241">
        <v>0</v>
      </c>
      <c r="S44" s="241">
        <v>-0.17996208279394965</v>
      </c>
      <c r="T44" s="108">
        <v>0.87351079112618635</v>
      </c>
      <c r="V44" s="246"/>
      <c r="W44" s="246"/>
      <c r="X44" s="246"/>
      <c r="Y44" s="246"/>
      <c r="AK44" s="242"/>
      <c r="AL44" s="69"/>
      <c r="AM44" s="248"/>
      <c r="AN44" s="248"/>
      <c r="AO44" s="248"/>
      <c r="AP44" s="242"/>
    </row>
    <row r="45" spans="1:42" ht="15.75">
      <c r="A45" s="244"/>
      <c r="B45" s="236" t="s">
        <v>604</v>
      </c>
      <c r="C45" s="245"/>
      <c r="D45" s="249">
        <v>744703.58346851787</v>
      </c>
      <c r="E45" s="239"/>
      <c r="F45" s="238">
        <v>57739.316800000001</v>
      </c>
      <c r="G45" s="247">
        <v>60.730505116427665</v>
      </c>
      <c r="H45" s="247">
        <v>63.353333107059953</v>
      </c>
      <c r="I45" s="247">
        <v>4.1400000000000006</v>
      </c>
      <c r="J45" s="247">
        <v>31.816370271472611</v>
      </c>
      <c r="K45" s="247">
        <v>667.50462241333173</v>
      </c>
      <c r="L45" s="239"/>
      <c r="M45" s="241">
        <v>1.4141766963772007</v>
      </c>
      <c r="N45" s="239"/>
      <c r="O45" s="241">
        <v>0.7381269696846493</v>
      </c>
      <c r="P45" s="241">
        <v>-4.5508607106792276E-2</v>
      </c>
      <c r="Q45" s="241">
        <v>-4.5508607106792276E-2</v>
      </c>
      <c r="R45" s="241">
        <v>0</v>
      </c>
      <c r="S45" s="241">
        <v>-0.17597193315271875</v>
      </c>
      <c r="T45" s="108">
        <v>0.89447701482234798</v>
      </c>
      <c r="V45" s="246"/>
      <c r="W45" s="246"/>
      <c r="X45" s="246"/>
      <c r="Y45" s="246"/>
      <c r="AK45" s="242"/>
      <c r="AL45" s="69"/>
      <c r="AM45" s="248"/>
      <c r="AN45" s="248"/>
      <c r="AO45" s="248"/>
      <c r="AP45" s="242"/>
    </row>
    <row r="46" spans="1:42" ht="15.75">
      <c r="A46" s="244"/>
      <c r="B46" s="236" t="s">
        <v>605</v>
      </c>
      <c r="C46" s="245"/>
      <c r="D46" s="249">
        <v>747515.75177120965</v>
      </c>
      <c r="E46" s="239"/>
      <c r="F46" s="238">
        <v>57845.4113</v>
      </c>
      <c r="G46" s="247">
        <v>60.728055510617551</v>
      </c>
      <c r="H46" s="247">
        <v>63.350777707717043</v>
      </c>
      <c r="I46" s="247">
        <v>4.1400000000000006</v>
      </c>
      <c r="J46" s="247">
        <v>31.804014904574142</v>
      </c>
      <c r="K46" s="247">
        <v>669.08317910625999</v>
      </c>
      <c r="L46" s="239"/>
      <c r="M46" s="241">
        <v>1.4567133826751233</v>
      </c>
      <c r="N46" s="239"/>
      <c r="O46" s="241">
        <v>0.73906367686349395</v>
      </c>
      <c r="P46" s="241">
        <v>-3.3761264004328329E-2</v>
      </c>
      <c r="Q46" s="241">
        <v>-3.3761264004306124E-2</v>
      </c>
      <c r="R46" s="241">
        <v>0</v>
      </c>
      <c r="S46" s="241">
        <v>-0.16768623518870207</v>
      </c>
      <c r="T46" s="108">
        <v>0.91561966029682917</v>
      </c>
      <c r="V46" s="246"/>
      <c r="W46" s="246"/>
      <c r="X46" s="246"/>
      <c r="Y46" s="246"/>
      <c r="AK46" s="242"/>
      <c r="AL46" s="69"/>
      <c r="AM46" s="248"/>
      <c r="AN46" s="248"/>
      <c r="AO46" s="248"/>
      <c r="AP46" s="242"/>
    </row>
    <row r="47" spans="1:42" ht="15.75">
      <c r="A47" s="244"/>
      <c r="B47" s="236" t="s">
        <v>606</v>
      </c>
      <c r="C47" s="245"/>
      <c r="D47" s="249">
        <v>750299.23104970122</v>
      </c>
      <c r="E47" s="239"/>
      <c r="F47" s="238">
        <v>57948.054900000003</v>
      </c>
      <c r="G47" s="247">
        <v>60.726093530211251</v>
      </c>
      <c r="H47" s="247">
        <v>63.348730993335337</v>
      </c>
      <c r="I47" s="247">
        <v>4.1400000000000006</v>
      </c>
      <c r="J47" s="247">
        <v>31.790249055133611</v>
      </c>
      <c r="K47" s="247">
        <v>670.69700085189356</v>
      </c>
      <c r="L47" s="239"/>
      <c r="M47" s="241">
        <v>1.4808954755374915</v>
      </c>
      <c r="N47" s="239"/>
      <c r="O47" s="241">
        <v>0.73170192237548282</v>
      </c>
      <c r="P47" s="241">
        <v>-2.414577617062541E-2</v>
      </c>
      <c r="Q47" s="241">
        <v>-2.4145776170636513E-2</v>
      </c>
      <c r="R47" s="241">
        <v>0</v>
      </c>
      <c r="S47" s="241">
        <v>-0.1659119736628023</v>
      </c>
      <c r="T47" s="108">
        <v>0.93554697241400309</v>
      </c>
      <c r="V47" s="246"/>
      <c r="W47" s="246"/>
      <c r="X47" s="246"/>
      <c r="Y47" s="246"/>
      <c r="AK47" s="242"/>
      <c r="AL47" s="69"/>
      <c r="AM47" s="248"/>
      <c r="AN47" s="248"/>
      <c r="AO47" s="248"/>
      <c r="AP47" s="242"/>
    </row>
    <row r="48" spans="1:42" ht="15.75">
      <c r="A48" s="244"/>
      <c r="B48" s="236" t="s">
        <v>607</v>
      </c>
      <c r="C48" s="245"/>
      <c r="D48" s="249">
        <v>753076.18042197917</v>
      </c>
      <c r="E48" s="239"/>
      <c r="F48" s="238">
        <v>58050.698400000001</v>
      </c>
      <c r="G48" s="247">
        <v>60.724619175208773</v>
      </c>
      <c r="H48" s="247">
        <v>63.34719296391485</v>
      </c>
      <c r="I48" s="247">
        <v>4.1400000000000006</v>
      </c>
      <c r="J48" s="247">
        <v>31.775072723150924</v>
      </c>
      <c r="K48" s="247">
        <v>672.3263131165055</v>
      </c>
      <c r="L48" s="239"/>
      <c r="M48" s="241">
        <v>1.4934497605676222</v>
      </c>
      <c r="N48" s="239"/>
      <c r="O48" s="241">
        <v>0.724367098245704</v>
      </c>
      <c r="P48" s="241">
        <v>-1.6663813396133875E-2</v>
      </c>
      <c r="Q48" s="241">
        <v>-1.6663813396133875E-2</v>
      </c>
      <c r="R48" s="241">
        <v>0</v>
      </c>
      <c r="S48" s="241">
        <v>-0.17065806991227728</v>
      </c>
      <c r="T48" s="108">
        <v>0.95262929702109034</v>
      </c>
      <c r="V48" s="246"/>
      <c r="W48" s="246"/>
      <c r="X48" s="246"/>
      <c r="Y48" s="246"/>
      <c r="AK48" s="242"/>
      <c r="AL48" s="69"/>
      <c r="AM48" s="248"/>
      <c r="AN48" s="248"/>
      <c r="AO48" s="248"/>
      <c r="AP48" s="242"/>
    </row>
    <row r="49" spans="1:42" ht="15.75">
      <c r="A49" s="244"/>
      <c r="B49" s="113" t="s">
        <v>608</v>
      </c>
      <c r="C49" s="245"/>
      <c r="D49" s="249">
        <v>755968.90786727809</v>
      </c>
      <c r="E49" s="239"/>
      <c r="F49" s="238">
        <v>58153.341999999997</v>
      </c>
      <c r="G49" s="247">
        <v>60.726516791409274</v>
      </c>
      <c r="H49" s="247">
        <v>63.349172534330563</v>
      </c>
      <c r="I49" s="247">
        <v>4.1400000000000006</v>
      </c>
      <c r="J49" s="247">
        <v>31.762305020480007</v>
      </c>
      <c r="K49" s="247">
        <v>673.96737221859621</v>
      </c>
      <c r="L49" s="239"/>
      <c r="M49" s="241">
        <v>1.5127259555125283</v>
      </c>
      <c r="N49" s="239"/>
      <c r="O49" s="241">
        <v>0.7170594024070498</v>
      </c>
      <c r="P49" s="241">
        <v>-6.5672515167536361E-3</v>
      </c>
      <c r="Q49" s="241">
        <v>-6.5672515167536361E-3</v>
      </c>
      <c r="R49" s="241">
        <v>0</v>
      </c>
      <c r="S49" s="241">
        <v>-0.16992903505740342</v>
      </c>
      <c r="T49" s="108">
        <v>0.96819551329827558</v>
      </c>
      <c r="V49" s="246"/>
      <c r="W49" s="246"/>
      <c r="X49" s="246"/>
      <c r="Y49" s="246"/>
      <c r="AK49" s="242"/>
      <c r="AL49" s="69"/>
      <c r="AM49" s="248"/>
      <c r="AN49" s="248"/>
      <c r="AO49" s="248"/>
      <c r="AP49" s="242"/>
    </row>
    <row r="50" spans="1:42" ht="15.75">
      <c r="A50" s="244"/>
      <c r="B50" s="113" t="s">
        <v>609</v>
      </c>
      <c r="C50" s="245"/>
      <c r="D50" s="249">
        <v>758876.19732307829</v>
      </c>
      <c r="E50" s="239"/>
      <c r="F50" s="238">
        <v>58255.9856</v>
      </c>
      <c r="G50" s="247">
        <v>60.722734874746386</v>
      </c>
      <c r="H50" s="247">
        <v>63.345227284317112</v>
      </c>
      <c r="I50" s="247">
        <v>4.1400000000000006</v>
      </c>
      <c r="J50" s="247">
        <v>31.750248130412423</v>
      </c>
      <c r="K50" s="247">
        <v>675.66578857862714</v>
      </c>
      <c r="L50" s="239"/>
      <c r="M50" s="241">
        <v>1.5197600217721874</v>
      </c>
      <c r="N50" s="239"/>
      <c r="O50" s="241">
        <v>0.70977851271669667</v>
      </c>
      <c r="P50" s="241">
        <v>-8.7614131992652666E-3</v>
      </c>
      <c r="Q50" s="241">
        <v>-8.7614131992763689E-3</v>
      </c>
      <c r="R50" s="241">
        <v>0</v>
      </c>
      <c r="S50" s="241">
        <v>-0.16905656195622676</v>
      </c>
      <c r="T50" s="108">
        <v>0.98382528180727125</v>
      </c>
      <c r="V50" s="246"/>
      <c r="W50" s="246"/>
      <c r="X50" s="246"/>
      <c r="Y50" s="246"/>
      <c r="AK50" s="242"/>
      <c r="AL50" s="69"/>
      <c r="AM50" s="248"/>
      <c r="AN50" s="248"/>
      <c r="AO50" s="248"/>
      <c r="AP50" s="242"/>
    </row>
    <row r="51" spans="1:42" ht="15.75">
      <c r="A51" s="244"/>
      <c r="B51" s="113" t="s">
        <v>610</v>
      </c>
      <c r="C51" s="245"/>
      <c r="D51" s="249">
        <v>761806.25958020671</v>
      </c>
      <c r="E51" s="239"/>
      <c r="F51" s="238">
        <v>58356.072200000002</v>
      </c>
      <c r="G51" s="247">
        <v>60.717581537696603</v>
      </c>
      <c r="H51" s="247">
        <v>63.339851385037136</v>
      </c>
      <c r="I51" s="247">
        <v>4.1400000000000006</v>
      </c>
      <c r="J51" s="247">
        <v>31.738901231582535</v>
      </c>
      <c r="K51" s="247">
        <v>677.41082319082761</v>
      </c>
      <c r="L51" s="239"/>
      <c r="M51" s="241">
        <v>1.5336585797118163</v>
      </c>
      <c r="N51" s="239"/>
      <c r="O51" s="241">
        <v>0.70410870684807225</v>
      </c>
      <c r="P51" s="241">
        <v>-1.4017026322321602E-2</v>
      </c>
      <c r="Q51" s="241">
        <v>-1.4017026322332704E-2</v>
      </c>
      <c r="R51" s="241">
        <v>0</v>
      </c>
      <c r="S51" s="241">
        <v>-0.16152067088881505</v>
      </c>
      <c r="T51" s="108">
        <v>1.0010216730366173</v>
      </c>
      <c r="V51" s="246"/>
      <c r="W51" s="246"/>
      <c r="X51" s="246"/>
      <c r="Y51" s="246"/>
      <c r="AK51" s="242"/>
      <c r="AL51" s="69"/>
      <c r="AM51" s="248"/>
      <c r="AN51" s="248"/>
      <c r="AO51" s="248"/>
      <c r="AP51" s="242"/>
    </row>
    <row r="52" spans="1:42" ht="15.75">
      <c r="A52" s="244"/>
      <c r="B52" s="113" t="s">
        <v>611</v>
      </c>
      <c r="C52" s="245"/>
      <c r="D52" s="249">
        <v>764781.774564152</v>
      </c>
      <c r="E52" s="239"/>
      <c r="F52" s="238">
        <v>58456.158799999997</v>
      </c>
      <c r="G52" s="247">
        <v>60.711056780259803</v>
      </c>
      <c r="H52" s="247">
        <v>63.333044836490515</v>
      </c>
      <c r="I52" s="247">
        <v>4.1400000000000006</v>
      </c>
      <c r="J52" s="247">
        <v>31.728263550277656</v>
      </c>
      <c r="K52" s="247">
        <v>679.19293336599844</v>
      </c>
      <c r="L52" s="239"/>
      <c r="M52" s="241">
        <v>1.5543705200732338</v>
      </c>
      <c r="N52" s="239"/>
      <c r="O52" s="241">
        <v>0.6984591248259564</v>
      </c>
      <c r="P52" s="241">
        <v>-2.2334261018319701E-2</v>
      </c>
      <c r="Q52" s="241">
        <v>-2.2334261018308599E-2</v>
      </c>
      <c r="R52" s="241">
        <v>0</v>
      </c>
      <c r="S52" s="241">
        <v>-0.14731413294032381</v>
      </c>
      <c r="T52" s="108">
        <v>1.0213225506024548</v>
      </c>
      <c r="V52" s="246"/>
      <c r="W52" s="246"/>
      <c r="X52" s="246"/>
      <c r="Y52" s="246"/>
      <c r="AK52" s="242"/>
      <c r="AL52" s="69"/>
      <c r="AM52" s="248"/>
      <c r="AN52" s="248"/>
      <c r="AO52" s="248"/>
      <c r="AP52" s="242"/>
    </row>
    <row r="53" spans="1:42" ht="15.75">
      <c r="A53" s="244"/>
      <c r="B53" s="113" t="s">
        <v>612</v>
      </c>
      <c r="C53" s="245"/>
      <c r="D53" s="249">
        <v>767764.31477731932</v>
      </c>
      <c r="E53" s="239"/>
      <c r="F53" s="238">
        <v>58556.2454</v>
      </c>
      <c r="G53" s="247">
        <v>60.703160602436185</v>
      </c>
      <c r="H53" s="247">
        <v>63.324807638677441</v>
      </c>
      <c r="I53" s="247">
        <v>4.1400000000000006</v>
      </c>
      <c r="J53" s="247">
        <v>31.718334360350124</v>
      </c>
      <c r="K53" s="247">
        <v>680.97790893421472</v>
      </c>
      <c r="L53" s="239"/>
      <c r="M53" s="241">
        <v>1.5603031801027623</v>
      </c>
      <c r="N53" s="239"/>
      <c r="O53" s="241">
        <v>0.69282931323191299</v>
      </c>
      <c r="P53" s="241">
        <v>-3.8461268992784348E-2</v>
      </c>
      <c r="Q53" s="241">
        <v>-3.8461268992773245E-2</v>
      </c>
      <c r="R53" s="241">
        <v>0</v>
      </c>
      <c r="S53" s="241">
        <v>-0.13843661567235488</v>
      </c>
      <c r="T53" s="108">
        <v>1.0401893332819601</v>
      </c>
      <c r="V53" s="246"/>
      <c r="W53" s="246"/>
      <c r="X53" s="246"/>
      <c r="Y53" s="246"/>
      <c r="AK53" s="242"/>
      <c r="AL53" s="69"/>
      <c r="AM53" s="248"/>
      <c r="AN53" s="248"/>
      <c r="AO53" s="248"/>
      <c r="AP53" s="242"/>
    </row>
    <row r="54" spans="1:42" ht="15.75">
      <c r="A54" s="244"/>
      <c r="B54" s="250">
        <v>2019</v>
      </c>
      <c r="C54" s="251"/>
      <c r="D54" s="252">
        <v>2654040.9142216747</v>
      </c>
      <c r="E54" s="251"/>
      <c r="F54" s="252">
        <v>53398</v>
      </c>
      <c r="G54" s="253">
        <v>61.232528462431873</v>
      </c>
      <c r="H54" s="253">
        <v>63.770966792362699</v>
      </c>
      <c r="I54" s="253">
        <v>3.9805555555555605</v>
      </c>
      <c r="J54" s="253">
        <v>31.702531471225008</v>
      </c>
      <c r="K54" s="253">
        <v>640.1015988111543</v>
      </c>
      <c r="L54" s="251"/>
      <c r="M54" s="253">
        <v>0.73971407481228102</v>
      </c>
      <c r="N54" s="251"/>
      <c r="O54" s="254">
        <v>0.54984370880879485</v>
      </c>
      <c r="P54" s="253">
        <v>0.17714797089400935</v>
      </c>
      <c r="Q54" s="253">
        <v>4.732671953964207E-2</v>
      </c>
      <c r="R54" s="255">
        <v>0.12980057174820647</v>
      </c>
      <c r="S54" s="253">
        <v>-0.65026573285306144</v>
      </c>
      <c r="T54" s="256">
        <v>0.66642397540384035</v>
      </c>
      <c r="V54" s="246"/>
      <c r="W54" s="246"/>
      <c r="X54" s="246"/>
      <c r="Y54" s="246"/>
      <c r="AK54" s="242"/>
      <c r="AL54" s="69"/>
      <c r="AM54" s="248"/>
      <c r="AN54" s="248"/>
      <c r="AO54" s="248"/>
      <c r="AP54" s="242"/>
    </row>
    <row r="55" spans="1:42" ht="15.75">
      <c r="A55" s="244"/>
      <c r="B55" s="113">
        <v>2020</v>
      </c>
      <c r="C55" s="239"/>
      <c r="D55" s="238">
        <v>2414868.7345429631</v>
      </c>
      <c r="E55" s="239"/>
      <c r="F55" s="238">
        <v>53595</v>
      </c>
      <c r="G55" s="247">
        <v>60.922417272505292</v>
      </c>
      <c r="H55" s="247">
        <v>63.709671139103371</v>
      </c>
      <c r="I55" s="247">
        <v>4.3750000000000018</v>
      </c>
      <c r="J55" s="247">
        <v>29.81133686168744</v>
      </c>
      <c r="K55" s="247">
        <v>619.78412275463188</v>
      </c>
      <c r="L55" s="239"/>
      <c r="M55" s="247">
        <v>-9.0116236866247146</v>
      </c>
      <c r="N55" s="239"/>
      <c r="O55" s="240">
        <v>0.36892767519383085</v>
      </c>
      <c r="P55" s="247">
        <v>-0.50644844776717157</v>
      </c>
      <c r="Q55" s="247">
        <v>-9.6118431854586017E-2</v>
      </c>
      <c r="R55" s="257">
        <v>-0.4107964243353468</v>
      </c>
      <c r="S55" s="247">
        <v>-5.9654372120223957</v>
      </c>
      <c r="T55" s="258">
        <v>-3.1741017510747649</v>
      </c>
      <c r="V55" s="246"/>
      <c r="W55" s="246"/>
      <c r="X55" s="246"/>
      <c r="Y55" s="246"/>
      <c r="AK55" s="242"/>
      <c r="AL55" s="69"/>
      <c r="AM55" s="248"/>
      <c r="AN55" s="248"/>
      <c r="AO55" s="248"/>
      <c r="AP55" s="242"/>
    </row>
    <row r="56" spans="1:42" ht="15.75">
      <c r="A56" s="244"/>
      <c r="B56" s="113">
        <v>2021</v>
      </c>
      <c r="C56" s="239"/>
      <c r="D56" s="238">
        <v>2574167.9177404158</v>
      </c>
      <c r="E56" s="239"/>
      <c r="F56" s="238">
        <v>53907.75</v>
      </c>
      <c r="G56" s="247">
        <v>60.933959111741693</v>
      </c>
      <c r="H56" s="247">
        <v>63.627390070271382</v>
      </c>
      <c r="I56" s="247">
        <v>4.2330769230769238</v>
      </c>
      <c r="J56" s="247">
        <v>31.162500000000001</v>
      </c>
      <c r="K56" s="247">
        <v>628.49734828756891</v>
      </c>
      <c r="L56" s="239"/>
      <c r="M56" s="247">
        <v>6.596598022856992</v>
      </c>
      <c r="N56" s="239"/>
      <c r="O56" s="240">
        <v>0.58354324097396049</v>
      </c>
      <c r="P56" s="247">
        <v>1.8945143270943099E-2</v>
      </c>
      <c r="Q56" s="247">
        <v>-0.12915004482182413</v>
      </c>
      <c r="R56" s="257">
        <v>0.14841628959276765</v>
      </c>
      <c r="S56" s="247">
        <v>4.5323802303177896</v>
      </c>
      <c r="T56" s="258">
        <v>1.4058484580423025</v>
      </c>
      <c r="V56" s="246"/>
      <c r="W56" s="246"/>
      <c r="X56" s="246"/>
      <c r="Y56" s="246"/>
      <c r="AK56" s="242"/>
      <c r="AL56" s="69"/>
      <c r="AM56" s="248"/>
      <c r="AN56" s="248"/>
      <c r="AO56" s="248"/>
      <c r="AP56" s="242"/>
    </row>
    <row r="57" spans="1:42" ht="15.75">
      <c r="A57" s="244"/>
      <c r="B57" s="113">
        <v>2022</v>
      </c>
      <c r="C57" s="239"/>
      <c r="D57" s="238">
        <v>2707503.5622238331</v>
      </c>
      <c r="E57" s="239"/>
      <c r="F57" s="238">
        <v>54407</v>
      </c>
      <c r="G57" s="247">
        <v>60.990596920865329</v>
      </c>
      <c r="H57" s="247">
        <v>63.571093126927096</v>
      </c>
      <c r="I57" s="247">
        <v>4.0592307692307754</v>
      </c>
      <c r="J57" s="247">
        <v>31.724800345853868</v>
      </c>
      <c r="K57" s="247">
        <v>642.9591318685284</v>
      </c>
      <c r="L57" s="239"/>
      <c r="M57" s="247">
        <v>5.1797570610878418</v>
      </c>
      <c r="N57" s="239"/>
      <c r="O57" s="240">
        <v>0.92611915726403815</v>
      </c>
      <c r="P57" s="247">
        <v>9.2949498029115674E-2</v>
      </c>
      <c r="Q57" s="247">
        <v>-8.8479101974969776E-2</v>
      </c>
      <c r="R57" s="257">
        <v>0.18153047864606364</v>
      </c>
      <c r="S57" s="247">
        <v>1.8044134644327858</v>
      </c>
      <c r="T57" s="258">
        <v>2.301009482436589</v>
      </c>
      <c r="V57" s="246"/>
      <c r="W57" s="246"/>
      <c r="X57" s="246"/>
      <c r="Y57" s="246"/>
      <c r="AK57" s="242"/>
      <c r="AL57" s="69"/>
      <c r="AM57" s="248"/>
      <c r="AN57" s="248"/>
      <c r="AO57" s="248"/>
      <c r="AP57" s="242"/>
    </row>
    <row r="58" spans="1:42" ht="15.75">
      <c r="A58" s="244"/>
      <c r="B58" s="113">
        <v>2023</v>
      </c>
      <c r="C58" s="239"/>
      <c r="D58" s="238">
        <v>2746003.225210093</v>
      </c>
      <c r="E58" s="239"/>
      <c r="F58" s="238">
        <v>55044.5</v>
      </c>
      <c r="G58" s="247">
        <v>60.935345324803066</v>
      </c>
      <c r="H58" s="247">
        <v>63.542034405471156</v>
      </c>
      <c r="I58" s="247">
        <v>4.1023076923076989</v>
      </c>
      <c r="J58" s="247">
        <v>31.887399501909734</v>
      </c>
      <c r="K58" s="247">
        <v>641.8635805435672</v>
      </c>
      <c r="L58" s="239"/>
      <c r="M58" s="247">
        <v>1.4219616743417207</v>
      </c>
      <c r="N58" s="239"/>
      <c r="O58" s="240">
        <v>1.1717242266620076</v>
      </c>
      <c r="P58" s="247">
        <v>-9.0590351384745027E-2</v>
      </c>
      <c r="Q58" s="247">
        <v>-4.5710589556668957E-2</v>
      </c>
      <c r="R58" s="257">
        <v>-4.489949728598841E-2</v>
      </c>
      <c r="S58" s="247">
        <v>0.51253011613394683</v>
      </c>
      <c r="T58" s="258">
        <v>-0.17039206236598714</v>
      </c>
      <c r="V58" s="246"/>
      <c r="W58" s="246"/>
      <c r="X58" s="246"/>
      <c r="Y58" s="246"/>
      <c r="AK58" s="242"/>
      <c r="AL58" s="69"/>
      <c r="AM58" s="248"/>
      <c r="AN58" s="248"/>
      <c r="AO58" s="248"/>
      <c r="AP58" s="242"/>
    </row>
    <row r="59" spans="1:42" ht="15.75">
      <c r="A59" s="244"/>
      <c r="B59" s="113">
        <v>2024</v>
      </c>
      <c r="C59" s="239"/>
      <c r="D59" s="238">
        <v>2791243.3374393433</v>
      </c>
      <c r="E59" s="239"/>
      <c r="F59" s="238">
        <v>55690</v>
      </c>
      <c r="G59" s="247">
        <v>60.901095033477326</v>
      </c>
      <c r="H59" s="247">
        <v>63.529506069237748</v>
      </c>
      <c r="I59" s="247">
        <v>4.1373076923076981</v>
      </c>
      <c r="J59" s="247">
        <v>31.942845376066725</v>
      </c>
      <c r="K59" s="247">
        <v>644.10878058622677</v>
      </c>
      <c r="L59" s="239"/>
      <c r="M59" s="247">
        <v>1.6474894062001422</v>
      </c>
      <c r="N59" s="239"/>
      <c r="O59" s="240">
        <v>1.1726875527981795</v>
      </c>
      <c r="P59" s="247">
        <v>-5.6207593709656223E-2</v>
      </c>
      <c r="Q59" s="247">
        <v>-1.9716611768305636E-2</v>
      </c>
      <c r="R59" s="257">
        <v>-3.6497228617027311E-2</v>
      </c>
      <c r="S59" s="247">
        <v>0.17388020040225438</v>
      </c>
      <c r="T59" s="258">
        <v>0.34979396100931481</v>
      </c>
      <c r="V59" s="246"/>
      <c r="W59" s="246"/>
      <c r="X59" s="246"/>
      <c r="Y59" s="246"/>
      <c r="AK59" s="242"/>
      <c r="AL59" s="69"/>
      <c r="AM59" s="248"/>
      <c r="AN59" s="248"/>
      <c r="AO59" s="248"/>
      <c r="AP59" s="242"/>
    </row>
    <row r="60" spans="1:42" ht="15.75">
      <c r="A60" s="244"/>
      <c r="B60" s="113">
        <v>2025</v>
      </c>
      <c r="C60" s="239"/>
      <c r="D60" s="238">
        <v>2840686.6714366474</v>
      </c>
      <c r="E60" s="239"/>
      <c r="F60" s="249">
        <v>56249.512125000001</v>
      </c>
      <c r="G60" s="247">
        <v>60.885728082640469</v>
      </c>
      <c r="H60" s="247">
        <v>63.51525984001718</v>
      </c>
      <c r="I60" s="247">
        <v>4.1400000000000059</v>
      </c>
      <c r="J60" s="247">
        <v>31.959212603677262</v>
      </c>
      <c r="K60" s="247">
        <v>648.83209595200378</v>
      </c>
      <c r="L60" s="239"/>
      <c r="M60" s="247">
        <v>1.7713731129820776</v>
      </c>
      <c r="N60" s="239"/>
      <c r="O60" s="240">
        <v>1.0046904740528051</v>
      </c>
      <c r="P60" s="247">
        <v>-2.5232634697958112E-2</v>
      </c>
      <c r="Q60" s="247">
        <v>-2.24245867818329E-2</v>
      </c>
      <c r="R60" s="257">
        <v>-2.8085041505643282E-3</v>
      </c>
      <c r="S60" s="247">
        <v>5.1239103523315066E-2</v>
      </c>
      <c r="T60" s="258">
        <v>0.73331019668418929</v>
      </c>
      <c r="V60" s="259"/>
      <c r="W60" s="246"/>
      <c r="X60" s="246"/>
      <c r="Y60" s="246"/>
      <c r="AK60" s="242"/>
      <c r="AL60" s="69"/>
      <c r="AM60" s="248"/>
      <c r="AN60" s="248"/>
      <c r="AO60" s="248"/>
      <c r="AP60" s="242"/>
    </row>
    <row r="61" spans="1:42" ht="15.75">
      <c r="A61" s="244"/>
      <c r="B61" s="113">
        <v>2026</v>
      </c>
      <c r="C61" s="239"/>
      <c r="D61" s="238">
        <v>2876585.0246723411</v>
      </c>
      <c r="E61" s="239"/>
      <c r="F61" s="249">
        <v>56654.967324999991</v>
      </c>
      <c r="G61" s="247">
        <v>60.835683660645515</v>
      </c>
      <c r="H61" s="247">
        <v>63.463054100402168</v>
      </c>
      <c r="I61" s="247">
        <v>4.1400000000000023</v>
      </c>
      <c r="J61" s="247">
        <v>31.946438189561473</v>
      </c>
      <c r="K61" s="247">
        <v>653.12670418116465</v>
      </c>
      <c r="L61" s="239"/>
      <c r="M61" s="247">
        <v>1.2637209727019538</v>
      </c>
      <c r="N61" s="239"/>
      <c r="O61" s="240">
        <v>0.72081549631750619</v>
      </c>
      <c r="P61" s="247">
        <v>-8.2194010929836914E-2</v>
      </c>
      <c r="Q61" s="247">
        <v>-8.2194010929825811E-2</v>
      </c>
      <c r="R61" s="257">
        <v>0</v>
      </c>
      <c r="S61" s="247">
        <v>-3.9970991382687338E-2</v>
      </c>
      <c r="T61" s="258">
        <v>0.66189824084759152</v>
      </c>
      <c r="V61" s="259"/>
      <c r="W61" s="246"/>
      <c r="X61" s="246"/>
      <c r="Y61" s="246"/>
      <c r="AK61" s="242"/>
      <c r="AL61" s="69"/>
      <c r="AM61" s="248"/>
      <c r="AN61" s="248"/>
      <c r="AO61" s="248"/>
      <c r="AP61" s="242"/>
    </row>
    <row r="62" spans="1:42" ht="15.75">
      <c r="A62" s="244"/>
      <c r="B62" s="260">
        <v>2027</v>
      </c>
      <c r="C62" s="239"/>
      <c r="D62" s="249">
        <v>2913476.5511840587</v>
      </c>
      <c r="E62" s="239"/>
      <c r="F62" s="249">
        <v>57055.685549999995</v>
      </c>
      <c r="G62" s="247">
        <v>60.783754485222921</v>
      </c>
      <c r="H62" s="247">
        <v>63.408882208661502</v>
      </c>
      <c r="I62" s="247">
        <v>4.1400000000000006</v>
      </c>
      <c r="J62" s="247">
        <v>31.906500352869202</v>
      </c>
      <c r="K62" s="247">
        <v>658.24129135890337</v>
      </c>
      <c r="L62" s="239"/>
      <c r="M62" s="247">
        <v>1.282476484974393</v>
      </c>
      <c r="N62" s="239"/>
      <c r="O62" s="240">
        <v>0.70729583639381755</v>
      </c>
      <c r="P62" s="247">
        <v>-8.5359730174583426E-2</v>
      </c>
      <c r="Q62" s="247">
        <v>-8.535973017460563E-2</v>
      </c>
      <c r="R62" s="257">
        <v>0</v>
      </c>
      <c r="S62" s="247">
        <v>-0.12501499057669951</v>
      </c>
      <c r="T62" s="258">
        <v>0.78309264419849089</v>
      </c>
      <c r="V62" s="246"/>
      <c r="W62" s="246"/>
      <c r="X62" s="246"/>
      <c r="Y62" s="246"/>
      <c r="AK62" s="242"/>
      <c r="AL62" s="69"/>
      <c r="AM62" s="248"/>
      <c r="AN62" s="248"/>
      <c r="AO62" s="248"/>
      <c r="AP62" s="242"/>
    </row>
    <row r="63" spans="1:42" ht="15.75">
      <c r="A63" s="244"/>
      <c r="B63" s="260">
        <v>2028</v>
      </c>
      <c r="C63" s="239"/>
      <c r="D63" s="249">
        <v>2952447.038171669</v>
      </c>
      <c r="E63" s="239"/>
      <c r="F63" s="249">
        <v>57474.408374999999</v>
      </c>
      <c r="G63" s="247">
        <v>60.745555014424653</v>
      </c>
      <c r="H63" s="247">
        <v>63.369032979787868</v>
      </c>
      <c r="I63" s="247">
        <v>4.1400000000000006</v>
      </c>
      <c r="J63" s="247">
        <v>31.850591244152945</v>
      </c>
      <c r="K63" s="247">
        <v>663.76545842673204</v>
      </c>
      <c r="L63" s="239"/>
      <c r="M63" s="247">
        <v>1.3375939810386539</v>
      </c>
      <c r="N63" s="239"/>
      <c r="O63" s="240">
        <v>0.7338844866443095</v>
      </c>
      <c r="P63" s="247">
        <v>-6.2844868866329673E-2</v>
      </c>
      <c r="Q63" s="247">
        <v>-6.2844868866318571E-2</v>
      </c>
      <c r="R63" s="257">
        <v>0</v>
      </c>
      <c r="S63" s="247">
        <v>-0.17522795699287386</v>
      </c>
      <c r="T63" s="258">
        <v>0.83923131841583398</v>
      </c>
      <c r="V63" s="246"/>
      <c r="W63" s="246"/>
      <c r="X63" s="246"/>
      <c r="Y63" s="246"/>
      <c r="AK63" s="242"/>
      <c r="AL63" s="69"/>
      <c r="AM63" s="248"/>
      <c r="AN63" s="248"/>
      <c r="AO63" s="248"/>
      <c r="AP63" s="242"/>
    </row>
    <row r="64" spans="1:42" ht="15.75">
      <c r="A64" s="244"/>
      <c r="B64" s="260">
        <v>2029</v>
      </c>
      <c r="C64" s="239"/>
      <c r="D64" s="249">
        <v>2995594.7467114078</v>
      </c>
      <c r="E64" s="239"/>
      <c r="F64" s="249">
        <v>57895.870349999997</v>
      </c>
      <c r="G64" s="247">
        <v>60.727318333116308</v>
      </c>
      <c r="H64" s="247">
        <v>63.350008693006799</v>
      </c>
      <c r="I64" s="247">
        <v>4.1400000000000006</v>
      </c>
      <c r="J64" s="247">
        <v>31.796426738582824</v>
      </c>
      <c r="K64" s="247">
        <v>669.90277887199773</v>
      </c>
      <c r="L64" s="239"/>
      <c r="M64" s="247">
        <v>1.461421931770146</v>
      </c>
      <c r="N64" s="239"/>
      <c r="O64" s="240">
        <v>0.73330372058830751</v>
      </c>
      <c r="P64" s="247">
        <v>-3.0021425113346822E-2</v>
      </c>
      <c r="Q64" s="247">
        <v>-3.0021425113324618E-2</v>
      </c>
      <c r="R64" s="257">
        <v>0</v>
      </c>
      <c r="S64" s="247">
        <v>-0.17005808512288167</v>
      </c>
      <c r="T64" s="258">
        <v>0.92462184757435839</v>
      </c>
      <c r="V64" s="246"/>
      <c r="W64" s="246"/>
      <c r="X64" s="246"/>
      <c r="Y64" s="246"/>
      <c r="AK64" s="242"/>
      <c r="AL64" s="69"/>
      <c r="AM64" s="248"/>
      <c r="AN64" s="248"/>
      <c r="AO64" s="248"/>
      <c r="AP64" s="242"/>
    </row>
    <row r="65" spans="1:46" ht="15.75">
      <c r="A65" s="244"/>
      <c r="B65" s="260">
        <v>2030</v>
      </c>
      <c r="C65" s="239"/>
      <c r="D65" s="249">
        <v>3041433.139334715</v>
      </c>
      <c r="E65" s="239"/>
      <c r="F65" s="249">
        <v>58305.389649999997</v>
      </c>
      <c r="G65" s="247">
        <v>60.719472496028018</v>
      </c>
      <c r="H65" s="247">
        <v>63.341824010043823</v>
      </c>
      <c r="I65" s="247">
        <v>4.1400000000000006</v>
      </c>
      <c r="J65" s="247">
        <v>31.744929483188155</v>
      </c>
      <c r="K65" s="247">
        <v>676.5592293385123</v>
      </c>
      <c r="L65" s="239"/>
      <c r="M65" s="247">
        <v>1.5301933839224846</v>
      </c>
      <c r="N65" s="239"/>
      <c r="O65" s="240">
        <v>0.70733766937833842</v>
      </c>
      <c r="P65" s="247">
        <v>-1.2919781909770389E-2</v>
      </c>
      <c r="Q65" s="247">
        <v>-1.2919781909803696E-2</v>
      </c>
      <c r="R65" s="257">
        <v>0</v>
      </c>
      <c r="S65" s="247">
        <v>-0.16195925352888718</v>
      </c>
      <c r="T65" s="258">
        <v>0.99364425353225538</v>
      </c>
      <c r="V65" s="246"/>
      <c r="W65" s="246"/>
      <c r="X65" s="246"/>
      <c r="Y65" s="246"/>
      <c r="AK65" s="242"/>
      <c r="AL65" s="69"/>
      <c r="AM65" s="248"/>
      <c r="AN65" s="248"/>
      <c r="AO65" s="248"/>
      <c r="AP65" s="242"/>
    </row>
    <row r="66" spans="1:46" ht="15.75">
      <c r="A66" s="95"/>
      <c r="B66" s="250" t="s">
        <v>624</v>
      </c>
      <c r="C66" s="251"/>
      <c r="D66" s="252">
        <v>2645517.715527026</v>
      </c>
      <c r="E66" s="251"/>
      <c r="F66" s="252">
        <v>53451.5</v>
      </c>
      <c r="G66" s="253">
        <v>61.220533097193332</v>
      </c>
      <c r="H66" s="253">
        <v>63.763638526090602</v>
      </c>
      <c r="I66" s="253">
        <v>3.9883333333333386</v>
      </c>
      <c r="J66" s="253">
        <v>31.585428496700349</v>
      </c>
      <c r="K66" s="253">
        <v>639.88563660148384</v>
      </c>
      <c r="L66" s="251"/>
      <c r="M66" s="253">
        <v>0.28479056293748695</v>
      </c>
      <c r="N66" s="251"/>
      <c r="O66" s="253">
        <v>0.50675040427212714</v>
      </c>
      <c r="P66" s="253">
        <v>4.1841371578210662E-2</v>
      </c>
      <c r="Q66" s="253">
        <v>1.2941460203164112E-2</v>
      </c>
      <c r="R66" s="255">
        <v>2.8911093612027372E-2</v>
      </c>
      <c r="S66" s="253">
        <v>-0.83856121377968718</v>
      </c>
      <c r="T66" s="256">
        <v>0.57953224967011163</v>
      </c>
      <c r="V66" s="261"/>
      <c r="W66" s="246"/>
      <c r="X66" s="246"/>
      <c r="Y66" s="246"/>
      <c r="Z66" s="246"/>
      <c r="AA66" s="246"/>
      <c r="AB66" s="246"/>
      <c r="AC66" s="246"/>
      <c r="AD66" s="246"/>
      <c r="AE66" s="246"/>
      <c r="AF66" s="246"/>
      <c r="AG66" s="246"/>
      <c r="AH66" s="246"/>
      <c r="AK66" s="242"/>
      <c r="AL66" s="69"/>
      <c r="AM66" s="248"/>
      <c r="AN66" s="248"/>
      <c r="AO66" s="248"/>
      <c r="AP66" s="242"/>
      <c r="AT66" s="96"/>
    </row>
    <row r="67" spans="1:46" ht="15.75">
      <c r="A67" s="95"/>
      <c r="B67" s="113" t="s">
        <v>625</v>
      </c>
      <c r="C67" s="239"/>
      <c r="D67" s="238">
        <v>2372503.3733593714</v>
      </c>
      <c r="E67" s="239"/>
      <c r="F67" s="238">
        <v>53658</v>
      </c>
      <c r="G67" s="247">
        <v>60.82090851834721</v>
      </c>
      <c r="H67" s="247">
        <v>63.686815202457815</v>
      </c>
      <c r="I67" s="247">
        <v>4.5</v>
      </c>
      <c r="J67" s="247">
        <v>29.596556968405849</v>
      </c>
      <c r="K67" s="247">
        <v>613.94935568564324</v>
      </c>
      <c r="L67" s="239"/>
      <c r="M67" s="247">
        <v>-10.31988334703955</v>
      </c>
      <c r="N67" s="239"/>
      <c r="O67" s="247">
        <v>0.38633153419453947</v>
      </c>
      <c r="P67" s="247">
        <v>-0.65276233091874358</v>
      </c>
      <c r="Q67" s="247">
        <v>-0.12048139881690734</v>
      </c>
      <c r="R67" s="257">
        <v>-0.53292134636414579</v>
      </c>
      <c r="S67" s="247">
        <v>-6.2968008444218899</v>
      </c>
      <c r="T67" s="258">
        <v>-4.0532681829821282</v>
      </c>
      <c r="V67" s="261"/>
      <c r="W67" s="246"/>
      <c r="X67" s="246"/>
      <c r="Y67" s="246"/>
      <c r="Z67" s="246"/>
      <c r="AA67" s="246"/>
      <c r="AB67" s="246"/>
      <c r="AC67" s="246"/>
      <c r="AD67" s="246"/>
      <c r="AE67" s="246"/>
      <c r="AF67" s="246"/>
      <c r="AG67" s="246"/>
      <c r="AH67" s="246"/>
      <c r="AK67" s="242"/>
      <c r="AL67" s="69"/>
      <c r="AM67" s="248"/>
      <c r="AN67" s="248"/>
      <c r="AO67" s="248"/>
      <c r="AP67" s="242"/>
      <c r="AT67" s="96"/>
    </row>
    <row r="68" spans="1:46" ht="15.75">
      <c r="A68" s="95"/>
      <c r="B68" s="113" t="s">
        <v>626</v>
      </c>
      <c r="C68" s="239"/>
      <c r="D68" s="238">
        <v>2633164.9598259158</v>
      </c>
      <c r="E68" s="239"/>
      <c r="F68" s="238">
        <v>54015.5</v>
      </c>
      <c r="G68" s="247">
        <v>60.990322834785523</v>
      </c>
      <c r="H68" s="247">
        <v>63.610352921104067</v>
      </c>
      <c r="I68" s="247">
        <v>4.1188461538461567</v>
      </c>
      <c r="J68" s="247">
        <v>31.454625</v>
      </c>
      <c r="K68" s="247">
        <v>635.22865487806644</v>
      </c>
      <c r="L68" s="239"/>
      <c r="M68" s="247">
        <v>10.986774113516118</v>
      </c>
      <c r="N68" s="239"/>
      <c r="O68" s="247">
        <v>0.6662566625666333</v>
      </c>
      <c r="P68" s="247">
        <v>0.2785461785517418</v>
      </c>
      <c r="Q68" s="247">
        <v>-0.12005982888401157</v>
      </c>
      <c r="R68" s="257">
        <v>0.39911397503018531</v>
      </c>
      <c r="S68" s="247">
        <v>6.2779871103845863</v>
      </c>
      <c r="T68" s="258">
        <v>3.4659697897490238</v>
      </c>
      <c r="V68" s="261"/>
      <c r="W68" s="246"/>
      <c r="X68" s="246"/>
      <c r="Y68" s="246"/>
      <c r="Z68" s="246"/>
      <c r="AA68" s="246"/>
      <c r="AB68" s="246"/>
      <c r="AC68" s="246"/>
      <c r="AD68" s="246"/>
      <c r="AE68" s="246"/>
      <c r="AF68" s="246"/>
      <c r="AG68" s="246"/>
      <c r="AH68" s="246"/>
      <c r="AK68" s="242"/>
      <c r="AL68" s="69"/>
      <c r="AM68" s="248"/>
      <c r="AN68" s="248"/>
      <c r="AO68" s="248"/>
      <c r="AP68" s="242"/>
      <c r="AT68" s="96"/>
    </row>
    <row r="69" spans="1:46" ht="15.75">
      <c r="A69" s="95"/>
      <c r="B69" s="113" t="s">
        <v>627</v>
      </c>
      <c r="C69" s="239"/>
      <c r="D69" s="238">
        <v>2723437.4629260278</v>
      </c>
      <c r="E69" s="239"/>
      <c r="F69" s="238">
        <v>54557.25</v>
      </c>
      <c r="G69" s="247">
        <v>60.975748824945939</v>
      </c>
      <c r="H69" s="247">
        <v>63.562751862859045</v>
      </c>
      <c r="I69" s="247">
        <v>4.0700000000000065</v>
      </c>
      <c r="J69" s="247">
        <v>31.782942928977171</v>
      </c>
      <c r="K69" s="247">
        <v>643.94758983560644</v>
      </c>
      <c r="L69" s="239"/>
      <c r="M69" s="247">
        <v>3.4282889403966621</v>
      </c>
      <c r="N69" s="239"/>
      <c r="O69" s="247">
        <v>1.0029528561246392</v>
      </c>
      <c r="P69" s="247">
        <v>-2.3895610257818056E-2</v>
      </c>
      <c r="Q69" s="247">
        <v>-7.4832249876144452E-2</v>
      </c>
      <c r="R69" s="257">
        <v>5.0944478541148364E-2</v>
      </c>
      <c r="S69" s="247">
        <v>1.0437826837139896</v>
      </c>
      <c r="T69" s="258">
        <v>1.3725663807174548</v>
      </c>
      <c r="V69" s="262"/>
      <c r="W69" s="246"/>
      <c r="X69" s="246"/>
      <c r="Y69" s="246"/>
      <c r="Z69" s="246"/>
      <c r="AA69" s="246"/>
      <c r="AB69" s="246"/>
      <c r="AC69" s="246"/>
      <c r="AD69" s="246"/>
      <c r="AE69" s="246"/>
      <c r="AF69" s="246"/>
      <c r="AG69" s="246"/>
      <c r="AH69" s="246"/>
      <c r="AK69" s="242"/>
      <c r="AL69" s="69"/>
      <c r="AM69" s="248"/>
      <c r="AN69" s="248"/>
      <c r="AO69" s="248"/>
      <c r="AP69" s="242"/>
      <c r="AT69" s="96"/>
    </row>
    <row r="70" spans="1:46" ht="15.75">
      <c r="A70" s="95"/>
      <c r="B70" s="113" t="s">
        <v>628</v>
      </c>
      <c r="C70" s="239"/>
      <c r="D70" s="238">
        <v>2753907.4487909623</v>
      </c>
      <c r="E70" s="239"/>
      <c r="F70" s="238">
        <v>55208.25</v>
      </c>
      <c r="G70" s="247">
        <v>60.924019950252884</v>
      </c>
      <c r="H70" s="247">
        <v>63.537360093361052</v>
      </c>
      <c r="I70" s="247">
        <v>4.1130769230769291</v>
      </c>
      <c r="J70" s="247">
        <v>31.907252513521087</v>
      </c>
      <c r="K70" s="247">
        <v>641.51779200175838</v>
      </c>
      <c r="L70" s="239"/>
      <c r="M70" s="247">
        <v>1.1188061514068259</v>
      </c>
      <c r="N70" s="239"/>
      <c r="O70" s="247">
        <v>1.1932419614258505</v>
      </c>
      <c r="P70" s="247">
        <v>-8.4835161010587967E-2</v>
      </c>
      <c r="Q70" s="247">
        <v>-3.994756166753044E-2</v>
      </c>
      <c r="R70" s="257">
        <v>-4.4904537763912344E-2</v>
      </c>
      <c r="S70" s="247">
        <v>0.39112043469888835</v>
      </c>
      <c r="T70" s="258">
        <v>-0.37732850812725038</v>
      </c>
      <c r="V70" s="262"/>
      <c r="W70" s="246"/>
      <c r="X70" s="246"/>
      <c r="Y70" s="246"/>
      <c r="Z70" s="246"/>
      <c r="AA70" s="246"/>
      <c r="AB70" s="246"/>
      <c r="AC70" s="246"/>
      <c r="AD70" s="246"/>
      <c r="AE70" s="246"/>
      <c r="AF70" s="246"/>
      <c r="AG70" s="246"/>
      <c r="AH70" s="246"/>
      <c r="AK70" s="242"/>
      <c r="AL70" s="69"/>
      <c r="AM70" s="248"/>
      <c r="AN70" s="248"/>
      <c r="AO70" s="248"/>
      <c r="AP70" s="242"/>
      <c r="AT70" s="96"/>
    </row>
    <row r="71" spans="1:46" ht="15.75">
      <c r="A71" s="95"/>
      <c r="B71" s="113" t="s">
        <v>629</v>
      </c>
      <c r="C71" s="239"/>
      <c r="D71" s="238">
        <v>2805907.3280809792</v>
      </c>
      <c r="E71" s="239"/>
      <c r="F71" s="238">
        <v>55842.75</v>
      </c>
      <c r="G71" s="247">
        <v>60.896874895463093</v>
      </c>
      <c r="H71" s="247">
        <v>63.526888061196637</v>
      </c>
      <c r="I71" s="247">
        <v>4.1400000000000059</v>
      </c>
      <c r="J71" s="247">
        <v>31.94959940138213</v>
      </c>
      <c r="K71" s="247">
        <v>645.62892096492931</v>
      </c>
      <c r="L71" s="239"/>
      <c r="M71" s="247">
        <v>1.8882217451732464</v>
      </c>
      <c r="N71" s="239"/>
      <c r="O71" s="247">
        <v>1.1492847536373585</v>
      </c>
      <c r="P71" s="247">
        <v>-4.455558712631591E-2</v>
      </c>
      <c r="Q71" s="247">
        <v>-1.6481692265823966E-2</v>
      </c>
      <c r="R71" s="257">
        <v>-2.8077944373572361E-2</v>
      </c>
      <c r="S71" s="247">
        <v>0.13271869097188915</v>
      </c>
      <c r="T71" s="258">
        <v>0.64084410665257163</v>
      </c>
      <c r="V71" s="262"/>
      <c r="W71" s="246"/>
      <c r="X71" s="246"/>
      <c r="Y71" s="246"/>
      <c r="Z71" s="246"/>
      <c r="AA71" s="246"/>
      <c r="AB71" s="246"/>
      <c r="AC71" s="246"/>
      <c r="AD71" s="246"/>
      <c r="AE71" s="246"/>
      <c r="AF71" s="246"/>
      <c r="AG71" s="246"/>
      <c r="AH71" s="246"/>
      <c r="AK71" s="242"/>
      <c r="AL71" s="69"/>
      <c r="AM71" s="248"/>
      <c r="AN71" s="248"/>
      <c r="AO71" s="248"/>
      <c r="AP71" s="242"/>
      <c r="AT71" s="96"/>
    </row>
    <row r="72" spans="1:46" ht="15.75">
      <c r="A72" s="95"/>
      <c r="B72" s="113" t="s">
        <v>630</v>
      </c>
      <c r="C72" s="239"/>
      <c r="D72" s="238">
        <v>2848996.8114055069</v>
      </c>
      <c r="E72" s="239"/>
      <c r="F72" s="238">
        <v>56360.024250000002</v>
      </c>
      <c r="G72" s="247">
        <v>60.87762920215085</v>
      </c>
      <c r="H72" s="247">
        <v>63.506811185218908</v>
      </c>
      <c r="I72" s="247">
        <v>4.1400000000000059</v>
      </c>
      <c r="J72" s="247">
        <v>31.958623119492948</v>
      </c>
      <c r="K72" s="247">
        <v>649.55212184646939</v>
      </c>
      <c r="L72" s="239"/>
      <c r="M72" s="247">
        <v>1.5356702230788777</v>
      </c>
      <c r="N72" s="239"/>
      <c r="O72" s="247">
        <v>0.92630511570437335</v>
      </c>
      <c r="P72" s="247">
        <v>-3.1603745422537077E-2</v>
      </c>
      <c r="Q72" s="247">
        <v>-3.160374542254818E-2</v>
      </c>
      <c r="R72" s="257">
        <v>0</v>
      </c>
      <c r="S72" s="247">
        <v>2.8243603299848985E-2</v>
      </c>
      <c r="T72" s="258">
        <v>0.60765569108593986</v>
      </c>
      <c r="V72" s="262"/>
      <c r="W72" s="246"/>
      <c r="X72" s="246"/>
      <c r="Y72" s="246"/>
      <c r="Z72" s="246"/>
      <c r="AA72" s="246"/>
      <c r="AB72" s="246"/>
      <c r="AC72" s="246"/>
      <c r="AD72" s="246"/>
      <c r="AE72" s="246"/>
      <c r="AF72" s="246"/>
      <c r="AG72" s="246"/>
      <c r="AH72" s="246"/>
      <c r="AK72" s="242"/>
      <c r="AL72" s="69"/>
      <c r="AM72" s="248"/>
      <c r="AN72" s="248"/>
      <c r="AO72" s="248"/>
      <c r="AP72" s="242"/>
      <c r="AT72" s="96"/>
    </row>
    <row r="73" spans="1:46" ht="15.75">
      <c r="A73" s="95"/>
      <c r="B73" s="113" t="s">
        <v>631</v>
      </c>
      <c r="C73" s="239"/>
      <c r="D73" s="238">
        <v>2885859.0371864485</v>
      </c>
      <c r="E73" s="239"/>
      <c r="F73" s="238">
        <v>56753.878049999999</v>
      </c>
      <c r="G73" s="247">
        <v>60.820445763521704</v>
      </c>
      <c r="H73" s="247">
        <v>63.44715810924442</v>
      </c>
      <c r="I73" s="247">
        <v>4.1400000000000006</v>
      </c>
      <c r="J73" s="247">
        <v>31.939033664835236</v>
      </c>
      <c r="K73" s="247">
        <v>654.40609323040417</v>
      </c>
      <c r="L73" s="239"/>
      <c r="M73" s="247">
        <v>1.2938668668694087</v>
      </c>
      <c r="N73" s="239"/>
      <c r="O73" s="247">
        <v>0.69881765531709661</v>
      </c>
      <c r="P73" s="247">
        <v>-9.3931776546785084E-2</v>
      </c>
      <c r="Q73" s="247">
        <v>-9.3931776546785084E-2</v>
      </c>
      <c r="R73" s="257">
        <v>0</v>
      </c>
      <c r="S73" s="247">
        <v>-6.1296303612545788E-2</v>
      </c>
      <c r="T73" s="258">
        <v>0.74727973640305034</v>
      </c>
      <c r="V73" s="262"/>
      <c r="W73" s="246"/>
      <c r="X73" s="246"/>
      <c r="Y73" s="246"/>
      <c r="Z73" s="246"/>
      <c r="AA73" s="246"/>
      <c r="AB73" s="246"/>
      <c r="AC73" s="246"/>
      <c r="AD73" s="246"/>
      <c r="AE73" s="246"/>
      <c r="AF73" s="246"/>
      <c r="AG73" s="246"/>
      <c r="AH73" s="246"/>
      <c r="AK73" s="242"/>
      <c r="AL73" s="69"/>
      <c r="AM73" s="248"/>
      <c r="AN73" s="248"/>
      <c r="AO73" s="248"/>
      <c r="AP73" s="242"/>
      <c r="AT73" s="96"/>
    </row>
    <row r="74" spans="1:46" ht="15.75">
      <c r="A74" s="95"/>
      <c r="B74" s="263" t="s">
        <v>632</v>
      </c>
      <c r="C74" s="239"/>
      <c r="D74" s="238">
        <v>2922897.6179546705</v>
      </c>
      <c r="E74" s="239"/>
      <c r="F74" s="238">
        <v>57159.075225000001</v>
      </c>
      <c r="G74" s="247">
        <v>60.773352474064033</v>
      </c>
      <c r="H74" s="247">
        <v>63.398030955626993</v>
      </c>
      <c r="I74" s="247">
        <v>4.1400000000000006</v>
      </c>
      <c r="J74" s="247">
        <v>31.893233954213372</v>
      </c>
      <c r="K74" s="247">
        <v>659.56234798257924</v>
      </c>
      <c r="L74" s="239"/>
      <c r="M74" s="247">
        <v>1.2834507954460728</v>
      </c>
      <c r="N74" s="239"/>
      <c r="O74" s="247">
        <v>0.71395504399369702</v>
      </c>
      <c r="P74" s="247">
        <v>-7.743003009346161E-2</v>
      </c>
      <c r="Q74" s="247">
        <v>-7.7430030093450508E-2</v>
      </c>
      <c r="R74" s="257">
        <v>0</v>
      </c>
      <c r="S74" s="247">
        <v>-0.14339729593099149</v>
      </c>
      <c r="T74" s="258">
        <v>0.78792890309467012</v>
      </c>
      <c r="V74" s="262"/>
      <c r="W74" s="246"/>
      <c r="X74" s="246"/>
      <c r="Y74" s="246"/>
      <c r="Z74" s="246"/>
      <c r="AA74" s="246"/>
      <c r="AB74" s="246"/>
      <c r="AC74" s="246"/>
      <c r="AD74" s="246"/>
      <c r="AE74" s="246"/>
      <c r="AF74" s="246"/>
      <c r="AG74" s="246"/>
      <c r="AH74" s="246"/>
      <c r="AK74" s="242"/>
      <c r="AL74" s="69"/>
      <c r="AM74" s="248"/>
      <c r="AN74" s="248"/>
      <c r="AO74" s="248"/>
      <c r="AP74" s="242"/>
      <c r="AT74" s="96"/>
    </row>
    <row r="75" spans="1:46" ht="15.75">
      <c r="A75" s="95"/>
      <c r="B75" s="263" t="s">
        <v>633</v>
      </c>
      <c r="C75" s="264"/>
      <c r="D75" s="249">
        <v>2962831.6065599998</v>
      </c>
      <c r="E75" s="264"/>
      <c r="F75" s="238">
        <v>57580.175049999998</v>
      </c>
      <c r="G75" s="247">
        <v>60.738642466878701</v>
      </c>
      <c r="H75" s="247">
        <v>63.361821893259645</v>
      </c>
      <c r="I75" s="247">
        <v>4.1400000000000006</v>
      </c>
      <c r="J75" s="247">
        <v>31.83656959953742</v>
      </c>
      <c r="K75" s="247">
        <v>665.24489407004455</v>
      </c>
      <c r="L75" s="239"/>
      <c r="M75" s="247">
        <v>1.3662465753170538</v>
      </c>
      <c r="N75" s="239"/>
      <c r="O75" s="247">
        <v>0.73671560175245787</v>
      </c>
      <c r="P75" s="247">
        <v>-5.7113859565582903E-2</v>
      </c>
      <c r="Q75" s="247">
        <v>-5.7113859565594005E-2</v>
      </c>
      <c r="R75" s="257">
        <v>0</v>
      </c>
      <c r="S75" s="247">
        <v>-0.1776688897629497</v>
      </c>
      <c r="T75" s="258">
        <v>0.86156314180860782</v>
      </c>
      <c r="V75" s="262"/>
      <c r="W75" s="246"/>
      <c r="X75" s="246"/>
      <c r="Y75" s="246"/>
      <c r="Z75" s="246"/>
      <c r="AA75" s="246"/>
      <c r="AB75" s="246"/>
      <c r="AC75" s="246"/>
      <c r="AD75" s="246"/>
      <c r="AE75" s="246"/>
      <c r="AF75" s="246"/>
      <c r="AG75" s="246"/>
      <c r="AH75" s="246"/>
      <c r="AK75" s="242"/>
      <c r="AL75" s="69"/>
      <c r="AM75" s="248"/>
      <c r="AN75" s="248"/>
      <c r="AO75" s="248"/>
      <c r="AP75" s="242"/>
      <c r="AT75" s="96"/>
    </row>
    <row r="76" spans="1:46" ht="15.75">
      <c r="A76" s="95"/>
      <c r="B76" s="263" t="s">
        <v>634</v>
      </c>
      <c r="C76" s="265"/>
      <c r="D76" s="249">
        <v>3006860.071110168</v>
      </c>
      <c r="E76" s="264"/>
      <c r="F76" s="238">
        <v>57999.376649999998</v>
      </c>
      <c r="G76" s="247">
        <v>60.726321251861712</v>
      </c>
      <c r="H76" s="247">
        <v>63.348968549824448</v>
      </c>
      <c r="I76" s="247">
        <v>4.1400000000000006</v>
      </c>
      <c r="J76" s="247">
        <v>31.782910425834672</v>
      </c>
      <c r="K76" s="247">
        <v>671.51846632331376</v>
      </c>
      <c r="L76" s="239"/>
      <c r="M76" s="247">
        <v>1.4860265582655741</v>
      </c>
      <c r="N76" s="239"/>
      <c r="O76" s="247">
        <v>0.72803113161081789</v>
      </c>
      <c r="P76" s="247">
        <v>-2.0285627924110372E-2</v>
      </c>
      <c r="Q76" s="247">
        <v>-2.028562792409927E-2</v>
      </c>
      <c r="R76" s="257">
        <v>0</v>
      </c>
      <c r="S76" s="247">
        <v>-0.16854571449660405</v>
      </c>
      <c r="T76" s="258">
        <v>0.94304703563927728</v>
      </c>
      <c r="V76" s="262"/>
      <c r="W76" s="246"/>
      <c r="X76" s="246"/>
      <c r="Y76" s="246"/>
      <c r="Z76" s="246"/>
      <c r="AA76" s="246"/>
      <c r="AB76" s="246"/>
      <c r="AC76" s="246"/>
      <c r="AD76" s="246"/>
      <c r="AE76" s="246"/>
      <c r="AF76" s="246"/>
      <c r="AG76" s="246"/>
      <c r="AH76" s="246"/>
      <c r="AK76" s="242"/>
      <c r="AL76" s="69"/>
      <c r="AM76" s="248"/>
      <c r="AN76" s="248"/>
      <c r="AO76" s="248"/>
      <c r="AP76" s="242"/>
      <c r="AT76" s="96"/>
    </row>
    <row r="77" spans="1:46" ht="16.5" thickBot="1">
      <c r="A77" s="95"/>
      <c r="B77" s="263" t="s">
        <v>635</v>
      </c>
      <c r="C77" s="266"/>
      <c r="D77" s="249">
        <v>3053228.5462447563</v>
      </c>
      <c r="E77" s="264"/>
      <c r="F77" s="238">
        <v>58406.1155</v>
      </c>
      <c r="G77" s="247">
        <v>60.713633448784748</v>
      </c>
      <c r="H77" s="247">
        <v>63.335732786130549</v>
      </c>
      <c r="I77" s="247">
        <v>4.1400000000000006</v>
      </c>
      <c r="J77" s="247">
        <v>31.733936818155687</v>
      </c>
      <c r="K77" s="247">
        <v>678.31186351741701</v>
      </c>
      <c r="L77" s="239"/>
      <c r="M77" s="247">
        <v>1.5420895564810522</v>
      </c>
      <c r="N77" s="239"/>
      <c r="O77" s="247">
        <v>0.70128141627190388</v>
      </c>
      <c r="P77" s="247">
        <v>-2.089341625741703E-2</v>
      </c>
      <c r="Q77" s="247">
        <v>-2.0893416257428132E-2</v>
      </c>
      <c r="R77" s="257">
        <v>0</v>
      </c>
      <c r="S77" s="247">
        <v>-0.15408786364378146</v>
      </c>
      <c r="T77" s="258">
        <v>1.0116471154245854</v>
      </c>
      <c r="V77" s="262"/>
      <c r="W77" s="246"/>
      <c r="X77" s="246"/>
      <c r="Y77" s="246"/>
      <c r="Z77" s="246"/>
      <c r="AA77" s="246"/>
      <c r="AB77" s="246"/>
      <c r="AC77" s="246"/>
      <c r="AD77" s="246"/>
      <c r="AE77" s="246"/>
      <c r="AF77" s="246"/>
      <c r="AG77" s="246"/>
      <c r="AH77" s="246"/>
      <c r="AK77" s="242"/>
      <c r="AL77" s="69"/>
      <c r="AM77" s="248"/>
      <c r="AN77" s="248"/>
      <c r="AO77" s="248"/>
      <c r="AP77" s="242"/>
      <c r="AT77" s="96"/>
    </row>
    <row r="78" spans="1:46" ht="15.75">
      <c r="A78" s="95"/>
      <c r="B78" s="267" t="s">
        <v>636</v>
      </c>
      <c r="C78" s="268"/>
      <c r="D78" s="268"/>
      <c r="E78" s="268"/>
      <c r="F78" s="268"/>
      <c r="G78" s="268"/>
      <c r="H78" s="268"/>
      <c r="I78" s="268"/>
      <c r="J78" s="268"/>
      <c r="K78" s="268"/>
      <c r="L78" s="268"/>
      <c r="M78" s="268"/>
      <c r="N78" s="268"/>
      <c r="O78" s="268"/>
      <c r="P78" s="268"/>
      <c r="Q78" s="268"/>
      <c r="R78" s="269"/>
      <c r="S78" s="268"/>
      <c r="T78" s="270"/>
      <c r="V78" s="262"/>
      <c r="W78" s="246"/>
      <c r="X78" s="246"/>
      <c r="Y78" s="246"/>
      <c r="Z78" s="246"/>
      <c r="AA78" s="246"/>
      <c r="AB78" s="246"/>
      <c r="AC78" s="246"/>
      <c r="AD78" s="246"/>
      <c r="AE78" s="246"/>
      <c r="AF78" s="246"/>
      <c r="AG78" s="246"/>
      <c r="AH78" s="246"/>
      <c r="AK78" s="242"/>
      <c r="AL78" s="69"/>
      <c r="AM78" s="248"/>
      <c r="AN78" s="248"/>
      <c r="AO78" s="248"/>
      <c r="AP78" s="242"/>
      <c r="AT78" s="96"/>
    </row>
    <row r="79" spans="1:46" ht="15.75">
      <c r="A79" s="95"/>
      <c r="B79" s="271" t="s">
        <v>1473</v>
      </c>
      <c r="C79" s="272"/>
      <c r="D79" s="272"/>
      <c r="E79" s="272"/>
      <c r="F79" s="272"/>
      <c r="G79" s="272"/>
      <c r="H79" s="272"/>
      <c r="I79" s="272"/>
      <c r="J79" s="272"/>
      <c r="K79" s="272"/>
      <c r="L79" s="272"/>
      <c r="M79" s="272"/>
      <c r="N79" s="272"/>
      <c r="O79" s="272"/>
      <c r="P79" s="272"/>
      <c r="Q79" s="272"/>
      <c r="R79" s="273"/>
      <c r="S79" s="272"/>
      <c r="T79" s="127"/>
      <c r="V79" s="262"/>
      <c r="W79" s="246"/>
      <c r="X79" s="246"/>
      <c r="Y79" s="246"/>
      <c r="Z79" s="246"/>
      <c r="AA79" s="246"/>
      <c r="AB79" s="246"/>
      <c r="AC79" s="246"/>
      <c r="AD79" s="246"/>
      <c r="AE79" s="246"/>
      <c r="AF79" s="246"/>
      <c r="AG79" s="246"/>
      <c r="AH79" s="246"/>
      <c r="AK79" s="242"/>
      <c r="AL79" s="69"/>
      <c r="AM79" s="248"/>
      <c r="AN79" s="248"/>
      <c r="AO79" s="248"/>
      <c r="AP79" s="242"/>
      <c r="AT79" s="96"/>
    </row>
    <row r="80" spans="1:46" ht="15.75">
      <c r="A80" s="95"/>
      <c r="B80" s="274" t="s">
        <v>1474</v>
      </c>
      <c r="C80" s="96"/>
      <c r="E80" s="96"/>
      <c r="L80" s="96"/>
      <c r="M80" s="96"/>
      <c r="N80" s="96"/>
      <c r="O80" s="96"/>
      <c r="P80" s="96"/>
      <c r="Q80" s="96"/>
      <c r="R80" s="275"/>
      <c r="S80" s="96"/>
      <c r="T80" s="276"/>
      <c r="V80" s="262"/>
      <c r="W80" s="246"/>
      <c r="X80" s="246"/>
      <c r="Y80" s="246"/>
      <c r="Z80" s="246"/>
      <c r="AA80" s="246"/>
      <c r="AB80" s="246"/>
      <c r="AC80" s="246"/>
      <c r="AD80" s="246"/>
      <c r="AE80" s="246"/>
      <c r="AF80" s="246"/>
      <c r="AG80" s="246"/>
      <c r="AH80" s="246"/>
      <c r="AK80" s="242"/>
      <c r="AL80" s="242"/>
      <c r="AM80" s="242"/>
      <c r="AN80" s="242"/>
      <c r="AO80" s="242"/>
      <c r="AP80" s="242"/>
      <c r="AT80" s="96"/>
    </row>
    <row r="81" spans="1:46" ht="15.75">
      <c r="A81" s="95"/>
      <c r="B81" s="274" t="s">
        <v>1475</v>
      </c>
      <c r="C81" s="96"/>
      <c r="E81" s="96"/>
      <c r="L81" s="96"/>
      <c r="M81" s="96"/>
      <c r="N81" s="96"/>
      <c r="O81" s="96"/>
      <c r="P81" s="96"/>
      <c r="Q81" s="96"/>
      <c r="R81" s="275"/>
      <c r="S81" s="96"/>
      <c r="T81" s="276"/>
      <c r="V81" s="262"/>
      <c r="W81" s="246"/>
      <c r="X81" s="246"/>
      <c r="Y81" s="246"/>
      <c r="Z81" s="246"/>
      <c r="AA81" s="246"/>
      <c r="AB81" s="246"/>
      <c r="AC81" s="246"/>
      <c r="AD81" s="246"/>
      <c r="AE81" s="246"/>
      <c r="AF81" s="246"/>
      <c r="AG81" s="246"/>
      <c r="AH81" s="246"/>
      <c r="AT81" s="96"/>
    </row>
    <row r="82" spans="1:46" ht="15.75">
      <c r="A82" s="95"/>
      <c r="B82" s="274" t="s">
        <v>1476</v>
      </c>
      <c r="C82" s="277"/>
      <c r="D82" s="277"/>
      <c r="E82" s="277"/>
      <c r="F82" s="277"/>
      <c r="G82" s="277"/>
      <c r="H82" s="277"/>
      <c r="I82" s="277"/>
      <c r="J82" s="277"/>
      <c r="L82" s="96"/>
      <c r="M82" s="96"/>
      <c r="N82" s="96"/>
      <c r="O82" s="96"/>
      <c r="P82" s="96"/>
      <c r="Q82" s="96"/>
      <c r="R82" s="275"/>
      <c r="S82" s="96"/>
      <c r="T82" s="276"/>
      <c r="V82" s="262"/>
      <c r="W82" s="246"/>
      <c r="X82" s="246"/>
      <c r="Y82" s="246"/>
      <c r="Z82" s="246"/>
      <c r="AA82" s="246"/>
      <c r="AB82" s="246"/>
      <c r="AC82" s="246"/>
      <c r="AD82" s="246"/>
      <c r="AE82" s="246"/>
      <c r="AF82" s="246"/>
      <c r="AG82" s="246"/>
      <c r="AH82" s="246"/>
      <c r="AT82" s="96"/>
    </row>
    <row r="83" spans="1:46" ht="15.75">
      <c r="A83" s="95"/>
      <c r="B83" s="125" t="s">
        <v>1477</v>
      </c>
      <c r="C83" s="126"/>
      <c r="D83" s="126"/>
      <c r="E83" s="126"/>
      <c r="F83" s="126"/>
      <c r="G83" s="126"/>
      <c r="H83" s="126"/>
      <c r="I83" s="126"/>
      <c r="J83" s="126"/>
      <c r="K83" s="126"/>
      <c r="L83" s="126"/>
      <c r="M83" s="126"/>
      <c r="N83" s="126"/>
      <c r="O83" s="126"/>
      <c r="P83" s="126"/>
      <c r="Q83" s="126"/>
      <c r="R83" s="278"/>
      <c r="S83" s="126"/>
      <c r="T83" s="127"/>
      <c r="V83" s="262"/>
      <c r="W83" s="246"/>
      <c r="X83" s="246"/>
      <c r="Y83" s="246"/>
      <c r="Z83" s="246"/>
      <c r="AA83" s="246"/>
      <c r="AB83" s="246"/>
      <c r="AC83" s="246"/>
      <c r="AD83" s="246"/>
      <c r="AE83" s="246"/>
      <c r="AF83" s="246"/>
      <c r="AG83" s="246"/>
      <c r="AH83" s="246"/>
      <c r="AT83" s="96"/>
    </row>
    <row r="84" spans="1:46" ht="15.75">
      <c r="A84" s="95"/>
      <c r="B84" s="125" t="s">
        <v>1478</v>
      </c>
      <c r="C84" s="126"/>
      <c r="D84" s="126"/>
      <c r="E84" s="126"/>
      <c r="F84" s="126"/>
      <c r="G84" s="126"/>
      <c r="H84" s="126"/>
      <c r="I84" s="126"/>
      <c r="J84" s="126"/>
      <c r="K84" s="126"/>
      <c r="L84" s="126"/>
      <c r="M84" s="126"/>
      <c r="N84" s="126"/>
      <c r="O84" s="126"/>
      <c r="P84" s="126"/>
      <c r="Q84" s="126"/>
      <c r="R84" s="278"/>
      <c r="S84" s="126"/>
      <c r="T84" s="127"/>
      <c r="V84" s="262"/>
      <c r="W84" s="246"/>
      <c r="X84" s="246"/>
      <c r="Y84" s="246"/>
      <c r="Z84" s="246"/>
      <c r="AA84" s="246"/>
      <c r="AB84" s="246"/>
      <c r="AC84" s="246"/>
      <c r="AD84" s="246"/>
      <c r="AE84" s="246"/>
      <c r="AF84" s="246"/>
      <c r="AG84" s="246"/>
      <c r="AH84" s="246"/>
      <c r="AT84" s="96"/>
    </row>
    <row r="85" spans="1:46" ht="15.75">
      <c r="A85" s="95"/>
      <c r="B85" s="274" t="s">
        <v>1479</v>
      </c>
      <c r="C85" s="277"/>
      <c r="D85" s="277"/>
      <c r="E85" s="277"/>
      <c r="F85" s="277"/>
      <c r="G85" s="277"/>
      <c r="H85" s="277"/>
      <c r="I85" s="277"/>
      <c r="J85" s="277"/>
      <c r="K85" s="277"/>
      <c r="L85" s="277"/>
      <c r="M85" s="277"/>
      <c r="N85" s="277"/>
      <c r="O85" s="277"/>
      <c r="P85" s="277"/>
      <c r="Q85" s="277"/>
      <c r="R85" s="279"/>
      <c r="S85" s="277"/>
      <c r="T85" s="280"/>
      <c r="V85" s="262"/>
      <c r="W85" s="246"/>
      <c r="X85" s="246"/>
      <c r="Y85" s="246"/>
      <c r="Z85" s="246"/>
      <c r="AA85" s="246"/>
      <c r="AB85" s="246"/>
      <c r="AC85" s="246"/>
      <c r="AD85" s="246"/>
      <c r="AE85" s="246"/>
      <c r="AF85" s="246"/>
      <c r="AG85" s="246"/>
      <c r="AH85" s="246"/>
      <c r="AT85" s="96"/>
    </row>
    <row r="86" spans="1:46" ht="15.75">
      <c r="A86" s="95"/>
      <c r="B86" s="281" t="s">
        <v>1480</v>
      </c>
      <c r="C86" s="282"/>
      <c r="D86" s="282"/>
      <c r="E86" s="282"/>
      <c r="F86" s="282"/>
      <c r="G86" s="282"/>
      <c r="H86" s="282"/>
      <c r="I86" s="282"/>
      <c r="J86" s="282"/>
      <c r="K86" s="282"/>
      <c r="L86" s="282"/>
      <c r="M86" s="282"/>
      <c r="N86" s="282"/>
      <c r="O86" s="282"/>
      <c r="P86" s="282"/>
      <c r="Q86" s="282"/>
      <c r="R86" s="283"/>
      <c r="S86" s="282"/>
      <c r="T86" s="284"/>
      <c r="V86" s="262"/>
      <c r="W86" s="246"/>
      <c r="X86" s="246"/>
      <c r="Y86" s="246"/>
      <c r="Z86" s="246"/>
      <c r="AA86" s="246"/>
      <c r="AB86" s="246"/>
      <c r="AC86" s="246"/>
      <c r="AD86" s="246"/>
      <c r="AE86" s="246"/>
      <c r="AF86" s="246"/>
      <c r="AG86" s="246"/>
      <c r="AH86" s="246"/>
      <c r="AT86" s="96"/>
    </row>
    <row r="87" spans="1:46" ht="15.75">
      <c r="A87" s="95"/>
      <c r="B87" s="281" t="s">
        <v>1481</v>
      </c>
      <c r="C87" s="282"/>
      <c r="D87" s="282"/>
      <c r="E87" s="282"/>
      <c r="F87" s="282"/>
      <c r="G87" s="282"/>
      <c r="H87" s="282"/>
      <c r="I87" s="282"/>
      <c r="J87" s="282"/>
      <c r="K87" s="282"/>
      <c r="L87" s="282"/>
      <c r="M87" s="282"/>
      <c r="N87" s="282"/>
      <c r="O87" s="282"/>
      <c r="P87" s="282"/>
      <c r="Q87" s="282"/>
      <c r="R87" s="283"/>
      <c r="S87" s="282"/>
      <c r="T87" s="284"/>
      <c r="V87" s="262"/>
      <c r="W87" s="246"/>
      <c r="X87" s="246"/>
      <c r="Y87" s="246"/>
      <c r="Z87" s="246"/>
      <c r="AA87" s="246"/>
      <c r="AB87" s="246"/>
      <c r="AC87" s="246"/>
      <c r="AD87" s="246"/>
      <c r="AE87" s="246"/>
      <c r="AF87" s="246"/>
      <c r="AG87" s="246"/>
      <c r="AH87" s="246"/>
      <c r="AT87" s="96"/>
    </row>
    <row r="88" spans="1:46" ht="16.5" thickBot="1">
      <c r="A88" s="95"/>
      <c r="B88" s="285" t="s">
        <v>1482</v>
      </c>
      <c r="C88" s="286"/>
      <c r="D88" s="286"/>
      <c r="E88" s="286"/>
      <c r="F88" s="286"/>
      <c r="G88" s="286"/>
      <c r="H88" s="286"/>
      <c r="I88" s="286"/>
      <c r="J88" s="286"/>
      <c r="K88" s="286"/>
      <c r="L88" s="286"/>
      <c r="M88" s="286"/>
      <c r="N88" s="286"/>
      <c r="O88" s="286"/>
      <c r="P88" s="286"/>
      <c r="Q88" s="286"/>
      <c r="R88" s="287"/>
      <c r="S88" s="286"/>
      <c r="T88" s="288"/>
      <c r="V88" s="246"/>
      <c r="W88" s="246"/>
      <c r="X88" s="246"/>
      <c r="Y88" s="246"/>
      <c r="Z88" s="246"/>
      <c r="AA88" s="246"/>
      <c r="AB88" s="246"/>
      <c r="AC88" s="246"/>
      <c r="AD88" s="246"/>
      <c r="AE88" s="246"/>
      <c r="AF88" s="246"/>
      <c r="AG88" s="246"/>
      <c r="AH88" s="246"/>
      <c r="AT88" s="96"/>
    </row>
    <row r="89" spans="1:46" ht="15.75">
      <c r="A89" s="95"/>
      <c r="B89" s="126"/>
      <c r="C89" s="126"/>
      <c r="D89" s="126"/>
      <c r="E89" s="126"/>
      <c r="F89" s="126"/>
      <c r="G89" s="126"/>
      <c r="H89" s="126"/>
      <c r="I89" s="126"/>
      <c r="J89" s="126"/>
      <c r="K89" s="126"/>
      <c r="L89" s="126"/>
      <c r="M89" s="126"/>
      <c r="N89" s="126"/>
      <c r="O89" s="126"/>
      <c r="P89" s="126"/>
      <c r="Q89" s="126"/>
      <c r="R89" s="126"/>
      <c r="S89" s="126"/>
      <c r="T89" s="126"/>
      <c r="U89" s="126"/>
      <c r="V89" s="246"/>
      <c r="W89" s="246"/>
      <c r="X89" s="246"/>
      <c r="Y89" s="246"/>
      <c r="Z89" s="246"/>
      <c r="AA89" s="246"/>
      <c r="AB89" s="246"/>
      <c r="AC89" s="246"/>
      <c r="AD89" s="246"/>
      <c r="AE89" s="246"/>
      <c r="AF89" s="246"/>
      <c r="AG89" s="246"/>
      <c r="AH89" s="246"/>
      <c r="AT89" s="96"/>
    </row>
    <row r="90" spans="1:46" ht="15.75">
      <c r="A90" s="95"/>
      <c r="B90" s="277"/>
      <c r="C90" s="277"/>
      <c r="D90" s="277"/>
      <c r="E90" s="277"/>
      <c r="F90" s="277"/>
      <c r="G90" s="277"/>
      <c r="H90" s="277"/>
      <c r="I90" s="277"/>
      <c r="J90" s="277"/>
      <c r="K90" s="277"/>
      <c r="L90" s="277"/>
      <c r="M90" s="277"/>
      <c r="N90" s="277"/>
      <c r="O90" s="277"/>
      <c r="P90" s="277"/>
      <c r="Q90" s="277"/>
      <c r="R90" s="277"/>
      <c r="S90" s="277"/>
      <c r="T90" s="277"/>
      <c r="U90" s="96"/>
      <c r="V90" s="246"/>
      <c r="W90" s="246"/>
      <c r="X90" s="246"/>
      <c r="Y90" s="246"/>
      <c r="Z90" s="246"/>
      <c r="AA90" s="246"/>
      <c r="AB90" s="246"/>
      <c r="AC90" s="246"/>
      <c r="AD90" s="246"/>
      <c r="AE90" s="246"/>
      <c r="AF90" s="246"/>
      <c r="AG90" s="246"/>
      <c r="AH90" s="246"/>
      <c r="AT90" s="96"/>
    </row>
    <row r="91" spans="1:46" ht="15.75">
      <c r="A91" s="95"/>
      <c r="B91" s="282"/>
      <c r="C91" s="282"/>
      <c r="D91" s="282"/>
      <c r="E91" s="282"/>
      <c r="F91" s="282"/>
      <c r="G91" s="282"/>
      <c r="H91" s="282"/>
      <c r="I91" s="282"/>
      <c r="J91" s="282"/>
      <c r="K91" s="282"/>
      <c r="L91" s="282"/>
      <c r="M91" s="282"/>
      <c r="N91" s="282"/>
      <c r="O91" s="282"/>
      <c r="P91" s="282"/>
      <c r="Q91" s="282"/>
      <c r="R91" s="282"/>
      <c r="S91" s="282"/>
      <c r="T91" s="282"/>
      <c r="U91" s="96"/>
      <c r="V91" s="246"/>
      <c r="W91" s="246"/>
      <c r="X91" s="246"/>
      <c r="Y91" s="246"/>
      <c r="Z91" s="246"/>
      <c r="AA91" s="246"/>
      <c r="AB91" s="246"/>
      <c r="AC91" s="246"/>
      <c r="AD91" s="246"/>
      <c r="AE91" s="246"/>
      <c r="AF91" s="246"/>
      <c r="AG91" s="246"/>
      <c r="AH91" s="246"/>
      <c r="AT91" s="96"/>
    </row>
    <row r="92" spans="1:46" ht="15.75">
      <c r="A92" s="95"/>
      <c r="B92" s="282"/>
      <c r="C92" s="282"/>
      <c r="D92" s="282"/>
      <c r="E92" s="282"/>
      <c r="F92" s="282"/>
      <c r="G92" s="282"/>
      <c r="H92" s="282"/>
      <c r="I92" s="282"/>
      <c r="J92" s="282"/>
      <c r="K92" s="282"/>
      <c r="L92" s="282"/>
      <c r="M92" s="282"/>
      <c r="N92" s="282"/>
      <c r="O92" s="282"/>
      <c r="P92" s="282"/>
      <c r="Q92" s="282"/>
      <c r="R92" s="282"/>
      <c r="S92" s="282"/>
      <c r="T92" s="282"/>
      <c r="U92" s="96"/>
      <c r="V92" s="246"/>
      <c r="W92" s="246"/>
      <c r="X92" s="246"/>
      <c r="Y92" s="246"/>
      <c r="Z92" s="246"/>
      <c r="AA92" s="246"/>
      <c r="AB92" s="246"/>
      <c r="AC92" s="246"/>
      <c r="AD92" s="246"/>
      <c r="AE92" s="246"/>
      <c r="AF92" s="246"/>
      <c r="AG92" s="246"/>
      <c r="AH92" s="246"/>
      <c r="AT92" s="96"/>
    </row>
    <row r="93" spans="1:46" ht="15.75">
      <c r="A93" s="95"/>
      <c r="B93" s="277"/>
      <c r="C93" s="277"/>
      <c r="D93" s="277"/>
      <c r="E93" s="277"/>
      <c r="F93" s="277"/>
      <c r="G93" s="277"/>
      <c r="H93" s="277"/>
      <c r="I93" s="277"/>
      <c r="J93" s="277"/>
      <c r="K93" s="277"/>
      <c r="L93" s="277"/>
      <c r="M93" s="277"/>
      <c r="N93" s="277"/>
      <c r="O93" s="277"/>
      <c r="P93" s="277"/>
      <c r="Q93" s="277"/>
      <c r="R93" s="277"/>
      <c r="S93" s="277"/>
      <c r="T93" s="277"/>
      <c r="U93" s="126"/>
      <c r="V93" s="246"/>
      <c r="W93" s="246"/>
      <c r="X93" s="246"/>
      <c r="Y93" s="246"/>
      <c r="Z93" s="246"/>
      <c r="AA93" s="246"/>
      <c r="AB93" s="246"/>
      <c r="AC93" s="246"/>
      <c r="AD93" s="246"/>
      <c r="AE93" s="246"/>
      <c r="AF93" s="246"/>
      <c r="AG93" s="246"/>
      <c r="AH93" s="246"/>
      <c r="AT93" s="96"/>
    </row>
    <row r="94" spans="1:46" ht="18.75">
      <c r="A94" s="95"/>
      <c r="B94" s="289"/>
      <c r="C94" s="290"/>
      <c r="D94" s="227"/>
      <c r="E94" s="290"/>
      <c r="F94" s="227"/>
      <c r="G94" s="227"/>
      <c r="H94" s="227"/>
      <c r="I94" s="227"/>
      <c r="J94" s="227"/>
      <c r="K94" s="227"/>
      <c r="L94" s="290"/>
      <c r="M94" s="290"/>
      <c r="N94" s="290"/>
      <c r="O94" s="290"/>
      <c r="P94" s="290"/>
      <c r="Q94" s="290"/>
      <c r="R94" s="290"/>
      <c r="S94" s="290"/>
      <c r="U94" s="126"/>
      <c r="V94" s="246"/>
      <c r="W94" s="246"/>
      <c r="X94" s="246"/>
      <c r="Y94" s="246"/>
      <c r="Z94" s="246"/>
      <c r="AA94" s="246"/>
      <c r="AB94" s="246"/>
      <c r="AC94" s="246"/>
      <c r="AD94" s="246"/>
      <c r="AE94" s="246"/>
      <c r="AF94" s="246"/>
      <c r="AG94" s="246"/>
      <c r="AH94" s="246"/>
      <c r="AT94" s="96"/>
    </row>
    <row r="95" spans="1:46" ht="15.75">
      <c r="A95" s="95"/>
      <c r="C95" s="291"/>
      <c r="E95" s="291"/>
      <c r="L95" s="291"/>
      <c r="M95" s="291"/>
      <c r="N95" s="291"/>
      <c r="O95" s="291"/>
      <c r="P95" s="291"/>
      <c r="Q95" s="291"/>
      <c r="R95" s="291"/>
      <c r="S95" s="291"/>
      <c r="U95" s="246"/>
      <c r="V95" s="246"/>
      <c r="W95" s="246"/>
      <c r="X95" s="246"/>
      <c r="Y95" s="246"/>
      <c r="Z95" s="246"/>
      <c r="AA95" s="246"/>
      <c r="AB95" s="246"/>
      <c r="AC95" s="246"/>
      <c r="AD95" s="246"/>
      <c r="AE95" s="246"/>
      <c r="AF95" s="246"/>
      <c r="AG95" s="246"/>
      <c r="AH95" s="246"/>
      <c r="AT95" s="96"/>
    </row>
    <row r="96" spans="1:46" ht="15.75">
      <c r="A96" s="95"/>
      <c r="C96" s="290"/>
      <c r="E96" s="290"/>
      <c r="L96" s="290"/>
      <c r="M96" s="290"/>
      <c r="N96" s="290"/>
      <c r="O96" s="290"/>
      <c r="P96" s="290"/>
      <c r="Q96" s="290"/>
      <c r="R96" s="290"/>
      <c r="S96" s="290"/>
      <c r="U96" s="246"/>
      <c r="V96" s="246"/>
      <c r="W96" s="246"/>
      <c r="X96" s="246"/>
      <c r="Y96" s="246"/>
      <c r="Z96" s="246"/>
      <c r="AA96" s="246"/>
      <c r="AB96" s="246"/>
      <c r="AC96" s="246"/>
      <c r="AD96" s="246"/>
      <c r="AE96" s="246"/>
      <c r="AF96" s="246"/>
      <c r="AG96" s="246"/>
      <c r="AH96" s="246"/>
      <c r="AT96" s="96"/>
    </row>
    <row r="97" spans="1:46" ht="15.75">
      <c r="A97" s="95"/>
      <c r="U97" s="246"/>
      <c r="V97" s="246"/>
      <c r="W97" s="246"/>
      <c r="X97" s="246"/>
      <c r="Y97" s="246"/>
      <c r="Z97" s="246"/>
      <c r="AA97" s="246"/>
      <c r="AB97" s="246"/>
      <c r="AC97" s="246"/>
      <c r="AD97" s="246"/>
      <c r="AE97" s="246"/>
      <c r="AF97" s="246"/>
      <c r="AG97" s="246"/>
      <c r="AH97" s="246"/>
      <c r="AT97" s="96"/>
    </row>
    <row r="98" spans="1:46" ht="15.75">
      <c r="A98" s="95"/>
      <c r="U98" s="246"/>
      <c r="V98" s="246"/>
      <c r="W98" s="246"/>
      <c r="X98" s="246"/>
      <c r="Y98" s="246"/>
      <c r="Z98" s="246"/>
      <c r="AA98" s="246"/>
      <c r="AB98" s="246"/>
      <c r="AC98" s="246"/>
      <c r="AD98" s="246"/>
      <c r="AE98" s="246"/>
      <c r="AF98" s="246"/>
      <c r="AG98" s="246"/>
      <c r="AH98" s="246"/>
      <c r="AT98" s="96"/>
    </row>
    <row r="99" spans="1:46" ht="15.75">
      <c r="A99" s="95"/>
      <c r="U99" s="246"/>
      <c r="V99" s="246"/>
      <c r="W99" s="246"/>
      <c r="X99" s="246"/>
      <c r="Y99" s="246"/>
      <c r="Z99" s="246"/>
      <c r="AA99" s="246"/>
      <c r="AB99" s="246"/>
      <c r="AC99" s="246"/>
      <c r="AD99" s="246"/>
      <c r="AE99" s="246"/>
      <c r="AF99" s="246"/>
      <c r="AG99" s="246"/>
      <c r="AH99" s="246"/>
      <c r="AT99" s="96"/>
    </row>
    <row r="100" spans="1:46" ht="15.75">
      <c r="A100" s="95"/>
      <c r="U100" s="246"/>
      <c r="V100" s="246"/>
      <c r="W100" s="246"/>
      <c r="X100" s="246"/>
      <c r="Y100" s="246"/>
      <c r="Z100" s="246"/>
      <c r="AA100" s="246"/>
      <c r="AB100" s="246"/>
      <c r="AC100" s="246"/>
      <c r="AD100" s="246"/>
      <c r="AE100" s="246"/>
      <c r="AF100" s="246"/>
      <c r="AG100" s="246"/>
      <c r="AH100" s="246"/>
      <c r="AT100" s="96"/>
    </row>
    <row r="101" spans="1:46" ht="15.75">
      <c r="A101" s="95"/>
      <c r="U101" s="246"/>
      <c r="V101" s="246"/>
      <c r="W101" s="246"/>
      <c r="X101" s="246"/>
      <c r="Y101" s="246"/>
      <c r="Z101" s="246"/>
      <c r="AA101" s="246"/>
      <c r="AB101" s="246"/>
      <c r="AC101" s="246"/>
      <c r="AD101" s="246"/>
      <c r="AE101" s="246"/>
      <c r="AF101" s="246"/>
      <c r="AG101" s="246"/>
      <c r="AH101" s="246"/>
      <c r="AT101" s="96"/>
    </row>
    <row r="102" spans="1:46" ht="15.75">
      <c r="A102" s="95"/>
      <c r="U102" s="246"/>
      <c r="V102" s="246"/>
      <c r="W102" s="246"/>
      <c r="X102" s="246"/>
      <c r="Y102" s="246"/>
      <c r="Z102" s="246"/>
      <c r="AA102" s="246"/>
      <c r="AB102" s="246"/>
      <c r="AC102" s="246"/>
      <c r="AD102" s="246"/>
      <c r="AE102" s="246"/>
      <c r="AF102" s="246"/>
      <c r="AG102" s="246"/>
      <c r="AH102" s="246"/>
      <c r="AT102" s="96"/>
    </row>
    <row r="103" spans="1:46" ht="15.75">
      <c r="A103" s="95"/>
      <c r="U103" s="246"/>
      <c r="V103" s="246"/>
      <c r="W103" s="246"/>
      <c r="X103" s="246"/>
      <c r="Y103" s="246"/>
      <c r="Z103" s="246"/>
      <c r="AA103" s="246"/>
      <c r="AB103" s="246"/>
      <c r="AC103" s="246"/>
      <c r="AD103" s="246"/>
      <c r="AE103" s="246"/>
      <c r="AF103" s="246"/>
      <c r="AG103" s="246"/>
      <c r="AH103" s="246"/>
      <c r="AT103" s="96"/>
    </row>
    <row r="104" spans="1:46" ht="15.75">
      <c r="A104" s="95"/>
      <c r="U104" s="246"/>
      <c r="V104" s="246"/>
      <c r="W104" s="246"/>
      <c r="X104" s="246"/>
      <c r="Y104" s="246"/>
      <c r="Z104" s="246"/>
      <c r="AA104" s="246"/>
      <c r="AB104" s="246"/>
      <c r="AC104" s="246"/>
      <c r="AD104" s="246"/>
      <c r="AE104" s="246"/>
      <c r="AF104" s="246"/>
      <c r="AG104" s="246"/>
      <c r="AH104" s="246"/>
      <c r="AT104" s="96"/>
    </row>
    <row r="105" spans="1:46" ht="15.75">
      <c r="A105" s="95"/>
      <c r="U105" s="246"/>
      <c r="V105" s="246"/>
      <c r="W105" s="246"/>
      <c r="X105" s="246"/>
      <c r="Y105" s="246"/>
      <c r="Z105" s="246"/>
      <c r="AA105" s="246"/>
      <c r="AB105" s="246"/>
      <c r="AC105" s="246"/>
      <c r="AD105" s="246"/>
      <c r="AE105" s="246"/>
      <c r="AF105" s="246"/>
      <c r="AG105" s="246"/>
      <c r="AH105" s="246"/>
      <c r="AT105" s="96"/>
    </row>
    <row r="106" spans="1:46" ht="15.75">
      <c r="A106" s="95"/>
      <c r="U106" s="246"/>
      <c r="V106" s="246"/>
      <c r="W106" s="246"/>
      <c r="X106" s="246"/>
      <c r="Y106" s="246"/>
      <c r="Z106" s="246"/>
      <c r="AA106" s="246"/>
      <c r="AB106" s="246"/>
      <c r="AC106" s="246"/>
      <c r="AD106" s="246"/>
      <c r="AE106" s="246"/>
      <c r="AF106" s="246"/>
      <c r="AG106" s="246"/>
      <c r="AH106" s="246"/>
      <c r="AT106" s="96"/>
    </row>
    <row r="107" spans="1:46" ht="15.75">
      <c r="A107" s="95"/>
      <c r="U107" s="246"/>
      <c r="V107" s="246"/>
      <c r="W107" s="246"/>
      <c r="X107" s="246"/>
      <c r="Y107" s="246"/>
      <c r="Z107" s="246"/>
      <c r="AA107" s="246"/>
      <c r="AB107" s="246"/>
      <c r="AC107" s="246"/>
      <c r="AD107" s="246"/>
      <c r="AE107" s="246"/>
      <c r="AF107" s="246"/>
      <c r="AG107" s="246"/>
      <c r="AH107" s="246"/>
      <c r="AT107" s="96"/>
    </row>
    <row r="108" spans="1:46" ht="15.75">
      <c r="A108" s="95"/>
      <c r="U108" s="246"/>
      <c r="V108" s="246"/>
      <c r="W108" s="246"/>
      <c r="X108" s="246"/>
      <c r="Y108" s="246"/>
      <c r="Z108" s="246"/>
      <c r="AA108" s="246"/>
    </row>
    <row r="109" spans="1:46" ht="15.75">
      <c r="A109" s="95"/>
      <c r="U109" s="246"/>
      <c r="V109" s="246"/>
      <c r="W109" s="246"/>
      <c r="X109" s="246"/>
      <c r="Y109" s="246"/>
      <c r="Z109" s="246"/>
      <c r="AA109" s="246"/>
    </row>
    <row r="110" spans="1:46" ht="15.75">
      <c r="A110" s="95"/>
      <c r="U110" s="246"/>
      <c r="V110" s="246"/>
      <c r="W110" s="246"/>
      <c r="X110" s="246"/>
      <c r="Y110" s="246"/>
      <c r="Z110" s="246"/>
      <c r="AA110" s="246"/>
    </row>
    <row r="111" spans="1:46" ht="15.75">
      <c r="A111" s="95"/>
      <c r="U111" s="246"/>
      <c r="V111" s="246"/>
      <c r="W111" s="246"/>
      <c r="X111" s="246"/>
      <c r="Y111" s="246"/>
      <c r="Z111" s="246"/>
      <c r="AA111" s="246"/>
    </row>
    <row r="112" spans="1:46" ht="15.75">
      <c r="A112" s="95"/>
      <c r="U112" s="246"/>
      <c r="V112" s="246"/>
      <c r="W112" s="246"/>
      <c r="X112" s="246"/>
      <c r="Y112" s="246"/>
      <c r="Z112" s="246"/>
      <c r="AA112" s="246"/>
    </row>
    <row r="113" spans="1:27" ht="15.75">
      <c r="A113" s="95"/>
      <c r="U113" s="246"/>
      <c r="V113" s="246"/>
      <c r="W113" s="246"/>
      <c r="X113" s="246"/>
      <c r="Y113" s="246"/>
      <c r="Z113" s="246"/>
      <c r="AA113" s="246"/>
    </row>
    <row r="114" spans="1:27" ht="15.75">
      <c r="A114" s="95"/>
      <c r="U114" s="246"/>
      <c r="V114" s="246"/>
      <c r="W114" s="246"/>
      <c r="X114" s="246"/>
      <c r="Y114" s="246"/>
      <c r="Z114" s="246"/>
      <c r="AA114" s="246"/>
    </row>
    <row r="115" spans="1:27" ht="15.75">
      <c r="A115" s="95"/>
      <c r="U115" s="246"/>
      <c r="V115" s="246"/>
      <c r="W115" s="246"/>
      <c r="X115" s="246"/>
      <c r="Y115" s="246"/>
      <c r="Z115" s="246"/>
      <c r="AA115" s="246"/>
    </row>
    <row r="116" spans="1:27" ht="15.75">
      <c r="A116" s="95"/>
      <c r="U116" s="246"/>
      <c r="V116" s="246"/>
      <c r="W116" s="246"/>
      <c r="X116" s="246"/>
      <c r="Y116" s="246"/>
      <c r="Z116" s="246"/>
      <c r="AA116" s="246"/>
    </row>
    <row r="117" spans="1:27" ht="15.75">
      <c r="A117" s="95"/>
      <c r="U117" s="246"/>
      <c r="V117" s="246"/>
      <c r="W117" s="246"/>
      <c r="X117" s="246"/>
      <c r="Y117" s="246"/>
      <c r="Z117" s="246"/>
      <c r="AA117" s="246"/>
    </row>
    <row r="118" spans="1:27" ht="15.75">
      <c r="A118" s="95"/>
      <c r="U118" s="246"/>
      <c r="V118" s="246"/>
      <c r="W118" s="246"/>
      <c r="X118" s="246"/>
      <c r="Y118" s="246"/>
      <c r="Z118" s="246"/>
      <c r="AA118" s="246"/>
    </row>
    <row r="119" spans="1:27" ht="15.75">
      <c r="A119" s="95"/>
      <c r="U119" s="246"/>
      <c r="V119" s="246"/>
      <c r="W119" s="246"/>
      <c r="X119" s="246"/>
      <c r="Y119" s="246"/>
      <c r="Z119" s="246"/>
      <c r="AA119" s="246"/>
    </row>
    <row r="120" spans="1:27" ht="15.75">
      <c r="A120" s="95"/>
      <c r="U120" s="246"/>
      <c r="V120" s="246"/>
      <c r="W120" s="246"/>
      <c r="X120" s="246"/>
      <c r="Y120" s="246"/>
      <c r="Z120" s="246"/>
      <c r="AA120" s="246"/>
    </row>
    <row r="121" spans="1:27" ht="15.75">
      <c r="A121" s="95"/>
      <c r="U121" s="246"/>
      <c r="V121" s="246"/>
      <c r="W121" s="246"/>
      <c r="X121" s="246"/>
      <c r="Y121" s="246"/>
      <c r="Z121" s="246"/>
      <c r="AA121" s="246"/>
    </row>
    <row r="122" spans="1:27" ht="15.75">
      <c r="A122" s="95"/>
      <c r="U122" s="292"/>
      <c r="V122" s="246"/>
      <c r="W122" s="246"/>
      <c r="X122" s="246"/>
      <c r="Y122" s="246"/>
      <c r="Z122" s="246"/>
      <c r="AA122" s="246"/>
    </row>
    <row r="123" spans="1:27" ht="15.75">
      <c r="A123" s="95"/>
      <c r="U123" s="292"/>
      <c r="V123" s="246"/>
      <c r="W123" s="246"/>
      <c r="X123" s="246"/>
      <c r="Y123" s="246"/>
      <c r="Z123" s="246"/>
      <c r="AA123" s="246"/>
    </row>
    <row r="124" spans="1:27" ht="15.75">
      <c r="A124" s="95"/>
      <c r="U124" s="292"/>
      <c r="V124" s="246"/>
      <c r="W124" s="246"/>
      <c r="X124" s="246"/>
      <c r="Y124" s="246"/>
      <c r="Z124" s="246"/>
      <c r="AA124" s="246"/>
    </row>
    <row r="125" spans="1:27" ht="15.75">
      <c r="A125" s="95"/>
      <c r="U125" s="292"/>
      <c r="V125" s="246"/>
      <c r="W125" s="246"/>
      <c r="X125" s="246"/>
      <c r="Y125" s="246"/>
      <c r="Z125" s="246"/>
      <c r="AA125" s="246"/>
    </row>
    <row r="126" spans="1:27" ht="15.75">
      <c r="A126" s="95"/>
      <c r="U126" s="292"/>
    </row>
    <row r="127" spans="1:27" ht="15.75">
      <c r="A127" s="95"/>
      <c r="U127" s="292"/>
    </row>
    <row r="128" spans="1:27" ht="15.75">
      <c r="A128" s="95"/>
      <c r="U128" s="292"/>
    </row>
    <row r="129" spans="1:21" ht="15.75">
      <c r="A129" s="95"/>
      <c r="U129" s="292"/>
    </row>
    <row r="130" spans="1:21" ht="15.75">
      <c r="A130" s="95"/>
      <c r="U130" s="292"/>
    </row>
    <row r="131" spans="1:21">
      <c r="U131" s="292"/>
    </row>
    <row r="132" spans="1:21">
      <c r="U132" s="292"/>
    </row>
    <row r="133" spans="1:21">
      <c r="U133" s="292"/>
    </row>
    <row r="134" spans="1:21">
      <c r="U134" s="292"/>
    </row>
    <row r="135" spans="1:21">
      <c r="U135" s="292"/>
    </row>
    <row r="136" spans="1:21">
      <c r="U136" s="292"/>
    </row>
    <row r="137" spans="1:21">
      <c r="U137" s="292"/>
    </row>
    <row r="138" spans="1:21">
      <c r="U138" s="292"/>
    </row>
    <row r="139" spans="1:21">
      <c r="U139" s="292"/>
    </row>
    <row r="140" spans="1:21">
      <c r="U140" s="292"/>
    </row>
    <row r="154" ht="15.75" customHeight="1"/>
    <row r="155" ht="16.5" customHeight="1"/>
    <row r="156" ht="16.5" customHeight="1"/>
    <row r="157" ht="15.75" customHeight="1"/>
    <row r="158" ht="15.75" customHeight="1"/>
    <row r="159" ht="16.5" customHeight="1"/>
  </sheetData>
  <mergeCells count="3">
    <mergeCell ref="B2:T2"/>
    <mergeCell ref="C3:K3"/>
    <mergeCell ref="L3:T3"/>
  </mergeCells>
  <hyperlinks>
    <hyperlink ref="A1" location="Contents!A1" display="Back to contents" xr:uid="{6047D21A-20FB-4DBB-99C2-042EC3EFBE0F}"/>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2AE5C-70EE-426F-8DC8-F01458A8CF0E}">
  <dimension ref="A1:D436"/>
  <sheetViews>
    <sheetView workbookViewId="0">
      <pane xSplit="1" ySplit="6" topLeftCell="B7" activePane="bottomRight" state="frozen"/>
      <selection pane="topRight" activeCell="B1" sqref="B1"/>
      <selection pane="bottomLeft" activeCell="A7" sqref="A7"/>
      <selection pane="bottomRight" activeCell="D2" sqref="D2"/>
    </sheetView>
  </sheetViews>
  <sheetFormatPr defaultRowHeight="15"/>
  <cols>
    <col min="2" max="5" width="16.42578125" customWidth="1"/>
  </cols>
  <sheetData>
    <row r="1" spans="1:4">
      <c r="A1" s="22" t="s">
        <v>689</v>
      </c>
      <c r="B1" t="s">
        <v>686</v>
      </c>
      <c r="C1" t="s">
        <v>687</v>
      </c>
      <c r="D1" t="s">
        <v>688</v>
      </c>
    </row>
    <row r="2" spans="1:4" s="153" customFormat="1" ht="75">
      <c r="A2" s="153" t="s">
        <v>695</v>
      </c>
      <c r="B2" s="153" t="s">
        <v>700</v>
      </c>
      <c r="C2" s="153" t="s">
        <v>702</v>
      </c>
      <c r="D2" s="153" t="s">
        <v>703</v>
      </c>
    </row>
    <row r="3" spans="1:4">
      <c r="A3" t="s">
        <v>694</v>
      </c>
      <c r="B3" t="s">
        <v>699</v>
      </c>
      <c r="C3" t="s">
        <v>701</v>
      </c>
      <c r="D3" t="s">
        <v>699</v>
      </c>
    </row>
    <row r="4" spans="1:4">
      <c r="A4" t="s">
        <v>693</v>
      </c>
      <c r="B4" t="s">
        <v>698</v>
      </c>
      <c r="C4" t="s">
        <v>698</v>
      </c>
      <c r="D4" t="s">
        <v>698</v>
      </c>
    </row>
    <row r="5" spans="1:4">
      <c r="A5" t="s">
        <v>692</v>
      </c>
      <c r="B5" t="s">
        <v>697</v>
      </c>
      <c r="C5" t="s">
        <v>697</v>
      </c>
      <c r="D5" t="s">
        <v>697</v>
      </c>
    </row>
    <row r="6" spans="1:4">
      <c r="A6" t="s">
        <v>691</v>
      </c>
      <c r="B6" t="s">
        <v>696</v>
      </c>
      <c r="C6" t="s">
        <v>696</v>
      </c>
      <c r="D6" t="s">
        <v>696</v>
      </c>
    </row>
    <row r="7" spans="1:4">
      <c r="A7" t="s">
        <v>690</v>
      </c>
      <c r="B7" s="32">
        <v>7890</v>
      </c>
      <c r="C7" s="32" t="e">
        <v>#N/A</v>
      </c>
      <c r="D7" s="34">
        <v>21.7</v>
      </c>
    </row>
    <row r="8" spans="1:4">
      <c r="A8" t="s">
        <v>704</v>
      </c>
      <c r="B8" s="32">
        <v>7897</v>
      </c>
      <c r="C8" s="32" t="e">
        <v>#N/A</v>
      </c>
      <c r="D8" s="34">
        <v>21.8</v>
      </c>
    </row>
    <row r="9" spans="1:4">
      <c r="A9" t="s">
        <v>705</v>
      </c>
      <c r="B9" s="32">
        <v>7892</v>
      </c>
      <c r="C9" s="32" t="e">
        <v>#N/A</v>
      </c>
      <c r="D9" s="34">
        <v>21.7</v>
      </c>
    </row>
    <row r="10" spans="1:4">
      <c r="A10" t="s">
        <v>706</v>
      </c>
      <c r="B10" s="32">
        <v>7883</v>
      </c>
      <c r="C10" s="32" t="e">
        <v>#N/A</v>
      </c>
      <c r="D10" s="34">
        <v>21.7</v>
      </c>
    </row>
    <row r="11" spans="1:4">
      <c r="A11" t="s">
        <v>707</v>
      </c>
      <c r="B11" s="32">
        <v>7877</v>
      </c>
      <c r="C11" s="32" t="e">
        <v>#N/A</v>
      </c>
      <c r="D11" s="34">
        <v>21.7</v>
      </c>
    </row>
    <row r="12" spans="1:4">
      <c r="A12" t="s">
        <v>708</v>
      </c>
      <c r="B12" s="32">
        <v>7875</v>
      </c>
      <c r="C12" s="32" t="e">
        <v>#N/A</v>
      </c>
      <c r="D12" s="34">
        <v>21.7</v>
      </c>
    </row>
    <row r="13" spans="1:4">
      <c r="A13" t="s">
        <v>709</v>
      </c>
      <c r="B13" s="32">
        <v>7874</v>
      </c>
      <c r="C13" s="32" t="e">
        <v>#N/A</v>
      </c>
      <c r="D13" s="34">
        <v>21.7</v>
      </c>
    </row>
    <row r="14" spans="1:4">
      <c r="A14" t="s">
        <v>710</v>
      </c>
      <c r="B14" s="32">
        <v>7889</v>
      </c>
      <c r="C14" s="32" t="e">
        <v>#N/A</v>
      </c>
      <c r="D14" s="34">
        <v>21.7</v>
      </c>
    </row>
    <row r="15" spans="1:4">
      <c r="A15" t="s">
        <v>711</v>
      </c>
      <c r="B15" s="32">
        <v>7906</v>
      </c>
      <c r="C15" s="32" t="e">
        <v>#N/A</v>
      </c>
      <c r="D15" s="34">
        <v>21.8</v>
      </c>
    </row>
    <row r="16" spans="1:4">
      <c r="A16" t="s">
        <v>712</v>
      </c>
      <c r="B16" s="32">
        <v>7919</v>
      </c>
      <c r="C16" s="32" t="e">
        <v>#N/A</v>
      </c>
      <c r="D16" s="34">
        <v>21.8</v>
      </c>
    </row>
    <row r="17" spans="1:4">
      <c r="A17" t="s">
        <v>713</v>
      </c>
      <c r="B17" s="32">
        <v>7934</v>
      </c>
      <c r="C17" s="32" t="e">
        <v>#N/A</v>
      </c>
      <c r="D17" s="34">
        <v>21.8</v>
      </c>
    </row>
    <row r="18" spans="1:4">
      <c r="A18" t="s">
        <v>714</v>
      </c>
      <c r="B18" s="32">
        <v>7965</v>
      </c>
      <c r="C18" s="32" t="e">
        <v>#N/A</v>
      </c>
      <c r="D18" s="34">
        <v>21.9</v>
      </c>
    </row>
    <row r="19" spans="1:4">
      <c r="A19" t="s">
        <v>715</v>
      </c>
      <c r="B19" s="32">
        <v>7984</v>
      </c>
      <c r="C19" s="32" t="e">
        <v>#N/A</v>
      </c>
      <c r="D19" s="34">
        <v>22</v>
      </c>
    </row>
    <row r="20" spans="1:4">
      <c r="A20" t="s">
        <v>716</v>
      </c>
      <c r="B20" s="32">
        <v>8005</v>
      </c>
      <c r="C20" s="32" t="e">
        <v>#N/A</v>
      </c>
      <c r="D20" s="34">
        <v>22</v>
      </c>
    </row>
    <row r="21" spans="1:4">
      <c r="A21" t="s">
        <v>717</v>
      </c>
      <c r="B21" s="32">
        <v>8017</v>
      </c>
      <c r="C21" s="32" t="e">
        <v>#N/A</v>
      </c>
      <c r="D21" s="34">
        <v>22.1</v>
      </c>
    </row>
    <row r="22" spans="1:4">
      <c r="A22" t="s">
        <v>718</v>
      </c>
      <c r="B22" s="32">
        <v>8036</v>
      </c>
      <c r="C22" s="32" t="e">
        <v>#N/A</v>
      </c>
      <c r="D22" s="34">
        <v>22.1</v>
      </c>
    </row>
    <row r="23" spans="1:4">
      <c r="A23" t="s">
        <v>719</v>
      </c>
      <c r="B23" s="32">
        <v>8083</v>
      </c>
      <c r="C23" s="32" t="e">
        <v>#N/A</v>
      </c>
      <c r="D23" s="34">
        <v>22.2</v>
      </c>
    </row>
    <row r="24" spans="1:4">
      <c r="A24" t="s">
        <v>720</v>
      </c>
      <c r="B24" s="32">
        <v>8118</v>
      </c>
      <c r="C24" s="32" t="e">
        <v>#N/A</v>
      </c>
      <c r="D24" s="34">
        <v>22.3</v>
      </c>
    </row>
    <row r="25" spans="1:4">
      <c r="A25" t="s">
        <v>721</v>
      </c>
      <c r="B25" s="32">
        <v>8149</v>
      </c>
      <c r="C25" s="32" t="e">
        <v>#N/A</v>
      </c>
      <c r="D25" s="34">
        <v>22.4</v>
      </c>
    </row>
    <row r="26" spans="1:4">
      <c r="A26" t="s">
        <v>722</v>
      </c>
      <c r="B26" s="32">
        <v>8186</v>
      </c>
      <c r="C26" s="32" t="e">
        <v>#N/A</v>
      </c>
      <c r="D26" s="34">
        <v>22.5</v>
      </c>
    </row>
    <row r="27" spans="1:4">
      <c r="A27" t="s">
        <v>723</v>
      </c>
      <c r="B27" s="32">
        <v>8229</v>
      </c>
      <c r="C27" s="32" t="e">
        <v>#N/A</v>
      </c>
      <c r="D27" s="34">
        <v>22.6</v>
      </c>
    </row>
    <row r="28" spans="1:4">
      <c r="A28" t="s">
        <v>724</v>
      </c>
      <c r="B28" s="32">
        <v>8278</v>
      </c>
      <c r="C28" s="32" t="e">
        <v>#N/A</v>
      </c>
      <c r="D28" s="34">
        <v>22.8</v>
      </c>
    </row>
    <row r="29" spans="1:4">
      <c r="A29" t="s">
        <v>725</v>
      </c>
      <c r="B29" s="32">
        <v>8317</v>
      </c>
      <c r="C29" s="32" t="e">
        <v>#N/A</v>
      </c>
      <c r="D29" s="34">
        <v>22.9</v>
      </c>
    </row>
    <row r="30" spans="1:4">
      <c r="A30" t="s">
        <v>726</v>
      </c>
      <c r="B30" s="32">
        <v>8356</v>
      </c>
      <c r="C30" s="32" t="e">
        <v>#N/A</v>
      </c>
      <c r="D30" s="34">
        <v>23</v>
      </c>
    </row>
    <row r="31" spans="1:4">
      <c r="A31" t="s">
        <v>727</v>
      </c>
      <c r="B31" s="32">
        <v>8378</v>
      </c>
      <c r="C31" s="32" t="e">
        <v>#N/A</v>
      </c>
      <c r="D31" s="34">
        <v>23</v>
      </c>
    </row>
    <row r="32" spans="1:4">
      <c r="A32" t="s">
        <v>728</v>
      </c>
      <c r="B32" s="32">
        <v>8383</v>
      </c>
      <c r="C32" s="32" t="e">
        <v>#N/A</v>
      </c>
      <c r="D32" s="34">
        <v>23.1</v>
      </c>
    </row>
    <row r="33" spans="1:4">
      <c r="A33" t="s">
        <v>729</v>
      </c>
      <c r="B33" s="32">
        <v>8398</v>
      </c>
      <c r="C33" s="32" t="e">
        <v>#N/A</v>
      </c>
      <c r="D33" s="34">
        <v>23.1</v>
      </c>
    </row>
    <row r="34" spans="1:4">
      <c r="A34" t="s">
        <v>730</v>
      </c>
      <c r="B34" s="32">
        <v>8428</v>
      </c>
      <c r="C34" s="32" t="e">
        <v>#N/A</v>
      </c>
      <c r="D34" s="34">
        <v>23.2</v>
      </c>
    </row>
    <row r="35" spans="1:4">
      <c r="A35" t="s">
        <v>731</v>
      </c>
      <c r="B35" s="32">
        <v>8481</v>
      </c>
      <c r="C35" s="32" t="e">
        <v>#N/A</v>
      </c>
      <c r="D35" s="34">
        <v>23.3</v>
      </c>
    </row>
    <row r="36" spans="1:4">
      <c r="A36" t="s">
        <v>732</v>
      </c>
      <c r="B36" s="32">
        <v>8507</v>
      </c>
      <c r="C36" s="32" t="e">
        <v>#N/A</v>
      </c>
      <c r="D36" s="34">
        <v>23.4</v>
      </c>
    </row>
    <row r="37" spans="1:4">
      <c r="A37" t="s">
        <v>733</v>
      </c>
      <c r="B37" s="32">
        <v>8501</v>
      </c>
      <c r="C37" s="32" t="e">
        <v>#N/A</v>
      </c>
      <c r="D37" s="34">
        <v>23.4</v>
      </c>
    </row>
    <row r="38" spans="1:4">
      <c r="A38" t="s">
        <v>734</v>
      </c>
      <c r="B38" s="32">
        <v>8512</v>
      </c>
      <c r="C38" s="32" t="e">
        <v>#N/A</v>
      </c>
      <c r="D38" s="34">
        <v>23.4</v>
      </c>
    </row>
    <row r="39" spans="1:4">
      <c r="A39" t="s">
        <v>735</v>
      </c>
      <c r="B39" s="32">
        <v>8526</v>
      </c>
      <c r="C39" s="32" t="e">
        <v>#N/A</v>
      </c>
      <c r="D39" s="34">
        <v>23.5</v>
      </c>
    </row>
    <row r="40" spans="1:4">
      <c r="A40" t="s">
        <v>736</v>
      </c>
      <c r="B40" s="32">
        <v>8511</v>
      </c>
      <c r="C40" s="32" t="e">
        <v>#N/A</v>
      </c>
      <c r="D40" s="34">
        <v>23.4</v>
      </c>
    </row>
    <row r="41" spans="1:4">
      <c r="A41" t="s">
        <v>737</v>
      </c>
      <c r="B41" s="32">
        <v>8536</v>
      </c>
      <c r="C41" s="32" t="e">
        <v>#N/A</v>
      </c>
      <c r="D41" s="34">
        <v>23.5</v>
      </c>
    </row>
    <row r="42" spans="1:4">
      <c r="A42" t="s">
        <v>738</v>
      </c>
      <c r="B42" s="32">
        <v>8519</v>
      </c>
      <c r="C42" s="32" t="e">
        <v>#N/A</v>
      </c>
      <c r="D42" s="34">
        <v>23.4</v>
      </c>
    </row>
    <row r="43" spans="1:4">
      <c r="A43" t="s">
        <v>739</v>
      </c>
      <c r="B43" s="32">
        <v>8507</v>
      </c>
      <c r="C43" s="32" t="e">
        <v>#N/A</v>
      </c>
      <c r="D43" s="34">
        <v>23.4</v>
      </c>
    </row>
    <row r="44" spans="1:4">
      <c r="A44" t="s">
        <v>740</v>
      </c>
      <c r="B44" s="32">
        <v>8519</v>
      </c>
      <c r="C44" s="32" t="e">
        <v>#N/A</v>
      </c>
      <c r="D44" s="34">
        <v>23.4</v>
      </c>
    </row>
    <row r="45" spans="1:4">
      <c r="A45" t="s">
        <v>741</v>
      </c>
      <c r="B45" s="32">
        <v>8557</v>
      </c>
      <c r="C45" s="32" t="e">
        <v>#N/A</v>
      </c>
      <c r="D45" s="34">
        <v>23.5</v>
      </c>
    </row>
    <row r="46" spans="1:4">
      <c r="A46" t="s">
        <v>742</v>
      </c>
      <c r="B46" s="32">
        <v>8557</v>
      </c>
      <c r="C46" s="32">
        <v>1813</v>
      </c>
      <c r="D46" s="34">
        <v>23.5</v>
      </c>
    </row>
    <row r="47" spans="1:4">
      <c r="A47" t="s">
        <v>743</v>
      </c>
      <c r="B47" s="32">
        <v>8565</v>
      </c>
      <c r="C47" s="32">
        <v>1834</v>
      </c>
      <c r="D47" s="34">
        <v>23.6</v>
      </c>
    </row>
    <row r="48" spans="1:4">
      <c r="A48" t="s">
        <v>744</v>
      </c>
      <c r="B48" s="32">
        <v>8565</v>
      </c>
      <c r="C48" s="32">
        <v>1857</v>
      </c>
      <c r="D48" s="34">
        <v>23.6</v>
      </c>
    </row>
    <row r="49" spans="1:4">
      <c r="A49" t="s">
        <v>745</v>
      </c>
      <c r="B49" s="32">
        <v>8606</v>
      </c>
      <c r="C49" s="32">
        <v>1889</v>
      </c>
      <c r="D49" s="34">
        <v>23.7</v>
      </c>
    </row>
    <row r="50" spans="1:4">
      <c r="A50" t="s">
        <v>746</v>
      </c>
      <c r="B50" s="32">
        <v>8583</v>
      </c>
      <c r="C50" s="32">
        <v>1884</v>
      </c>
      <c r="D50" s="34">
        <v>23.6</v>
      </c>
    </row>
    <row r="51" spans="1:4">
      <c r="A51" t="s">
        <v>747</v>
      </c>
      <c r="B51" s="32">
        <v>8586</v>
      </c>
      <c r="C51" s="32">
        <v>1905</v>
      </c>
      <c r="D51" s="34">
        <v>23.6</v>
      </c>
    </row>
    <row r="52" spans="1:4">
      <c r="A52" t="s">
        <v>748</v>
      </c>
      <c r="B52" s="32">
        <v>8589</v>
      </c>
      <c r="C52" s="32">
        <v>1938</v>
      </c>
      <c r="D52" s="34">
        <v>23.6</v>
      </c>
    </row>
    <row r="53" spans="1:4">
      <c r="A53" t="s">
        <v>749</v>
      </c>
      <c r="B53" s="32">
        <v>8585</v>
      </c>
      <c r="C53" s="32">
        <v>1930</v>
      </c>
      <c r="D53" s="34">
        <v>23.6</v>
      </c>
    </row>
    <row r="54" spans="1:4">
      <c r="A54" t="s">
        <v>750</v>
      </c>
      <c r="B54" s="32">
        <v>8585</v>
      </c>
      <c r="C54" s="32">
        <v>1926</v>
      </c>
      <c r="D54" s="34">
        <v>23.6</v>
      </c>
    </row>
    <row r="55" spans="1:4">
      <c r="A55" t="s">
        <v>751</v>
      </c>
      <c r="B55" s="32">
        <v>8587</v>
      </c>
      <c r="C55" s="32">
        <v>1918</v>
      </c>
      <c r="D55" s="34">
        <v>23.6</v>
      </c>
    </row>
    <row r="56" spans="1:4">
      <c r="A56" t="s">
        <v>752</v>
      </c>
      <c r="B56" s="32">
        <v>8580</v>
      </c>
      <c r="C56" s="32">
        <v>1911</v>
      </c>
      <c r="D56" s="34">
        <v>23.6</v>
      </c>
    </row>
    <row r="57" spans="1:4">
      <c r="A57" t="s">
        <v>753</v>
      </c>
      <c r="B57" s="32">
        <v>8586</v>
      </c>
      <c r="C57" s="32">
        <v>1938</v>
      </c>
      <c r="D57" s="34">
        <v>23.6</v>
      </c>
    </row>
    <row r="58" spans="1:4">
      <c r="A58" t="s">
        <v>754</v>
      </c>
      <c r="B58" s="32">
        <v>8607</v>
      </c>
      <c r="C58" s="32">
        <v>1940</v>
      </c>
      <c r="D58" s="34">
        <v>23.7</v>
      </c>
    </row>
    <row r="59" spans="1:4">
      <c r="A59" t="s">
        <v>755</v>
      </c>
      <c r="B59" s="32">
        <v>8626</v>
      </c>
      <c r="C59" s="32">
        <v>1952</v>
      </c>
      <c r="D59" s="34">
        <v>23.7</v>
      </c>
    </row>
    <row r="60" spans="1:4">
      <c r="A60" t="s">
        <v>756</v>
      </c>
      <c r="B60" s="32">
        <v>8600</v>
      </c>
      <c r="C60" s="32">
        <v>1940</v>
      </c>
      <c r="D60" s="34">
        <v>23.6</v>
      </c>
    </row>
    <row r="61" spans="1:4">
      <c r="A61" t="s">
        <v>757</v>
      </c>
      <c r="B61" s="32">
        <v>8622</v>
      </c>
      <c r="C61" s="32">
        <v>1951</v>
      </c>
      <c r="D61" s="34">
        <v>23.7</v>
      </c>
    </row>
    <row r="62" spans="1:4">
      <c r="A62" t="s">
        <v>758</v>
      </c>
      <c r="B62" s="32">
        <v>8643</v>
      </c>
      <c r="C62" s="32">
        <v>1971</v>
      </c>
      <c r="D62" s="34">
        <v>23.7</v>
      </c>
    </row>
    <row r="63" spans="1:4">
      <c r="A63" t="s">
        <v>759</v>
      </c>
      <c r="B63" s="32">
        <v>8682</v>
      </c>
      <c r="C63" s="32">
        <v>1995</v>
      </c>
      <c r="D63" s="34">
        <v>23.9</v>
      </c>
    </row>
    <row r="64" spans="1:4">
      <c r="A64" t="s">
        <v>760</v>
      </c>
      <c r="B64" s="32">
        <v>8721</v>
      </c>
      <c r="C64" s="32">
        <v>2015</v>
      </c>
      <c r="D64" s="34">
        <v>24</v>
      </c>
    </row>
    <row r="65" spans="1:4">
      <c r="A65" t="s">
        <v>761</v>
      </c>
      <c r="B65" s="32">
        <v>8761</v>
      </c>
      <c r="C65" s="32">
        <v>2031</v>
      </c>
      <c r="D65" s="34">
        <v>24.1</v>
      </c>
    </row>
    <row r="66" spans="1:4">
      <c r="A66" t="s">
        <v>762</v>
      </c>
      <c r="B66" s="32">
        <v>8805</v>
      </c>
      <c r="C66" s="32">
        <v>2074</v>
      </c>
      <c r="D66" s="34">
        <v>24.2</v>
      </c>
    </row>
    <row r="67" spans="1:4">
      <c r="A67" t="s">
        <v>763</v>
      </c>
      <c r="B67" s="32">
        <v>8767</v>
      </c>
      <c r="C67" s="32">
        <v>2074</v>
      </c>
      <c r="D67" s="34">
        <v>24.1</v>
      </c>
    </row>
    <row r="68" spans="1:4">
      <c r="A68" t="s">
        <v>764</v>
      </c>
      <c r="B68" s="32">
        <v>8736</v>
      </c>
      <c r="C68" s="32">
        <v>2080</v>
      </c>
      <c r="D68" s="34">
        <v>24</v>
      </c>
    </row>
    <row r="69" spans="1:4">
      <c r="A69" t="s">
        <v>765</v>
      </c>
      <c r="B69" s="32">
        <v>8719</v>
      </c>
      <c r="C69" s="32">
        <v>2077</v>
      </c>
      <c r="D69" s="34">
        <v>23.9</v>
      </c>
    </row>
    <row r="70" spans="1:4">
      <c r="A70" t="s">
        <v>766</v>
      </c>
      <c r="B70" s="32">
        <v>8709</v>
      </c>
      <c r="C70" s="32">
        <v>2109</v>
      </c>
      <c r="D70" s="34">
        <v>23.9</v>
      </c>
    </row>
    <row r="71" spans="1:4">
      <c r="A71" t="s">
        <v>767</v>
      </c>
      <c r="B71" s="32">
        <v>8717</v>
      </c>
      <c r="C71" s="32">
        <v>2120</v>
      </c>
      <c r="D71" s="34">
        <v>23.9</v>
      </c>
    </row>
    <row r="72" spans="1:4">
      <c r="A72" t="s">
        <v>768</v>
      </c>
      <c r="B72" s="32">
        <v>8691</v>
      </c>
      <c r="C72" s="32">
        <v>2117</v>
      </c>
      <c r="D72" s="34">
        <v>23.8</v>
      </c>
    </row>
    <row r="73" spans="1:4">
      <c r="A73" t="s">
        <v>769</v>
      </c>
      <c r="B73" s="32">
        <v>8657</v>
      </c>
      <c r="C73" s="32">
        <v>2121</v>
      </c>
      <c r="D73" s="34">
        <v>23.7</v>
      </c>
    </row>
    <row r="74" spans="1:4">
      <c r="A74" t="s">
        <v>770</v>
      </c>
      <c r="B74" s="32">
        <v>8647</v>
      </c>
      <c r="C74" s="32">
        <v>2133</v>
      </c>
      <c r="D74" s="34">
        <v>23.7</v>
      </c>
    </row>
    <row r="75" spans="1:4">
      <c r="A75" t="s">
        <v>771</v>
      </c>
      <c r="B75" s="32">
        <v>8647</v>
      </c>
      <c r="C75" s="32">
        <v>2136</v>
      </c>
      <c r="D75" s="34">
        <v>23.7</v>
      </c>
    </row>
    <row r="76" spans="1:4">
      <c r="A76" t="s">
        <v>772</v>
      </c>
      <c r="B76" s="32">
        <v>8657</v>
      </c>
      <c r="C76" s="32">
        <v>2139</v>
      </c>
      <c r="D76" s="34">
        <v>23.7</v>
      </c>
    </row>
    <row r="77" spans="1:4">
      <c r="A77" t="s">
        <v>773</v>
      </c>
      <c r="B77" s="32">
        <v>8643</v>
      </c>
      <c r="C77" s="32">
        <v>2152</v>
      </c>
      <c r="D77" s="34">
        <v>23.7</v>
      </c>
    </row>
    <row r="78" spans="1:4">
      <c r="A78" t="s">
        <v>774</v>
      </c>
      <c r="B78" s="32">
        <v>8619</v>
      </c>
      <c r="C78" s="32">
        <v>2145</v>
      </c>
      <c r="D78" s="34">
        <v>23.6</v>
      </c>
    </row>
    <row r="79" spans="1:4">
      <c r="A79" t="s">
        <v>775</v>
      </c>
      <c r="B79" s="32">
        <v>8647</v>
      </c>
      <c r="C79" s="32">
        <v>2160</v>
      </c>
      <c r="D79" s="34">
        <v>23.7</v>
      </c>
    </row>
    <row r="80" spans="1:4">
      <c r="A80" t="s">
        <v>776</v>
      </c>
      <c r="B80" s="32">
        <v>8688</v>
      </c>
      <c r="C80" s="32">
        <v>2165</v>
      </c>
      <c r="D80" s="34">
        <v>23.8</v>
      </c>
    </row>
    <row r="81" spans="1:4">
      <c r="A81" t="s">
        <v>777</v>
      </c>
      <c r="B81" s="32">
        <v>8675</v>
      </c>
      <c r="C81" s="32">
        <v>2162</v>
      </c>
      <c r="D81" s="34">
        <v>23.7</v>
      </c>
    </row>
    <row r="82" spans="1:4">
      <c r="A82" t="s">
        <v>778</v>
      </c>
      <c r="B82" s="32">
        <v>8663</v>
      </c>
      <c r="C82" s="32">
        <v>2196</v>
      </c>
      <c r="D82" s="34">
        <v>23.7</v>
      </c>
    </row>
    <row r="83" spans="1:4">
      <c r="A83" t="s">
        <v>779</v>
      </c>
      <c r="B83" s="32">
        <v>8672</v>
      </c>
      <c r="C83" s="32">
        <v>2193</v>
      </c>
      <c r="D83" s="34">
        <v>23.7</v>
      </c>
    </row>
    <row r="84" spans="1:4">
      <c r="A84" t="s">
        <v>780</v>
      </c>
      <c r="B84" s="32">
        <v>8713</v>
      </c>
      <c r="C84" s="32">
        <v>2221</v>
      </c>
      <c r="D84" s="34">
        <v>23.8</v>
      </c>
    </row>
    <row r="85" spans="1:4">
      <c r="A85" t="s">
        <v>781</v>
      </c>
      <c r="B85" s="32">
        <v>8707</v>
      </c>
      <c r="C85" s="32">
        <v>2236</v>
      </c>
      <c r="D85" s="34">
        <v>23.8</v>
      </c>
    </row>
    <row r="86" spans="1:4">
      <c r="A86" t="s">
        <v>782</v>
      </c>
      <c r="B86" s="32">
        <v>8714</v>
      </c>
      <c r="C86" s="32">
        <v>2265</v>
      </c>
      <c r="D86" s="34">
        <v>23.8</v>
      </c>
    </row>
    <row r="87" spans="1:4">
      <c r="A87" t="s">
        <v>783</v>
      </c>
      <c r="B87" s="32">
        <v>8668</v>
      </c>
      <c r="C87" s="32">
        <v>2269</v>
      </c>
      <c r="D87" s="34">
        <v>23.7</v>
      </c>
    </row>
    <row r="88" spans="1:4">
      <c r="A88" t="s">
        <v>784</v>
      </c>
      <c r="B88" s="32">
        <v>8641</v>
      </c>
      <c r="C88" s="32">
        <v>2267</v>
      </c>
      <c r="D88" s="34">
        <v>23.6</v>
      </c>
    </row>
    <row r="89" spans="1:4">
      <c r="A89" t="s">
        <v>785</v>
      </c>
      <c r="B89" s="32">
        <v>8660</v>
      </c>
      <c r="C89" s="32">
        <v>2301</v>
      </c>
      <c r="D89" s="34">
        <v>23.6</v>
      </c>
    </row>
    <row r="90" spans="1:4">
      <c r="A90" t="s">
        <v>786</v>
      </c>
      <c r="B90" s="32">
        <v>8662</v>
      </c>
      <c r="C90" s="32">
        <v>2315</v>
      </c>
      <c r="D90" s="34">
        <v>23.6</v>
      </c>
    </row>
    <row r="91" spans="1:4">
      <c r="A91" t="s">
        <v>787</v>
      </c>
      <c r="B91" s="32">
        <v>8659</v>
      </c>
      <c r="C91" s="32">
        <v>2322</v>
      </c>
      <c r="D91" s="34">
        <v>23.6</v>
      </c>
    </row>
    <row r="92" spans="1:4">
      <c r="A92" t="s">
        <v>788</v>
      </c>
      <c r="B92" s="32">
        <v>8660</v>
      </c>
      <c r="C92" s="32">
        <v>2318</v>
      </c>
      <c r="D92" s="34">
        <v>23.6</v>
      </c>
    </row>
    <row r="93" spans="1:4">
      <c r="A93" t="s">
        <v>789</v>
      </c>
      <c r="B93" s="32">
        <v>8655</v>
      </c>
      <c r="C93" s="32">
        <v>2311</v>
      </c>
      <c r="D93" s="34">
        <v>23.6</v>
      </c>
    </row>
    <row r="94" spans="1:4">
      <c r="A94" t="s">
        <v>790</v>
      </c>
      <c r="B94" s="32">
        <v>8654</v>
      </c>
      <c r="C94" s="32">
        <v>2311</v>
      </c>
      <c r="D94" s="34">
        <v>23.6</v>
      </c>
    </row>
    <row r="95" spans="1:4">
      <c r="A95" t="s">
        <v>791</v>
      </c>
      <c r="B95" s="32">
        <v>8602</v>
      </c>
      <c r="C95" s="32">
        <v>2280</v>
      </c>
      <c r="D95" s="34">
        <v>23.4</v>
      </c>
    </row>
    <row r="96" spans="1:4">
      <c r="A96" t="s">
        <v>792</v>
      </c>
      <c r="B96" s="32">
        <v>8610</v>
      </c>
      <c r="C96" s="32">
        <v>2290</v>
      </c>
      <c r="D96" s="34">
        <v>23.4</v>
      </c>
    </row>
    <row r="97" spans="1:4">
      <c r="A97" t="s">
        <v>793</v>
      </c>
      <c r="B97" s="32">
        <v>8670</v>
      </c>
      <c r="C97" s="32">
        <v>2317</v>
      </c>
      <c r="D97" s="34">
        <v>23.6</v>
      </c>
    </row>
    <row r="98" spans="1:4">
      <c r="A98" t="s">
        <v>794</v>
      </c>
      <c r="B98" s="32">
        <v>8691</v>
      </c>
      <c r="C98" s="32">
        <v>2328</v>
      </c>
      <c r="D98" s="34">
        <v>23.6</v>
      </c>
    </row>
    <row r="99" spans="1:4">
      <c r="A99" t="s">
        <v>795</v>
      </c>
      <c r="B99" s="32">
        <v>8711</v>
      </c>
      <c r="C99" s="32">
        <v>2324</v>
      </c>
      <c r="D99" s="34">
        <v>23.7</v>
      </c>
    </row>
    <row r="100" spans="1:4">
      <c r="A100" t="s">
        <v>796</v>
      </c>
      <c r="B100" s="32">
        <v>8726</v>
      </c>
      <c r="C100" s="32">
        <v>2333</v>
      </c>
      <c r="D100" s="34">
        <v>23.7</v>
      </c>
    </row>
    <row r="101" spans="1:4">
      <c r="A101" t="s">
        <v>797</v>
      </c>
      <c r="B101" s="32">
        <v>8741</v>
      </c>
      <c r="C101" s="32">
        <v>2346</v>
      </c>
      <c r="D101" s="34">
        <v>23.8</v>
      </c>
    </row>
    <row r="102" spans="1:4">
      <c r="A102" t="s">
        <v>798</v>
      </c>
      <c r="B102" s="32">
        <v>8798</v>
      </c>
      <c r="C102" s="32">
        <v>2332</v>
      </c>
      <c r="D102" s="34">
        <v>23.9</v>
      </c>
    </row>
    <row r="103" spans="1:4">
      <c r="A103" t="s">
        <v>799</v>
      </c>
      <c r="B103" s="32">
        <v>8781</v>
      </c>
      <c r="C103" s="32">
        <v>2358</v>
      </c>
      <c r="D103" s="34">
        <v>23.9</v>
      </c>
    </row>
    <row r="104" spans="1:4">
      <c r="A104" t="s">
        <v>800</v>
      </c>
      <c r="B104" s="32">
        <v>8776</v>
      </c>
      <c r="C104" s="32">
        <v>2372</v>
      </c>
      <c r="D104" s="34">
        <v>23.8</v>
      </c>
    </row>
    <row r="105" spans="1:4">
      <c r="A105" t="s">
        <v>801</v>
      </c>
      <c r="B105" s="32">
        <v>8782</v>
      </c>
      <c r="C105" s="32">
        <v>2386</v>
      </c>
      <c r="D105" s="34">
        <v>23.8</v>
      </c>
    </row>
    <row r="106" spans="1:4">
      <c r="A106" t="s">
        <v>802</v>
      </c>
      <c r="B106" s="32">
        <v>8804</v>
      </c>
      <c r="C106" s="32">
        <v>2372</v>
      </c>
      <c r="D106" s="34">
        <v>23.9</v>
      </c>
    </row>
    <row r="107" spans="1:4">
      <c r="A107" t="s">
        <v>803</v>
      </c>
      <c r="B107" s="32">
        <v>8810</v>
      </c>
      <c r="C107" s="32">
        <v>2367</v>
      </c>
      <c r="D107" s="34">
        <v>23.9</v>
      </c>
    </row>
    <row r="108" spans="1:4">
      <c r="A108" t="s">
        <v>804</v>
      </c>
      <c r="B108" s="32">
        <v>8754</v>
      </c>
      <c r="C108" s="32">
        <v>2382</v>
      </c>
      <c r="D108" s="34">
        <v>23.7</v>
      </c>
    </row>
    <row r="109" spans="1:4">
      <c r="A109" t="s">
        <v>805</v>
      </c>
      <c r="B109" s="32">
        <v>8699</v>
      </c>
      <c r="C109" s="32">
        <v>2367</v>
      </c>
      <c r="D109" s="34">
        <v>23.6</v>
      </c>
    </row>
    <row r="110" spans="1:4">
      <c r="A110" t="s">
        <v>806</v>
      </c>
      <c r="B110" s="32">
        <v>8721</v>
      </c>
      <c r="C110" s="32">
        <v>2369</v>
      </c>
      <c r="D110" s="34">
        <v>23.6</v>
      </c>
    </row>
    <row r="111" spans="1:4">
      <c r="A111" t="s">
        <v>807</v>
      </c>
      <c r="B111" s="32">
        <v>8698</v>
      </c>
      <c r="C111" s="32">
        <v>2369</v>
      </c>
      <c r="D111" s="34">
        <v>23.6</v>
      </c>
    </row>
    <row r="112" spans="1:4">
      <c r="A112" t="s">
        <v>808</v>
      </c>
      <c r="B112" s="32">
        <v>8669</v>
      </c>
      <c r="C112" s="32">
        <v>2349</v>
      </c>
      <c r="D112" s="34">
        <v>23.5</v>
      </c>
    </row>
    <row r="113" spans="1:4">
      <c r="A113" t="s">
        <v>809</v>
      </c>
      <c r="B113" s="32">
        <v>8673</v>
      </c>
      <c r="C113" s="32">
        <v>2343</v>
      </c>
      <c r="D113" s="34">
        <v>23.5</v>
      </c>
    </row>
    <row r="114" spans="1:4">
      <c r="A114" t="s">
        <v>810</v>
      </c>
      <c r="B114" s="32">
        <v>8624</v>
      </c>
      <c r="C114" s="32">
        <v>2329</v>
      </c>
      <c r="D114" s="34">
        <v>23.3</v>
      </c>
    </row>
    <row r="115" spans="1:4">
      <c r="A115" t="s">
        <v>811</v>
      </c>
      <c r="B115" s="32">
        <v>8623</v>
      </c>
      <c r="C115" s="32">
        <v>2323</v>
      </c>
      <c r="D115" s="34">
        <v>23.3</v>
      </c>
    </row>
    <row r="116" spans="1:4">
      <c r="A116" t="s">
        <v>812</v>
      </c>
      <c r="B116" s="32">
        <v>8645</v>
      </c>
      <c r="C116" s="32">
        <v>2337</v>
      </c>
      <c r="D116" s="34">
        <v>23.4</v>
      </c>
    </row>
    <row r="117" spans="1:4">
      <c r="A117" t="s">
        <v>813</v>
      </c>
      <c r="B117" s="32">
        <v>8666</v>
      </c>
      <c r="C117" s="32">
        <v>2359</v>
      </c>
      <c r="D117" s="34">
        <v>23.4</v>
      </c>
    </row>
    <row r="118" spans="1:4">
      <c r="A118" t="s">
        <v>814</v>
      </c>
      <c r="B118" s="32">
        <v>8691</v>
      </c>
      <c r="C118" s="32">
        <v>2356</v>
      </c>
      <c r="D118" s="34">
        <v>23.5</v>
      </c>
    </row>
    <row r="119" spans="1:4">
      <c r="A119" t="s">
        <v>815</v>
      </c>
      <c r="B119" s="32">
        <v>8684</v>
      </c>
      <c r="C119" s="32">
        <v>2349</v>
      </c>
      <c r="D119" s="34">
        <v>23.4</v>
      </c>
    </row>
    <row r="120" spans="1:4">
      <c r="A120" t="s">
        <v>816</v>
      </c>
      <c r="B120" s="32">
        <v>8695</v>
      </c>
      <c r="C120" s="32">
        <v>2342</v>
      </c>
      <c r="D120" s="34">
        <v>23.5</v>
      </c>
    </row>
    <row r="121" spans="1:4">
      <c r="A121" t="s">
        <v>817</v>
      </c>
      <c r="B121" s="32">
        <v>8682</v>
      </c>
      <c r="C121" s="32">
        <v>2330</v>
      </c>
      <c r="D121" s="34">
        <v>23.4</v>
      </c>
    </row>
    <row r="122" spans="1:4">
      <c r="A122" t="s">
        <v>818</v>
      </c>
      <c r="B122" s="32">
        <v>8658</v>
      </c>
      <c r="C122" s="32">
        <v>2339</v>
      </c>
      <c r="D122" s="34">
        <v>23.3</v>
      </c>
    </row>
    <row r="123" spans="1:4">
      <c r="A123" t="s">
        <v>819</v>
      </c>
      <c r="B123" s="32">
        <v>8691</v>
      </c>
      <c r="C123" s="32">
        <v>2323</v>
      </c>
      <c r="D123" s="34">
        <v>23.4</v>
      </c>
    </row>
    <row r="124" spans="1:4">
      <c r="A124" t="s">
        <v>820</v>
      </c>
      <c r="B124" s="32">
        <v>8646</v>
      </c>
      <c r="C124" s="32">
        <v>2304</v>
      </c>
      <c r="D124" s="34">
        <v>23.3</v>
      </c>
    </row>
    <row r="125" spans="1:4">
      <c r="A125" t="s">
        <v>821</v>
      </c>
      <c r="B125" s="32">
        <v>8631</v>
      </c>
      <c r="C125" s="32">
        <v>2286</v>
      </c>
      <c r="D125" s="34">
        <v>23.2</v>
      </c>
    </row>
    <row r="126" spans="1:4">
      <c r="A126" t="s">
        <v>822</v>
      </c>
      <c r="B126" s="32">
        <v>8645</v>
      </c>
      <c r="C126" s="32">
        <v>2291</v>
      </c>
      <c r="D126" s="34">
        <v>23.3</v>
      </c>
    </row>
    <row r="127" spans="1:4">
      <c r="A127" t="s">
        <v>823</v>
      </c>
      <c r="B127" s="32">
        <v>8681</v>
      </c>
      <c r="C127" s="32">
        <v>2295</v>
      </c>
      <c r="D127" s="34">
        <v>23.3</v>
      </c>
    </row>
    <row r="128" spans="1:4">
      <c r="A128" t="s">
        <v>824</v>
      </c>
      <c r="B128" s="32">
        <v>8650</v>
      </c>
      <c r="C128" s="32">
        <v>2306</v>
      </c>
      <c r="D128" s="34">
        <v>23.2</v>
      </c>
    </row>
    <row r="129" spans="1:4">
      <c r="A129" t="s">
        <v>825</v>
      </c>
      <c r="B129" s="32">
        <v>8652</v>
      </c>
      <c r="C129" s="32">
        <v>2312</v>
      </c>
      <c r="D129" s="34">
        <v>23.2</v>
      </c>
    </row>
    <row r="130" spans="1:4">
      <c r="A130" t="s">
        <v>826</v>
      </c>
      <c r="B130" s="32">
        <v>8639</v>
      </c>
      <c r="C130" s="32">
        <v>2302</v>
      </c>
      <c r="D130" s="34">
        <v>23.2</v>
      </c>
    </row>
    <row r="131" spans="1:4">
      <c r="A131" t="s">
        <v>827</v>
      </c>
      <c r="B131" s="32">
        <v>8670</v>
      </c>
      <c r="C131" s="32">
        <v>2290</v>
      </c>
      <c r="D131" s="34">
        <v>23.3</v>
      </c>
    </row>
    <row r="132" spans="1:4">
      <c r="A132" t="s">
        <v>828</v>
      </c>
      <c r="B132" s="32">
        <v>8680</v>
      </c>
      <c r="C132" s="32">
        <v>2288</v>
      </c>
      <c r="D132" s="34">
        <v>23.3</v>
      </c>
    </row>
    <row r="133" spans="1:4">
      <c r="A133" t="s">
        <v>829</v>
      </c>
      <c r="B133" s="32">
        <v>8679</v>
      </c>
      <c r="C133" s="32">
        <v>2303</v>
      </c>
      <c r="D133" s="34">
        <v>23.3</v>
      </c>
    </row>
    <row r="134" spans="1:4">
      <c r="A134" t="s">
        <v>830</v>
      </c>
      <c r="B134" s="32">
        <v>8679</v>
      </c>
      <c r="C134" s="32">
        <v>2310</v>
      </c>
      <c r="D134" s="34">
        <v>23.2</v>
      </c>
    </row>
    <row r="135" spans="1:4">
      <c r="A135" t="s">
        <v>831</v>
      </c>
      <c r="B135" s="32">
        <v>8708</v>
      </c>
      <c r="C135" s="32">
        <v>2318</v>
      </c>
      <c r="D135" s="34">
        <v>23.3</v>
      </c>
    </row>
    <row r="136" spans="1:4">
      <c r="A136" t="s">
        <v>832</v>
      </c>
      <c r="B136" s="32">
        <v>8777</v>
      </c>
      <c r="C136" s="32">
        <v>2355</v>
      </c>
      <c r="D136" s="34">
        <v>23.5</v>
      </c>
    </row>
    <row r="137" spans="1:4">
      <c r="A137" t="s">
        <v>833</v>
      </c>
      <c r="B137" s="32">
        <v>8776</v>
      </c>
      <c r="C137" s="32">
        <v>2341</v>
      </c>
      <c r="D137" s="34">
        <v>23.5</v>
      </c>
    </row>
    <row r="138" spans="1:4">
      <c r="A138" t="s">
        <v>834</v>
      </c>
      <c r="B138" s="32">
        <v>8715</v>
      </c>
      <c r="C138" s="32">
        <v>2336</v>
      </c>
      <c r="D138" s="34">
        <v>23.3</v>
      </c>
    </row>
    <row r="139" spans="1:4">
      <c r="A139" t="s">
        <v>835</v>
      </c>
      <c r="B139" s="32">
        <v>8740</v>
      </c>
      <c r="C139" s="32">
        <v>2337</v>
      </c>
      <c r="D139" s="34">
        <v>23.3</v>
      </c>
    </row>
    <row r="140" spans="1:4">
      <c r="A140" t="s">
        <v>836</v>
      </c>
      <c r="B140" s="32">
        <v>8779</v>
      </c>
      <c r="C140" s="32">
        <v>2342</v>
      </c>
      <c r="D140" s="34">
        <v>23.4</v>
      </c>
    </row>
    <row r="141" spans="1:4">
      <c r="A141" t="s">
        <v>837</v>
      </c>
      <c r="B141" s="32">
        <v>8784</v>
      </c>
      <c r="C141" s="32">
        <v>2341</v>
      </c>
      <c r="D141" s="34">
        <v>23.4</v>
      </c>
    </row>
    <row r="142" spans="1:4">
      <c r="A142" t="s">
        <v>838</v>
      </c>
      <c r="B142" s="32">
        <v>8804</v>
      </c>
      <c r="C142" s="32">
        <v>2349</v>
      </c>
      <c r="D142" s="34">
        <v>23.5</v>
      </c>
    </row>
    <row r="143" spans="1:4">
      <c r="A143" t="s">
        <v>839</v>
      </c>
      <c r="B143" s="32">
        <v>8794</v>
      </c>
      <c r="C143" s="32">
        <v>2341</v>
      </c>
      <c r="D143" s="34">
        <v>23.4</v>
      </c>
    </row>
    <row r="144" spans="1:4">
      <c r="A144" t="s">
        <v>840</v>
      </c>
      <c r="B144" s="32">
        <v>8833</v>
      </c>
      <c r="C144" s="32">
        <v>2363</v>
      </c>
      <c r="D144" s="34">
        <v>23.5</v>
      </c>
    </row>
    <row r="145" spans="1:4">
      <c r="A145" t="s">
        <v>841</v>
      </c>
      <c r="B145" s="32">
        <v>8820</v>
      </c>
      <c r="C145" s="32">
        <v>2365</v>
      </c>
      <c r="D145" s="34">
        <v>23.5</v>
      </c>
    </row>
    <row r="146" spans="1:4">
      <c r="A146" t="s">
        <v>842</v>
      </c>
      <c r="B146" s="32">
        <v>8845</v>
      </c>
      <c r="C146" s="32">
        <v>2370</v>
      </c>
      <c r="D146" s="34">
        <v>23.5</v>
      </c>
    </row>
    <row r="147" spans="1:4">
      <c r="A147" t="s">
        <v>843</v>
      </c>
      <c r="B147" s="32">
        <v>8848</v>
      </c>
      <c r="C147" s="32">
        <v>2391</v>
      </c>
      <c r="D147" s="34">
        <v>23.5</v>
      </c>
    </row>
    <row r="148" spans="1:4">
      <c r="A148" t="s">
        <v>844</v>
      </c>
      <c r="B148" s="32">
        <v>8819</v>
      </c>
      <c r="C148" s="32">
        <v>2387</v>
      </c>
      <c r="D148" s="34">
        <v>23.4</v>
      </c>
    </row>
    <row r="149" spans="1:4">
      <c r="A149" t="s">
        <v>845</v>
      </c>
      <c r="B149" s="32">
        <v>8811</v>
      </c>
      <c r="C149" s="32">
        <v>2384</v>
      </c>
      <c r="D149" s="34">
        <v>23.4</v>
      </c>
    </row>
    <row r="150" spans="1:4">
      <c r="A150" t="s">
        <v>846</v>
      </c>
      <c r="B150" s="32">
        <v>8863</v>
      </c>
      <c r="C150" s="32">
        <v>2385</v>
      </c>
      <c r="D150" s="34">
        <v>23.5</v>
      </c>
    </row>
    <row r="151" spans="1:4">
      <c r="A151" t="s">
        <v>847</v>
      </c>
      <c r="B151" s="32">
        <v>8880</v>
      </c>
      <c r="C151" s="32">
        <v>2382</v>
      </c>
      <c r="D151" s="34">
        <v>23.6</v>
      </c>
    </row>
    <row r="152" spans="1:4">
      <c r="A152" t="s">
        <v>848</v>
      </c>
      <c r="B152" s="32">
        <v>8883</v>
      </c>
      <c r="C152" s="32">
        <v>2384</v>
      </c>
      <c r="D152" s="34">
        <v>23.6</v>
      </c>
    </row>
    <row r="153" spans="1:4">
      <c r="A153" t="s">
        <v>849</v>
      </c>
      <c r="B153" s="32">
        <v>8839</v>
      </c>
      <c r="C153" s="32">
        <v>2361</v>
      </c>
      <c r="D153" s="34">
        <v>23.4</v>
      </c>
    </row>
    <row r="154" spans="1:4">
      <c r="A154" t="s">
        <v>850</v>
      </c>
      <c r="B154" s="32">
        <v>8814</v>
      </c>
      <c r="C154" s="32">
        <v>2369</v>
      </c>
      <c r="D154" s="34">
        <v>23.3</v>
      </c>
    </row>
    <row r="155" spans="1:4">
      <c r="A155" t="s">
        <v>851</v>
      </c>
      <c r="B155" s="32">
        <v>8812</v>
      </c>
      <c r="C155" s="32">
        <v>2362</v>
      </c>
      <c r="D155" s="34">
        <v>23.3</v>
      </c>
    </row>
    <row r="156" spans="1:4">
      <c r="A156" t="s">
        <v>852</v>
      </c>
      <c r="B156" s="32">
        <v>8851</v>
      </c>
      <c r="C156" s="32">
        <v>2360</v>
      </c>
      <c r="D156" s="34">
        <v>23.4</v>
      </c>
    </row>
    <row r="157" spans="1:4">
      <c r="A157" t="s">
        <v>853</v>
      </c>
      <c r="B157" s="32">
        <v>8810</v>
      </c>
      <c r="C157" s="32">
        <v>2316</v>
      </c>
      <c r="D157" s="34">
        <v>23.3</v>
      </c>
    </row>
    <row r="158" spans="1:4">
      <c r="A158" t="s">
        <v>854</v>
      </c>
      <c r="B158" s="32">
        <v>8825</v>
      </c>
      <c r="C158" s="32">
        <v>2307</v>
      </c>
      <c r="D158" s="34">
        <v>23.3</v>
      </c>
    </row>
    <row r="159" spans="1:4">
      <c r="A159" t="s">
        <v>855</v>
      </c>
      <c r="B159" s="32">
        <v>8785</v>
      </c>
      <c r="C159" s="32">
        <v>2293</v>
      </c>
      <c r="D159" s="34">
        <v>23.2</v>
      </c>
    </row>
    <row r="160" spans="1:4">
      <c r="A160" t="s">
        <v>856</v>
      </c>
      <c r="B160" s="32">
        <v>8787</v>
      </c>
      <c r="C160" s="32">
        <v>2291</v>
      </c>
      <c r="D160" s="34">
        <v>23.2</v>
      </c>
    </row>
    <row r="161" spans="1:4">
      <c r="A161" t="s">
        <v>857</v>
      </c>
      <c r="B161" s="32">
        <v>8774</v>
      </c>
      <c r="C161" s="32">
        <v>2283</v>
      </c>
      <c r="D161" s="34">
        <v>23.2</v>
      </c>
    </row>
    <row r="162" spans="1:4">
      <c r="A162" t="s">
        <v>858</v>
      </c>
      <c r="B162" s="32">
        <v>8859</v>
      </c>
      <c r="C162" s="32">
        <v>2314</v>
      </c>
      <c r="D162" s="34">
        <v>23.4</v>
      </c>
    </row>
    <row r="163" spans="1:4">
      <c r="A163" t="s">
        <v>859</v>
      </c>
      <c r="B163" s="32">
        <v>8878</v>
      </c>
      <c r="C163" s="32">
        <v>2323</v>
      </c>
      <c r="D163" s="34">
        <v>23.4</v>
      </c>
    </row>
    <row r="164" spans="1:4">
      <c r="A164" t="s">
        <v>860</v>
      </c>
      <c r="B164" s="32">
        <v>8851</v>
      </c>
      <c r="C164" s="32">
        <v>2307</v>
      </c>
      <c r="D164" s="34">
        <v>23.3</v>
      </c>
    </row>
    <row r="165" spans="1:4">
      <c r="A165" t="s">
        <v>861</v>
      </c>
      <c r="B165" s="32">
        <v>8852</v>
      </c>
      <c r="C165" s="32">
        <v>2284</v>
      </c>
      <c r="D165" s="34">
        <v>23.3</v>
      </c>
    </row>
    <row r="166" spans="1:4">
      <c r="A166" t="s">
        <v>862</v>
      </c>
      <c r="B166" s="32">
        <v>8854</v>
      </c>
      <c r="C166" s="32">
        <v>2271</v>
      </c>
      <c r="D166" s="34">
        <v>23.3</v>
      </c>
    </row>
    <row r="167" spans="1:4">
      <c r="A167" t="s">
        <v>863</v>
      </c>
      <c r="B167" s="32">
        <v>8857</v>
      </c>
      <c r="C167" s="32">
        <v>2261</v>
      </c>
      <c r="D167" s="34">
        <v>23.3</v>
      </c>
    </row>
    <row r="168" spans="1:4">
      <c r="A168" t="s">
        <v>864</v>
      </c>
      <c r="B168" s="32">
        <v>8838</v>
      </c>
      <c r="C168" s="32">
        <v>2263</v>
      </c>
      <c r="D168" s="34">
        <v>23.2</v>
      </c>
    </row>
    <row r="169" spans="1:4">
      <c r="A169" t="s">
        <v>865</v>
      </c>
      <c r="B169" s="32">
        <v>8878</v>
      </c>
      <c r="C169" s="32">
        <v>2257</v>
      </c>
      <c r="D169" s="34">
        <v>23.3</v>
      </c>
    </row>
    <row r="170" spans="1:4">
      <c r="A170" t="s">
        <v>866</v>
      </c>
      <c r="B170" s="32">
        <v>8878</v>
      </c>
      <c r="C170" s="32">
        <v>2266</v>
      </c>
      <c r="D170" s="34">
        <v>23.3</v>
      </c>
    </row>
    <row r="171" spans="1:4">
      <c r="A171" t="s">
        <v>867</v>
      </c>
      <c r="B171" s="32">
        <v>8900</v>
      </c>
      <c r="C171" s="32">
        <v>2293</v>
      </c>
      <c r="D171" s="34">
        <v>23.3</v>
      </c>
    </row>
    <row r="172" spans="1:4">
      <c r="A172" t="s">
        <v>868</v>
      </c>
      <c r="B172" s="32">
        <v>8923</v>
      </c>
      <c r="C172" s="32">
        <v>2299</v>
      </c>
      <c r="D172" s="34">
        <v>23.4</v>
      </c>
    </row>
    <row r="173" spans="1:4">
      <c r="A173" t="s">
        <v>869</v>
      </c>
      <c r="B173" s="32">
        <v>8951</v>
      </c>
      <c r="C173" s="32">
        <v>2301</v>
      </c>
      <c r="D173" s="34">
        <v>23.5</v>
      </c>
    </row>
    <row r="174" spans="1:4">
      <c r="A174" t="s">
        <v>870</v>
      </c>
      <c r="B174" s="32">
        <v>8889</v>
      </c>
      <c r="C174" s="32">
        <v>2273</v>
      </c>
      <c r="D174" s="34">
        <v>23.3</v>
      </c>
    </row>
    <row r="175" spans="1:4">
      <c r="A175" t="s">
        <v>871</v>
      </c>
      <c r="B175" s="32">
        <v>8877</v>
      </c>
      <c r="C175" s="32">
        <v>2273</v>
      </c>
      <c r="D175" s="34">
        <v>23.2</v>
      </c>
    </row>
    <row r="176" spans="1:4">
      <c r="A176" t="s">
        <v>872</v>
      </c>
      <c r="B176" s="32">
        <v>8890</v>
      </c>
      <c r="C176" s="32">
        <v>2279</v>
      </c>
      <c r="D176" s="34">
        <v>23.2</v>
      </c>
    </row>
    <row r="177" spans="1:4">
      <c r="A177" t="s">
        <v>873</v>
      </c>
      <c r="B177" s="32">
        <v>8923</v>
      </c>
      <c r="C177" s="32">
        <v>2304</v>
      </c>
      <c r="D177" s="34">
        <v>23.3</v>
      </c>
    </row>
    <row r="178" spans="1:4">
      <c r="A178" t="s">
        <v>874</v>
      </c>
      <c r="B178" s="32">
        <v>8942</v>
      </c>
      <c r="C178" s="32">
        <v>2309</v>
      </c>
      <c r="D178" s="34">
        <v>23.4</v>
      </c>
    </row>
    <row r="179" spans="1:4">
      <c r="A179" t="s">
        <v>875</v>
      </c>
      <c r="B179" s="32">
        <v>8966</v>
      </c>
      <c r="C179" s="32">
        <v>2315</v>
      </c>
      <c r="D179" s="34">
        <v>23.4</v>
      </c>
    </row>
    <row r="180" spans="1:4">
      <c r="A180" t="s">
        <v>876</v>
      </c>
      <c r="B180" s="32">
        <v>9003</v>
      </c>
      <c r="C180" s="32">
        <v>2320</v>
      </c>
      <c r="D180" s="34">
        <v>23.5</v>
      </c>
    </row>
    <row r="181" spans="1:4">
      <c r="A181" t="s">
        <v>877</v>
      </c>
      <c r="B181" s="32">
        <v>9036</v>
      </c>
      <c r="C181" s="32">
        <v>2338</v>
      </c>
      <c r="D181" s="34">
        <v>23.5</v>
      </c>
    </row>
    <row r="182" spans="1:4">
      <c r="A182" t="s">
        <v>878</v>
      </c>
      <c r="B182" s="32">
        <v>9029</v>
      </c>
      <c r="C182" s="32">
        <v>2339</v>
      </c>
      <c r="D182" s="34">
        <v>23.5</v>
      </c>
    </row>
    <row r="183" spans="1:4">
      <c r="A183" t="s">
        <v>879</v>
      </c>
      <c r="B183" s="32">
        <v>9044</v>
      </c>
      <c r="C183" s="32">
        <v>2324</v>
      </c>
      <c r="D183" s="34">
        <v>23.5</v>
      </c>
    </row>
    <row r="184" spans="1:4">
      <c r="A184" t="s">
        <v>880</v>
      </c>
      <c r="B184" s="32">
        <v>8996</v>
      </c>
      <c r="C184" s="32">
        <v>2314</v>
      </c>
      <c r="D184" s="34">
        <v>23.4</v>
      </c>
    </row>
    <row r="185" spans="1:4">
      <c r="A185" t="s">
        <v>881</v>
      </c>
      <c r="B185" s="32">
        <v>8974</v>
      </c>
      <c r="C185" s="32">
        <v>2307</v>
      </c>
      <c r="D185" s="34">
        <v>23.3</v>
      </c>
    </row>
    <row r="186" spans="1:4">
      <c r="A186" t="s">
        <v>882</v>
      </c>
      <c r="B186" s="32">
        <v>8958</v>
      </c>
      <c r="C186" s="32">
        <v>2292</v>
      </c>
      <c r="D186" s="34">
        <v>23.2</v>
      </c>
    </row>
    <row r="187" spans="1:4">
      <c r="A187" t="s">
        <v>883</v>
      </c>
      <c r="B187" s="32">
        <v>8917</v>
      </c>
      <c r="C187" s="32">
        <v>2283</v>
      </c>
      <c r="D187" s="34">
        <v>23.1</v>
      </c>
    </row>
    <row r="188" spans="1:4">
      <c r="A188" t="s">
        <v>884</v>
      </c>
      <c r="B188" s="32">
        <v>8993</v>
      </c>
      <c r="C188" s="32">
        <v>2285</v>
      </c>
      <c r="D188" s="34">
        <v>23.3</v>
      </c>
    </row>
    <row r="189" spans="1:4">
      <c r="A189" t="s">
        <v>885</v>
      </c>
      <c r="B189" s="32">
        <v>9059</v>
      </c>
      <c r="C189" s="32">
        <v>2327</v>
      </c>
      <c r="D189" s="34">
        <v>23.4</v>
      </c>
    </row>
    <row r="190" spans="1:4">
      <c r="A190" t="s">
        <v>886</v>
      </c>
      <c r="B190" s="32">
        <v>9057</v>
      </c>
      <c r="C190" s="32">
        <v>2311</v>
      </c>
      <c r="D190" s="34">
        <v>23.4</v>
      </c>
    </row>
    <row r="191" spans="1:4">
      <c r="A191" t="s">
        <v>887</v>
      </c>
      <c r="B191" s="32">
        <v>9068</v>
      </c>
      <c r="C191" s="32">
        <v>2296</v>
      </c>
      <c r="D191" s="34">
        <v>23.4</v>
      </c>
    </row>
    <row r="192" spans="1:4">
      <c r="A192" t="s">
        <v>888</v>
      </c>
      <c r="B192" s="32">
        <v>9064</v>
      </c>
      <c r="C192" s="32">
        <v>2266</v>
      </c>
      <c r="D192" s="34">
        <v>23.4</v>
      </c>
    </row>
    <row r="193" spans="1:4">
      <c r="A193" t="s">
        <v>889</v>
      </c>
      <c r="B193" s="32">
        <v>9049</v>
      </c>
      <c r="C193" s="32">
        <v>2256</v>
      </c>
      <c r="D193" s="34">
        <v>23.3</v>
      </c>
    </row>
    <row r="194" spans="1:4">
      <c r="A194" t="s">
        <v>890</v>
      </c>
      <c r="B194" s="32">
        <v>9042</v>
      </c>
      <c r="C194" s="32">
        <v>2248</v>
      </c>
      <c r="D194" s="34">
        <v>23.3</v>
      </c>
    </row>
    <row r="195" spans="1:4">
      <c r="A195" t="s">
        <v>891</v>
      </c>
      <c r="B195" s="32">
        <v>9042</v>
      </c>
      <c r="C195" s="32">
        <v>2265</v>
      </c>
      <c r="D195" s="34">
        <v>23.3</v>
      </c>
    </row>
    <row r="196" spans="1:4">
      <c r="A196" t="s">
        <v>892</v>
      </c>
      <c r="B196" s="32">
        <v>9074</v>
      </c>
      <c r="C196" s="32">
        <v>2264</v>
      </c>
      <c r="D196" s="34">
        <v>23.3</v>
      </c>
    </row>
    <row r="197" spans="1:4">
      <c r="A197" t="s">
        <v>893</v>
      </c>
      <c r="B197" s="32">
        <v>9084</v>
      </c>
      <c r="C197" s="32">
        <v>2255</v>
      </c>
      <c r="D197" s="34">
        <v>23.3</v>
      </c>
    </row>
    <row r="198" spans="1:4">
      <c r="A198" t="s">
        <v>894</v>
      </c>
      <c r="B198" s="32">
        <v>9076</v>
      </c>
      <c r="C198" s="32">
        <v>2247</v>
      </c>
      <c r="D198" s="34">
        <v>23.3</v>
      </c>
    </row>
    <row r="199" spans="1:4">
      <c r="A199" t="s">
        <v>895</v>
      </c>
      <c r="B199" s="32">
        <v>9024</v>
      </c>
      <c r="C199" s="32">
        <v>2229</v>
      </c>
      <c r="D199" s="34">
        <v>23.2</v>
      </c>
    </row>
    <row r="200" spans="1:4">
      <c r="A200" t="s">
        <v>896</v>
      </c>
      <c r="B200" s="32">
        <v>8981</v>
      </c>
      <c r="C200" s="32">
        <v>2223</v>
      </c>
      <c r="D200" s="34">
        <v>23</v>
      </c>
    </row>
    <row r="201" spans="1:4">
      <c r="A201" t="s">
        <v>897</v>
      </c>
      <c r="B201" s="32">
        <v>8957</v>
      </c>
      <c r="C201" s="32">
        <v>2211</v>
      </c>
      <c r="D201" s="34">
        <v>22.9</v>
      </c>
    </row>
    <row r="202" spans="1:4">
      <c r="A202" t="s">
        <v>898</v>
      </c>
      <c r="B202" s="32">
        <v>8973</v>
      </c>
      <c r="C202" s="32">
        <v>2233</v>
      </c>
      <c r="D202" s="34">
        <v>23</v>
      </c>
    </row>
    <row r="203" spans="1:4">
      <c r="A203" t="s">
        <v>899</v>
      </c>
      <c r="B203" s="32">
        <v>8950</v>
      </c>
      <c r="C203" s="32">
        <v>2242</v>
      </c>
      <c r="D203" s="34">
        <v>22.9</v>
      </c>
    </row>
    <row r="204" spans="1:4">
      <c r="A204" t="s">
        <v>900</v>
      </c>
      <c r="B204" s="32">
        <v>8929</v>
      </c>
      <c r="C204" s="32">
        <v>2227</v>
      </c>
      <c r="D204" s="34">
        <v>22.8</v>
      </c>
    </row>
    <row r="205" spans="1:4">
      <c r="A205" t="s">
        <v>901</v>
      </c>
      <c r="B205" s="32">
        <v>8893</v>
      </c>
      <c r="C205" s="32">
        <v>2198</v>
      </c>
      <c r="D205" s="34">
        <v>22.7</v>
      </c>
    </row>
    <row r="206" spans="1:4">
      <c r="A206" t="s">
        <v>902</v>
      </c>
      <c r="B206" s="32">
        <v>8980</v>
      </c>
      <c r="C206" s="32">
        <v>2194</v>
      </c>
      <c r="D206" s="34">
        <v>22.9</v>
      </c>
    </row>
    <row r="207" spans="1:4">
      <c r="A207" t="s">
        <v>903</v>
      </c>
      <c r="B207" s="32">
        <v>9001</v>
      </c>
      <c r="C207" s="32">
        <v>2214</v>
      </c>
      <c r="D207" s="34">
        <v>22.9</v>
      </c>
    </row>
    <row r="208" spans="1:4">
      <c r="A208" t="s">
        <v>904</v>
      </c>
      <c r="B208" s="32">
        <v>9042</v>
      </c>
      <c r="C208" s="32">
        <v>2229</v>
      </c>
      <c r="D208" s="34">
        <v>23</v>
      </c>
    </row>
    <row r="209" spans="1:4">
      <c r="A209" t="s">
        <v>905</v>
      </c>
      <c r="B209" s="32">
        <v>9037</v>
      </c>
      <c r="C209" s="32">
        <v>2228</v>
      </c>
      <c r="D209" s="34">
        <v>23</v>
      </c>
    </row>
    <row r="210" spans="1:4">
      <c r="A210" t="s">
        <v>906</v>
      </c>
      <c r="B210" s="32">
        <v>9074</v>
      </c>
      <c r="C210" s="32">
        <v>2214</v>
      </c>
      <c r="D210" s="34">
        <v>23.1</v>
      </c>
    </row>
    <row r="211" spans="1:4">
      <c r="A211" t="s">
        <v>907</v>
      </c>
      <c r="B211" s="32">
        <v>9131</v>
      </c>
      <c r="C211" s="32">
        <v>2245</v>
      </c>
      <c r="D211" s="34">
        <v>23.2</v>
      </c>
    </row>
    <row r="212" spans="1:4">
      <c r="A212" t="s">
        <v>908</v>
      </c>
      <c r="B212" s="32">
        <v>9145</v>
      </c>
      <c r="C212" s="32">
        <v>2242</v>
      </c>
      <c r="D212" s="34">
        <v>23.2</v>
      </c>
    </row>
    <row r="213" spans="1:4">
      <c r="A213" t="s">
        <v>909</v>
      </c>
      <c r="B213" s="32">
        <v>9154</v>
      </c>
      <c r="C213" s="32">
        <v>2247</v>
      </c>
      <c r="D213" s="34">
        <v>23.2</v>
      </c>
    </row>
    <row r="214" spans="1:4">
      <c r="A214" t="s">
        <v>910</v>
      </c>
      <c r="B214" s="32">
        <v>9123</v>
      </c>
      <c r="C214" s="32">
        <v>2211</v>
      </c>
      <c r="D214" s="34">
        <v>23.1</v>
      </c>
    </row>
    <row r="215" spans="1:4">
      <c r="A215" t="s">
        <v>911</v>
      </c>
      <c r="B215" s="32">
        <v>9162</v>
      </c>
      <c r="C215" s="32">
        <v>2209</v>
      </c>
      <c r="D215" s="34">
        <v>23.2</v>
      </c>
    </row>
    <row r="216" spans="1:4">
      <c r="A216" t="s">
        <v>912</v>
      </c>
      <c r="B216" s="32">
        <v>9187</v>
      </c>
      <c r="C216" s="32">
        <v>2216</v>
      </c>
      <c r="D216" s="34">
        <v>23.2</v>
      </c>
    </row>
    <row r="217" spans="1:4">
      <c r="A217" t="s">
        <v>913</v>
      </c>
      <c r="B217" s="32">
        <v>9190</v>
      </c>
      <c r="C217" s="32">
        <v>2215</v>
      </c>
      <c r="D217" s="34">
        <v>23.2</v>
      </c>
    </row>
    <row r="218" spans="1:4">
      <c r="A218" t="s">
        <v>914</v>
      </c>
      <c r="B218" s="32">
        <v>9175</v>
      </c>
      <c r="C218" s="32">
        <v>2200</v>
      </c>
      <c r="D218" s="34">
        <v>23.2</v>
      </c>
    </row>
    <row r="219" spans="1:4">
      <c r="A219" t="s">
        <v>915</v>
      </c>
      <c r="B219" s="32">
        <v>9170</v>
      </c>
      <c r="C219" s="32">
        <v>2201</v>
      </c>
      <c r="D219" s="34">
        <v>23.1</v>
      </c>
    </row>
    <row r="220" spans="1:4">
      <c r="A220" t="s">
        <v>916</v>
      </c>
      <c r="B220" s="32">
        <v>9148</v>
      </c>
      <c r="C220" s="32">
        <v>2202</v>
      </c>
      <c r="D220" s="34">
        <v>23.1</v>
      </c>
    </row>
    <row r="221" spans="1:4">
      <c r="A221" t="s">
        <v>917</v>
      </c>
      <c r="B221" s="32">
        <v>9145</v>
      </c>
      <c r="C221" s="32">
        <v>2220</v>
      </c>
      <c r="D221" s="34">
        <v>23.1</v>
      </c>
    </row>
    <row r="222" spans="1:4">
      <c r="A222" t="s">
        <v>918</v>
      </c>
      <c r="B222" s="32">
        <v>9137</v>
      </c>
      <c r="C222" s="32">
        <v>2228</v>
      </c>
      <c r="D222" s="34">
        <v>23</v>
      </c>
    </row>
    <row r="223" spans="1:4">
      <c r="A223" t="s">
        <v>919</v>
      </c>
      <c r="B223" s="32">
        <v>9106</v>
      </c>
      <c r="C223" s="32">
        <v>2215</v>
      </c>
      <c r="D223" s="34">
        <v>22.9</v>
      </c>
    </row>
    <row r="224" spans="1:4">
      <c r="A224" t="s">
        <v>920</v>
      </c>
      <c r="B224" s="32">
        <v>9130</v>
      </c>
      <c r="C224" s="32">
        <v>2224</v>
      </c>
      <c r="D224" s="34">
        <v>23</v>
      </c>
    </row>
    <row r="225" spans="1:4">
      <c r="A225" t="s">
        <v>921</v>
      </c>
      <c r="B225" s="32">
        <v>9101</v>
      </c>
      <c r="C225" s="32">
        <v>2221</v>
      </c>
      <c r="D225" s="34">
        <v>22.9</v>
      </c>
    </row>
    <row r="226" spans="1:4">
      <c r="A226" t="s">
        <v>922</v>
      </c>
      <c r="B226" s="32">
        <v>9124</v>
      </c>
      <c r="C226" s="32">
        <v>2196</v>
      </c>
      <c r="D226" s="34">
        <v>22.9</v>
      </c>
    </row>
    <row r="227" spans="1:4">
      <c r="A227" t="s">
        <v>923</v>
      </c>
      <c r="B227" s="32">
        <v>9126</v>
      </c>
      <c r="C227" s="32">
        <v>2174</v>
      </c>
      <c r="D227" s="34">
        <v>22.9</v>
      </c>
    </row>
    <row r="228" spans="1:4">
      <c r="A228" t="s">
        <v>924</v>
      </c>
      <c r="B228" s="32">
        <v>9133</v>
      </c>
      <c r="C228" s="32">
        <v>2175</v>
      </c>
      <c r="D228" s="34">
        <v>22.9</v>
      </c>
    </row>
    <row r="229" spans="1:4">
      <c r="A229" t="s">
        <v>925</v>
      </c>
      <c r="B229" s="32">
        <v>9164</v>
      </c>
      <c r="C229" s="32">
        <v>2201</v>
      </c>
      <c r="D229" s="34">
        <v>23</v>
      </c>
    </row>
    <row r="230" spans="1:4">
      <c r="A230" t="s">
        <v>926</v>
      </c>
      <c r="B230" s="32">
        <v>9171</v>
      </c>
      <c r="C230" s="32">
        <v>2227</v>
      </c>
      <c r="D230" s="34">
        <v>23</v>
      </c>
    </row>
    <row r="231" spans="1:4">
      <c r="A231" t="s">
        <v>927</v>
      </c>
      <c r="B231" s="32">
        <v>9205</v>
      </c>
      <c r="C231" s="32">
        <v>2197</v>
      </c>
      <c r="D231" s="34">
        <v>23.1</v>
      </c>
    </row>
    <row r="232" spans="1:4">
      <c r="A232" t="s">
        <v>928</v>
      </c>
      <c r="B232" s="32">
        <v>9139</v>
      </c>
      <c r="C232" s="32">
        <v>2182</v>
      </c>
      <c r="D232" s="34">
        <v>22.9</v>
      </c>
    </row>
    <row r="233" spans="1:4">
      <c r="A233" t="s">
        <v>929</v>
      </c>
      <c r="B233" s="32">
        <v>9125</v>
      </c>
      <c r="C233" s="32">
        <v>2149</v>
      </c>
      <c r="D233" s="34">
        <v>22.9</v>
      </c>
    </row>
    <row r="234" spans="1:4">
      <c r="A234" t="s">
        <v>930</v>
      </c>
      <c r="B234" s="32">
        <v>9067</v>
      </c>
      <c r="C234" s="32">
        <v>2163</v>
      </c>
      <c r="D234" s="34">
        <v>22.7</v>
      </c>
    </row>
    <row r="235" spans="1:4">
      <c r="A235" t="s">
        <v>931</v>
      </c>
      <c r="B235" s="32">
        <v>9127</v>
      </c>
      <c r="C235" s="32">
        <v>2173</v>
      </c>
      <c r="D235" s="34">
        <v>22.8</v>
      </c>
    </row>
    <row r="236" spans="1:4">
      <c r="A236" t="s">
        <v>932</v>
      </c>
      <c r="B236" s="32">
        <v>9111</v>
      </c>
      <c r="C236" s="32">
        <v>2160</v>
      </c>
      <c r="D236" s="34">
        <v>22.8</v>
      </c>
    </row>
    <row r="237" spans="1:4">
      <c r="A237" t="s">
        <v>933</v>
      </c>
      <c r="B237" s="32">
        <v>9163</v>
      </c>
      <c r="C237" s="32">
        <v>2145</v>
      </c>
      <c r="D237" s="34">
        <v>22.9</v>
      </c>
    </row>
    <row r="238" spans="1:4">
      <c r="A238" t="s">
        <v>934</v>
      </c>
      <c r="B238" s="32">
        <v>9209</v>
      </c>
      <c r="C238" s="32">
        <v>2153</v>
      </c>
      <c r="D238" s="34">
        <v>23</v>
      </c>
    </row>
    <row r="239" spans="1:4">
      <c r="A239" t="s">
        <v>935</v>
      </c>
      <c r="B239" s="32">
        <v>9247</v>
      </c>
      <c r="C239" s="32">
        <v>2144</v>
      </c>
      <c r="D239" s="34">
        <v>23.1</v>
      </c>
    </row>
    <row r="240" spans="1:4">
      <c r="A240" t="s">
        <v>936</v>
      </c>
      <c r="B240" s="32">
        <v>9314</v>
      </c>
      <c r="C240" s="32">
        <v>2156</v>
      </c>
      <c r="D240" s="34">
        <v>23.3</v>
      </c>
    </row>
    <row r="241" spans="1:4">
      <c r="A241" t="s">
        <v>937</v>
      </c>
      <c r="B241" s="32">
        <v>9293</v>
      </c>
      <c r="C241" s="32">
        <v>2179</v>
      </c>
      <c r="D241" s="34">
        <v>23.2</v>
      </c>
    </row>
    <row r="242" spans="1:4">
      <c r="A242" t="s">
        <v>938</v>
      </c>
      <c r="B242" s="32">
        <v>9330</v>
      </c>
      <c r="C242" s="32">
        <v>2191</v>
      </c>
      <c r="D242" s="34">
        <v>23.3</v>
      </c>
    </row>
    <row r="243" spans="1:4">
      <c r="A243" t="s">
        <v>939</v>
      </c>
      <c r="B243" s="32">
        <v>9336</v>
      </c>
      <c r="C243" s="32">
        <v>2168</v>
      </c>
      <c r="D243" s="34">
        <v>23.3</v>
      </c>
    </row>
    <row r="244" spans="1:4">
      <c r="A244" t="s">
        <v>940</v>
      </c>
      <c r="B244" s="32">
        <v>9380</v>
      </c>
      <c r="C244" s="32">
        <v>2184</v>
      </c>
      <c r="D244" s="34">
        <v>23.4</v>
      </c>
    </row>
    <row r="245" spans="1:4">
      <c r="A245" t="s">
        <v>941</v>
      </c>
      <c r="B245" s="32">
        <v>9395</v>
      </c>
      <c r="C245" s="32">
        <v>2178</v>
      </c>
      <c r="D245" s="34">
        <v>23.4</v>
      </c>
    </row>
    <row r="246" spans="1:4">
      <c r="A246" t="s">
        <v>942</v>
      </c>
      <c r="B246" s="32">
        <v>9477</v>
      </c>
      <c r="C246" s="32">
        <v>2175</v>
      </c>
      <c r="D246" s="34">
        <v>23.6</v>
      </c>
    </row>
    <row r="247" spans="1:4">
      <c r="A247" t="s">
        <v>943</v>
      </c>
      <c r="B247" s="32">
        <v>9475</v>
      </c>
      <c r="C247" s="32">
        <v>2181</v>
      </c>
      <c r="D247" s="34">
        <v>23.6</v>
      </c>
    </row>
    <row r="248" spans="1:4">
      <c r="A248" t="s">
        <v>944</v>
      </c>
      <c r="B248" s="32">
        <v>9487</v>
      </c>
      <c r="C248" s="32">
        <v>2205</v>
      </c>
      <c r="D248" s="34">
        <v>23.6</v>
      </c>
    </row>
    <row r="249" spans="1:4">
      <c r="A249" t="s">
        <v>945</v>
      </c>
      <c r="B249" s="32">
        <v>9499</v>
      </c>
      <c r="C249" s="32">
        <v>2228</v>
      </c>
      <c r="D249" s="34">
        <v>23.6</v>
      </c>
    </row>
    <row r="250" spans="1:4">
      <c r="A250" t="s">
        <v>946</v>
      </c>
      <c r="B250" s="32">
        <v>9433</v>
      </c>
      <c r="C250" s="32">
        <v>2233</v>
      </c>
      <c r="D250" s="34">
        <v>23.4</v>
      </c>
    </row>
    <row r="251" spans="1:4">
      <c r="A251" t="s">
        <v>947</v>
      </c>
      <c r="B251" s="32">
        <v>9446</v>
      </c>
      <c r="C251" s="32">
        <v>2246</v>
      </c>
      <c r="D251" s="34">
        <v>23.5</v>
      </c>
    </row>
    <row r="252" spans="1:4">
      <c r="A252" t="s">
        <v>948</v>
      </c>
      <c r="B252" s="32">
        <v>9371</v>
      </c>
      <c r="C252" s="32">
        <v>2234</v>
      </c>
      <c r="D252" s="34">
        <v>23.3</v>
      </c>
    </row>
    <row r="253" spans="1:4">
      <c r="A253" t="s">
        <v>949</v>
      </c>
      <c r="B253" s="32">
        <v>9383</v>
      </c>
      <c r="C253" s="32">
        <v>2228</v>
      </c>
      <c r="D253" s="34">
        <v>23.3</v>
      </c>
    </row>
    <row r="254" spans="1:4">
      <c r="A254" t="s">
        <v>950</v>
      </c>
      <c r="B254" s="32">
        <v>9368</v>
      </c>
      <c r="C254" s="32">
        <v>2224</v>
      </c>
      <c r="D254" s="34">
        <v>23.2</v>
      </c>
    </row>
    <row r="255" spans="1:4">
      <c r="A255" t="s">
        <v>951</v>
      </c>
      <c r="B255" s="32">
        <v>9417</v>
      </c>
      <c r="C255" s="32">
        <v>2228</v>
      </c>
      <c r="D255" s="34">
        <v>23.3</v>
      </c>
    </row>
    <row r="256" spans="1:4">
      <c r="A256" t="s">
        <v>952</v>
      </c>
      <c r="B256" s="32">
        <v>9498</v>
      </c>
      <c r="C256" s="32">
        <v>2230</v>
      </c>
      <c r="D256" s="34">
        <v>23.5</v>
      </c>
    </row>
    <row r="257" spans="1:4">
      <c r="A257" t="s">
        <v>953</v>
      </c>
      <c r="B257" s="32">
        <v>9483</v>
      </c>
      <c r="C257" s="32">
        <v>2230</v>
      </c>
      <c r="D257" s="34">
        <v>23.5</v>
      </c>
    </row>
    <row r="258" spans="1:4">
      <c r="A258" t="s">
        <v>954</v>
      </c>
      <c r="B258" s="32">
        <v>9436</v>
      </c>
      <c r="C258" s="32">
        <v>2205</v>
      </c>
      <c r="D258" s="34">
        <v>23.3</v>
      </c>
    </row>
    <row r="259" spans="1:4">
      <c r="A259" t="s">
        <v>955</v>
      </c>
      <c r="B259" s="32">
        <v>9424</v>
      </c>
      <c r="C259" s="32">
        <v>2183</v>
      </c>
      <c r="D259" s="34">
        <v>23.3</v>
      </c>
    </row>
    <row r="260" spans="1:4">
      <c r="A260" t="s">
        <v>956</v>
      </c>
      <c r="B260" s="32">
        <v>9455</v>
      </c>
      <c r="C260" s="32">
        <v>2190</v>
      </c>
      <c r="D260" s="34">
        <v>23.4</v>
      </c>
    </row>
    <row r="261" spans="1:4">
      <c r="A261" t="s">
        <v>957</v>
      </c>
      <c r="B261" s="32">
        <v>9509</v>
      </c>
      <c r="C261" s="32">
        <v>2191</v>
      </c>
      <c r="D261" s="34">
        <v>23.5</v>
      </c>
    </row>
    <row r="262" spans="1:4">
      <c r="A262" t="s">
        <v>958</v>
      </c>
      <c r="B262" s="32">
        <v>9465</v>
      </c>
      <c r="C262" s="32">
        <v>2192</v>
      </c>
      <c r="D262" s="34">
        <v>23.4</v>
      </c>
    </row>
    <row r="263" spans="1:4">
      <c r="A263" t="s">
        <v>959</v>
      </c>
      <c r="B263" s="32">
        <v>9457</v>
      </c>
      <c r="C263" s="32">
        <v>2189</v>
      </c>
      <c r="D263" s="34">
        <v>23.3</v>
      </c>
    </row>
    <row r="264" spans="1:4">
      <c r="A264" t="s">
        <v>960</v>
      </c>
      <c r="B264" s="32">
        <v>9544</v>
      </c>
      <c r="C264" s="32">
        <v>2191</v>
      </c>
      <c r="D264" s="34">
        <v>23.5</v>
      </c>
    </row>
    <row r="265" spans="1:4">
      <c r="A265" t="s">
        <v>961</v>
      </c>
      <c r="B265" s="32">
        <v>9499</v>
      </c>
      <c r="C265" s="32">
        <v>2189</v>
      </c>
      <c r="D265" s="34">
        <v>23.4</v>
      </c>
    </row>
    <row r="266" spans="1:4">
      <c r="A266" t="s">
        <v>962</v>
      </c>
      <c r="B266" s="32">
        <v>9488</v>
      </c>
      <c r="C266" s="32">
        <v>2189</v>
      </c>
      <c r="D266" s="34">
        <v>23.4</v>
      </c>
    </row>
    <row r="267" spans="1:4">
      <c r="A267" t="s">
        <v>963</v>
      </c>
      <c r="B267" s="32">
        <v>9461</v>
      </c>
      <c r="C267" s="32">
        <v>2186</v>
      </c>
      <c r="D267" s="34">
        <v>23.3</v>
      </c>
    </row>
    <row r="268" spans="1:4">
      <c r="A268" t="s">
        <v>964</v>
      </c>
      <c r="B268" s="32">
        <v>9422</v>
      </c>
      <c r="C268" s="32">
        <v>2175</v>
      </c>
      <c r="D268" s="34">
        <v>23.2</v>
      </c>
    </row>
    <row r="269" spans="1:4">
      <c r="A269" t="s">
        <v>965</v>
      </c>
      <c r="B269" s="32">
        <v>9413</v>
      </c>
      <c r="C269" s="32">
        <v>2139</v>
      </c>
      <c r="D269" s="34">
        <v>23.2</v>
      </c>
    </row>
    <row r="270" spans="1:4">
      <c r="A270" t="s">
        <v>966</v>
      </c>
      <c r="B270" s="32">
        <v>9414</v>
      </c>
      <c r="C270" s="32">
        <v>2121</v>
      </c>
      <c r="D270" s="34">
        <v>23.2</v>
      </c>
    </row>
    <row r="271" spans="1:4">
      <c r="A271" t="s">
        <v>967</v>
      </c>
      <c r="B271" s="32">
        <v>9404</v>
      </c>
      <c r="C271" s="32">
        <v>2154</v>
      </c>
      <c r="D271" s="34">
        <v>23.2</v>
      </c>
    </row>
    <row r="272" spans="1:4">
      <c r="A272" t="s">
        <v>968</v>
      </c>
      <c r="B272" s="32">
        <v>9366</v>
      </c>
      <c r="C272" s="32">
        <v>2156</v>
      </c>
      <c r="D272" s="34">
        <v>23.1</v>
      </c>
    </row>
    <row r="273" spans="1:4">
      <c r="A273" t="s">
        <v>969</v>
      </c>
      <c r="B273" s="32">
        <v>9348</v>
      </c>
      <c r="C273" s="32">
        <v>2159</v>
      </c>
      <c r="D273" s="34">
        <v>23.1</v>
      </c>
    </row>
    <row r="274" spans="1:4">
      <c r="A274" t="s">
        <v>970</v>
      </c>
      <c r="B274" s="32">
        <v>9316</v>
      </c>
      <c r="C274" s="32">
        <v>2164</v>
      </c>
      <c r="D274" s="34">
        <v>23</v>
      </c>
    </row>
    <row r="275" spans="1:4">
      <c r="A275" t="s">
        <v>971</v>
      </c>
      <c r="B275" s="32">
        <v>9233</v>
      </c>
      <c r="C275" s="32">
        <v>2140</v>
      </c>
      <c r="D275" s="34">
        <v>22.8</v>
      </c>
    </row>
    <row r="276" spans="1:4">
      <c r="A276" t="s">
        <v>972</v>
      </c>
      <c r="B276" s="32">
        <v>9149</v>
      </c>
      <c r="C276" s="32">
        <v>2125</v>
      </c>
      <c r="D276" s="34">
        <v>22.6</v>
      </c>
    </row>
    <row r="277" spans="1:4">
      <c r="A277" t="s">
        <v>973</v>
      </c>
      <c r="B277" s="32">
        <v>9158</v>
      </c>
      <c r="C277" s="32">
        <v>2072</v>
      </c>
      <c r="D277" s="34">
        <v>22.6</v>
      </c>
    </row>
    <row r="278" spans="1:4">
      <c r="A278" t="s">
        <v>974</v>
      </c>
      <c r="B278" s="32">
        <v>9185</v>
      </c>
      <c r="C278" s="32">
        <v>2064</v>
      </c>
      <c r="D278" s="34">
        <v>22.7</v>
      </c>
    </row>
    <row r="279" spans="1:4">
      <c r="A279" t="s">
        <v>975</v>
      </c>
      <c r="B279" s="32">
        <v>9217</v>
      </c>
      <c r="C279" s="32">
        <v>2087</v>
      </c>
      <c r="D279" s="34">
        <v>22.7</v>
      </c>
    </row>
    <row r="280" spans="1:4">
      <c r="A280" t="s">
        <v>976</v>
      </c>
      <c r="B280" s="32">
        <v>9136</v>
      </c>
      <c r="C280" s="32">
        <v>2062</v>
      </c>
      <c r="D280" s="34">
        <v>22.5</v>
      </c>
    </row>
    <row r="281" spans="1:4">
      <c r="A281" t="s">
        <v>977</v>
      </c>
      <c r="B281" s="32">
        <v>9088</v>
      </c>
      <c r="C281" s="32">
        <v>2052</v>
      </c>
      <c r="D281" s="34">
        <v>22.4</v>
      </c>
    </row>
    <row r="282" spans="1:4">
      <c r="A282" t="s">
        <v>978</v>
      </c>
      <c r="B282" s="32">
        <v>9102</v>
      </c>
      <c r="C282" s="32">
        <v>2046</v>
      </c>
      <c r="D282" s="34">
        <v>22.4</v>
      </c>
    </row>
    <row r="283" spans="1:4">
      <c r="A283" t="s">
        <v>979</v>
      </c>
      <c r="B283" s="32">
        <v>9134</v>
      </c>
      <c r="C283" s="32">
        <v>2053</v>
      </c>
      <c r="D283" s="34">
        <v>22.5</v>
      </c>
    </row>
    <row r="284" spans="1:4">
      <c r="A284" t="s">
        <v>980</v>
      </c>
      <c r="B284" s="32">
        <v>9176</v>
      </c>
      <c r="C284" s="32">
        <v>2070</v>
      </c>
      <c r="D284" s="34">
        <v>22.6</v>
      </c>
    </row>
    <row r="285" spans="1:4">
      <c r="A285" t="s">
        <v>981</v>
      </c>
      <c r="B285" s="32">
        <v>9172</v>
      </c>
      <c r="C285" s="32">
        <v>2060</v>
      </c>
      <c r="D285" s="34">
        <v>22.6</v>
      </c>
    </row>
    <row r="286" spans="1:4">
      <c r="A286" t="s">
        <v>982</v>
      </c>
      <c r="B286" s="32">
        <v>9202</v>
      </c>
      <c r="C286" s="32">
        <v>2059</v>
      </c>
      <c r="D286" s="34">
        <v>22.7</v>
      </c>
    </row>
    <row r="287" spans="1:4">
      <c r="A287" t="s">
        <v>983</v>
      </c>
      <c r="B287" s="32">
        <v>9154</v>
      </c>
      <c r="C287" s="32">
        <v>2064</v>
      </c>
      <c r="D287" s="34">
        <v>22.5</v>
      </c>
    </row>
    <row r="288" spans="1:4">
      <c r="A288" t="s">
        <v>984</v>
      </c>
      <c r="B288" s="32">
        <v>9115</v>
      </c>
      <c r="C288" s="32">
        <v>2013</v>
      </c>
      <c r="D288" s="34">
        <v>22.4</v>
      </c>
    </row>
    <row r="289" spans="1:4">
      <c r="A289" t="s">
        <v>985</v>
      </c>
      <c r="B289" s="32">
        <v>9098</v>
      </c>
      <c r="C289" s="32">
        <v>2007</v>
      </c>
      <c r="D289" s="34">
        <v>22.4</v>
      </c>
    </row>
    <row r="290" spans="1:4">
      <c r="A290" t="s">
        <v>986</v>
      </c>
      <c r="B290" s="32">
        <v>9060</v>
      </c>
      <c r="C290" s="32">
        <v>1984</v>
      </c>
      <c r="D290" s="34">
        <v>22.3</v>
      </c>
    </row>
    <row r="291" spans="1:4">
      <c r="A291" t="s">
        <v>987</v>
      </c>
      <c r="B291" s="32">
        <v>9056</v>
      </c>
      <c r="C291" s="32">
        <v>1974</v>
      </c>
      <c r="D291" s="34">
        <v>22.3</v>
      </c>
    </row>
    <row r="292" spans="1:4">
      <c r="A292" t="s">
        <v>988</v>
      </c>
      <c r="B292" s="32">
        <v>9058</v>
      </c>
      <c r="C292" s="32">
        <v>2016</v>
      </c>
      <c r="D292" s="34">
        <v>22.3</v>
      </c>
    </row>
    <row r="293" spans="1:4">
      <c r="A293" t="s">
        <v>989</v>
      </c>
      <c r="B293" s="32">
        <v>9067</v>
      </c>
      <c r="C293" s="32">
        <v>2043</v>
      </c>
      <c r="D293" s="34">
        <v>22.3</v>
      </c>
    </row>
    <row r="294" spans="1:4">
      <c r="A294" t="s">
        <v>990</v>
      </c>
      <c r="B294" s="32">
        <v>9044</v>
      </c>
      <c r="C294" s="32">
        <v>2041</v>
      </c>
      <c r="D294" s="34">
        <v>22.2</v>
      </c>
    </row>
    <row r="295" spans="1:4">
      <c r="A295" t="s">
        <v>991</v>
      </c>
      <c r="B295" s="32">
        <v>9022</v>
      </c>
      <c r="C295" s="32">
        <v>2007</v>
      </c>
      <c r="D295" s="34">
        <v>22.2</v>
      </c>
    </row>
    <row r="296" spans="1:4">
      <c r="A296" t="s">
        <v>992</v>
      </c>
      <c r="B296" s="32">
        <v>9030</v>
      </c>
      <c r="C296" s="32">
        <v>1996</v>
      </c>
      <c r="D296" s="34">
        <v>22.2</v>
      </c>
    </row>
    <row r="297" spans="1:4">
      <c r="A297" t="s">
        <v>993</v>
      </c>
      <c r="B297" s="32">
        <v>8993</v>
      </c>
      <c r="C297" s="32">
        <v>1998</v>
      </c>
      <c r="D297" s="34">
        <v>22.1</v>
      </c>
    </row>
    <row r="298" spans="1:4">
      <c r="A298" t="s">
        <v>994</v>
      </c>
      <c r="B298" s="32">
        <v>8958</v>
      </c>
      <c r="C298" s="32">
        <v>1990</v>
      </c>
      <c r="D298" s="34">
        <v>22</v>
      </c>
    </row>
    <row r="299" spans="1:4">
      <c r="A299" t="s">
        <v>995</v>
      </c>
      <c r="B299" s="32">
        <v>9039</v>
      </c>
      <c r="C299" s="32">
        <v>1991</v>
      </c>
      <c r="D299" s="34">
        <v>22.2</v>
      </c>
    </row>
    <row r="300" spans="1:4">
      <c r="A300" t="s">
        <v>996</v>
      </c>
      <c r="B300" s="32">
        <v>9106</v>
      </c>
      <c r="C300" s="32">
        <v>2027</v>
      </c>
      <c r="D300" s="34">
        <v>22.3</v>
      </c>
    </row>
    <row r="301" spans="1:4">
      <c r="A301" t="s">
        <v>997</v>
      </c>
      <c r="B301" s="32">
        <v>9071</v>
      </c>
      <c r="C301" s="32">
        <v>2018</v>
      </c>
      <c r="D301" s="34">
        <v>22.2</v>
      </c>
    </row>
    <row r="302" spans="1:4">
      <c r="A302" t="s">
        <v>998</v>
      </c>
      <c r="B302" s="32">
        <v>9061</v>
      </c>
      <c r="C302" s="32">
        <v>2022</v>
      </c>
      <c r="D302" s="34">
        <v>22.2</v>
      </c>
    </row>
    <row r="303" spans="1:4">
      <c r="A303" t="s">
        <v>999</v>
      </c>
      <c r="B303" s="32">
        <v>9087</v>
      </c>
      <c r="C303" s="32">
        <v>2024</v>
      </c>
      <c r="D303" s="34">
        <v>22.3</v>
      </c>
    </row>
    <row r="304" spans="1:4">
      <c r="A304" t="s">
        <v>1000</v>
      </c>
      <c r="B304" s="32">
        <v>9127</v>
      </c>
      <c r="C304" s="32">
        <v>2039</v>
      </c>
      <c r="D304" s="34">
        <v>22.4</v>
      </c>
    </row>
    <row r="305" spans="1:4">
      <c r="A305" t="s">
        <v>1001</v>
      </c>
      <c r="B305" s="32">
        <v>9100</v>
      </c>
      <c r="C305" s="32">
        <v>2036</v>
      </c>
      <c r="D305" s="34">
        <v>22.3</v>
      </c>
    </row>
    <row r="306" spans="1:4">
      <c r="A306" t="s">
        <v>1002</v>
      </c>
      <c r="B306" s="32">
        <v>9080</v>
      </c>
      <c r="C306" s="32">
        <v>2028</v>
      </c>
      <c r="D306" s="34">
        <v>22.2</v>
      </c>
    </row>
    <row r="307" spans="1:4">
      <c r="A307" t="s">
        <v>1003</v>
      </c>
      <c r="B307" s="32">
        <v>9047</v>
      </c>
      <c r="C307" s="32">
        <v>2024</v>
      </c>
      <c r="D307" s="34">
        <v>22.1</v>
      </c>
    </row>
    <row r="308" spans="1:4">
      <c r="A308" t="s">
        <v>1004</v>
      </c>
      <c r="B308" s="32">
        <v>9067</v>
      </c>
      <c r="C308" s="32">
        <v>2026</v>
      </c>
      <c r="D308" s="34">
        <v>22.2</v>
      </c>
    </row>
    <row r="309" spans="1:4">
      <c r="A309" t="s">
        <v>1005</v>
      </c>
      <c r="B309" s="32">
        <v>9084</v>
      </c>
      <c r="C309" s="32">
        <v>2042</v>
      </c>
      <c r="D309" s="34">
        <v>22.2</v>
      </c>
    </row>
    <row r="310" spans="1:4">
      <c r="A310" t="s">
        <v>1006</v>
      </c>
      <c r="B310" s="32">
        <v>9103</v>
      </c>
      <c r="C310" s="32">
        <v>2075</v>
      </c>
      <c r="D310" s="34">
        <v>22.2</v>
      </c>
    </row>
    <row r="311" spans="1:4">
      <c r="A311" t="s">
        <v>1007</v>
      </c>
      <c r="B311" s="32">
        <v>9082</v>
      </c>
      <c r="C311" s="32">
        <v>2085</v>
      </c>
      <c r="D311" s="34">
        <v>22.2</v>
      </c>
    </row>
    <row r="312" spans="1:4">
      <c r="A312" t="s">
        <v>1008</v>
      </c>
      <c r="B312" s="32">
        <v>9074</v>
      </c>
      <c r="C312" s="32">
        <v>2094</v>
      </c>
      <c r="D312" s="34">
        <v>22.2</v>
      </c>
    </row>
    <row r="313" spans="1:4">
      <c r="A313" t="s">
        <v>1009</v>
      </c>
      <c r="B313" s="32">
        <v>9092</v>
      </c>
      <c r="C313" s="32">
        <v>2102</v>
      </c>
      <c r="D313" s="34">
        <v>22.2</v>
      </c>
    </row>
    <row r="314" spans="1:4">
      <c r="A314" t="s">
        <v>1010</v>
      </c>
      <c r="B314" s="32">
        <v>9025</v>
      </c>
      <c r="C314" s="32">
        <v>2111</v>
      </c>
      <c r="D314" s="34">
        <v>22</v>
      </c>
    </row>
    <row r="315" spans="1:4">
      <c r="A315" t="s">
        <v>1011</v>
      </c>
      <c r="B315" s="32">
        <v>8992</v>
      </c>
      <c r="C315" s="32">
        <v>2078</v>
      </c>
      <c r="D315" s="34">
        <v>21.9</v>
      </c>
    </row>
    <row r="316" spans="1:4">
      <c r="A316" t="s">
        <v>1012</v>
      </c>
      <c r="B316" s="32">
        <v>8996</v>
      </c>
      <c r="C316" s="32">
        <v>2088</v>
      </c>
      <c r="D316" s="34">
        <v>21.9</v>
      </c>
    </row>
    <row r="317" spans="1:4">
      <c r="A317" t="s">
        <v>1013</v>
      </c>
      <c r="B317" s="32">
        <v>8975</v>
      </c>
      <c r="C317" s="32">
        <v>2074</v>
      </c>
      <c r="D317" s="34">
        <v>21.9</v>
      </c>
    </row>
    <row r="318" spans="1:4">
      <c r="A318" t="s">
        <v>1014</v>
      </c>
      <c r="B318" s="32">
        <v>8994</v>
      </c>
      <c r="C318" s="32">
        <v>2105</v>
      </c>
      <c r="D318" s="34">
        <v>21.9</v>
      </c>
    </row>
    <row r="319" spans="1:4">
      <c r="A319" t="s">
        <v>1015</v>
      </c>
      <c r="B319" s="32">
        <v>8965</v>
      </c>
      <c r="C319" s="32">
        <v>2081</v>
      </c>
      <c r="D319" s="34">
        <v>21.8</v>
      </c>
    </row>
    <row r="320" spans="1:4">
      <c r="A320" t="s">
        <v>1016</v>
      </c>
      <c r="B320" s="32">
        <v>8987</v>
      </c>
      <c r="C320" s="32">
        <v>2100</v>
      </c>
      <c r="D320" s="34">
        <v>21.9</v>
      </c>
    </row>
    <row r="321" spans="1:4">
      <c r="A321" t="s">
        <v>1017</v>
      </c>
      <c r="B321" s="32">
        <v>8991</v>
      </c>
      <c r="C321" s="32">
        <v>2089</v>
      </c>
      <c r="D321" s="34">
        <v>21.9</v>
      </c>
    </row>
    <row r="322" spans="1:4">
      <c r="A322" t="s">
        <v>1018</v>
      </c>
      <c r="B322" s="32">
        <v>8946</v>
      </c>
      <c r="C322" s="32">
        <v>2055</v>
      </c>
      <c r="D322" s="34">
        <v>21.7</v>
      </c>
    </row>
    <row r="323" spans="1:4">
      <c r="A323" t="s">
        <v>1019</v>
      </c>
      <c r="B323" s="32">
        <v>8928</v>
      </c>
      <c r="C323" s="32">
        <v>2042</v>
      </c>
      <c r="D323" s="34">
        <v>21.7</v>
      </c>
    </row>
    <row r="324" spans="1:4">
      <c r="A324" t="s">
        <v>1020</v>
      </c>
      <c r="B324" s="32">
        <v>8905</v>
      </c>
      <c r="C324" s="32">
        <v>2035</v>
      </c>
      <c r="D324" s="34">
        <v>21.6</v>
      </c>
    </row>
    <row r="325" spans="1:4">
      <c r="A325" t="s">
        <v>1021</v>
      </c>
      <c r="B325" s="32">
        <v>8881</v>
      </c>
      <c r="C325" s="32">
        <v>2009</v>
      </c>
      <c r="D325" s="34">
        <v>21.6</v>
      </c>
    </row>
    <row r="326" spans="1:4">
      <c r="A326" t="s">
        <v>1022</v>
      </c>
      <c r="B326" s="32">
        <v>8952</v>
      </c>
      <c r="C326" s="32">
        <v>2007</v>
      </c>
      <c r="D326" s="34">
        <v>21.7</v>
      </c>
    </row>
    <row r="327" spans="1:4">
      <c r="A327" t="s">
        <v>1023</v>
      </c>
      <c r="B327" s="32">
        <v>8965</v>
      </c>
      <c r="C327" s="32">
        <v>1990</v>
      </c>
      <c r="D327" s="34">
        <v>21.7</v>
      </c>
    </row>
    <row r="328" spans="1:4">
      <c r="A328" t="s">
        <v>1024</v>
      </c>
      <c r="B328" s="32">
        <v>8974</v>
      </c>
      <c r="C328" s="32">
        <v>1999</v>
      </c>
      <c r="D328" s="34">
        <v>21.8</v>
      </c>
    </row>
    <row r="329" spans="1:4">
      <c r="A329" t="s">
        <v>1025</v>
      </c>
      <c r="B329" s="32">
        <v>8945</v>
      </c>
      <c r="C329" s="32">
        <v>1959</v>
      </c>
      <c r="D329" s="34">
        <v>21.7</v>
      </c>
    </row>
    <row r="330" spans="1:4">
      <c r="A330" t="s">
        <v>1026</v>
      </c>
      <c r="B330" s="32">
        <v>8971</v>
      </c>
      <c r="C330" s="32">
        <v>1991</v>
      </c>
      <c r="D330" s="34">
        <v>21.7</v>
      </c>
    </row>
    <row r="331" spans="1:4">
      <c r="A331" t="s">
        <v>1027</v>
      </c>
      <c r="B331" s="32">
        <v>8958</v>
      </c>
      <c r="C331" s="32">
        <v>1985</v>
      </c>
      <c r="D331" s="34">
        <v>21.7</v>
      </c>
    </row>
    <row r="332" spans="1:4">
      <c r="A332" t="s">
        <v>1028</v>
      </c>
      <c r="B332" s="32">
        <v>8925</v>
      </c>
      <c r="C332" s="32">
        <v>1991</v>
      </c>
      <c r="D332" s="34">
        <v>21.6</v>
      </c>
    </row>
    <row r="333" spans="1:4">
      <c r="A333" t="s">
        <v>1029</v>
      </c>
      <c r="B333" s="32">
        <v>8935</v>
      </c>
      <c r="C333" s="32">
        <v>1979</v>
      </c>
      <c r="D333" s="34">
        <v>21.6</v>
      </c>
    </row>
    <row r="334" spans="1:4">
      <c r="A334" t="s">
        <v>1030</v>
      </c>
      <c r="B334" s="32">
        <v>8911</v>
      </c>
      <c r="C334" s="32">
        <v>1994</v>
      </c>
      <c r="D334" s="34">
        <v>21.6</v>
      </c>
    </row>
    <row r="335" spans="1:4">
      <c r="A335" t="s">
        <v>1031</v>
      </c>
      <c r="B335" s="32">
        <v>8844</v>
      </c>
      <c r="C335" s="32">
        <v>1982</v>
      </c>
      <c r="D335" s="34">
        <v>21.4</v>
      </c>
    </row>
    <row r="336" spans="1:4">
      <c r="A336" t="s">
        <v>1032</v>
      </c>
      <c r="B336" s="32">
        <v>8815</v>
      </c>
      <c r="C336" s="32">
        <v>2007</v>
      </c>
      <c r="D336" s="34">
        <v>21.3</v>
      </c>
    </row>
    <row r="337" spans="1:4">
      <c r="A337" t="s">
        <v>1033</v>
      </c>
      <c r="B337" s="32">
        <v>8875</v>
      </c>
      <c r="C337" s="32">
        <v>2023</v>
      </c>
      <c r="D337" s="34">
        <v>21.5</v>
      </c>
    </row>
    <row r="338" spans="1:4">
      <c r="A338" t="s">
        <v>1034</v>
      </c>
      <c r="B338" s="32">
        <v>8954</v>
      </c>
      <c r="C338" s="32">
        <v>2055</v>
      </c>
      <c r="D338" s="34">
        <v>21.7</v>
      </c>
    </row>
    <row r="339" spans="1:4">
      <c r="A339" t="s">
        <v>1035</v>
      </c>
      <c r="B339" s="32">
        <v>8937</v>
      </c>
      <c r="C339" s="32">
        <v>2032</v>
      </c>
      <c r="D339" s="34">
        <v>21.6</v>
      </c>
    </row>
    <row r="340" spans="1:4">
      <c r="A340" t="s">
        <v>1036</v>
      </c>
      <c r="B340" s="32">
        <v>8817</v>
      </c>
      <c r="C340" s="32">
        <v>1982</v>
      </c>
      <c r="D340" s="34">
        <v>21.3</v>
      </c>
    </row>
    <row r="341" spans="1:4">
      <c r="A341" t="s">
        <v>1037</v>
      </c>
      <c r="B341" s="32">
        <v>8862</v>
      </c>
      <c r="C341" s="32">
        <v>1997</v>
      </c>
      <c r="D341" s="34">
        <v>21.4</v>
      </c>
    </row>
    <row r="342" spans="1:4">
      <c r="A342" t="s">
        <v>1038</v>
      </c>
      <c r="B342" s="32">
        <v>8821</v>
      </c>
      <c r="C342" s="32">
        <v>1987</v>
      </c>
      <c r="D342" s="34">
        <v>21.3</v>
      </c>
    </row>
    <row r="343" spans="1:4">
      <c r="A343" t="s">
        <v>1039</v>
      </c>
      <c r="B343" s="32">
        <v>8830</v>
      </c>
      <c r="C343" s="32">
        <v>1984</v>
      </c>
      <c r="D343" s="34">
        <v>21.3</v>
      </c>
    </row>
    <row r="344" spans="1:4">
      <c r="A344" t="s">
        <v>1040</v>
      </c>
      <c r="B344" s="32">
        <v>8762</v>
      </c>
      <c r="C344" s="32">
        <v>1977</v>
      </c>
      <c r="D344" s="34">
        <v>21.2</v>
      </c>
    </row>
    <row r="345" spans="1:4">
      <c r="A345" t="s">
        <v>1041</v>
      </c>
      <c r="B345" s="32">
        <v>8753</v>
      </c>
      <c r="C345" s="32">
        <v>1986</v>
      </c>
      <c r="D345" s="34">
        <v>21.1</v>
      </c>
    </row>
    <row r="346" spans="1:4">
      <c r="A346" t="s">
        <v>1042</v>
      </c>
      <c r="B346" s="32">
        <v>8750</v>
      </c>
      <c r="C346" s="32">
        <v>2004</v>
      </c>
      <c r="D346" s="34">
        <v>21.1</v>
      </c>
    </row>
    <row r="347" spans="1:4">
      <c r="A347" t="s">
        <v>1043</v>
      </c>
      <c r="B347" s="32">
        <v>8829</v>
      </c>
      <c r="C347" s="32">
        <v>2043</v>
      </c>
      <c r="D347" s="34">
        <v>21.3</v>
      </c>
    </row>
    <row r="348" spans="1:4">
      <c r="A348" t="s">
        <v>1044</v>
      </c>
      <c r="B348" s="32">
        <v>8849</v>
      </c>
      <c r="C348" s="32">
        <v>2049</v>
      </c>
      <c r="D348" s="34">
        <v>21.4</v>
      </c>
    </row>
    <row r="349" spans="1:4">
      <c r="A349" t="s">
        <v>1045</v>
      </c>
      <c r="B349" s="32">
        <v>8834</v>
      </c>
      <c r="C349" s="32">
        <v>2032</v>
      </c>
      <c r="D349" s="34">
        <v>21.3</v>
      </c>
    </row>
    <row r="350" spans="1:4">
      <c r="A350" t="s">
        <v>1046</v>
      </c>
      <c r="B350" s="32">
        <v>8823</v>
      </c>
      <c r="C350" s="32">
        <v>2000</v>
      </c>
      <c r="D350" s="34">
        <v>21.3</v>
      </c>
    </row>
    <row r="351" spans="1:4">
      <c r="A351" t="s">
        <v>1047</v>
      </c>
      <c r="B351" s="32">
        <v>8765</v>
      </c>
      <c r="C351" s="32">
        <v>1983</v>
      </c>
      <c r="D351" s="34">
        <v>21.1</v>
      </c>
    </row>
    <row r="352" spans="1:4">
      <c r="A352" t="s">
        <v>1048</v>
      </c>
      <c r="B352" s="32">
        <v>8752</v>
      </c>
      <c r="C352" s="32">
        <v>1992</v>
      </c>
      <c r="D352" s="34">
        <v>21.1</v>
      </c>
    </row>
    <row r="353" spans="1:4">
      <c r="A353" t="s">
        <v>1049</v>
      </c>
      <c r="B353" s="32">
        <v>8737</v>
      </c>
      <c r="C353" s="32">
        <v>2007</v>
      </c>
      <c r="D353" s="34">
        <v>21.1</v>
      </c>
    </row>
    <row r="354" spans="1:4">
      <c r="A354" t="s">
        <v>1050</v>
      </c>
      <c r="B354" s="32">
        <v>8655</v>
      </c>
      <c r="C354" s="32">
        <v>2006</v>
      </c>
      <c r="D354" s="34">
        <v>20.9</v>
      </c>
    </row>
    <row r="355" spans="1:4">
      <c r="A355" t="s">
        <v>1051</v>
      </c>
      <c r="B355" s="32">
        <v>8645</v>
      </c>
      <c r="C355" s="32">
        <v>1979</v>
      </c>
      <c r="D355" s="34">
        <v>20.8</v>
      </c>
    </row>
    <row r="356" spans="1:4">
      <c r="A356" t="s">
        <v>1052</v>
      </c>
      <c r="B356" s="32">
        <v>8718</v>
      </c>
      <c r="C356" s="32">
        <v>2012</v>
      </c>
      <c r="D356" s="34">
        <v>21</v>
      </c>
    </row>
    <row r="357" spans="1:4">
      <c r="A357" t="s">
        <v>1053</v>
      </c>
      <c r="B357" s="32">
        <v>8670</v>
      </c>
      <c r="C357" s="32">
        <v>1983</v>
      </c>
      <c r="D357" s="34">
        <v>20.9</v>
      </c>
    </row>
    <row r="358" spans="1:4">
      <c r="A358" t="s">
        <v>1054</v>
      </c>
      <c r="B358" s="32">
        <v>8688</v>
      </c>
      <c r="C358" s="32">
        <v>2026</v>
      </c>
      <c r="D358" s="34">
        <v>20.9</v>
      </c>
    </row>
    <row r="359" spans="1:4">
      <c r="A359" t="s">
        <v>1055</v>
      </c>
      <c r="B359" s="32">
        <v>8622</v>
      </c>
      <c r="C359" s="32">
        <v>2030</v>
      </c>
      <c r="D359" s="34">
        <v>20.7</v>
      </c>
    </row>
    <row r="360" spans="1:4">
      <c r="A360" t="s">
        <v>1056</v>
      </c>
      <c r="B360" s="32">
        <v>8654</v>
      </c>
      <c r="C360" s="32">
        <v>2062</v>
      </c>
      <c r="D360" s="34">
        <v>20.8</v>
      </c>
    </row>
    <row r="361" spans="1:4">
      <c r="A361" t="s">
        <v>1057</v>
      </c>
      <c r="B361" s="32">
        <v>8697</v>
      </c>
      <c r="C361" s="32">
        <v>2067</v>
      </c>
      <c r="D361" s="34">
        <v>20.9</v>
      </c>
    </row>
    <row r="362" spans="1:4">
      <c r="A362" t="s">
        <v>1058</v>
      </c>
      <c r="B362" s="32">
        <v>8666</v>
      </c>
      <c r="C362" s="32">
        <v>2062</v>
      </c>
      <c r="D362" s="34">
        <v>20.8</v>
      </c>
    </row>
    <row r="363" spans="1:4">
      <c r="A363" t="s">
        <v>1059</v>
      </c>
      <c r="B363" s="32">
        <v>8685</v>
      </c>
      <c r="C363" s="32">
        <v>2089</v>
      </c>
      <c r="D363" s="34">
        <v>20.9</v>
      </c>
    </row>
    <row r="364" spans="1:4">
      <c r="A364" t="s">
        <v>1060</v>
      </c>
      <c r="B364" s="32">
        <v>8600</v>
      </c>
      <c r="C364" s="32">
        <v>2086</v>
      </c>
      <c r="D364" s="34">
        <v>20.7</v>
      </c>
    </row>
    <row r="365" spans="1:4">
      <c r="A365" t="s">
        <v>1061</v>
      </c>
      <c r="B365" s="32">
        <v>8572</v>
      </c>
      <c r="C365" s="32">
        <v>2080</v>
      </c>
      <c r="D365" s="34">
        <v>20.6</v>
      </c>
    </row>
    <row r="366" spans="1:4">
      <c r="A366" t="s">
        <v>1062</v>
      </c>
      <c r="B366" s="32">
        <v>8514</v>
      </c>
      <c r="C366" s="32">
        <v>2117</v>
      </c>
      <c r="D366" s="34">
        <v>20.5</v>
      </c>
    </row>
    <row r="367" spans="1:4">
      <c r="A367" t="s">
        <v>1063</v>
      </c>
      <c r="B367" s="32">
        <v>8446</v>
      </c>
      <c r="C367" s="32">
        <v>2118</v>
      </c>
      <c r="D367" s="34">
        <v>20.3</v>
      </c>
    </row>
    <row r="368" spans="1:4">
      <c r="A368" t="s">
        <v>1064</v>
      </c>
      <c r="B368" s="32">
        <v>8630</v>
      </c>
      <c r="C368" s="32">
        <v>2232</v>
      </c>
      <c r="D368" s="34">
        <v>20.7</v>
      </c>
    </row>
    <row r="369" spans="1:4">
      <c r="A369" t="s">
        <v>1065</v>
      </c>
      <c r="B369" s="32">
        <v>8746</v>
      </c>
      <c r="C369" s="32">
        <v>2252</v>
      </c>
      <c r="D369" s="34">
        <v>21</v>
      </c>
    </row>
    <row r="370" spans="1:4">
      <c r="A370" t="s">
        <v>1066</v>
      </c>
      <c r="B370" s="32">
        <v>8809</v>
      </c>
      <c r="C370" s="32">
        <v>2240</v>
      </c>
      <c r="D370" s="34">
        <v>21.2</v>
      </c>
    </row>
    <row r="371" spans="1:4">
      <c r="A371" t="s">
        <v>1067</v>
      </c>
      <c r="B371" s="32">
        <v>8858</v>
      </c>
      <c r="C371" s="32">
        <v>2230</v>
      </c>
      <c r="D371" s="34">
        <v>21.3</v>
      </c>
    </row>
    <row r="372" spans="1:4">
      <c r="A372" t="s">
        <v>1068</v>
      </c>
      <c r="B372" s="32">
        <v>8835</v>
      </c>
      <c r="C372" s="32">
        <v>2262</v>
      </c>
      <c r="D372" s="34">
        <v>21.2</v>
      </c>
    </row>
    <row r="373" spans="1:4">
      <c r="A373" t="s">
        <v>1069</v>
      </c>
      <c r="B373" s="32">
        <v>8857</v>
      </c>
      <c r="C373" s="32">
        <v>2276</v>
      </c>
      <c r="D373" s="34">
        <v>21.3</v>
      </c>
    </row>
    <row r="374" spans="1:4">
      <c r="A374" t="s">
        <v>1070</v>
      </c>
      <c r="B374" s="32">
        <v>8917</v>
      </c>
      <c r="C374" s="32">
        <v>2318</v>
      </c>
      <c r="D374" s="34">
        <v>21.4</v>
      </c>
    </row>
    <row r="375" spans="1:4">
      <c r="A375" t="s">
        <v>1071</v>
      </c>
      <c r="B375" s="32">
        <v>8909</v>
      </c>
      <c r="C375" s="32">
        <v>2323</v>
      </c>
      <c r="D375" s="34">
        <v>21.4</v>
      </c>
    </row>
    <row r="376" spans="1:4">
      <c r="A376" t="s">
        <v>1072</v>
      </c>
      <c r="B376" s="32">
        <v>8872</v>
      </c>
      <c r="C376" s="32">
        <v>2299</v>
      </c>
      <c r="D376" s="34">
        <v>21.3</v>
      </c>
    </row>
    <row r="377" spans="1:4">
      <c r="A377" t="s">
        <v>1073</v>
      </c>
      <c r="B377" s="32">
        <v>8942</v>
      </c>
      <c r="C377" s="32">
        <v>2327</v>
      </c>
      <c r="D377" s="34">
        <v>21.5</v>
      </c>
    </row>
    <row r="378" spans="1:4">
      <c r="A378" t="s">
        <v>1074</v>
      </c>
      <c r="B378" s="32">
        <v>8974</v>
      </c>
      <c r="C378" s="32">
        <v>2292</v>
      </c>
      <c r="D378" s="34">
        <v>21.5</v>
      </c>
    </row>
    <row r="379" spans="1:4">
      <c r="A379" t="s">
        <v>1075</v>
      </c>
      <c r="B379" s="32">
        <v>8947</v>
      </c>
      <c r="C379" s="32">
        <v>2265</v>
      </c>
      <c r="D379" s="34">
        <v>21.5</v>
      </c>
    </row>
    <row r="380" spans="1:4">
      <c r="A380" t="s">
        <v>1076</v>
      </c>
      <c r="B380" s="32">
        <v>9033</v>
      </c>
      <c r="C380" s="32">
        <v>2308</v>
      </c>
      <c r="D380" s="34">
        <v>21.7</v>
      </c>
    </row>
    <row r="381" spans="1:4">
      <c r="A381" t="s">
        <v>1077</v>
      </c>
      <c r="B381" s="32">
        <v>9062</v>
      </c>
      <c r="C381" s="32">
        <v>2294</v>
      </c>
      <c r="D381" s="34">
        <v>21.7</v>
      </c>
    </row>
    <row r="382" spans="1:4">
      <c r="A382" t="s">
        <v>1078</v>
      </c>
      <c r="B382" s="32">
        <v>9061</v>
      </c>
      <c r="C382" s="32">
        <v>2314</v>
      </c>
      <c r="D382" s="34">
        <v>21.7</v>
      </c>
    </row>
    <row r="383" spans="1:4">
      <c r="A383" t="s">
        <v>1079</v>
      </c>
      <c r="B383" s="32">
        <v>8995</v>
      </c>
      <c r="C383" s="32">
        <v>2293</v>
      </c>
      <c r="D383" s="34">
        <v>21.6</v>
      </c>
    </row>
    <row r="384" spans="1:4">
      <c r="A384" t="s">
        <v>1080</v>
      </c>
      <c r="B384" s="32">
        <v>8980</v>
      </c>
      <c r="C384" s="32">
        <v>2329</v>
      </c>
      <c r="D384" s="34">
        <v>21.5</v>
      </c>
    </row>
    <row r="385" spans="1:4">
      <c r="A385" t="s">
        <v>1081</v>
      </c>
      <c r="B385" s="32">
        <v>8959</v>
      </c>
      <c r="C385" s="32">
        <v>2364</v>
      </c>
      <c r="D385" s="34">
        <v>21.4</v>
      </c>
    </row>
    <row r="386" spans="1:4">
      <c r="A386" t="s">
        <v>1082</v>
      </c>
      <c r="B386" s="32">
        <v>8966</v>
      </c>
      <c r="C386" s="32">
        <v>2389</v>
      </c>
      <c r="D386" s="34">
        <v>21.4</v>
      </c>
    </row>
    <row r="387" spans="1:4">
      <c r="A387" t="s">
        <v>1083</v>
      </c>
      <c r="B387" s="32">
        <v>9023</v>
      </c>
      <c r="C387" s="32">
        <v>2404</v>
      </c>
      <c r="D387" s="34">
        <v>21.6</v>
      </c>
    </row>
    <row r="388" spans="1:4">
      <c r="A388" t="s">
        <v>1084</v>
      </c>
      <c r="B388" s="32">
        <v>9062</v>
      </c>
      <c r="C388" s="32">
        <v>2457</v>
      </c>
      <c r="D388" s="34">
        <v>21.7</v>
      </c>
    </row>
    <row r="389" spans="1:4">
      <c r="A389" t="s">
        <v>1085</v>
      </c>
      <c r="B389" s="32">
        <v>9050</v>
      </c>
      <c r="C389" s="32">
        <v>2434</v>
      </c>
      <c r="D389" s="34">
        <v>21.6</v>
      </c>
    </row>
    <row r="390" spans="1:4">
      <c r="A390" t="s">
        <v>1086</v>
      </c>
      <c r="B390" s="32">
        <v>9087</v>
      </c>
      <c r="C390" s="32">
        <v>2441</v>
      </c>
      <c r="D390" s="34">
        <v>21.7</v>
      </c>
    </row>
    <row r="391" spans="1:4">
      <c r="A391" t="s">
        <v>1087</v>
      </c>
      <c r="B391" s="32">
        <v>9159</v>
      </c>
      <c r="C391" s="32">
        <v>2459</v>
      </c>
      <c r="D391" s="34">
        <v>21.8</v>
      </c>
    </row>
    <row r="392" spans="1:4">
      <c r="A392" t="s">
        <v>1088</v>
      </c>
      <c r="B392" s="32">
        <v>9177</v>
      </c>
      <c r="C392" s="32">
        <v>2440</v>
      </c>
      <c r="D392" s="34">
        <v>21.9</v>
      </c>
    </row>
    <row r="393" spans="1:4">
      <c r="A393" t="s">
        <v>1089</v>
      </c>
      <c r="B393" s="32">
        <v>9147</v>
      </c>
      <c r="C393" s="32">
        <v>2476</v>
      </c>
      <c r="D393" s="34">
        <v>21.8</v>
      </c>
    </row>
    <row r="394" spans="1:4">
      <c r="A394" t="s">
        <v>1090</v>
      </c>
      <c r="B394" s="32">
        <v>9081</v>
      </c>
      <c r="C394" s="32">
        <v>2445</v>
      </c>
      <c r="D394" s="34">
        <v>21.6</v>
      </c>
    </row>
    <row r="395" spans="1:4">
      <c r="A395" t="s">
        <v>1091</v>
      </c>
      <c r="B395" s="32">
        <v>9215</v>
      </c>
      <c r="C395" s="32">
        <v>2503</v>
      </c>
      <c r="D395" s="34">
        <v>21.9</v>
      </c>
    </row>
    <row r="396" spans="1:4">
      <c r="A396" t="s">
        <v>1092</v>
      </c>
      <c r="B396" s="32">
        <v>9324</v>
      </c>
      <c r="C396" s="32">
        <v>2584</v>
      </c>
      <c r="D396" s="34">
        <v>22.2</v>
      </c>
    </row>
    <row r="397" spans="1:4">
      <c r="A397" t="s">
        <v>1093</v>
      </c>
      <c r="B397" s="32">
        <v>9302</v>
      </c>
      <c r="C397" s="32">
        <v>2631</v>
      </c>
      <c r="D397" s="34">
        <v>22.1</v>
      </c>
    </row>
    <row r="398" spans="1:4">
      <c r="A398" t="s">
        <v>1094</v>
      </c>
      <c r="B398" s="32">
        <v>9301</v>
      </c>
      <c r="C398" s="32">
        <v>2633</v>
      </c>
      <c r="D398" s="34">
        <v>22.1</v>
      </c>
    </row>
    <row r="399" spans="1:4">
      <c r="A399" t="s">
        <v>1095</v>
      </c>
      <c r="B399" s="32">
        <v>9248</v>
      </c>
      <c r="C399" s="32">
        <v>2588</v>
      </c>
      <c r="D399" s="34">
        <v>21.9</v>
      </c>
    </row>
    <row r="400" spans="1:4">
      <c r="A400" t="s">
        <v>1096</v>
      </c>
      <c r="B400" s="32">
        <v>9251</v>
      </c>
      <c r="C400" s="32">
        <v>2573</v>
      </c>
      <c r="D400" s="34">
        <v>21.9</v>
      </c>
    </row>
    <row r="401" spans="1:4">
      <c r="A401" t="s">
        <v>1097</v>
      </c>
      <c r="B401" s="32">
        <v>9184</v>
      </c>
      <c r="C401" s="32">
        <v>2582</v>
      </c>
      <c r="D401" s="34">
        <v>21.7</v>
      </c>
    </row>
    <row r="402" spans="1:4">
      <c r="A402" t="s">
        <v>1098</v>
      </c>
      <c r="B402" s="32">
        <v>9195</v>
      </c>
      <c r="C402" s="32">
        <v>2667</v>
      </c>
      <c r="D402" s="34">
        <v>21.7</v>
      </c>
    </row>
    <row r="403" spans="1:4">
      <c r="A403" t="s">
        <v>1099</v>
      </c>
      <c r="B403" s="32">
        <v>9170</v>
      </c>
      <c r="C403" s="32">
        <v>2701</v>
      </c>
      <c r="D403" s="34">
        <v>21.7</v>
      </c>
    </row>
    <row r="404" spans="1:4">
      <c r="A404" t="s">
        <v>1100</v>
      </c>
      <c r="B404" s="32">
        <v>9113</v>
      </c>
      <c r="C404" s="32">
        <v>2699</v>
      </c>
      <c r="D404" s="34">
        <v>21.5</v>
      </c>
    </row>
    <row r="405" spans="1:4">
      <c r="A405" t="s">
        <v>1101</v>
      </c>
      <c r="B405" s="32">
        <v>9076</v>
      </c>
      <c r="C405" s="32">
        <v>2700</v>
      </c>
      <c r="D405" s="34">
        <v>21.4</v>
      </c>
    </row>
    <row r="406" spans="1:4">
      <c r="A406" t="s">
        <v>1102</v>
      </c>
      <c r="B406" s="32">
        <v>9050</v>
      </c>
      <c r="C406" s="32">
        <v>2669</v>
      </c>
      <c r="D406" s="34">
        <v>21.3</v>
      </c>
    </row>
    <row r="407" spans="1:4">
      <c r="A407" t="s">
        <v>1103</v>
      </c>
      <c r="B407" s="32">
        <v>9093</v>
      </c>
      <c r="C407" s="32">
        <v>2708</v>
      </c>
      <c r="D407" s="34">
        <v>21.4</v>
      </c>
    </row>
    <row r="408" spans="1:4">
      <c r="A408" t="s">
        <v>1104</v>
      </c>
      <c r="B408" s="32">
        <v>9190</v>
      </c>
      <c r="C408" s="32">
        <v>2736</v>
      </c>
      <c r="D408" s="34">
        <v>21.6</v>
      </c>
    </row>
    <row r="409" spans="1:4">
      <c r="A409" t="s">
        <v>1105</v>
      </c>
      <c r="B409" s="32">
        <v>9310</v>
      </c>
      <c r="C409" s="32">
        <v>2729</v>
      </c>
      <c r="D409" s="34">
        <v>21.9</v>
      </c>
    </row>
    <row r="410" spans="1:4">
      <c r="A410" t="s">
        <v>1106</v>
      </c>
      <c r="B410" s="32">
        <v>9288</v>
      </c>
      <c r="C410" s="32">
        <v>2739</v>
      </c>
      <c r="D410" s="34">
        <v>21.8</v>
      </c>
    </row>
    <row r="411" spans="1:4">
      <c r="A411" t="s">
        <v>1107</v>
      </c>
      <c r="B411" s="32">
        <v>9328</v>
      </c>
      <c r="C411" s="32">
        <v>2822</v>
      </c>
      <c r="D411" s="34">
        <v>21.9</v>
      </c>
    </row>
    <row r="412" spans="1:4">
      <c r="A412" t="s">
        <v>1108</v>
      </c>
      <c r="B412" s="32">
        <v>9374</v>
      </c>
      <c r="C412" s="32">
        <v>2861</v>
      </c>
      <c r="D412" s="34">
        <v>22</v>
      </c>
    </row>
    <row r="413" spans="1:4">
      <c r="A413" t="s">
        <v>1109</v>
      </c>
      <c r="B413" s="32">
        <v>9416</v>
      </c>
      <c r="C413" s="32">
        <v>2845</v>
      </c>
      <c r="D413" s="34">
        <v>22.1</v>
      </c>
    </row>
    <row r="414" spans="1:4">
      <c r="A414" t="s">
        <v>1110</v>
      </c>
      <c r="B414" s="32">
        <v>9437</v>
      </c>
      <c r="C414" s="32">
        <v>2821</v>
      </c>
      <c r="D414" s="34">
        <v>22.1</v>
      </c>
    </row>
    <row r="415" spans="1:4">
      <c r="A415" t="s">
        <v>1111</v>
      </c>
      <c r="B415" s="32">
        <v>9455</v>
      </c>
      <c r="C415" s="32">
        <v>2834</v>
      </c>
      <c r="D415" s="34">
        <v>22.1</v>
      </c>
    </row>
    <row r="416" spans="1:4">
      <c r="A416" t="s">
        <v>1112</v>
      </c>
      <c r="B416" s="32">
        <v>9445</v>
      </c>
      <c r="C416" s="32">
        <v>2820</v>
      </c>
      <c r="D416" s="34">
        <v>22.1</v>
      </c>
    </row>
    <row r="417" spans="1:4">
      <c r="A417" t="s">
        <v>1113</v>
      </c>
      <c r="B417" s="32">
        <v>9490</v>
      </c>
      <c r="C417" s="32">
        <v>2839</v>
      </c>
      <c r="D417" s="34">
        <v>22.2</v>
      </c>
    </row>
    <row r="418" spans="1:4">
      <c r="A418" t="s">
        <v>1114</v>
      </c>
      <c r="B418" s="32">
        <v>9461</v>
      </c>
      <c r="C418" s="32">
        <v>2832</v>
      </c>
      <c r="D418" s="34">
        <v>22.1</v>
      </c>
    </row>
    <row r="419" spans="1:4">
      <c r="A419" t="s">
        <v>1115</v>
      </c>
      <c r="B419" s="32">
        <v>9477</v>
      </c>
      <c r="C419" s="32">
        <v>2826</v>
      </c>
      <c r="D419" s="34">
        <v>22.1</v>
      </c>
    </row>
    <row r="420" spans="1:4">
      <c r="A420" t="s">
        <v>1116</v>
      </c>
      <c r="B420" s="32">
        <v>9411</v>
      </c>
      <c r="C420" s="32">
        <v>2835</v>
      </c>
      <c r="D420" s="34">
        <v>21.9</v>
      </c>
    </row>
    <row r="421" spans="1:4">
      <c r="A421" t="s">
        <v>1117</v>
      </c>
      <c r="B421" s="32">
        <v>9352</v>
      </c>
      <c r="C421" s="32">
        <v>2789</v>
      </c>
      <c r="D421" s="34">
        <v>21.8</v>
      </c>
    </row>
    <row r="422" spans="1:4">
      <c r="A422" t="s">
        <v>1118</v>
      </c>
      <c r="B422" s="32">
        <v>9307</v>
      </c>
      <c r="C422" s="32">
        <v>2792</v>
      </c>
      <c r="D422" s="34">
        <v>21.6</v>
      </c>
    </row>
    <row r="423" spans="1:4">
      <c r="A423" t="s">
        <v>1119</v>
      </c>
      <c r="B423" s="32">
        <v>9333</v>
      </c>
      <c r="C423" s="32">
        <v>2795</v>
      </c>
      <c r="D423" s="34">
        <v>21.7</v>
      </c>
    </row>
    <row r="424" spans="1:4">
      <c r="A424" t="s">
        <v>1120</v>
      </c>
      <c r="B424" s="32">
        <v>9307</v>
      </c>
      <c r="C424" s="32">
        <v>2816</v>
      </c>
      <c r="D424" s="34">
        <v>21.6</v>
      </c>
    </row>
    <row r="425" spans="1:4">
      <c r="A425" t="s">
        <v>1121</v>
      </c>
      <c r="B425" s="32">
        <v>9283</v>
      </c>
      <c r="C425" s="32">
        <v>2771</v>
      </c>
      <c r="D425" s="34">
        <v>21.5</v>
      </c>
    </row>
    <row r="426" spans="1:4">
      <c r="A426" t="s">
        <v>1122</v>
      </c>
      <c r="B426" s="32">
        <v>9268</v>
      </c>
      <c r="C426" s="32">
        <v>2812</v>
      </c>
      <c r="D426" s="34">
        <v>21.5</v>
      </c>
    </row>
    <row r="427" spans="1:4">
      <c r="A427" t="s">
        <v>1123</v>
      </c>
      <c r="B427" s="32">
        <v>9224</v>
      </c>
      <c r="C427" s="32">
        <v>2785</v>
      </c>
      <c r="D427" s="34">
        <v>21.4</v>
      </c>
    </row>
    <row r="428" spans="1:4">
      <c r="A428" t="s">
        <v>1124</v>
      </c>
      <c r="B428" s="32">
        <v>9229</v>
      </c>
      <c r="C428" s="32">
        <v>2779</v>
      </c>
      <c r="D428" s="34">
        <v>21.4</v>
      </c>
    </row>
    <row r="429" spans="1:4">
      <c r="A429" t="s">
        <v>1125</v>
      </c>
      <c r="B429" s="32">
        <v>9187</v>
      </c>
      <c r="C429" s="32">
        <v>2796</v>
      </c>
      <c r="D429" s="34">
        <v>21.3</v>
      </c>
    </row>
    <row r="430" spans="1:4">
      <c r="A430" t="s">
        <v>1126</v>
      </c>
      <c r="B430" s="32">
        <v>9085</v>
      </c>
      <c r="C430" s="32">
        <v>2783</v>
      </c>
      <c r="D430" s="34">
        <v>21</v>
      </c>
    </row>
    <row r="431" spans="1:4">
      <c r="A431" t="s">
        <v>1127</v>
      </c>
      <c r="B431" s="32">
        <v>9073</v>
      </c>
      <c r="C431" s="32">
        <v>2785</v>
      </c>
      <c r="D431" s="34">
        <v>21</v>
      </c>
    </row>
    <row r="432" spans="1:4">
      <c r="A432" t="s">
        <v>1128</v>
      </c>
      <c r="B432" s="32">
        <v>9124</v>
      </c>
      <c r="C432" s="32">
        <v>2797</v>
      </c>
      <c r="D432" s="34">
        <v>21.1</v>
      </c>
    </row>
    <row r="433" spans="1:4">
      <c r="A433" t="s">
        <v>1129</v>
      </c>
      <c r="B433" s="32">
        <v>9115</v>
      </c>
      <c r="C433" s="32">
        <v>2823</v>
      </c>
      <c r="D433" s="34">
        <v>21</v>
      </c>
    </row>
    <row r="434" spans="1:4">
      <c r="A434" t="s">
        <v>1130</v>
      </c>
      <c r="B434" s="32">
        <v>9080</v>
      </c>
      <c r="C434" s="32">
        <v>2822</v>
      </c>
      <c r="D434" s="34">
        <v>21</v>
      </c>
    </row>
    <row r="435" spans="1:4">
      <c r="A435" t="s">
        <v>1131</v>
      </c>
      <c r="B435" s="32">
        <v>9099</v>
      </c>
      <c r="C435" s="32">
        <v>2810</v>
      </c>
      <c r="D435" s="34">
        <v>21</v>
      </c>
    </row>
    <row r="436" spans="1:4">
      <c r="A436" t="s">
        <v>1132</v>
      </c>
      <c r="B436" s="32">
        <v>9021</v>
      </c>
      <c r="C436" s="32">
        <v>2811</v>
      </c>
      <c r="D436" s="34">
        <v>20.8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0DE22-60B6-4D9F-BC72-1D370C5DE027}">
  <dimension ref="A1:B268"/>
  <sheetViews>
    <sheetView workbookViewId="0">
      <pane xSplit="1" ySplit="6" topLeftCell="B7" activePane="bottomRight" state="frozen"/>
      <selection pane="topRight" activeCell="B1" sqref="B1"/>
      <selection pane="bottomLeft" activeCell="A7" sqref="A7"/>
      <selection pane="bottomRight" activeCell="B7" sqref="B7"/>
    </sheetView>
  </sheetViews>
  <sheetFormatPr defaultRowHeight="15"/>
  <cols>
    <col min="2" max="2" width="17" customWidth="1"/>
  </cols>
  <sheetData>
    <row r="1" spans="1:2">
      <c r="A1" s="22" t="s">
        <v>1378</v>
      </c>
      <c r="B1" t="s">
        <v>1144</v>
      </c>
    </row>
    <row r="2" spans="1:2" s="153" customFormat="1" ht="60">
      <c r="A2" s="153" t="s">
        <v>695</v>
      </c>
      <c r="B2" s="153" t="s">
        <v>1149</v>
      </c>
    </row>
    <row r="3" spans="1:2">
      <c r="A3" t="s">
        <v>694</v>
      </c>
      <c r="B3" t="s">
        <v>1148</v>
      </c>
    </row>
    <row r="4" spans="1:2">
      <c r="A4" t="s">
        <v>693</v>
      </c>
      <c r="B4" t="s">
        <v>1147</v>
      </c>
    </row>
    <row r="5" spans="1:2">
      <c r="A5" t="s">
        <v>692</v>
      </c>
      <c r="B5" t="s">
        <v>697</v>
      </c>
    </row>
    <row r="6" spans="1:2">
      <c r="A6" t="s">
        <v>691</v>
      </c>
      <c r="B6" t="s">
        <v>1146</v>
      </c>
    </row>
    <row r="7" spans="1:2">
      <c r="A7" t="s">
        <v>1379</v>
      </c>
      <c r="B7" s="34">
        <v>33.700000000000003</v>
      </c>
    </row>
    <row r="8" spans="1:2">
      <c r="A8" t="s">
        <v>1380</v>
      </c>
      <c r="B8" s="34">
        <v>33.4</v>
      </c>
    </row>
    <row r="9" spans="1:2">
      <c r="A9" t="s">
        <v>1381</v>
      </c>
      <c r="B9" s="34">
        <v>33.799999999999997</v>
      </c>
    </row>
    <row r="10" spans="1:2">
      <c r="A10" t="s">
        <v>1382</v>
      </c>
      <c r="B10" s="34">
        <v>33.9</v>
      </c>
    </row>
    <row r="11" spans="1:2">
      <c r="A11" t="s">
        <v>1383</v>
      </c>
      <c r="B11" s="34">
        <v>34.299999999999997</v>
      </c>
    </row>
    <row r="12" spans="1:2">
      <c r="A12" t="s">
        <v>1384</v>
      </c>
      <c r="B12" s="34">
        <v>34.4</v>
      </c>
    </row>
    <row r="13" spans="1:2">
      <c r="A13" t="s">
        <v>1385</v>
      </c>
      <c r="B13" s="34">
        <v>34.200000000000003</v>
      </c>
    </row>
    <row r="14" spans="1:2">
      <c r="A14" t="s">
        <v>1386</v>
      </c>
      <c r="B14" s="34">
        <v>34.200000000000003</v>
      </c>
    </row>
    <row r="15" spans="1:2">
      <c r="A15" t="s">
        <v>1387</v>
      </c>
      <c r="B15" s="34">
        <v>34.299999999999997</v>
      </c>
    </row>
    <row r="16" spans="1:2">
      <c r="A16" t="s">
        <v>1388</v>
      </c>
      <c r="B16" s="34">
        <v>34.5</v>
      </c>
    </row>
    <row r="17" spans="1:2">
      <c r="A17" t="s">
        <v>1389</v>
      </c>
      <c r="B17" s="34">
        <v>34.6</v>
      </c>
    </row>
    <row r="18" spans="1:2">
      <c r="A18" t="s">
        <v>1390</v>
      </c>
      <c r="B18" s="34">
        <v>34.6</v>
      </c>
    </row>
    <row r="19" spans="1:2">
      <c r="A19" t="s">
        <v>1391</v>
      </c>
      <c r="B19" s="34">
        <v>35.1</v>
      </c>
    </row>
    <row r="20" spans="1:2">
      <c r="A20" t="s">
        <v>1392</v>
      </c>
      <c r="B20" s="34">
        <v>36.4</v>
      </c>
    </row>
    <row r="21" spans="1:2">
      <c r="A21" t="s">
        <v>1393</v>
      </c>
      <c r="B21" s="34">
        <v>36.299999999999997</v>
      </c>
    </row>
    <row r="22" spans="1:2">
      <c r="A22" t="s">
        <v>1394</v>
      </c>
      <c r="B22" s="34">
        <v>37.1</v>
      </c>
    </row>
    <row r="23" spans="1:2">
      <c r="A23" t="s">
        <v>1395</v>
      </c>
      <c r="B23" s="34">
        <v>37.4</v>
      </c>
    </row>
    <row r="24" spans="1:2">
      <c r="A24" t="s">
        <v>1396</v>
      </c>
      <c r="B24" s="34">
        <v>37.799999999999997</v>
      </c>
    </row>
    <row r="25" spans="1:2">
      <c r="A25" t="s">
        <v>1397</v>
      </c>
      <c r="B25" s="34">
        <v>37.799999999999997</v>
      </c>
    </row>
    <row r="26" spans="1:2">
      <c r="A26" t="s">
        <v>1398</v>
      </c>
      <c r="B26" s="34">
        <v>38.1</v>
      </c>
    </row>
    <row r="27" spans="1:2">
      <c r="A27" t="s">
        <v>1399</v>
      </c>
      <c r="B27" s="34">
        <v>38.1</v>
      </c>
    </row>
    <row r="28" spans="1:2">
      <c r="A28" t="s">
        <v>1400</v>
      </c>
      <c r="B28" s="34">
        <v>38.200000000000003</v>
      </c>
    </row>
    <row r="29" spans="1:2">
      <c r="A29" t="s">
        <v>1401</v>
      </c>
      <c r="B29" s="34">
        <v>38.4</v>
      </c>
    </row>
    <row r="30" spans="1:2">
      <c r="A30" t="s">
        <v>1402</v>
      </c>
      <c r="B30" s="34">
        <v>38.5</v>
      </c>
    </row>
    <row r="31" spans="1:2">
      <c r="A31" t="s">
        <v>1403</v>
      </c>
      <c r="B31" s="34">
        <v>38.4</v>
      </c>
    </row>
    <row r="32" spans="1:2">
      <c r="A32" t="s">
        <v>1404</v>
      </c>
      <c r="B32" s="34">
        <v>38.6</v>
      </c>
    </row>
    <row r="33" spans="1:2">
      <c r="A33" t="s">
        <v>1405</v>
      </c>
      <c r="B33" s="34">
        <v>38.799999999999997</v>
      </c>
    </row>
    <row r="34" spans="1:2">
      <c r="A34" t="s">
        <v>1406</v>
      </c>
      <c r="B34" s="34">
        <v>38.9</v>
      </c>
    </row>
    <row r="35" spans="1:2">
      <c r="A35" t="s">
        <v>1407</v>
      </c>
      <c r="B35" s="34">
        <v>39.5</v>
      </c>
    </row>
    <row r="36" spans="1:2">
      <c r="A36" t="s">
        <v>1408</v>
      </c>
      <c r="B36" s="34">
        <v>40</v>
      </c>
    </row>
    <row r="37" spans="1:2">
      <c r="A37" t="s">
        <v>1409</v>
      </c>
      <c r="B37" s="34">
        <v>40.200000000000003</v>
      </c>
    </row>
    <row r="38" spans="1:2">
      <c r="A38" t="s">
        <v>1410</v>
      </c>
      <c r="B38" s="34">
        <v>40.5</v>
      </c>
    </row>
    <row r="39" spans="1:2">
      <c r="A39" t="s">
        <v>1411</v>
      </c>
      <c r="B39" s="34">
        <v>42.1</v>
      </c>
    </row>
    <row r="40" spans="1:2">
      <c r="A40" t="s">
        <v>1412</v>
      </c>
      <c r="B40" s="34">
        <v>42.2</v>
      </c>
    </row>
    <row r="41" spans="1:2">
      <c r="A41" t="s">
        <v>1413</v>
      </c>
      <c r="B41" s="34">
        <v>42.9</v>
      </c>
    </row>
    <row r="42" spans="1:2">
      <c r="A42" t="s">
        <v>1414</v>
      </c>
      <c r="B42" s="34">
        <v>42.9</v>
      </c>
    </row>
    <row r="43" spans="1:2">
      <c r="A43" t="s">
        <v>1415</v>
      </c>
      <c r="B43" s="34">
        <v>43</v>
      </c>
    </row>
    <row r="44" spans="1:2">
      <c r="A44" t="s">
        <v>1416</v>
      </c>
      <c r="B44" s="34">
        <v>43.2</v>
      </c>
    </row>
    <row r="45" spans="1:2">
      <c r="A45" t="s">
        <v>1417</v>
      </c>
      <c r="B45" s="34">
        <v>43.4</v>
      </c>
    </row>
    <row r="46" spans="1:2">
      <c r="A46" t="s">
        <v>1418</v>
      </c>
      <c r="B46" s="34">
        <v>43.7</v>
      </c>
    </row>
    <row r="47" spans="1:2">
      <c r="A47" t="s">
        <v>1145</v>
      </c>
      <c r="B47" s="34">
        <v>43.4</v>
      </c>
    </row>
    <row r="48" spans="1:2">
      <c r="A48" t="s">
        <v>1150</v>
      </c>
      <c r="B48" s="34">
        <v>44.5</v>
      </c>
    </row>
    <row r="49" spans="1:2">
      <c r="A49" t="s">
        <v>1151</v>
      </c>
      <c r="B49" s="34">
        <v>44.9</v>
      </c>
    </row>
    <row r="50" spans="1:2">
      <c r="A50" t="s">
        <v>1152</v>
      </c>
      <c r="B50" s="34">
        <v>45.7</v>
      </c>
    </row>
    <row r="51" spans="1:2">
      <c r="A51" t="s">
        <v>1153</v>
      </c>
      <c r="B51" s="34">
        <v>45.8</v>
      </c>
    </row>
    <row r="52" spans="1:2">
      <c r="A52" t="s">
        <v>1154</v>
      </c>
      <c r="B52" s="34">
        <v>46.6</v>
      </c>
    </row>
    <row r="53" spans="1:2">
      <c r="A53" t="s">
        <v>1155</v>
      </c>
      <c r="B53" s="34">
        <v>47.6</v>
      </c>
    </row>
    <row r="54" spans="1:2">
      <c r="A54" t="s">
        <v>1156</v>
      </c>
      <c r="B54" s="34">
        <v>48.1</v>
      </c>
    </row>
    <row r="55" spans="1:2">
      <c r="A55" t="s">
        <v>1157</v>
      </c>
      <c r="B55" s="34">
        <v>47.9</v>
      </c>
    </row>
    <row r="56" spans="1:2">
      <c r="A56" t="s">
        <v>1158</v>
      </c>
      <c r="B56" s="34">
        <v>49</v>
      </c>
    </row>
    <row r="57" spans="1:2">
      <c r="A57" t="s">
        <v>1159</v>
      </c>
      <c r="B57" s="34">
        <v>49.2</v>
      </c>
    </row>
    <row r="58" spans="1:2">
      <c r="A58" t="s">
        <v>1160</v>
      </c>
      <c r="B58" s="34">
        <v>49.8</v>
      </c>
    </row>
    <row r="59" spans="1:2">
      <c r="A59" t="s">
        <v>1161</v>
      </c>
      <c r="B59" s="34">
        <v>51.8</v>
      </c>
    </row>
    <row r="60" spans="1:2">
      <c r="A60" t="s">
        <v>1162</v>
      </c>
      <c r="B60" s="34">
        <v>51.8</v>
      </c>
    </row>
    <row r="61" spans="1:2">
      <c r="A61" t="s">
        <v>1163</v>
      </c>
      <c r="B61" s="34">
        <v>51.3</v>
      </c>
    </row>
    <row r="62" spans="1:2">
      <c r="A62" t="s">
        <v>1164</v>
      </c>
      <c r="B62" s="34">
        <v>51</v>
      </c>
    </row>
    <row r="63" spans="1:2">
      <c r="A63" t="s">
        <v>1165</v>
      </c>
      <c r="B63" s="34">
        <v>49.7</v>
      </c>
    </row>
    <row r="64" spans="1:2">
      <c r="A64" t="s">
        <v>1166</v>
      </c>
      <c r="B64" s="34">
        <v>50.4</v>
      </c>
    </row>
    <row r="65" spans="1:2">
      <c r="A65" t="s">
        <v>1167</v>
      </c>
      <c r="B65" s="34">
        <v>50.7</v>
      </c>
    </row>
    <row r="66" spans="1:2">
      <c r="A66" t="s">
        <v>1168</v>
      </c>
      <c r="B66" s="34">
        <v>49.9</v>
      </c>
    </row>
    <row r="67" spans="1:2">
      <c r="A67" t="s">
        <v>1169</v>
      </c>
      <c r="B67" s="34">
        <v>50</v>
      </c>
    </row>
    <row r="68" spans="1:2">
      <c r="A68" t="s">
        <v>1170</v>
      </c>
      <c r="B68" s="34">
        <v>49.4</v>
      </c>
    </row>
    <row r="69" spans="1:2">
      <c r="A69" t="s">
        <v>1171</v>
      </c>
      <c r="B69" s="34">
        <v>49.2</v>
      </c>
    </row>
    <row r="70" spans="1:2">
      <c r="A70" t="s">
        <v>1172</v>
      </c>
      <c r="B70" s="34">
        <v>49.9</v>
      </c>
    </row>
    <row r="71" spans="1:2">
      <c r="A71" t="s">
        <v>1173</v>
      </c>
      <c r="B71" s="34">
        <v>50.8</v>
      </c>
    </row>
    <row r="72" spans="1:2">
      <c r="A72" t="s">
        <v>1174</v>
      </c>
      <c r="B72" s="34">
        <v>50.8</v>
      </c>
    </row>
    <row r="73" spans="1:2">
      <c r="A73" t="s">
        <v>1175</v>
      </c>
      <c r="B73" s="34">
        <v>51.4</v>
      </c>
    </row>
    <row r="74" spans="1:2">
      <c r="A74" t="s">
        <v>1176</v>
      </c>
      <c r="B74" s="34">
        <v>52.3</v>
      </c>
    </row>
    <row r="75" spans="1:2">
      <c r="A75" t="s">
        <v>1177</v>
      </c>
      <c r="B75" s="34">
        <v>52.6</v>
      </c>
    </row>
    <row r="76" spans="1:2">
      <c r="A76" t="s">
        <v>1178</v>
      </c>
      <c r="B76" s="34">
        <v>52</v>
      </c>
    </row>
    <row r="77" spans="1:2">
      <c r="A77" t="s">
        <v>1179</v>
      </c>
      <c r="B77" s="34">
        <v>52.2</v>
      </c>
    </row>
    <row r="78" spans="1:2">
      <c r="A78" t="s">
        <v>1180</v>
      </c>
      <c r="B78" s="34">
        <v>53</v>
      </c>
    </row>
    <row r="79" spans="1:2">
      <c r="A79" t="s">
        <v>1181</v>
      </c>
      <c r="B79" s="34">
        <v>53.5</v>
      </c>
    </row>
    <row r="80" spans="1:2">
      <c r="A80" t="s">
        <v>1182</v>
      </c>
      <c r="B80" s="34">
        <v>53.8</v>
      </c>
    </row>
    <row r="81" spans="1:2">
      <c r="A81" t="s">
        <v>1183</v>
      </c>
      <c r="B81" s="34">
        <v>54.5</v>
      </c>
    </row>
    <row r="82" spans="1:2">
      <c r="A82" t="s">
        <v>1184</v>
      </c>
      <c r="B82" s="34">
        <v>54.7</v>
      </c>
    </row>
    <row r="83" spans="1:2">
      <c r="A83" t="s">
        <v>1185</v>
      </c>
      <c r="B83" s="34">
        <v>54.2</v>
      </c>
    </row>
    <row r="84" spans="1:2">
      <c r="A84" t="s">
        <v>1186</v>
      </c>
      <c r="B84" s="34">
        <v>56.4</v>
      </c>
    </row>
    <row r="85" spans="1:2">
      <c r="A85" t="s">
        <v>1187</v>
      </c>
      <c r="B85" s="34">
        <v>55.3</v>
      </c>
    </row>
    <row r="86" spans="1:2">
      <c r="A86" t="s">
        <v>1188</v>
      </c>
      <c r="B86" s="34">
        <v>55.5</v>
      </c>
    </row>
    <row r="87" spans="1:2">
      <c r="A87" t="s">
        <v>1189</v>
      </c>
      <c r="B87" s="34">
        <v>54.9</v>
      </c>
    </row>
    <row r="88" spans="1:2">
      <c r="A88" t="s">
        <v>1190</v>
      </c>
      <c r="B88" s="34">
        <v>54.3</v>
      </c>
    </row>
    <row r="89" spans="1:2">
      <c r="A89" t="s">
        <v>1191</v>
      </c>
      <c r="B89" s="34">
        <v>54.5</v>
      </c>
    </row>
    <row r="90" spans="1:2">
      <c r="A90" t="s">
        <v>1192</v>
      </c>
      <c r="B90" s="34">
        <v>54.2</v>
      </c>
    </row>
    <row r="91" spans="1:2">
      <c r="A91" t="s">
        <v>1193</v>
      </c>
      <c r="B91" s="34">
        <v>54.6</v>
      </c>
    </row>
    <row r="92" spans="1:2">
      <c r="A92" t="s">
        <v>1194</v>
      </c>
      <c r="B92" s="34">
        <v>55.3</v>
      </c>
    </row>
    <row r="93" spans="1:2">
      <c r="A93" t="s">
        <v>1195</v>
      </c>
      <c r="B93" s="34">
        <v>56.3</v>
      </c>
    </row>
    <row r="94" spans="1:2">
      <c r="A94" t="s">
        <v>1196</v>
      </c>
      <c r="B94" s="34">
        <v>56.9</v>
      </c>
    </row>
    <row r="95" spans="1:2">
      <c r="A95" t="s">
        <v>1197</v>
      </c>
      <c r="B95" s="34">
        <v>57.1</v>
      </c>
    </row>
    <row r="96" spans="1:2">
      <c r="A96" t="s">
        <v>1198</v>
      </c>
      <c r="B96" s="34">
        <v>58</v>
      </c>
    </row>
    <row r="97" spans="1:2">
      <c r="A97" t="s">
        <v>1199</v>
      </c>
      <c r="B97" s="34">
        <v>58.5</v>
      </c>
    </row>
    <row r="98" spans="1:2">
      <c r="A98" t="s">
        <v>1200</v>
      </c>
      <c r="B98" s="34">
        <v>59.2</v>
      </c>
    </row>
    <row r="99" spans="1:2">
      <c r="A99" t="s">
        <v>1201</v>
      </c>
      <c r="B99" s="34">
        <v>60.8</v>
      </c>
    </row>
    <row r="100" spans="1:2">
      <c r="A100" t="s">
        <v>1202</v>
      </c>
      <c r="B100" s="34">
        <v>61</v>
      </c>
    </row>
    <row r="101" spans="1:2">
      <c r="A101" t="s">
        <v>1203</v>
      </c>
      <c r="B101" s="34">
        <v>61.3</v>
      </c>
    </row>
    <row r="102" spans="1:2">
      <c r="A102" t="s">
        <v>1204</v>
      </c>
      <c r="B102" s="34">
        <v>61.2</v>
      </c>
    </row>
    <row r="103" spans="1:2">
      <c r="A103" t="s">
        <v>1205</v>
      </c>
      <c r="B103" s="34">
        <v>61.4</v>
      </c>
    </row>
    <row r="104" spans="1:2">
      <c r="A104" t="s">
        <v>1206</v>
      </c>
      <c r="B104" s="34">
        <v>60.4</v>
      </c>
    </row>
    <row r="105" spans="1:2">
      <c r="A105" t="s">
        <v>1207</v>
      </c>
      <c r="B105" s="34">
        <v>60.5</v>
      </c>
    </row>
    <row r="106" spans="1:2">
      <c r="A106" t="s">
        <v>1208</v>
      </c>
      <c r="B106" s="34">
        <v>61.3</v>
      </c>
    </row>
    <row r="107" spans="1:2">
      <c r="A107" t="s">
        <v>1209</v>
      </c>
      <c r="B107" s="34">
        <v>61.9</v>
      </c>
    </row>
    <row r="108" spans="1:2">
      <c r="A108" t="s">
        <v>1210</v>
      </c>
      <c r="B108" s="34">
        <v>63.2</v>
      </c>
    </row>
    <row r="109" spans="1:2">
      <c r="A109" t="s">
        <v>1211</v>
      </c>
      <c r="B109" s="34">
        <v>63</v>
      </c>
    </row>
    <row r="110" spans="1:2">
      <c r="A110" t="s">
        <v>1212</v>
      </c>
      <c r="B110" s="34">
        <v>62.9</v>
      </c>
    </row>
    <row r="111" spans="1:2">
      <c r="A111" t="s">
        <v>1213</v>
      </c>
      <c r="B111" s="34">
        <v>63.2</v>
      </c>
    </row>
    <row r="112" spans="1:2">
      <c r="A112" t="s">
        <v>1214</v>
      </c>
      <c r="B112" s="34">
        <v>63.9</v>
      </c>
    </row>
    <row r="113" spans="1:2">
      <c r="A113" t="s">
        <v>1215</v>
      </c>
      <c r="B113" s="34">
        <v>64.3</v>
      </c>
    </row>
    <row r="114" spans="1:2">
      <c r="A114" t="s">
        <v>1216</v>
      </c>
      <c r="B114" s="34">
        <v>65.099999999999994</v>
      </c>
    </row>
    <row r="115" spans="1:2">
      <c r="A115" t="s">
        <v>1217</v>
      </c>
      <c r="B115" s="34">
        <v>65.3</v>
      </c>
    </row>
    <row r="116" spans="1:2">
      <c r="A116" t="s">
        <v>1218</v>
      </c>
      <c r="B116" s="34">
        <v>66</v>
      </c>
    </row>
    <row r="117" spans="1:2">
      <c r="A117" t="s">
        <v>1219</v>
      </c>
      <c r="B117" s="34">
        <v>66.8</v>
      </c>
    </row>
    <row r="118" spans="1:2">
      <c r="A118" t="s">
        <v>1220</v>
      </c>
      <c r="B118" s="34">
        <v>67</v>
      </c>
    </row>
    <row r="119" spans="1:2">
      <c r="A119" t="s">
        <v>1221</v>
      </c>
      <c r="B119" s="34">
        <v>67.400000000000006</v>
      </c>
    </row>
    <row r="120" spans="1:2">
      <c r="A120" t="s">
        <v>1222</v>
      </c>
      <c r="B120" s="34">
        <v>67.3</v>
      </c>
    </row>
    <row r="121" spans="1:2">
      <c r="A121" t="s">
        <v>1223</v>
      </c>
      <c r="B121" s="34">
        <v>67.7</v>
      </c>
    </row>
    <row r="122" spans="1:2">
      <c r="A122" t="s">
        <v>1224</v>
      </c>
      <c r="B122" s="34">
        <v>67.8</v>
      </c>
    </row>
    <row r="123" spans="1:2">
      <c r="A123" t="s">
        <v>1225</v>
      </c>
      <c r="B123" s="34">
        <v>67.5</v>
      </c>
    </row>
    <row r="124" spans="1:2">
      <c r="A124" t="s">
        <v>1226</v>
      </c>
      <c r="B124" s="34">
        <v>67.5</v>
      </c>
    </row>
    <row r="125" spans="1:2">
      <c r="A125" t="s">
        <v>1227</v>
      </c>
      <c r="B125" s="34">
        <v>67.5</v>
      </c>
    </row>
    <row r="126" spans="1:2">
      <c r="A126" t="s">
        <v>1228</v>
      </c>
      <c r="B126" s="34">
        <v>67.400000000000006</v>
      </c>
    </row>
    <row r="127" spans="1:2">
      <c r="A127" t="s">
        <v>1229</v>
      </c>
      <c r="B127" s="34">
        <v>67.7</v>
      </c>
    </row>
    <row r="128" spans="1:2">
      <c r="A128" t="s">
        <v>1230</v>
      </c>
      <c r="B128" s="34">
        <v>68</v>
      </c>
    </row>
    <row r="129" spans="1:2">
      <c r="A129" t="s">
        <v>1231</v>
      </c>
      <c r="B129" s="34">
        <v>67.5</v>
      </c>
    </row>
    <row r="130" spans="1:2">
      <c r="A130" t="s">
        <v>1232</v>
      </c>
      <c r="B130" s="34">
        <v>67.599999999999994</v>
      </c>
    </row>
    <row r="131" spans="1:2">
      <c r="A131" t="s">
        <v>1233</v>
      </c>
      <c r="B131" s="34">
        <v>67.8</v>
      </c>
    </row>
    <row r="132" spans="1:2">
      <c r="A132" t="s">
        <v>1234</v>
      </c>
      <c r="B132" s="34">
        <v>68.5</v>
      </c>
    </row>
    <row r="133" spans="1:2">
      <c r="A133" t="s">
        <v>1235</v>
      </c>
      <c r="B133" s="34">
        <v>69.2</v>
      </c>
    </row>
    <row r="134" spans="1:2">
      <c r="A134" t="s">
        <v>1236</v>
      </c>
      <c r="B134" s="34">
        <v>69.8</v>
      </c>
    </row>
    <row r="135" spans="1:2">
      <c r="A135" t="s">
        <v>1237</v>
      </c>
      <c r="B135" s="34">
        <v>70</v>
      </c>
    </row>
    <row r="136" spans="1:2">
      <c r="A136" t="s">
        <v>1238</v>
      </c>
      <c r="B136" s="34">
        <v>70.3</v>
      </c>
    </row>
    <row r="137" spans="1:2">
      <c r="A137" t="s">
        <v>1239</v>
      </c>
      <c r="B137" s="34">
        <v>70.900000000000006</v>
      </c>
    </row>
    <row r="138" spans="1:2">
      <c r="A138" t="s">
        <v>1240</v>
      </c>
      <c r="B138" s="34">
        <v>71.900000000000006</v>
      </c>
    </row>
    <row r="139" spans="1:2">
      <c r="A139" t="s">
        <v>1241</v>
      </c>
      <c r="B139" s="34">
        <v>72.400000000000006</v>
      </c>
    </row>
    <row r="140" spans="1:2">
      <c r="A140" t="s">
        <v>1242</v>
      </c>
      <c r="B140" s="34">
        <v>72.7</v>
      </c>
    </row>
    <row r="141" spans="1:2">
      <c r="A141" t="s">
        <v>1243</v>
      </c>
      <c r="B141" s="34">
        <v>73.400000000000006</v>
      </c>
    </row>
    <row r="142" spans="1:2">
      <c r="A142" t="s">
        <v>1244</v>
      </c>
      <c r="B142" s="34">
        <v>73.8</v>
      </c>
    </row>
    <row r="143" spans="1:2">
      <c r="A143" t="s">
        <v>1245</v>
      </c>
      <c r="B143" s="34">
        <v>74.2</v>
      </c>
    </row>
    <row r="144" spans="1:2">
      <c r="A144" t="s">
        <v>1246</v>
      </c>
      <c r="B144" s="34">
        <v>74.7</v>
      </c>
    </row>
    <row r="145" spans="1:2">
      <c r="A145" t="s">
        <v>1247</v>
      </c>
      <c r="B145" s="34">
        <v>75</v>
      </c>
    </row>
    <row r="146" spans="1:2">
      <c r="A146" t="s">
        <v>1248</v>
      </c>
      <c r="B146" s="34">
        <v>75.2</v>
      </c>
    </row>
    <row r="147" spans="1:2">
      <c r="A147" t="s">
        <v>1249</v>
      </c>
      <c r="B147" s="34">
        <v>75.400000000000006</v>
      </c>
    </row>
    <row r="148" spans="1:2">
      <c r="A148" t="s">
        <v>1250</v>
      </c>
      <c r="B148" s="34">
        <v>75.2</v>
      </c>
    </row>
    <row r="149" spans="1:2">
      <c r="A149" t="s">
        <v>1251</v>
      </c>
      <c r="B149" s="34">
        <v>75.8</v>
      </c>
    </row>
    <row r="150" spans="1:2">
      <c r="A150" t="s">
        <v>1252</v>
      </c>
      <c r="B150" s="34">
        <v>75.8</v>
      </c>
    </row>
    <row r="151" spans="1:2">
      <c r="A151" t="s">
        <v>1253</v>
      </c>
      <c r="B151" s="34">
        <v>76.5</v>
      </c>
    </row>
    <row r="152" spans="1:2">
      <c r="A152" t="s">
        <v>1254</v>
      </c>
      <c r="B152" s="34">
        <v>76.8</v>
      </c>
    </row>
    <row r="153" spans="1:2">
      <c r="A153" t="s">
        <v>1255</v>
      </c>
      <c r="B153" s="34">
        <v>77.099999999999994</v>
      </c>
    </row>
    <row r="154" spans="1:2">
      <c r="A154" t="s">
        <v>1256</v>
      </c>
      <c r="B154" s="34">
        <v>77.7</v>
      </c>
    </row>
    <row r="155" spans="1:2">
      <c r="A155" t="s">
        <v>1257</v>
      </c>
      <c r="B155" s="34">
        <v>78.099999999999994</v>
      </c>
    </row>
    <row r="156" spans="1:2">
      <c r="A156" t="s">
        <v>1258</v>
      </c>
      <c r="B156" s="34">
        <v>78.5</v>
      </c>
    </row>
    <row r="157" spans="1:2">
      <c r="A157" t="s">
        <v>1259</v>
      </c>
      <c r="B157" s="34">
        <v>78.900000000000006</v>
      </c>
    </row>
    <row r="158" spans="1:2">
      <c r="A158" t="s">
        <v>1260</v>
      </c>
      <c r="B158" s="34">
        <v>79.8</v>
      </c>
    </row>
    <row r="159" spans="1:2">
      <c r="A159" t="s">
        <v>1261</v>
      </c>
      <c r="B159" s="34">
        <v>80.3</v>
      </c>
    </row>
    <row r="160" spans="1:2">
      <c r="A160" t="s">
        <v>1262</v>
      </c>
      <c r="B160" s="34">
        <v>80.7</v>
      </c>
    </row>
    <row r="161" spans="1:2">
      <c r="A161" t="s">
        <v>1263</v>
      </c>
      <c r="B161" s="34">
        <v>80.599999999999994</v>
      </c>
    </row>
    <row r="162" spans="1:2">
      <c r="A162" t="s">
        <v>1264</v>
      </c>
      <c r="B162" s="34">
        <v>80.8</v>
      </c>
    </row>
    <row r="163" spans="1:2">
      <c r="A163" t="s">
        <v>1265</v>
      </c>
      <c r="B163" s="34">
        <v>81</v>
      </c>
    </row>
    <row r="164" spans="1:2">
      <c r="A164" t="s">
        <v>1266</v>
      </c>
      <c r="B164" s="34">
        <v>81.099999999999994</v>
      </c>
    </row>
    <row r="165" spans="1:2">
      <c r="A165" t="s">
        <v>1267</v>
      </c>
      <c r="B165" s="34">
        <v>82.2</v>
      </c>
    </row>
    <row r="166" spans="1:2">
      <c r="A166" t="s">
        <v>1268</v>
      </c>
      <c r="B166" s="34">
        <v>83.2</v>
      </c>
    </row>
    <row r="167" spans="1:2">
      <c r="A167" t="s">
        <v>1269</v>
      </c>
      <c r="B167" s="34">
        <v>84.1</v>
      </c>
    </row>
    <row r="168" spans="1:2">
      <c r="A168" t="s">
        <v>1270</v>
      </c>
      <c r="B168" s="34">
        <v>84.5</v>
      </c>
    </row>
    <row r="169" spans="1:2">
      <c r="A169" t="s">
        <v>1271</v>
      </c>
      <c r="B169" s="34">
        <v>84.8</v>
      </c>
    </row>
    <row r="170" spans="1:2">
      <c r="A170" t="s">
        <v>1272</v>
      </c>
      <c r="B170" s="34">
        <v>85.4</v>
      </c>
    </row>
    <row r="171" spans="1:2">
      <c r="A171" t="s">
        <v>1273</v>
      </c>
      <c r="B171" s="34">
        <v>85.8</v>
      </c>
    </row>
    <row r="172" spans="1:2">
      <c r="A172" t="s">
        <v>1274</v>
      </c>
      <c r="B172" s="34">
        <v>85.9</v>
      </c>
    </row>
    <row r="173" spans="1:2">
      <c r="A173" t="s">
        <v>1275</v>
      </c>
      <c r="B173" s="34">
        <v>86.2</v>
      </c>
    </row>
    <row r="174" spans="1:2">
      <c r="A174" t="s">
        <v>1276</v>
      </c>
      <c r="B174" s="34">
        <v>86.1</v>
      </c>
    </row>
    <row r="175" spans="1:2">
      <c r="A175" t="s">
        <v>1277</v>
      </c>
      <c r="B175" s="34">
        <v>86.3</v>
      </c>
    </row>
    <row r="176" spans="1:2">
      <c r="A176" t="s">
        <v>1278</v>
      </c>
      <c r="B176" s="34">
        <v>86.3</v>
      </c>
    </row>
    <row r="177" spans="1:2">
      <c r="A177" t="s">
        <v>1279</v>
      </c>
      <c r="B177" s="34">
        <v>86.9</v>
      </c>
    </row>
    <row r="178" spans="1:2">
      <c r="A178" t="s">
        <v>1280</v>
      </c>
      <c r="B178" s="34">
        <v>86.9</v>
      </c>
    </row>
    <row r="179" spans="1:2">
      <c r="A179" t="s">
        <v>1281</v>
      </c>
      <c r="B179" s="34">
        <v>87.6</v>
      </c>
    </row>
    <row r="180" spans="1:2">
      <c r="A180" t="s">
        <v>1282</v>
      </c>
      <c r="B180" s="34">
        <v>88</v>
      </c>
    </row>
    <row r="181" spans="1:2">
      <c r="A181" t="s">
        <v>1283</v>
      </c>
      <c r="B181" s="34">
        <v>88.8</v>
      </c>
    </row>
    <row r="182" spans="1:2">
      <c r="A182" t="s">
        <v>1284</v>
      </c>
      <c r="B182" s="34">
        <v>89.4</v>
      </c>
    </row>
    <row r="183" spans="1:2">
      <c r="A183" t="s">
        <v>1285</v>
      </c>
      <c r="B183" s="34">
        <v>89.1</v>
      </c>
    </row>
    <row r="184" spans="1:2">
      <c r="A184" t="s">
        <v>1286</v>
      </c>
      <c r="B184" s="34">
        <v>89.4</v>
      </c>
    </row>
    <row r="185" spans="1:2">
      <c r="A185" t="s">
        <v>1287</v>
      </c>
      <c r="B185" s="34">
        <v>89.4</v>
      </c>
    </row>
    <row r="186" spans="1:2">
      <c r="A186" t="s">
        <v>1288</v>
      </c>
      <c r="B186" s="34">
        <v>89.5</v>
      </c>
    </row>
    <row r="187" spans="1:2">
      <c r="A187" t="s">
        <v>1289</v>
      </c>
      <c r="B187" s="34">
        <v>89.9</v>
      </c>
    </row>
    <row r="188" spans="1:2">
      <c r="A188" t="s">
        <v>1290</v>
      </c>
      <c r="B188" s="34">
        <v>90.7</v>
      </c>
    </row>
    <row r="189" spans="1:2">
      <c r="A189" t="s">
        <v>1291</v>
      </c>
      <c r="B189" s="34">
        <v>91.2</v>
      </c>
    </row>
    <row r="190" spans="1:2">
      <c r="A190" t="s">
        <v>1292</v>
      </c>
      <c r="B190" s="34">
        <v>92.4</v>
      </c>
    </row>
    <row r="191" spans="1:2">
      <c r="A191" t="s">
        <v>1293</v>
      </c>
      <c r="B191" s="34">
        <v>92.3</v>
      </c>
    </row>
    <row r="192" spans="1:2">
      <c r="A192" t="s">
        <v>1294</v>
      </c>
      <c r="B192" s="34">
        <v>92.3</v>
      </c>
    </row>
    <row r="193" spans="1:2">
      <c r="A193" t="s">
        <v>1295</v>
      </c>
      <c r="B193" s="34">
        <v>92.1</v>
      </c>
    </row>
    <row r="194" spans="1:2">
      <c r="A194" t="s">
        <v>1296</v>
      </c>
      <c r="B194" s="34">
        <v>92.3</v>
      </c>
    </row>
    <row r="195" spans="1:2">
      <c r="A195" t="s">
        <v>1297</v>
      </c>
      <c r="B195" s="34">
        <v>93.5</v>
      </c>
    </row>
    <row r="196" spans="1:2">
      <c r="A196" t="s">
        <v>1298</v>
      </c>
      <c r="B196" s="34">
        <v>94</v>
      </c>
    </row>
    <row r="197" spans="1:2">
      <c r="A197" t="s">
        <v>1299</v>
      </c>
      <c r="B197" s="34">
        <v>94.5</v>
      </c>
    </row>
    <row r="198" spans="1:2">
      <c r="A198" t="s">
        <v>1300</v>
      </c>
      <c r="B198" s="34">
        <v>94.7</v>
      </c>
    </row>
    <row r="199" spans="1:2">
      <c r="A199" t="s">
        <v>1301</v>
      </c>
      <c r="B199" s="34">
        <v>94.9</v>
      </c>
    </row>
    <row r="200" spans="1:2">
      <c r="A200" t="s">
        <v>1302</v>
      </c>
      <c r="B200" s="34">
        <v>94.4</v>
      </c>
    </row>
    <row r="201" spans="1:2">
      <c r="A201" t="s">
        <v>1303</v>
      </c>
      <c r="B201" s="34">
        <v>93.4</v>
      </c>
    </row>
    <row r="202" spans="1:2">
      <c r="A202" t="s">
        <v>1304</v>
      </c>
      <c r="B202" s="34">
        <v>91.5</v>
      </c>
    </row>
    <row r="203" spans="1:2">
      <c r="A203" t="s">
        <v>1305</v>
      </c>
      <c r="B203" s="34">
        <v>90.2</v>
      </c>
    </row>
    <row r="204" spans="1:2">
      <c r="A204" t="s">
        <v>1306</v>
      </c>
      <c r="B204" s="34">
        <v>90.7</v>
      </c>
    </row>
    <row r="205" spans="1:2">
      <c r="A205" t="s">
        <v>1307</v>
      </c>
      <c r="B205" s="34">
        <v>90.9</v>
      </c>
    </row>
    <row r="206" spans="1:2">
      <c r="A206" t="s">
        <v>1308</v>
      </c>
      <c r="B206" s="34">
        <v>91.2</v>
      </c>
    </row>
    <row r="207" spans="1:2">
      <c r="A207" t="s">
        <v>1309</v>
      </c>
      <c r="B207" s="34">
        <v>92.3</v>
      </c>
    </row>
    <row r="208" spans="1:2">
      <c r="A208" t="s">
        <v>1310</v>
      </c>
      <c r="B208" s="34">
        <v>92.8</v>
      </c>
    </row>
    <row r="209" spans="1:2">
      <c r="A209" t="s">
        <v>1311</v>
      </c>
      <c r="B209" s="34">
        <v>92.8</v>
      </c>
    </row>
    <row r="210" spans="1:2">
      <c r="A210" t="s">
        <v>1312</v>
      </c>
      <c r="B210" s="34">
        <v>93</v>
      </c>
    </row>
    <row r="211" spans="1:2">
      <c r="A211" t="s">
        <v>1313</v>
      </c>
      <c r="B211" s="34">
        <v>92.7</v>
      </c>
    </row>
    <row r="212" spans="1:2">
      <c r="A212" t="s">
        <v>1314</v>
      </c>
      <c r="B212" s="34">
        <v>92.7</v>
      </c>
    </row>
    <row r="213" spans="1:2">
      <c r="A213" t="s">
        <v>1315</v>
      </c>
      <c r="B213" s="34">
        <v>93.5</v>
      </c>
    </row>
    <row r="214" spans="1:2">
      <c r="A214" t="s">
        <v>1316</v>
      </c>
      <c r="B214" s="34">
        <v>93.4</v>
      </c>
    </row>
    <row r="215" spans="1:2">
      <c r="A215" t="s">
        <v>1317</v>
      </c>
      <c r="B215" s="34">
        <v>93.9</v>
      </c>
    </row>
    <row r="216" spans="1:2">
      <c r="A216" t="s">
        <v>1318</v>
      </c>
      <c r="B216" s="34">
        <v>93.2</v>
      </c>
    </row>
    <row r="217" spans="1:2">
      <c r="A217" t="s">
        <v>1319</v>
      </c>
      <c r="B217" s="34">
        <v>93.9</v>
      </c>
    </row>
    <row r="218" spans="1:2">
      <c r="A218" t="s">
        <v>1320</v>
      </c>
      <c r="B218" s="34">
        <v>93.3</v>
      </c>
    </row>
    <row r="219" spans="1:2">
      <c r="A219" t="s">
        <v>1321</v>
      </c>
      <c r="B219" s="34">
        <v>93.6</v>
      </c>
    </row>
    <row r="220" spans="1:2">
      <c r="A220" t="s">
        <v>1322</v>
      </c>
      <c r="B220" s="34">
        <v>94</v>
      </c>
    </row>
    <row r="221" spans="1:2">
      <c r="A221" t="s">
        <v>1323</v>
      </c>
      <c r="B221" s="34">
        <v>94</v>
      </c>
    </row>
    <row r="222" spans="1:2">
      <c r="A222" t="s">
        <v>1324</v>
      </c>
      <c r="B222" s="34">
        <v>94.1</v>
      </c>
    </row>
    <row r="223" spans="1:2">
      <c r="A223" t="s">
        <v>1325</v>
      </c>
      <c r="B223" s="34">
        <v>94.1</v>
      </c>
    </row>
    <row r="224" spans="1:2">
      <c r="A224" t="s">
        <v>1326</v>
      </c>
      <c r="B224" s="34">
        <v>94.5</v>
      </c>
    </row>
    <row r="225" spans="1:2">
      <c r="A225" t="s">
        <v>1327</v>
      </c>
      <c r="B225" s="34">
        <v>95</v>
      </c>
    </row>
    <row r="226" spans="1:2">
      <c r="A226" t="s">
        <v>1328</v>
      </c>
      <c r="B226" s="34">
        <v>95.2</v>
      </c>
    </row>
    <row r="227" spans="1:2">
      <c r="A227" t="s">
        <v>1329</v>
      </c>
      <c r="B227" s="34">
        <v>94.7</v>
      </c>
    </row>
    <row r="228" spans="1:2">
      <c r="A228" t="s">
        <v>1330</v>
      </c>
      <c r="B228" s="34">
        <v>95.2</v>
      </c>
    </row>
    <row r="229" spans="1:2">
      <c r="A229" t="s">
        <v>1331</v>
      </c>
      <c r="B229" s="34">
        <v>94.8</v>
      </c>
    </row>
    <row r="230" spans="1:2">
      <c r="A230" t="s">
        <v>1332</v>
      </c>
      <c r="B230" s="34">
        <v>94.7</v>
      </c>
    </row>
    <row r="231" spans="1:2">
      <c r="A231" t="s">
        <v>1333</v>
      </c>
      <c r="B231" s="34">
        <v>95.2</v>
      </c>
    </row>
    <row r="232" spans="1:2">
      <c r="A232" t="s">
        <v>1334</v>
      </c>
      <c r="B232" s="34">
        <v>95.5</v>
      </c>
    </row>
    <row r="233" spans="1:2">
      <c r="A233" t="s">
        <v>1335</v>
      </c>
      <c r="B233" s="34">
        <v>95.8</v>
      </c>
    </row>
    <row r="234" spans="1:2">
      <c r="A234" t="s">
        <v>1336</v>
      </c>
      <c r="B234" s="34">
        <v>96.3</v>
      </c>
    </row>
    <row r="235" spans="1:2">
      <c r="A235" t="s">
        <v>1337</v>
      </c>
      <c r="B235" s="34">
        <v>96.9</v>
      </c>
    </row>
    <row r="236" spans="1:2">
      <c r="A236" t="s">
        <v>1338</v>
      </c>
      <c r="B236" s="34">
        <v>97.4</v>
      </c>
    </row>
    <row r="237" spans="1:2">
      <c r="A237" t="s">
        <v>1339</v>
      </c>
      <c r="B237" s="34">
        <v>98</v>
      </c>
    </row>
    <row r="238" spans="1:2">
      <c r="A238" t="s">
        <v>1340</v>
      </c>
      <c r="B238" s="34">
        <v>98.4</v>
      </c>
    </row>
    <row r="239" spans="1:2">
      <c r="A239" t="s">
        <v>1341</v>
      </c>
      <c r="B239" s="34">
        <v>97.9</v>
      </c>
    </row>
    <row r="240" spans="1:2">
      <c r="A240" t="s">
        <v>1342</v>
      </c>
      <c r="B240" s="34">
        <v>98</v>
      </c>
    </row>
    <row r="241" spans="1:2">
      <c r="A241" t="s">
        <v>1343</v>
      </c>
      <c r="B241" s="34">
        <v>98.2</v>
      </c>
    </row>
    <row r="242" spans="1:2">
      <c r="A242" t="s">
        <v>1344</v>
      </c>
      <c r="B242" s="34">
        <v>97.8</v>
      </c>
    </row>
    <row r="243" spans="1:2">
      <c r="A243" t="s">
        <v>1345</v>
      </c>
      <c r="B243" s="34">
        <v>98</v>
      </c>
    </row>
    <row r="244" spans="1:2">
      <c r="A244" t="s">
        <v>1346</v>
      </c>
      <c r="B244" s="34">
        <v>97.7</v>
      </c>
    </row>
    <row r="245" spans="1:2">
      <c r="A245" t="s">
        <v>1347</v>
      </c>
      <c r="B245" s="34">
        <v>98.5</v>
      </c>
    </row>
    <row r="246" spans="1:2">
      <c r="A246" t="s">
        <v>1348</v>
      </c>
      <c r="B246" s="34">
        <v>98.1</v>
      </c>
    </row>
    <row r="247" spans="1:2">
      <c r="A247" t="s">
        <v>1349</v>
      </c>
      <c r="B247" s="34">
        <v>95.9</v>
      </c>
    </row>
    <row r="248" spans="1:2">
      <c r="A248" t="s">
        <v>1350</v>
      </c>
      <c r="B248" s="34">
        <v>77.7</v>
      </c>
    </row>
    <row r="249" spans="1:2">
      <c r="A249" t="s">
        <v>1351</v>
      </c>
      <c r="B249" s="34">
        <v>91.7</v>
      </c>
    </row>
    <row r="250" spans="1:2">
      <c r="A250" t="s">
        <v>1352</v>
      </c>
      <c r="B250" s="34">
        <v>93.4</v>
      </c>
    </row>
    <row r="251" spans="1:2">
      <c r="A251" t="s">
        <v>1353</v>
      </c>
      <c r="B251" s="34">
        <v>92.3</v>
      </c>
    </row>
    <row r="252" spans="1:2">
      <c r="A252" t="s">
        <v>1354</v>
      </c>
      <c r="B252" s="34">
        <v>98.3</v>
      </c>
    </row>
    <row r="253" spans="1:2">
      <c r="A253" t="s">
        <v>1355</v>
      </c>
      <c r="B253" s="34">
        <v>99</v>
      </c>
    </row>
    <row r="254" spans="1:2">
      <c r="A254" t="s">
        <v>1356</v>
      </c>
      <c r="B254" s="34">
        <v>100.1</v>
      </c>
    </row>
    <row r="255" spans="1:2">
      <c r="A255" t="s">
        <v>1357</v>
      </c>
      <c r="B255" s="34">
        <v>100.9</v>
      </c>
    </row>
    <row r="256" spans="1:2">
      <c r="A256" t="s">
        <v>1358</v>
      </c>
      <c r="B256" s="34">
        <v>100.7</v>
      </c>
    </row>
    <row r="257" spans="1:2">
      <c r="A257" t="s">
        <v>1359</v>
      </c>
      <c r="B257" s="34">
        <v>101</v>
      </c>
    </row>
    <row r="258" spans="1:2">
      <c r="A258" t="s">
        <v>1360</v>
      </c>
      <c r="B258" s="34">
        <v>100.7</v>
      </c>
    </row>
    <row r="259" spans="1:2">
      <c r="A259" t="s">
        <v>1361</v>
      </c>
      <c r="B259" s="34">
        <v>100.2</v>
      </c>
    </row>
    <row r="260" spans="1:2">
      <c r="A260" t="s">
        <v>1362</v>
      </c>
      <c r="B260" s="34">
        <v>100.1</v>
      </c>
    </row>
    <row r="261" spans="1:2">
      <c r="A261" t="s">
        <v>1363</v>
      </c>
      <c r="B261" s="34">
        <v>100</v>
      </c>
    </row>
    <row r="262" spans="1:2">
      <c r="A262" t="s">
        <v>1364</v>
      </c>
      <c r="B262" s="34">
        <v>99.6</v>
      </c>
    </row>
    <row r="263" spans="1:2">
      <c r="A263" t="s">
        <v>1365</v>
      </c>
      <c r="B263" s="34">
        <v>100.6</v>
      </c>
    </row>
    <row r="264" spans="1:2">
      <c r="A264" t="s">
        <v>1366</v>
      </c>
      <c r="B264" s="34">
        <v>100.8</v>
      </c>
    </row>
    <row r="265" spans="1:2">
      <c r="A265" t="s">
        <v>1367</v>
      </c>
      <c r="B265" s="34">
        <v>100.1</v>
      </c>
    </row>
    <row r="266" spans="1:2">
      <c r="A266" t="s">
        <v>1368</v>
      </c>
      <c r="B266" s="34">
        <v>100.1</v>
      </c>
    </row>
    <row r="267" spans="1:2">
      <c r="A267" t="s">
        <v>1369</v>
      </c>
      <c r="B267" s="34">
        <v>100.4</v>
      </c>
    </row>
    <row r="268" spans="1:2">
      <c r="A268" t="s">
        <v>1370</v>
      </c>
      <c r="B268" s="34">
        <v>100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68DD7-D725-4F04-8104-A5A63B62653D}">
  <dimension ref="A1:P94"/>
  <sheetViews>
    <sheetView workbookViewId="0">
      <pane xSplit="1" ySplit="6" topLeftCell="B46" activePane="bottomRight" state="frozen"/>
      <selection pane="topRight" activeCell="B1" sqref="B1"/>
      <selection pane="bottomLeft" activeCell="A7" sqref="A7"/>
      <selection pane="bottomRight" activeCell="L53" sqref="L53"/>
    </sheetView>
  </sheetViews>
  <sheetFormatPr defaultColWidth="9.140625" defaultRowHeight="15"/>
  <cols>
    <col min="1" max="1" width="9.140625" style="26"/>
    <col min="2" max="16" width="17.5703125" style="26" bestFit="1" customWidth="1"/>
    <col min="17" max="16384" width="9.140625" style="26"/>
  </cols>
  <sheetData>
    <row r="1" spans="1:16">
      <c r="B1" s="27" t="str">
        <f>GMW!$DB$2</f>
        <v>Desktop</v>
      </c>
      <c r="C1" s="26" t="str">
        <f>$B$1</f>
        <v>Desktop</v>
      </c>
      <c r="D1" s="26" t="str">
        <f>$B$1</f>
        <v>Desktop</v>
      </c>
      <c r="E1" s="26" t="str">
        <f>$B$1</f>
        <v>Desktop</v>
      </c>
      <c r="F1" s="26" t="str">
        <f>$B$1</f>
        <v>Desktop</v>
      </c>
      <c r="G1" s="26" t="str">
        <f>$B$1</f>
        <v>Desktop</v>
      </c>
      <c r="H1" s="26" t="str">
        <f t="shared" ref="H1:P1" si="0">$B$1</f>
        <v>Desktop</v>
      </c>
      <c r="I1" s="26" t="str">
        <f t="shared" si="0"/>
        <v>Desktop</v>
      </c>
      <c r="J1" s="26" t="str">
        <f t="shared" si="0"/>
        <v>Desktop</v>
      </c>
      <c r="K1" s="26" t="str">
        <f t="shared" si="0"/>
        <v>Desktop</v>
      </c>
      <c r="L1" s="26" t="str">
        <f t="shared" si="0"/>
        <v>Desktop</v>
      </c>
      <c r="M1" s="26" t="str">
        <f t="shared" si="0"/>
        <v>Desktop</v>
      </c>
      <c r="N1" s="26" t="str">
        <f t="shared" si="0"/>
        <v>Desktop</v>
      </c>
      <c r="O1" s="26" t="str">
        <f t="shared" si="0"/>
        <v>Desktop</v>
      </c>
      <c r="P1" s="26" t="str">
        <f t="shared" si="0"/>
        <v>Desktop</v>
      </c>
    </row>
    <row r="2" spans="1:16">
      <c r="B2" s="26" t="s">
        <v>307</v>
      </c>
      <c r="C2" s="26" t="s">
        <v>307</v>
      </c>
      <c r="D2" s="26" t="s">
        <v>307</v>
      </c>
      <c r="E2" s="26" t="s">
        <v>307</v>
      </c>
      <c r="F2" s="26" t="s">
        <v>307</v>
      </c>
      <c r="G2" s="26" t="s">
        <v>307</v>
      </c>
      <c r="H2" s="26" t="s">
        <v>307</v>
      </c>
      <c r="I2" s="26" t="s">
        <v>307</v>
      </c>
      <c r="J2" s="26" t="s">
        <v>307</v>
      </c>
      <c r="K2" s="26" t="s">
        <v>307</v>
      </c>
      <c r="L2" s="26" t="s">
        <v>307</v>
      </c>
      <c r="M2" s="26" t="s">
        <v>307</v>
      </c>
      <c r="N2" s="26" t="s">
        <v>307</v>
      </c>
      <c r="O2" s="26" t="s">
        <v>307</v>
      </c>
      <c r="P2" s="26" t="s">
        <v>307</v>
      </c>
    </row>
    <row r="3" spans="1:16">
      <c r="B3" s="26" t="s">
        <v>263</v>
      </c>
      <c r="C3" s="26" t="s">
        <v>299</v>
      </c>
      <c r="D3" s="26" t="s">
        <v>289</v>
      </c>
      <c r="E3" s="26" t="s">
        <v>245</v>
      </c>
      <c r="F3" s="26" t="s">
        <v>250</v>
      </c>
      <c r="G3" s="27" t="s">
        <v>236</v>
      </c>
      <c r="H3" s="27" t="s">
        <v>304</v>
      </c>
      <c r="I3" s="27" t="s">
        <v>282</v>
      </c>
      <c r="J3" s="27" t="s">
        <v>295</v>
      </c>
      <c r="K3" s="27" t="s">
        <v>254</v>
      </c>
      <c r="L3" s="27" t="s">
        <v>286</v>
      </c>
      <c r="M3" s="27" t="s">
        <v>278</v>
      </c>
      <c r="N3" s="27" t="s">
        <v>306</v>
      </c>
      <c r="O3" s="27" t="s">
        <v>267</v>
      </c>
      <c r="P3" s="27" t="s">
        <v>259</v>
      </c>
    </row>
    <row r="4" spans="1:16">
      <c r="B4" s="26" t="s">
        <v>235</v>
      </c>
      <c r="C4" s="26" t="s">
        <v>235</v>
      </c>
      <c r="D4" s="26" t="s">
        <v>235</v>
      </c>
      <c r="E4" s="26" t="s">
        <v>235</v>
      </c>
      <c r="F4" s="26" t="s">
        <v>235</v>
      </c>
      <c r="G4" s="26" t="s">
        <v>235</v>
      </c>
      <c r="H4" s="26" t="s">
        <v>235</v>
      </c>
      <c r="I4" s="26" t="s">
        <v>235</v>
      </c>
      <c r="J4" s="26" t="s">
        <v>235</v>
      </c>
      <c r="K4" s="26" t="s">
        <v>235</v>
      </c>
      <c r="L4" s="26" t="s">
        <v>235</v>
      </c>
      <c r="M4" s="26" t="s">
        <v>235</v>
      </c>
      <c r="N4" s="26" t="s">
        <v>235</v>
      </c>
      <c r="O4" s="26" t="s">
        <v>235</v>
      </c>
      <c r="P4" s="26" t="s">
        <v>235</v>
      </c>
    </row>
    <row r="5" spans="1:16">
      <c r="B5" s="26" t="s">
        <v>308</v>
      </c>
      <c r="C5" s="26" t="s">
        <v>308</v>
      </c>
      <c r="D5" s="26" t="s">
        <v>308</v>
      </c>
      <c r="E5" s="26" t="s">
        <v>308</v>
      </c>
      <c r="F5" s="26" t="s">
        <v>308</v>
      </c>
      <c r="G5" s="26" t="s">
        <v>308</v>
      </c>
      <c r="H5" s="26" t="s">
        <v>308</v>
      </c>
      <c r="I5" s="26" t="s">
        <v>308</v>
      </c>
      <c r="J5" s="26" t="s">
        <v>308</v>
      </c>
      <c r="K5" s="26" t="s">
        <v>308</v>
      </c>
      <c r="L5" s="26" t="s">
        <v>308</v>
      </c>
      <c r="M5" s="26" t="s">
        <v>308</v>
      </c>
      <c r="N5" s="26" t="s">
        <v>308</v>
      </c>
      <c r="O5" s="26" t="s">
        <v>308</v>
      </c>
      <c r="P5" s="26" t="s">
        <v>308</v>
      </c>
    </row>
    <row r="6" spans="1:16">
      <c r="A6" s="26">
        <f>A94+5</f>
        <v>2065</v>
      </c>
      <c r="B6" s="28" t="str" cm="1">
        <f t="array" ref="B6">_xlfn.CONCAT(INDEX(GMW!$A$2:$DB$60,MATCH(1,(GMW!$DA$2:$DA$60=B$3)*(GMW!$DB$2:$DB$60=B$1),0),$A6-1966),"0",(INDEX(GMW!$A$2:$DB$60,MATCH(1,(GMW!$DA$2:$DA$60=B$3)*(GMW!$DB$2:$DB$60=B$1),0),$A6-1965)))</f>
        <v>202503</v>
      </c>
      <c r="C6" s="28" t="str" cm="1">
        <f t="array" ref="C6">_xlfn.CONCAT(INDEX(GMW!$A$2:$DB$60,MATCH(1,(GMW!$DA$2:$DA$60=C$3)*(GMW!$DB$2:$DB$60=C$1),0),$A6-1966),"0",(INDEX(GMW!$A$2:$DB$60,MATCH(1,(GMW!$DA$2:$DA$60=C$3)*(GMW!$DB$2:$DB$60=C$1),0),$A6-1965)))</f>
        <v>202503</v>
      </c>
      <c r="D6" s="28" t="str" cm="1">
        <f t="array" ref="D6">_xlfn.CONCAT(INDEX(GMW!$A$2:$DB$60,MATCH(1,(GMW!$DA$2:$DA$60=D$3)*(GMW!$DB$2:$DB$60=D$1),0),$A6-1966),"0",(INDEX(GMW!$A$2:$DB$60,MATCH(1,(GMW!$DA$2:$DA$60=D$3)*(GMW!$DB$2:$DB$60=D$1),0),$A6-1965)))</f>
        <v>202402</v>
      </c>
      <c r="E6" s="28" t="str" cm="1">
        <f t="array" ref="E6">_xlfn.CONCAT(INDEX(GMW!$A$2:$DB$60,MATCH(1,(GMW!$DA$2:$DA$60=E$3)*(GMW!$DB$2:$DB$60=E$1),0),$A6-1966),"0",(INDEX(GMW!$A$2:$DB$60,MATCH(1,(GMW!$DA$2:$DA$60=E$3)*(GMW!$DB$2:$DB$60=E$1),0),$A6-1965)))</f>
        <v>202404</v>
      </c>
      <c r="F6" s="28" t="str" cm="1">
        <f t="array" ref="F6">_xlfn.CONCAT(INDEX(GMW!$A$2:$DB$60,MATCH(1,(GMW!$DA$2:$DA$60=F$3)*(GMW!$DB$2:$DB$60=F$1),0),$A6-1966),"0",(INDEX(GMW!$A$2:$DB$60,MATCH(1,(GMW!$DA$2:$DA$60=F$3)*(GMW!$DB$2:$DB$60=F$1),0),$A6-1965)))</f>
        <v>202404</v>
      </c>
      <c r="G6" s="28" t="str" cm="1">
        <f t="array" ref="G6">_xlfn.CONCAT(INDEX(GMW!$A$2:$DB$60,MATCH(1,(GMW!$DA$2:$DA$60=G$3)*(GMW!$DB$2:$DB$60=G$1),0),$A6-1966),"0",(INDEX(GMW!$A$2:$DB$60,MATCH(1,(GMW!$DA$2:$DA$60=G$3)*(GMW!$DB$2:$DB$60=G$1),0),$A6-1965)))</f>
        <v>202503</v>
      </c>
      <c r="H6" s="28" t="str" cm="1">
        <f t="array" ref="H6">_xlfn.CONCAT(INDEX(GMW!$A$2:$DB$60,MATCH(1,(GMW!$DA$2:$DA$60=H$3)*(GMW!$DB$2:$DB$60=H$1),0),$A6-1966),"0",(INDEX(GMW!$A$2:$DB$60,MATCH(1,(GMW!$DA$2:$DA$60=H$3)*(GMW!$DB$2:$DB$60=H$1),0),$A6-1965)))</f>
        <v>201004</v>
      </c>
      <c r="I6" s="28" t="str" cm="1">
        <f t="array" ref="I6">_xlfn.CONCAT(INDEX(GMW!$A$2:$DB$60,MATCH(1,(GMW!$DA$2:$DA$60=I$3)*(GMW!$DB$2:$DB$60=I$1),0),$A6-1966),"0",(INDEX(GMW!$A$2:$DB$60,MATCH(1,(GMW!$DA$2:$DA$60=I$3)*(GMW!$DB$2:$DB$60=I$1),0),$A6-1965)))</f>
        <v>202402</v>
      </c>
      <c r="J6" s="28" t="str" cm="1">
        <f t="array" ref="J6">_xlfn.CONCAT(INDEX(GMW!$A$2:$DB$60,MATCH(1,(GMW!$DA$2:$DA$60=J$3)*(GMW!$DB$2:$DB$60=J$1),0),$A6-1966),"0",(INDEX(GMW!$A$2:$DB$60,MATCH(1,(GMW!$DA$2:$DA$60=J$3)*(GMW!$DB$2:$DB$60=J$1),0),$A6-1965)))</f>
        <v>202402</v>
      </c>
      <c r="K6" s="28" t="str" cm="1">
        <f t="array" ref="K6">_xlfn.CONCAT(INDEX(GMW!$A$2:$DB$60,MATCH(1,(GMW!$DA$2:$DA$60=K$3)*(GMW!$DB$2:$DB$60=K$1),0),$A6-1966),"0",(INDEX(GMW!$A$2:$DB$60,MATCH(1,(GMW!$DA$2:$DA$60=K$3)*(GMW!$DB$2:$DB$60=K$1),0),$A6-1965)))</f>
        <v>202503</v>
      </c>
      <c r="L6" s="28" t="str" cm="1">
        <f t="array" ref="L6">_xlfn.CONCAT(INDEX(GMW!$A$2:$DB$60,MATCH(1,(GMW!$DA$2:$DA$60=L$3)*(GMW!$DB$2:$DB$60=L$1),0),$A6-1966),"0",(INDEX(GMW!$A$2:$DB$60,MATCH(1,(GMW!$DA$2:$DA$60=L$3)*(GMW!$DB$2:$DB$60=L$1),0),$A6-1965)))</f>
        <v>202502</v>
      </c>
      <c r="M6" s="28" t="str" cm="1">
        <f t="array" ref="M6">_xlfn.CONCAT(INDEX(GMW!$A$2:$DB$60,MATCH(1,(GMW!$DA$2:$DA$60=M$3)*(GMW!$DB$2:$DB$60=M$1),0),$A6-1966),"0",(INDEX(GMW!$A$2:$DB$60,MATCH(1,(GMW!$DA$2:$DA$60=M$3)*(GMW!$DB$2:$DB$60=M$1),0),$A6-1965)))</f>
        <v>202402</v>
      </c>
      <c r="N6" s="28" t="str" cm="1">
        <f t="array" ref="N6">_xlfn.CONCAT(INDEX(GMW!$A$2:$DB$60,MATCH(1,(GMW!$DA$2:$DA$60=N$3)*(GMW!$DB$2:$DB$60=N$1),0),$A6-1966),"0",(INDEX(GMW!$A$2:$DB$60,MATCH(1,(GMW!$DA$2:$DA$60=N$3)*(GMW!$DB$2:$DB$60=N$1),0),$A6-1965)))</f>
        <v>202504</v>
      </c>
      <c r="O6" s="28" t="str" cm="1">
        <f t="array" ref="O6">_xlfn.CONCAT(INDEX(GMW!$A$2:$DB$60,MATCH(1,(GMW!$DA$2:$DA$60=O$3)*(GMW!$DB$2:$DB$60=O$1),0),$A6-1966),"0",(INDEX(GMW!$A$2:$DB$60,MATCH(1,(GMW!$DA$2:$DA$60=O$3)*(GMW!$DB$2:$DB$60=O$1),0),$A6-1965)))</f>
        <v>202504</v>
      </c>
      <c r="P6" s="28" t="str" cm="1">
        <f t="array" ref="P6">_xlfn.CONCAT(INDEX(GMW!$A$2:$DB$60,MATCH(1,(GMW!$DA$2:$DA$60=P$3)*(GMW!$DB$2:$DB$60=P$1),0),$A6-1966),"0",(INDEX(GMW!$A$2:$DB$60,MATCH(1,(GMW!$DA$2:$DA$60=P$3)*(GMW!$DB$2:$DB$60=P$1),0),$A6-1965)))</f>
        <v>202503</v>
      </c>
    </row>
    <row r="7" spans="1:16">
      <c r="A7" s="26">
        <v>1973</v>
      </c>
      <c r="B7" s="26" cm="1">
        <f t="array" ref="B7">INDEX(GMW!$A$2:$DB$60,MATCH(1,(GMW!$DA$2:$DA$60=B$3)*(GMW!$DB$2:$DB$60=B$1),0),$A7-1966)</f>
        <v>1063550</v>
      </c>
      <c r="C7" s="26" cm="1">
        <f t="array" ref="C7">INDEX(GMW!$A$2:$DB$60,MATCH(1,(GMW!$DA$2:$DA$60=C$3)*(GMW!$DB$2:$DB$60=C$1),0),$A7-1966)</f>
        <v>3.65</v>
      </c>
      <c r="D7" s="26" cm="1">
        <f t="array" ref="D7">INDEX(GMW!$A$2:$DB$60,MATCH(1,(GMW!$DA$2:$DA$60=D$3)*(GMW!$DB$2:$DB$60=D$1),0),$A7-1966)</f>
        <v>1072428</v>
      </c>
      <c r="E7" s="26" cm="1">
        <f t="array" ref="E7">INDEX(GMW!$A$2:$DB$60,MATCH(1,(GMW!$DA$2:$DA$60=E$3)*(GMW!$DB$2:$DB$60=E$1),0),$A7-1966)</f>
        <v>1059904</v>
      </c>
      <c r="F7" s="26" cm="1">
        <f t="array" ref="F7">INDEX(GMW!$A$2:$DB$60,MATCH(1,(GMW!$DA$2:$DA$60=F$3)*(GMW!$DB$2:$DB$60=F$1),0),$A7-1966)</f>
        <v>24874.799999999999</v>
      </c>
      <c r="G7" s="26" cm="1">
        <f t="array" ref="G7">INDEX(GMW!$A$2:$DB$60,MATCH(1,(GMW!$DA$2:$DA$60=G$3)*(GMW!$DB$2:$DB$60=G$1),0),$A7-1966)</f>
        <v>1E-3</v>
      </c>
      <c r="H7" s="26" cm="1">
        <f t="array" ref="H7">INDEX(GMW!$A$2:$DB$60,MATCH(1,(GMW!$DA$2:$DA$60=H$3)*(GMW!$DB$2:$DB$60=H$1),0),$A7-1966)</f>
        <v>286021.40000000002</v>
      </c>
      <c r="I7" s="26" cm="1">
        <f t="array" ref="I7">INDEX(GMW!$A$2:$DB$60,MATCH(1,(GMW!$DA$2:$DA$60=I$3)*(GMW!$DB$2:$DB$60=I$1),0),$A7-1966)</f>
        <v>35322.81</v>
      </c>
      <c r="J7" s="26" cm="1">
        <f t="array" ref="J7">INDEX(GMW!$A$2:$DB$60,MATCH(1,(GMW!$DA$2:$DA$60=J$3)*(GMW!$DB$2:$DB$60=J$1),0),$A7-1966)</f>
        <v>-1.838973</v>
      </c>
      <c r="K7" s="26" cm="1">
        <f t="array" ref="K7">INDEX(GMW!$A$2:$DB$60,MATCH(1,(GMW!$DA$2:$DA$60=K$3)*(GMW!$DB$2:$DB$60=K$1),0),$A7-1966)</f>
        <v>24965</v>
      </c>
      <c r="L7" s="26" cm="1">
        <f t="array" ref="L7">INDEX(GMW!$A$2:$DB$60,MATCH(1,(GMW!$DA$2:$DA$60=L$3)*(GMW!$DB$2:$DB$60=L$1),0),$A7-1966)</f>
        <v>56217.56</v>
      </c>
      <c r="M7" s="26" cm="1">
        <f t="array" ref="M7">INDEX(GMW!$A$2:$DB$60,MATCH(1,(GMW!$DA$2:$DA$60=M$3)*(GMW!$DB$2:$DB$60=M$1),0),$A7-1966)</f>
        <v>32757.89</v>
      </c>
      <c r="N7" s="26" cm="1">
        <f t="array" ref="N7">INDEX(GMW!$A$2:$DB$60,MATCH(1,(GMW!$DA$2:$DA$60=N$3)*(GMW!$DB$2:$DB$60=N$1),0),$A7-1966)</f>
        <v>2740</v>
      </c>
      <c r="O7" s="26" cm="1">
        <f t="array" ref="O7">INDEX(GMW!$A$2:$DB$60,MATCH(1,(GMW!$DA$2:$DA$60=O$3)*(GMW!$DB$2:$DB$60=O$1),0),$A7-1966)</f>
        <v>31563.38</v>
      </c>
      <c r="P7" s="26" cm="1">
        <f t="array" ref="P7">INDEX(GMW!$A$2:$DB$60,MATCH(1,(GMW!$DA$2:$DA$60=P$3)*(GMW!$DB$2:$DB$60=P$1),0),$A7-1966)</f>
        <v>81809</v>
      </c>
    </row>
    <row r="8" spans="1:16">
      <c r="A8" s="26">
        <f>+A7+1</f>
        <v>1974</v>
      </c>
      <c r="B8" s="26" cm="1">
        <f t="array" ref="B8">INDEX(GMW!$A$2:$DB$60,MATCH(1,(GMW!$DA$2:$DA$60=B$3)*(GMW!$DB$2:$DB$60=B$1),0),$A8-1966)</f>
        <v>1036973</v>
      </c>
      <c r="C8" s="26" cm="1">
        <f t="array" ref="C8">INDEX(GMW!$A$2:$DB$60,MATCH(1,(GMW!$DA$2:$DA$60=C$3)*(GMW!$DB$2:$DB$60=C$1),0),$A8-1966)</f>
        <v>3.65</v>
      </c>
      <c r="D8" s="26" cm="1">
        <f t="array" ref="D8">INDEX(GMW!$A$2:$DB$60,MATCH(1,(GMW!$DA$2:$DA$60=D$3)*(GMW!$DB$2:$DB$60=D$1),0),$A8-1966)</f>
        <v>1085376</v>
      </c>
      <c r="E8" s="26" cm="1">
        <f t="array" ref="E8">INDEX(GMW!$A$2:$DB$60,MATCH(1,(GMW!$DA$2:$DA$60=E$3)*(GMW!$DB$2:$DB$60=E$1),0),$A8-1966)</f>
        <v>1089042</v>
      </c>
      <c r="F8" s="26" cm="1">
        <f t="array" ref="F8">INDEX(GMW!$A$2:$DB$60,MATCH(1,(GMW!$DA$2:$DA$60=F$3)*(GMW!$DB$2:$DB$60=F$1),0),$A8-1966)</f>
        <v>24938.639999999999</v>
      </c>
      <c r="G8" s="26" cm="1">
        <f t="array" ref="G8">INDEX(GMW!$A$2:$DB$60,MATCH(1,(GMW!$DA$2:$DA$60=G$3)*(GMW!$DB$2:$DB$60=G$1),0),$A8-1966)</f>
        <v>1E-3</v>
      </c>
      <c r="H8" s="26" cm="1">
        <f t="array" ref="H8">INDEX(GMW!$A$2:$DB$60,MATCH(1,(GMW!$DA$2:$DA$60=H$3)*(GMW!$DB$2:$DB$60=H$1),0),$A8-1966)</f>
        <v>288869</v>
      </c>
      <c r="I8" s="26" cm="1">
        <f t="array" ref="I8">INDEX(GMW!$A$2:$DB$60,MATCH(1,(GMW!$DA$2:$DA$60=I$3)*(GMW!$DB$2:$DB$60=I$1),0),$A8-1966)</f>
        <v>35332.71</v>
      </c>
      <c r="J8" s="26" cm="1">
        <f t="array" ref="J8">INDEX(GMW!$A$2:$DB$60,MATCH(1,(GMW!$DA$2:$DA$60=J$3)*(GMW!$DB$2:$DB$60=J$1),0),$A8-1966)</f>
        <v>-1.8429709999999999</v>
      </c>
      <c r="K8" s="26" cm="1">
        <f t="array" ref="K8">INDEX(GMW!$A$2:$DB$60,MATCH(1,(GMW!$DA$2:$DA$60=K$3)*(GMW!$DB$2:$DB$60=K$1),0),$A8-1966)</f>
        <v>25029.25</v>
      </c>
      <c r="L8" s="26" cm="1">
        <f t="array" ref="L8">INDEX(GMW!$A$2:$DB$60,MATCH(1,(GMW!$DA$2:$DA$60=L$3)*(GMW!$DB$2:$DB$60=L$1),0),$A8-1966)</f>
        <v>56233.31</v>
      </c>
      <c r="M8" s="26" cm="1">
        <f t="array" ref="M8">INDEX(GMW!$A$2:$DB$60,MATCH(1,(GMW!$DA$2:$DA$60=M$3)*(GMW!$DB$2:$DB$60=M$1),0),$A8-1966)</f>
        <v>32767.07</v>
      </c>
      <c r="N8" s="26" cm="1">
        <f t="array" ref="N8">INDEX(GMW!$A$2:$DB$60,MATCH(1,(GMW!$DA$2:$DA$60=N$3)*(GMW!$DB$2:$DB$60=N$1),0),$A8-1966)</f>
        <v>4310</v>
      </c>
      <c r="O8" s="26" cm="1">
        <f t="array" ref="O8">INDEX(GMW!$A$2:$DB$60,MATCH(1,(GMW!$DA$2:$DA$60=O$3)*(GMW!$DB$2:$DB$60=O$1),0),$A8-1966)</f>
        <v>37800.67</v>
      </c>
      <c r="P8" s="26" cm="1">
        <f t="array" ref="P8">INDEX(GMW!$A$2:$DB$60,MATCH(1,(GMW!$DA$2:$DA$60=P$3)*(GMW!$DB$2:$DB$60=P$1),0),$A8-1966)</f>
        <v>92686</v>
      </c>
    </row>
    <row r="9" spans="1:16">
      <c r="A9" s="26">
        <f t="shared" ref="A9:A47" si="1">+A8+1</f>
        <v>1975</v>
      </c>
      <c r="B9" s="26" cm="1">
        <f t="array" ref="B9">INDEX(GMW!$A$2:$DB$60,MATCH(1,(GMW!$DA$2:$DA$60=B$3)*(GMW!$DB$2:$DB$60=B$1),0),$A9-1966)</f>
        <v>1021204</v>
      </c>
      <c r="C9" s="26" cm="1">
        <f t="array" ref="C9">INDEX(GMW!$A$2:$DB$60,MATCH(1,(GMW!$DA$2:$DA$60=C$3)*(GMW!$DB$2:$DB$60=C$1),0),$A9-1966)</f>
        <v>4.5</v>
      </c>
      <c r="D9" s="26" cm="1">
        <f t="array" ref="D9">INDEX(GMW!$A$2:$DB$60,MATCH(1,(GMW!$DA$2:$DA$60=D$3)*(GMW!$DB$2:$DB$60=D$1),0),$A9-1966)</f>
        <v>1094012</v>
      </c>
      <c r="E9" s="26" cm="1">
        <f t="array" ref="E9">INDEX(GMW!$A$2:$DB$60,MATCH(1,(GMW!$DA$2:$DA$60=E$3)*(GMW!$DB$2:$DB$60=E$1),0),$A9-1966)</f>
        <v>1117422</v>
      </c>
      <c r="F9" s="26" cm="1">
        <f t="array" ref="F9">INDEX(GMW!$A$2:$DB$60,MATCH(1,(GMW!$DA$2:$DA$60=F$3)*(GMW!$DB$2:$DB$60=F$1),0),$A9-1966)</f>
        <v>24932.05</v>
      </c>
      <c r="G9" s="26" cm="1">
        <f t="array" ref="G9">INDEX(GMW!$A$2:$DB$60,MATCH(1,(GMW!$DA$2:$DA$60=G$3)*(GMW!$DB$2:$DB$60=G$1),0),$A9-1966)</f>
        <v>1E-3</v>
      </c>
      <c r="H9" s="26" cm="1">
        <f t="array" ref="H9">INDEX(GMW!$A$2:$DB$60,MATCH(1,(GMW!$DA$2:$DA$60=H$3)*(GMW!$DB$2:$DB$60=H$1),0),$A9-1966)</f>
        <v>291532.5</v>
      </c>
      <c r="I9" s="26" cm="1">
        <f t="array" ref="I9">INDEX(GMW!$A$2:$DB$60,MATCH(1,(GMW!$DA$2:$DA$60=I$3)*(GMW!$DB$2:$DB$60=I$1),0),$A9-1966)</f>
        <v>35327.33</v>
      </c>
      <c r="J9" s="26" cm="1">
        <f t="array" ref="J9">INDEX(GMW!$A$2:$DB$60,MATCH(1,(GMW!$DA$2:$DA$60=J$3)*(GMW!$DB$2:$DB$60=J$1),0),$A9-1966)</f>
        <v>-1.8469770000000001</v>
      </c>
      <c r="K9" s="26" cm="1">
        <f t="array" ref="K9">INDEX(GMW!$A$2:$DB$60,MATCH(1,(GMW!$DA$2:$DA$60=K$3)*(GMW!$DB$2:$DB$60=K$1),0),$A9-1966)</f>
        <v>24933.25</v>
      </c>
      <c r="L9" s="26" cm="1">
        <f t="array" ref="L9">INDEX(GMW!$A$2:$DB$60,MATCH(1,(GMW!$DA$2:$DA$60=L$3)*(GMW!$DB$2:$DB$60=L$1),0),$A9-1966)</f>
        <v>56224.75</v>
      </c>
      <c r="M9" s="26" cm="1">
        <f t="array" ref="M9">INDEX(GMW!$A$2:$DB$60,MATCH(1,(GMW!$DA$2:$DA$60=M$3)*(GMW!$DB$2:$DB$60=M$1),0),$A9-1966)</f>
        <v>32762.080000000002</v>
      </c>
      <c r="N9" s="26" cm="1">
        <f t="array" ref="N9">INDEX(GMW!$A$2:$DB$60,MATCH(1,(GMW!$DA$2:$DA$60=N$3)*(GMW!$DB$2:$DB$60=N$1),0),$A9-1966)</f>
        <v>7211</v>
      </c>
      <c r="O9" s="26" cm="1">
        <f t="array" ref="O9">INDEX(GMW!$A$2:$DB$60,MATCH(1,(GMW!$DA$2:$DA$60=O$3)*(GMW!$DB$2:$DB$60=O$1),0),$A9-1966)</f>
        <v>46452.6</v>
      </c>
      <c r="P9" s="26" cm="1">
        <f t="array" ref="P9">INDEX(GMW!$A$2:$DB$60,MATCH(1,(GMW!$DA$2:$DA$60=P$3)*(GMW!$DB$2:$DB$60=P$1),0),$A9-1966)</f>
        <v>115095</v>
      </c>
    </row>
    <row r="10" spans="1:16">
      <c r="A10" s="26">
        <f t="shared" si="1"/>
        <v>1976</v>
      </c>
      <c r="B10" s="26" cm="1">
        <f t="array" ref="B10">INDEX(GMW!$A$2:$DB$60,MATCH(1,(GMW!$DA$2:$DA$60=B$3)*(GMW!$DB$2:$DB$60=B$1),0),$A10-1966)</f>
        <v>1051973</v>
      </c>
      <c r="C10" s="26" cm="1">
        <f t="array" ref="C10">INDEX(GMW!$A$2:$DB$60,MATCH(1,(GMW!$DA$2:$DA$60=C$3)*(GMW!$DB$2:$DB$60=C$1),0),$A10-1966)</f>
        <v>5.4249999999999998</v>
      </c>
      <c r="D10" s="26" cm="1">
        <f t="array" ref="D10">INDEX(GMW!$A$2:$DB$60,MATCH(1,(GMW!$DA$2:$DA$60=D$3)*(GMW!$DB$2:$DB$60=D$1),0),$A10-1966)</f>
        <v>1099141</v>
      </c>
      <c r="E10" s="26" cm="1">
        <f t="array" ref="E10">INDEX(GMW!$A$2:$DB$60,MATCH(1,(GMW!$DA$2:$DA$60=E$3)*(GMW!$DB$2:$DB$60=E$1),0),$A10-1966)</f>
        <v>1143676</v>
      </c>
      <c r="F10" s="26" cm="1">
        <f t="array" ref="F10">INDEX(GMW!$A$2:$DB$60,MATCH(1,(GMW!$DA$2:$DA$60=F$3)*(GMW!$DB$2:$DB$60=F$1),0),$A10-1966)</f>
        <v>24850.21</v>
      </c>
      <c r="G10" s="26" cm="1">
        <f t="array" ref="G10">INDEX(GMW!$A$2:$DB$60,MATCH(1,(GMW!$DA$2:$DA$60=G$3)*(GMW!$DB$2:$DB$60=G$1),0),$A10-1966)</f>
        <v>1E-3</v>
      </c>
      <c r="H10" s="26" cm="1">
        <f t="array" ref="H10">INDEX(GMW!$A$2:$DB$60,MATCH(1,(GMW!$DA$2:$DA$60=H$3)*(GMW!$DB$2:$DB$60=H$1),0),$A10-1966)</f>
        <v>293842.90000000002</v>
      </c>
      <c r="I10" s="26" cm="1">
        <f t="array" ref="I10">INDEX(GMW!$A$2:$DB$60,MATCH(1,(GMW!$DA$2:$DA$60=I$3)*(GMW!$DB$2:$DB$60=I$1),0),$A10-1966)</f>
        <v>35352.080000000002</v>
      </c>
      <c r="J10" s="26" cm="1">
        <f t="array" ref="J10">INDEX(GMW!$A$2:$DB$60,MATCH(1,(GMW!$DA$2:$DA$60=J$3)*(GMW!$DB$2:$DB$60=J$1),0),$A10-1966)</f>
        <v>-1.850992</v>
      </c>
      <c r="K10" s="26" cm="1">
        <f t="array" ref="K10">INDEX(GMW!$A$2:$DB$60,MATCH(1,(GMW!$DA$2:$DA$60=K$3)*(GMW!$DB$2:$DB$60=K$1),0),$A10-1966)</f>
        <v>24786</v>
      </c>
      <c r="L10" s="26" cm="1">
        <f t="array" ref="L10">INDEX(GMW!$A$2:$DB$60,MATCH(1,(GMW!$DA$2:$DA$60=L$3)*(GMW!$DB$2:$DB$60=L$1),0),$A10-1966)</f>
        <v>56211.75</v>
      </c>
      <c r="M10" s="26" cm="1">
        <f t="array" ref="M10">INDEX(GMW!$A$2:$DB$60,MATCH(1,(GMW!$DA$2:$DA$60=M$3)*(GMW!$DB$2:$DB$60=M$1),0),$A10-1966)</f>
        <v>32795.71</v>
      </c>
      <c r="N10" s="26" cm="1">
        <f t="array" ref="N10">INDEX(GMW!$A$2:$DB$60,MATCH(1,(GMW!$DA$2:$DA$60=N$3)*(GMW!$DB$2:$DB$60=N$1),0),$A10-1966)</f>
        <v>7961</v>
      </c>
      <c r="O10" s="26" cm="1">
        <f t="array" ref="O10">INDEX(GMW!$A$2:$DB$60,MATCH(1,(GMW!$DA$2:$DA$60=O$3)*(GMW!$DB$2:$DB$60=O$1),0),$A10-1966)</f>
        <v>53375.519999999997</v>
      </c>
      <c r="P10" s="26" cm="1">
        <f t="array" ref="P10">INDEX(GMW!$A$2:$DB$60,MATCH(1,(GMW!$DA$2:$DA$60=P$3)*(GMW!$DB$2:$DB$60=P$1),0),$A10-1966)</f>
        <v>136995</v>
      </c>
    </row>
    <row r="11" spans="1:16">
      <c r="A11" s="26">
        <f t="shared" si="1"/>
        <v>1977</v>
      </c>
      <c r="B11" s="26" cm="1">
        <f t="array" ref="B11">INDEX(GMW!$A$2:$DB$60,MATCH(1,(GMW!$DA$2:$DA$60=B$3)*(GMW!$DB$2:$DB$60=B$1),0),$A11-1966)</f>
        <v>1077816</v>
      </c>
      <c r="C11" s="26" cm="1">
        <f t="array" ref="C11">INDEX(GMW!$A$2:$DB$60,MATCH(1,(GMW!$DA$2:$DA$60=C$3)*(GMW!$DB$2:$DB$60=C$1),0),$A11-1966)</f>
        <v>5.6</v>
      </c>
      <c r="D11" s="26" cm="1">
        <f t="array" ref="D11">INDEX(GMW!$A$2:$DB$60,MATCH(1,(GMW!$DA$2:$DA$60=D$3)*(GMW!$DB$2:$DB$60=D$1),0),$A11-1966)</f>
        <v>1102761</v>
      </c>
      <c r="E11" s="26" cm="1">
        <f t="array" ref="E11">INDEX(GMW!$A$2:$DB$60,MATCH(1,(GMW!$DA$2:$DA$60=E$3)*(GMW!$DB$2:$DB$60=E$1),0),$A11-1966)</f>
        <v>1167655</v>
      </c>
      <c r="F11" s="26" cm="1">
        <f t="array" ref="F11">INDEX(GMW!$A$2:$DB$60,MATCH(1,(GMW!$DA$2:$DA$60=F$3)*(GMW!$DB$2:$DB$60=F$1),0),$A11-1966)</f>
        <v>24800.74</v>
      </c>
      <c r="G11" s="26" cm="1">
        <f t="array" ref="G11">INDEX(GMW!$A$2:$DB$60,MATCH(1,(GMW!$DA$2:$DA$60=G$3)*(GMW!$DB$2:$DB$60=G$1),0),$A11-1966)</f>
        <v>1E-3</v>
      </c>
      <c r="H11" s="26" cm="1">
        <f t="array" ref="H11">INDEX(GMW!$A$2:$DB$60,MATCH(1,(GMW!$DA$2:$DA$60=H$3)*(GMW!$DB$2:$DB$60=H$1),0),$A11-1966)</f>
        <v>295875.20000000001</v>
      </c>
      <c r="I11" s="26" cm="1">
        <f t="array" ref="I11">INDEX(GMW!$A$2:$DB$60,MATCH(1,(GMW!$DA$2:$DA$60=I$3)*(GMW!$DB$2:$DB$60=I$1),0),$A11-1966)</f>
        <v>35501.050000000003</v>
      </c>
      <c r="J11" s="26" cm="1">
        <f t="array" ref="J11">INDEX(GMW!$A$2:$DB$60,MATCH(1,(GMW!$DA$2:$DA$60=J$3)*(GMW!$DB$2:$DB$60=J$1),0),$A11-1966)</f>
        <v>-1.8550150000000001</v>
      </c>
      <c r="K11" s="26" cm="1">
        <f t="array" ref="K11">INDEX(GMW!$A$2:$DB$60,MATCH(1,(GMW!$DA$2:$DA$60=K$3)*(GMW!$DB$2:$DB$60=K$1),0),$A11-1966)</f>
        <v>24809</v>
      </c>
      <c r="L11" s="26" cm="1">
        <f t="array" ref="L11">INDEX(GMW!$A$2:$DB$60,MATCH(1,(GMW!$DA$2:$DA$60=L$3)*(GMW!$DB$2:$DB$60=L$1),0),$A11-1966)</f>
        <v>56189.38</v>
      </c>
      <c r="M11" s="26" cm="1">
        <f t="array" ref="M11">INDEX(GMW!$A$2:$DB$60,MATCH(1,(GMW!$DA$2:$DA$60=M$3)*(GMW!$DB$2:$DB$60=M$1),0),$A11-1966)</f>
        <v>32987.17</v>
      </c>
      <c r="N11" s="26" cm="1">
        <f t="array" ref="N11">INDEX(GMW!$A$2:$DB$60,MATCH(1,(GMW!$DA$2:$DA$60=N$3)*(GMW!$DB$2:$DB$60=N$1),0),$A11-1966)</f>
        <v>5836</v>
      </c>
      <c r="O11" s="26" cm="1">
        <f t="array" ref="O11">INDEX(GMW!$A$2:$DB$60,MATCH(1,(GMW!$DA$2:$DA$60=O$3)*(GMW!$DB$2:$DB$60=O$1),0),$A11-1966)</f>
        <v>58825.45</v>
      </c>
      <c r="P11" s="26" cm="1">
        <f t="array" ref="P11">INDEX(GMW!$A$2:$DB$60,MATCH(1,(GMW!$DA$2:$DA$60=P$3)*(GMW!$DB$2:$DB$60=P$1),0),$A11-1966)</f>
        <v>159775</v>
      </c>
    </row>
    <row r="12" spans="1:16">
      <c r="A12" s="26">
        <f t="shared" si="1"/>
        <v>1978</v>
      </c>
      <c r="B12" s="26" cm="1">
        <f t="array" ref="B12">INDEX(GMW!$A$2:$DB$60,MATCH(1,(GMW!$DA$2:$DA$60=B$3)*(GMW!$DB$2:$DB$60=B$1),0),$A12-1966)</f>
        <v>1122953</v>
      </c>
      <c r="C12" s="26" cm="1">
        <f t="array" ref="C12">INDEX(GMW!$A$2:$DB$60,MATCH(1,(GMW!$DA$2:$DA$60=C$3)*(GMW!$DB$2:$DB$60=C$1),0),$A12-1966)</f>
        <v>5.5250000000000004</v>
      </c>
      <c r="D12" s="26" cm="1">
        <f t="array" ref="D12">INDEX(GMW!$A$2:$DB$60,MATCH(1,(GMW!$DA$2:$DA$60=D$3)*(GMW!$DB$2:$DB$60=D$1),0),$A12-1966)</f>
        <v>1111856</v>
      </c>
      <c r="E12" s="26" cm="1">
        <f t="array" ref="E12">INDEX(GMW!$A$2:$DB$60,MATCH(1,(GMW!$DA$2:$DA$60=E$3)*(GMW!$DB$2:$DB$60=E$1),0),$A12-1966)</f>
        <v>1197400</v>
      </c>
      <c r="F12" s="26" cm="1">
        <f t="array" ref="F12">INDEX(GMW!$A$2:$DB$60,MATCH(1,(GMW!$DA$2:$DA$60=F$3)*(GMW!$DB$2:$DB$60=F$1),0),$A12-1966)</f>
        <v>24703.73</v>
      </c>
      <c r="G12" s="26" cm="1">
        <f t="array" ref="G12">INDEX(GMW!$A$2:$DB$60,MATCH(1,(GMW!$DA$2:$DA$60=G$3)*(GMW!$DB$2:$DB$60=G$1),0),$A12-1966)</f>
        <v>1E-3</v>
      </c>
      <c r="H12" s="26" cm="1">
        <f t="array" ref="H12">INDEX(GMW!$A$2:$DB$60,MATCH(1,(GMW!$DA$2:$DA$60=H$3)*(GMW!$DB$2:$DB$60=H$1),0),$A12-1966)</f>
        <v>297883.09999999998</v>
      </c>
      <c r="I12" s="26" cm="1">
        <f t="array" ref="I12">INDEX(GMW!$A$2:$DB$60,MATCH(1,(GMW!$DA$2:$DA$60=I$3)*(GMW!$DB$2:$DB$60=I$1),0),$A12-1966)</f>
        <v>35670.839999999997</v>
      </c>
      <c r="J12" s="26" cm="1">
        <f t="array" ref="J12">INDEX(GMW!$A$2:$DB$60,MATCH(1,(GMW!$DA$2:$DA$60=J$3)*(GMW!$DB$2:$DB$60=J$1),0),$A12-1966)</f>
        <v>-1.8527149999999999</v>
      </c>
      <c r="K12" s="26" cm="1">
        <f t="array" ref="K12">INDEX(GMW!$A$2:$DB$60,MATCH(1,(GMW!$DA$2:$DA$60=K$3)*(GMW!$DB$2:$DB$60=K$1),0),$A12-1966)</f>
        <v>24939.75</v>
      </c>
      <c r="L12" s="26" cm="1">
        <f t="array" ref="L12">INDEX(GMW!$A$2:$DB$60,MATCH(1,(GMW!$DA$2:$DA$60=L$3)*(GMW!$DB$2:$DB$60=L$1),0),$A12-1966)</f>
        <v>56190.38</v>
      </c>
      <c r="M12" s="26" cm="1">
        <f t="array" ref="M12">INDEX(GMW!$A$2:$DB$60,MATCH(1,(GMW!$DA$2:$DA$60=M$3)*(GMW!$DB$2:$DB$60=M$1),0),$A12-1966)</f>
        <v>33191.79</v>
      </c>
      <c r="N12" s="26" cm="1">
        <f t="array" ref="N12">INDEX(GMW!$A$2:$DB$60,MATCH(1,(GMW!$DA$2:$DA$60=N$3)*(GMW!$DB$2:$DB$60=N$1),0),$A12-1966)</f>
        <v>8334</v>
      </c>
      <c r="O12" s="26" cm="1">
        <f t="array" ref="O12">INDEX(GMW!$A$2:$DB$60,MATCH(1,(GMW!$DA$2:$DA$60=O$3)*(GMW!$DB$2:$DB$60=O$1),0),$A12-1966)</f>
        <v>64877.93</v>
      </c>
      <c r="P12" s="26" cm="1">
        <f t="array" ref="P12">INDEX(GMW!$A$2:$DB$60,MATCH(1,(GMW!$DA$2:$DA$60=P$3)*(GMW!$DB$2:$DB$60=P$1),0),$A12-1966)</f>
        <v>186141</v>
      </c>
    </row>
    <row r="13" spans="1:16">
      <c r="A13" s="26">
        <f t="shared" si="1"/>
        <v>1979</v>
      </c>
      <c r="B13" s="26" cm="1">
        <f t="array" ref="B13">INDEX(GMW!$A$2:$DB$60,MATCH(1,(GMW!$DA$2:$DA$60=B$3)*(GMW!$DB$2:$DB$60=B$1),0),$A13-1966)</f>
        <v>1164860</v>
      </c>
      <c r="C13" s="26" cm="1">
        <f t="array" ref="C13">INDEX(GMW!$A$2:$DB$60,MATCH(1,(GMW!$DA$2:$DA$60=C$3)*(GMW!$DB$2:$DB$60=C$1),0),$A13-1966)</f>
        <v>5.4</v>
      </c>
      <c r="D13" s="26" cm="1">
        <f t="array" ref="D13">INDEX(GMW!$A$2:$DB$60,MATCH(1,(GMW!$DA$2:$DA$60=D$3)*(GMW!$DB$2:$DB$60=D$1),0),$A13-1966)</f>
        <v>1135923</v>
      </c>
      <c r="E13" s="26" cm="1">
        <f t="array" ref="E13">INDEX(GMW!$A$2:$DB$60,MATCH(1,(GMW!$DA$2:$DA$60=E$3)*(GMW!$DB$2:$DB$60=E$1),0),$A13-1966)</f>
        <v>1220468</v>
      </c>
      <c r="F13" s="26" cm="1">
        <f t="array" ref="F13">INDEX(GMW!$A$2:$DB$60,MATCH(1,(GMW!$DA$2:$DA$60=F$3)*(GMW!$DB$2:$DB$60=F$1),0),$A13-1966)</f>
        <v>24709.439999999999</v>
      </c>
      <c r="G13" s="26" cm="1">
        <f t="array" ref="G13">INDEX(GMW!$A$2:$DB$60,MATCH(1,(GMW!$DA$2:$DA$60=G$3)*(GMW!$DB$2:$DB$60=G$1),0),$A13-1966)</f>
        <v>1E-3</v>
      </c>
      <c r="H13" s="26" cm="1">
        <f t="array" ref="H13">INDEX(GMW!$A$2:$DB$60,MATCH(1,(GMW!$DA$2:$DA$60=H$3)*(GMW!$DB$2:$DB$60=H$1),0),$A13-1966)</f>
        <v>300120.3</v>
      </c>
      <c r="I13" s="26" cm="1">
        <f t="array" ref="I13">INDEX(GMW!$A$2:$DB$60,MATCH(1,(GMW!$DA$2:$DA$60=I$3)*(GMW!$DB$2:$DB$60=I$1),0),$A13-1966)</f>
        <v>35882.959999999999</v>
      </c>
      <c r="J13" s="26" cm="1">
        <f t="array" ref="J13">INDEX(GMW!$A$2:$DB$60,MATCH(1,(GMW!$DA$2:$DA$60=J$3)*(GMW!$DB$2:$DB$60=J$1),0),$A13-1966)</f>
        <v>-1.839917</v>
      </c>
      <c r="K13" s="26" cm="1">
        <f t="array" ref="K13">INDEX(GMW!$A$2:$DB$60,MATCH(1,(GMW!$DA$2:$DA$60=K$3)*(GMW!$DB$2:$DB$60=K$1),0),$A13-1966)</f>
        <v>25195.25</v>
      </c>
      <c r="L13" s="26" cm="1">
        <f t="array" ref="L13">INDEX(GMW!$A$2:$DB$60,MATCH(1,(GMW!$DA$2:$DA$60=L$3)*(GMW!$DB$2:$DB$60=L$1),0),$A13-1966)</f>
        <v>56253</v>
      </c>
      <c r="M13" s="26" cm="1">
        <f t="array" ref="M13">INDEX(GMW!$A$2:$DB$60,MATCH(1,(GMW!$DA$2:$DA$60=M$3)*(GMW!$DB$2:$DB$60=M$1),0),$A13-1966)</f>
        <v>33396.400000000001</v>
      </c>
      <c r="N13" s="26" cm="1">
        <f t="array" ref="N13">INDEX(GMW!$A$2:$DB$60,MATCH(1,(GMW!$DA$2:$DA$60=N$3)*(GMW!$DB$2:$DB$60=N$1),0),$A13-1966)</f>
        <v>9364</v>
      </c>
      <c r="O13" s="26" cm="1">
        <f t="array" ref="O13">INDEX(GMW!$A$2:$DB$60,MATCH(1,(GMW!$DA$2:$DA$60=O$3)*(GMW!$DB$2:$DB$60=O$1),0),$A13-1966)</f>
        <v>72490.47</v>
      </c>
      <c r="P13" s="26" cm="1">
        <f t="array" ref="P13">INDEX(GMW!$A$2:$DB$60,MATCH(1,(GMW!$DA$2:$DA$60=P$3)*(GMW!$DB$2:$DB$60=P$1),0),$A13-1966)</f>
        <v>220966</v>
      </c>
    </row>
    <row r="14" spans="1:16">
      <c r="A14" s="26">
        <f t="shared" si="1"/>
        <v>1980</v>
      </c>
      <c r="B14" s="26" cm="1">
        <f t="array" ref="B14">INDEX(GMW!$A$2:$DB$60,MATCH(1,(GMW!$DA$2:$DA$60=B$3)*(GMW!$DB$2:$DB$60=B$1),0),$A14-1966)</f>
        <v>1140989</v>
      </c>
      <c r="C14" s="26" cm="1">
        <f t="array" ref="C14">INDEX(GMW!$A$2:$DB$60,MATCH(1,(GMW!$DA$2:$DA$60=C$3)*(GMW!$DB$2:$DB$60=C$1),0),$A14-1966)</f>
        <v>6.8</v>
      </c>
      <c r="D14" s="26" cm="1">
        <f t="array" ref="D14">INDEX(GMW!$A$2:$DB$60,MATCH(1,(GMW!$DA$2:$DA$60=D$3)*(GMW!$DB$2:$DB$60=D$1),0),$A14-1966)</f>
        <v>1164663</v>
      </c>
      <c r="E14" s="26" cm="1">
        <f t="array" ref="E14">INDEX(GMW!$A$2:$DB$60,MATCH(1,(GMW!$DA$2:$DA$60=E$3)*(GMW!$DB$2:$DB$60=E$1),0),$A14-1966)</f>
        <v>1238528</v>
      </c>
      <c r="F14" s="26" cm="1">
        <f t="array" ref="F14">INDEX(GMW!$A$2:$DB$60,MATCH(1,(GMW!$DA$2:$DA$60=F$3)*(GMW!$DB$2:$DB$60=F$1),0),$A14-1966)</f>
        <v>24765.53</v>
      </c>
      <c r="G14" s="26" cm="1">
        <f t="array" ref="G14">INDEX(GMW!$A$2:$DB$60,MATCH(1,(GMW!$DA$2:$DA$60=G$3)*(GMW!$DB$2:$DB$60=G$1),0),$A14-1966)</f>
        <v>1E-3</v>
      </c>
      <c r="H14" s="26" cm="1">
        <f t="array" ref="H14">INDEX(GMW!$A$2:$DB$60,MATCH(1,(GMW!$DA$2:$DA$60=H$3)*(GMW!$DB$2:$DB$60=H$1),0),$A14-1966)</f>
        <v>306731.3</v>
      </c>
      <c r="I14" s="26" cm="1">
        <f t="array" ref="I14">INDEX(GMW!$A$2:$DB$60,MATCH(1,(GMW!$DA$2:$DA$60=I$3)*(GMW!$DB$2:$DB$60=I$1),0),$A14-1966)</f>
        <v>36102.32</v>
      </c>
      <c r="J14" s="26" cm="1">
        <f t="array" ref="J14">INDEX(GMW!$A$2:$DB$60,MATCH(1,(GMW!$DA$2:$DA$60=J$3)*(GMW!$DB$2:$DB$60=J$1),0),$A14-1966)</f>
        <v>-1.827207</v>
      </c>
      <c r="K14" s="26" cm="1">
        <f t="array" ref="K14">INDEX(GMW!$A$2:$DB$60,MATCH(1,(GMW!$DA$2:$DA$60=K$3)*(GMW!$DB$2:$DB$60=K$1),0),$A14-1966)</f>
        <v>25086.25</v>
      </c>
      <c r="L14" s="26" cm="1">
        <f t="array" ref="L14">INDEX(GMW!$A$2:$DB$60,MATCH(1,(GMW!$DA$2:$DA$60=L$3)*(GMW!$DB$2:$DB$60=L$1),0),$A14-1966)</f>
        <v>56329.63</v>
      </c>
      <c r="M14" s="26" cm="1">
        <f t="array" ref="M14">INDEX(GMW!$A$2:$DB$60,MATCH(1,(GMW!$DA$2:$DA$60=M$3)*(GMW!$DB$2:$DB$60=M$1),0),$A14-1966)</f>
        <v>33601.01</v>
      </c>
      <c r="N14" s="26" cm="1">
        <f t="array" ref="N14">INDEX(GMW!$A$2:$DB$60,MATCH(1,(GMW!$DA$2:$DA$60=N$3)*(GMW!$DB$2:$DB$60=N$1),0),$A14-1966)</f>
        <v>10041</v>
      </c>
      <c r="O14" s="26" cm="1">
        <f t="array" ref="O14">INDEX(GMW!$A$2:$DB$60,MATCH(1,(GMW!$DA$2:$DA$60=O$3)*(GMW!$DB$2:$DB$60=O$1),0),$A14-1966)</f>
        <v>84954.26</v>
      </c>
      <c r="P14" s="26" cm="1">
        <f t="array" ref="P14">INDEX(GMW!$A$2:$DB$60,MATCH(1,(GMW!$DA$2:$DA$60=P$3)*(GMW!$DB$2:$DB$60=P$1),0),$A14-1966)</f>
        <v>259956</v>
      </c>
    </row>
    <row r="15" spans="1:16">
      <c r="A15" s="26">
        <f t="shared" si="1"/>
        <v>1981</v>
      </c>
      <c r="B15" s="26" cm="1">
        <f t="array" ref="B15">INDEX(GMW!$A$2:$DB$60,MATCH(1,(GMW!$DA$2:$DA$60=B$3)*(GMW!$DB$2:$DB$60=B$1),0),$A15-1966)</f>
        <v>1134663</v>
      </c>
      <c r="C15" s="26" cm="1">
        <f t="array" ref="C15">INDEX(GMW!$A$2:$DB$60,MATCH(1,(GMW!$DA$2:$DA$60=C$3)*(GMW!$DB$2:$DB$60=C$1),0),$A15-1966)</f>
        <v>9.65</v>
      </c>
      <c r="D15" s="26" cm="1">
        <f t="array" ref="D15">INDEX(GMW!$A$2:$DB$60,MATCH(1,(GMW!$DA$2:$DA$60=D$3)*(GMW!$DB$2:$DB$60=D$1),0),$A15-1966)</f>
        <v>1182108</v>
      </c>
      <c r="E15" s="26" cm="1">
        <f t="array" ref="E15">INDEX(GMW!$A$2:$DB$60,MATCH(1,(GMW!$DA$2:$DA$60=E$3)*(GMW!$DB$2:$DB$60=E$1),0),$A15-1966)</f>
        <v>1247026</v>
      </c>
      <c r="F15" s="26" cm="1">
        <f t="array" ref="F15">INDEX(GMW!$A$2:$DB$60,MATCH(1,(GMW!$DA$2:$DA$60=F$3)*(GMW!$DB$2:$DB$60=F$1),0),$A15-1966)</f>
        <v>24659.65</v>
      </c>
      <c r="G15" s="26" cm="1">
        <f t="array" ref="G15">INDEX(GMW!$A$2:$DB$60,MATCH(1,(GMW!$DA$2:$DA$60=G$3)*(GMW!$DB$2:$DB$60=G$1),0),$A15-1966)</f>
        <v>1E-3</v>
      </c>
      <c r="H15" s="26" cm="1">
        <f t="array" ref="H15">INDEX(GMW!$A$2:$DB$60,MATCH(1,(GMW!$DA$2:$DA$60=H$3)*(GMW!$DB$2:$DB$60=H$1),0),$A15-1966)</f>
        <v>309382.7</v>
      </c>
      <c r="I15" s="26" cm="1">
        <f t="array" ref="I15">INDEX(GMW!$A$2:$DB$60,MATCH(1,(GMW!$DA$2:$DA$60=I$3)*(GMW!$DB$2:$DB$60=I$1),0),$A15-1966)</f>
        <v>36300.18</v>
      </c>
      <c r="J15" s="26" cm="1">
        <f t="array" ref="J15">INDEX(GMW!$A$2:$DB$60,MATCH(1,(GMW!$DA$2:$DA$60=J$3)*(GMW!$DB$2:$DB$60=J$1),0),$A15-1966)</f>
        <v>-1.8145849999999999</v>
      </c>
      <c r="K15" s="26" cm="1">
        <f t="array" ref="K15">INDEX(GMW!$A$2:$DB$60,MATCH(1,(GMW!$DA$2:$DA$60=K$3)*(GMW!$DB$2:$DB$60=K$1),0),$A15-1966)</f>
        <v>24430</v>
      </c>
      <c r="L15" s="26" cm="1">
        <f t="array" ref="L15">INDEX(GMW!$A$2:$DB$60,MATCH(1,(GMW!$DA$2:$DA$60=L$3)*(GMW!$DB$2:$DB$60=L$1),0),$A15-1966)</f>
        <v>56343.69</v>
      </c>
      <c r="M15" s="26" cm="1">
        <f t="array" ref="M15">INDEX(GMW!$A$2:$DB$60,MATCH(1,(GMW!$DA$2:$DA$60=M$3)*(GMW!$DB$2:$DB$60=M$1),0),$A15-1966)</f>
        <v>33792.79</v>
      </c>
      <c r="N15" s="26" cm="1">
        <f t="array" ref="N15">INDEX(GMW!$A$2:$DB$60,MATCH(1,(GMW!$DA$2:$DA$60=N$3)*(GMW!$DB$2:$DB$60=N$1),0),$A15-1966)</f>
        <v>8825</v>
      </c>
      <c r="O15" s="26" cm="1">
        <f t="array" ref="O15">INDEX(GMW!$A$2:$DB$60,MATCH(1,(GMW!$DA$2:$DA$60=O$3)*(GMW!$DB$2:$DB$60=O$1),0),$A15-1966)</f>
        <v>95587.21</v>
      </c>
      <c r="P15" s="26" cm="1">
        <f t="array" ref="P15">INDEX(GMW!$A$2:$DB$60,MATCH(1,(GMW!$DA$2:$DA$60=P$3)*(GMW!$DB$2:$DB$60=P$1),0),$A15-1966)</f>
        <v>290550</v>
      </c>
    </row>
    <row r="16" spans="1:16">
      <c r="A16" s="26">
        <f t="shared" si="1"/>
        <v>1982</v>
      </c>
      <c r="B16" s="26" cm="1">
        <f t="array" ref="B16">INDEX(GMW!$A$2:$DB$60,MATCH(1,(GMW!$DA$2:$DA$60=B$3)*(GMW!$DB$2:$DB$60=B$1),0),$A16-1966)</f>
        <v>1157191</v>
      </c>
      <c r="C16" s="26" cm="1">
        <f t="array" ref="C16">INDEX(GMW!$A$2:$DB$60,MATCH(1,(GMW!$DA$2:$DA$60=C$3)*(GMW!$DB$2:$DB$60=C$1),0),$A16-1966)</f>
        <v>10.725</v>
      </c>
      <c r="D16" s="26" cm="1">
        <f t="array" ref="D16">INDEX(GMW!$A$2:$DB$60,MATCH(1,(GMW!$DA$2:$DA$60=D$3)*(GMW!$DB$2:$DB$60=D$1),0),$A16-1966)</f>
        <v>1189451</v>
      </c>
      <c r="E16" s="26" cm="1">
        <f t="array" ref="E16">INDEX(GMW!$A$2:$DB$60,MATCH(1,(GMW!$DA$2:$DA$60=E$3)*(GMW!$DB$2:$DB$60=E$1),0),$A16-1966)</f>
        <v>1258257</v>
      </c>
      <c r="F16" s="26" cm="1">
        <f t="array" ref="F16">INDEX(GMW!$A$2:$DB$60,MATCH(1,(GMW!$DA$2:$DA$60=F$3)*(GMW!$DB$2:$DB$60=F$1),0),$A16-1966)</f>
        <v>24297.71</v>
      </c>
      <c r="G16" s="26" cm="1">
        <f t="array" ref="G16">INDEX(GMW!$A$2:$DB$60,MATCH(1,(GMW!$DA$2:$DA$60=G$3)*(GMW!$DB$2:$DB$60=G$1),0),$A16-1966)</f>
        <v>1E-3</v>
      </c>
      <c r="H16" s="26" cm="1">
        <f t="array" ref="H16">INDEX(GMW!$A$2:$DB$60,MATCH(1,(GMW!$DA$2:$DA$60=H$3)*(GMW!$DB$2:$DB$60=H$1),0),$A16-1966)</f>
        <v>311708.90000000002</v>
      </c>
      <c r="I16" s="26" cm="1">
        <f t="array" ref="I16">INDEX(GMW!$A$2:$DB$60,MATCH(1,(GMW!$DA$2:$DA$60=I$3)*(GMW!$DB$2:$DB$60=I$1),0),$A16-1966)</f>
        <v>36500.68</v>
      </c>
      <c r="J16" s="26" cm="1">
        <f t="array" ref="J16">INDEX(GMW!$A$2:$DB$60,MATCH(1,(GMW!$DA$2:$DA$60=J$3)*(GMW!$DB$2:$DB$60=J$1),0),$A16-1966)</f>
        <v>-1.8020510000000001</v>
      </c>
      <c r="K16" s="26" cm="1">
        <f t="array" ref="K16">INDEX(GMW!$A$2:$DB$60,MATCH(1,(GMW!$DA$2:$DA$60=K$3)*(GMW!$DB$2:$DB$60=K$1),0),$A16-1966)</f>
        <v>23950.75</v>
      </c>
      <c r="L16" s="26" cm="1">
        <f t="array" ref="L16">INDEX(GMW!$A$2:$DB$60,MATCH(1,(GMW!$DA$2:$DA$60=L$3)*(GMW!$DB$2:$DB$60=L$1),0),$A16-1966)</f>
        <v>56299.88</v>
      </c>
      <c r="M16" s="26" cm="1">
        <f t="array" ref="M16">INDEX(GMW!$A$2:$DB$60,MATCH(1,(GMW!$DA$2:$DA$60=M$3)*(GMW!$DB$2:$DB$60=M$1),0),$A16-1966)</f>
        <v>33953.4</v>
      </c>
      <c r="N16" s="26" cm="1">
        <f t="array" ref="N16">INDEX(GMW!$A$2:$DB$60,MATCH(1,(GMW!$DA$2:$DA$60=N$3)*(GMW!$DB$2:$DB$60=N$1),0),$A16-1966)</f>
        <v>7359</v>
      </c>
      <c r="O16" s="26" cm="1">
        <f t="array" ref="O16">INDEX(GMW!$A$2:$DB$60,MATCH(1,(GMW!$DA$2:$DA$60=O$3)*(GMW!$DB$2:$DB$60=O$1),0),$A16-1966)</f>
        <v>103194.7</v>
      </c>
      <c r="P16" s="26" cm="1">
        <f t="array" ref="P16">INDEX(GMW!$A$2:$DB$60,MATCH(1,(GMW!$DA$2:$DA$60=P$3)*(GMW!$DB$2:$DB$60=P$1),0),$A16-1966)</f>
        <v>320013</v>
      </c>
    </row>
    <row r="17" spans="1:16">
      <c r="A17" s="26">
        <f t="shared" si="1"/>
        <v>1983</v>
      </c>
      <c r="B17" s="26" cm="1">
        <f t="array" ref="B17">INDEX(GMW!$A$2:$DB$60,MATCH(1,(GMW!$DA$2:$DA$60=B$3)*(GMW!$DB$2:$DB$60=B$1),0),$A17-1966)</f>
        <v>1205632</v>
      </c>
      <c r="C17" s="26" cm="1">
        <f t="array" ref="C17">INDEX(GMW!$A$2:$DB$60,MATCH(1,(GMW!$DA$2:$DA$60=C$3)*(GMW!$DB$2:$DB$60=C$1),0),$A17-1966)</f>
        <v>11.475</v>
      </c>
      <c r="D17" s="26" cm="1">
        <f t="array" ref="D17">INDEX(GMW!$A$2:$DB$60,MATCH(1,(GMW!$DA$2:$DA$60=D$3)*(GMW!$DB$2:$DB$60=D$1),0),$A17-1966)</f>
        <v>1209350</v>
      </c>
      <c r="E17" s="26" cm="1">
        <f t="array" ref="E17">INDEX(GMW!$A$2:$DB$60,MATCH(1,(GMW!$DA$2:$DA$60=E$3)*(GMW!$DB$2:$DB$60=E$1),0),$A17-1966)</f>
        <v>1271612</v>
      </c>
      <c r="F17" s="26" cm="1">
        <f t="array" ref="F17">INDEX(GMW!$A$2:$DB$60,MATCH(1,(GMW!$DA$2:$DA$60=F$3)*(GMW!$DB$2:$DB$60=F$1),0),$A17-1966)</f>
        <v>24304.68</v>
      </c>
      <c r="G17" s="26" cm="1">
        <f t="array" ref="G17">INDEX(GMW!$A$2:$DB$60,MATCH(1,(GMW!$DA$2:$DA$60=G$3)*(GMW!$DB$2:$DB$60=G$1),0),$A17-1966)</f>
        <v>1E-3</v>
      </c>
      <c r="H17" s="26" cm="1">
        <f t="array" ref="H17">INDEX(GMW!$A$2:$DB$60,MATCH(1,(GMW!$DA$2:$DA$60=H$3)*(GMW!$DB$2:$DB$60=H$1),0),$A17-1966)</f>
        <v>314668.79999999999</v>
      </c>
      <c r="I17" s="26" cm="1">
        <f t="array" ref="I17">INDEX(GMW!$A$2:$DB$60,MATCH(1,(GMW!$DA$2:$DA$60=I$3)*(GMW!$DB$2:$DB$60=I$1),0),$A17-1966)</f>
        <v>36776.19</v>
      </c>
      <c r="J17" s="26" cm="1">
        <f t="array" ref="J17">INDEX(GMW!$A$2:$DB$60,MATCH(1,(GMW!$DA$2:$DA$60=J$3)*(GMW!$DB$2:$DB$60=J$1),0),$A17-1966)</f>
        <v>-1.7896030000000001</v>
      </c>
      <c r="K17" s="26" cm="1">
        <f t="array" ref="K17">INDEX(GMW!$A$2:$DB$60,MATCH(1,(GMW!$DA$2:$DA$60=K$3)*(GMW!$DB$2:$DB$60=K$1),0),$A17-1966)</f>
        <v>23775.25</v>
      </c>
      <c r="L17" s="26" cm="1">
        <f t="array" ref="L17">INDEX(GMW!$A$2:$DB$60,MATCH(1,(GMW!$DA$2:$DA$60=L$3)*(GMW!$DB$2:$DB$60=L$1),0),$A17-1966)</f>
        <v>56331.88</v>
      </c>
      <c r="M17" s="26" cm="1">
        <f t="array" ref="M17">INDEX(GMW!$A$2:$DB$60,MATCH(1,(GMW!$DA$2:$DA$60=M$3)*(GMW!$DB$2:$DB$60=M$1),0),$A17-1966)</f>
        <v>34192.699999999997</v>
      </c>
      <c r="N17" s="26" cm="1">
        <f t="array" ref="N17">INDEX(GMW!$A$2:$DB$60,MATCH(1,(GMW!$DA$2:$DA$60=N$3)*(GMW!$DB$2:$DB$60=N$1),0),$A17-1966)</f>
        <v>10582</v>
      </c>
      <c r="O17" s="26" cm="1">
        <f t="array" ref="O17">INDEX(GMW!$A$2:$DB$60,MATCH(1,(GMW!$DA$2:$DA$60=O$3)*(GMW!$DB$2:$DB$60=O$1),0),$A17-1966)</f>
        <v>105693.5</v>
      </c>
      <c r="P17" s="26" cm="1">
        <f t="array" ref="P17">INDEX(GMW!$A$2:$DB$60,MATCH(1,(GMW!$DA$2:$DA$60=P$3)*(GMW!$DB$2:$DB$60=P$1),0),$A17-1966)</f>
        <v>351900</v>
      </c>
    </row>
    <row r="18" spans="1:16">
      <c r="A18" s="26">
        <f t="shared" si="1"/>
        <v>1984</v>
      </c>
      <c r="B18" s="26" cm="1">
        <f t="array" ref="B18">INDEX(GMW!$A$2:$DB$60,MATCH(1,(GMW!$DA$2:$DA$60=B$3)*(GMW!$DB$2:$DB$60=B$1),0),$A18-1966)</f>
        <v>1232675</v>
      </c>
      <c r="C18" s="26" cm="1">
        <f t="array" ref="C18">INDEX(GMW!$A$2:$DB$60,MATCH(1,(GMW!$DA$2:$DA$60=C$3)*(GMW!$DB$2:$DB$60=C$1),0),$A18-1966)</f>
        <v>11.75</v>
      </c>
      <c r="D18" s="26" cm="1">
        <f t="array" ref="D18">INDEX(GMW!$A$2:$DB$60,MATCH(1,(GMW!$DA$2:$DA$60=D$3)*(GMW!$DB$2:$DB$60=D$1),0),$A18-1966)</f>
        <v>1251974</v>
      </c>
      <c r="E18" s="26" cm="1">
        <f t="array" ref="E18">INDEX(GMW!$A$2:$DB$60,MATCH(1,(GMW!$DA$2:$DA$60=E$3)*(GMW!$DB$2:$DB$60=E$1),0),$A18-1966)</f>
        <v>1295894</v>
      </c>
      <c r="F18" s="26" cm="1">
        <f t="array" ref="F18">INDEX(GMW!$A$2:$DB$60,MATCH(1,(GMW!$DA$2:$DA$60=F$3)*(GMW!$DB$2:$DB$60=F$1),0),$A18-1966)</f>
        <v>24910.799999999999</v>
      </c>
      <c r="G18" s="26" cm="1">
        <f t="array" ref="G18">INDEX(GMW!$A$2:$DB$60,MATCH(1,(GMW!$DA$2:$DA$60=G$3)*(GMW!$DB$2:$DB$60=G$1),0),$A18-1966)</f>
        <v>1E-3</v>
      </c>
      <c r="H18" s="26" cm="1">
        <f t="array" ref="H18">INDEX(GMW!$A$2:$DB$60,MATCH(1,(GMW!$DA$2:$DA$60=H$3)*(GMW!$DB$2:$DB$60=H$1),0),$A18-1966)</f>
        <v>318382.59999999998</v>
      </c>
      <c r="I18" s="26" cm="1">
        <f t="array" ref="I18">INDEX(GMW!$A$2:$DB$60,MATCH(1,(GMW!$DA$2:$DA$60=I$3)*(GMW!$DB$2:$DB$60=I$1),0),$A18-1966)</f>
        <v>37029.129999999997</v>
      </c>
      <c r="J18" s="26" cm="1">
        <f t="array" ref="J18">INDEX(GMW!$A$2:$DB$60,MATCH(1,(GMW!$DA$2:$DA$60=J$3)*(GMW!$DB$2:$DB$60=J$1),0),$A18-1966)</f>
        <v>-1.7772410000000001</v>
      </c>
      <c r="K18" s="26" cm="1">
        <f t="array" ref="K18">INDEX(GMW!$A$2:$DB$60,MATCH(1,(GMW!$DA$2:$DA$60=K$3)*(GMW!$DB$2:$DB$60=K$1),0),$A18-1966)</f>
        <v>24285</v>
      </c>
      <c r="L18" s="26" cm="1">
        <f t="array" ref="L18">INDEX(GMW!$A$2:$DB$60,MATCH(1,(GMW!$DA$2:$DA$60=L$3)*(GMW!$DB$2:$DB$60=L$1),0),$A18-1966)</f>
        <v>56430.38</v>
      </c>
      <c r="M18" s="26" cm="1">
        <f t="array" ref="M18">INDEX(GMW!$A$2:$DB$60,MATCH(1,(GMW!$DA$2:$DA$60=M$3)*(GMW!$DB$2:$DB$60=M$1),0),$A18-1966)</f>
        <v>34431.35</v>
      </c>
      <c r="N18" s="26" cm="1">
        <f t="array" ref="N18">INDEX(GMW!$A$2:$DB$60,MATCH(1,(GMW!$DA$2:$DA$60=N$3)*(GMW!$DB$2:$DB$60=N$1),0),$A18-1966)</f>
        <v>12423</v>
      </c>
      <c r="O18" s="26" cm="1">
        <f t="array" ref="O18">INDEX(GMW!$A$2:$DB$60,MATCH(1,(GMW!$DA$2:$DA$60=O$3)*(GMW!$DB$2:$DB$60=O$1),0),$A18-1966)</f>
        <v>95829.01</v>
      </c>
      <c r="P18" s="26" cm="1">
        <f t="array" ref="P18">INDEX(GMW!$A$2:$DB$60,MATCH(1,(GMW!$DA$2:$DA$60=P$3)*(GMW!$DB$2:$DB$60=P$1),0),$A18-1966)</f>
        <v>378608</v>
      </c>
    </row>
    <row r="19" spans="1:16">
      <c r="A19" s="26">
        <f t="shared" si="1"/>
        <v>1985</v>
      </c>
      <c r="B19" s="26" cm="1">
        <f t="array" ref="B19">INDEX(GMW!$A$2:$DB$60,MATCH(1,(GMW!$DA$2:$DA$60=B$3)*(GMW!$DB$2:$DB$60=B$1),0),$A19-1966)</f>
        <v>1283200</v>
      </c>
      <c r="C19" s="26" cm="1">
        <f t="array" ref="C19">INDEX(GMW!$A$2:$DB$60,MATCH(1,(GMW!$DA$2:$DA$60=C$3)*(GMW!$DB$2:$DB$60=C$1),0),$A19-1966)</f>
        <v>11.375</v>
      </c>
      <c r="D19" s="26" cm="1">
        <f t="array" ref="D19">INDEX(GMW!$A$2:$DB$60,MATCH(1,(GMW!$DA$2:$DA$60=D$3)*(GMW!$DB$2:$DB$60=D$1),0),$A19-1966)</f>
        <v>1287060</v>
      </c>
      <c r="E19" s="26" cm="1">
        <f t="array" ref="E19">INDEX(GMW!$A$2:$DB$60,MATCH(1,(GMW!$DA$2:$DA$60=E$3)*(GMW!$DB$2:$DB$60=E$1),0),$A19-1966)</f>
        <v>1321996</v>
      </c>
      <c r="F19" s="26" cm="1">
        <f t="array" ref="F19">INDEX(GMW!$A$2:$DB$60,MATCH(1,(GMW!$DA$2:$DA$60=F$3)*(GMW!$DB$2:$DB$60=F$1),0),$A19-1966)</f>
        <v>25107.87</v>
      </c>
      <c r="G19" s="26" cm="1">
        <f t="array" ref="G19">INDEX(GMW!$A$2:$DB$60,MATCH(1,(GMW!$DA$2:$DA$60=G$3)*(GMW!$DB$2:$DB$60=G$1),0),$A19-1966)</f>
        <v>1E-3</v>
      </c>
      <c r="H19" s="26" cm="1">
        <f t="array" ref="H19">INDEX(GMW!$A$2:$DB$60,MATCH(1,(GMW!$DA$2:$DA$60=H$3)*(GMW!$DB$2:$DB$60=H$1),0),$A19-1966)</f>
        <v>322872.09999999998</v>
      </c>
      <c r="I19" s="26" cm="1">
        <f t="array" ref="I19">INDEX(GMW!$A$2:$DB$60,MATCH(1,(GMW!$DA$2:$DA$60=I$3)*(GMW!$DB$2:$DB$60=I$1),0),$A19-1966)</f>
        <v>37116.959999999999</v>
      </c>
      <c r="J19" s="26" cm="1">
        <f t="array" ref="J19">INDEX(GMW!$A$2:$DB$60,MATCH(1,(GMW!$DA$2:$DA$60=J$3)*(GMW!$DB$2:$DB$60=J$1),0),$A19-1966)</f>
        <v>-1.764964</v>
      </c>
      <c r="K19" s="26" cm="1">
        <f t="array" ref="K19">INDEX(GMW!$A$2:$DB$60,MATCH(1,(GMW!$DA$2:$DA$60=K$3)*(GMW!$DB$2:$DB$60=K$1),0),$A19-1966)</f>
        <v>24592.5</v>
      </c>
      <c r="L19" s="26" cm="1">
        <f t="array" ref="L19">INDEX(GMW!$A$2:$DB$60,MATCH(1,(GMW!$DA$2:$DA$60=L$3)*(GMW!$DB$2:$DB$60=L$1),0),$A19-1966)</f>
        <v>56569.31</v>
      </c>
      <c r="M19" s="26" cm="1">
        <f t="array" ref="M19">INDEX(GMW!$A$2:$DB$60,MATCH(1,(GMW!$DA$2:$DA$60=M$3)*(GMW!$DB$2:$DB$60=M$1),0),$A19-1966)</f>
        <v>34601.24</v>
      </c>
      <c r="N19" s="26" cm="1">
        <f t="array" ref="N19">INDEX(GMW!$A$2:$DB$60,MATCH(1,(GMW!$DA$2:$DA$60=N$3)*(GMW!$DB$2:$DB$60=N$1),0),$A19-1966)</f>
        <v>10563</v>
      </c>
      <c r="O19" s="26" cm="1">
        <f t="array" ref="O19">INDEX(GMW!$A$2:$DB$60,MATCH(1,(GMW!$DA$2:$DA$60=O$3)*(GMW!$DB$2:$DB$60=O$1),0),$A19-1966)</f>
        <v>108612.9</v>
      </c>
      <c r="P19" s="26" cm="1">
        <f t="array" ref="P19">INDEX(GMW!$A$2:$DB$60,MATCH(1,(GMW!$DA$2:$DA$60=P$3)*(GMW!$DB$2:$DB$60=P$1),0),$A19-1966)</f>
        <v>415455</v>
      </c>
    </row>
    <row r="20" spans="1:16">
      <c r="A20" s="26">
        <f t="shared" si="1"/>
        <v>1986</v>
      </c>
      <c r="B20" s="26" cm="1">
        <f t="array" ref="B20">INDEX(GMW!$A$2:$DB$60,MATCH(1,(GMW!$DA$2:$DA$60=B$3)*(GMW!$DB$2:$DB$60=B$1),0),$A20-1966)</f>
        <v>1323173</v>
      </c>
      <c r="C20" s="26" cm="1">
        <f t="array" ref="C20">INDEX(GMW!$A$2:$DB$60,MATCH(1,(GMW!$DA$2:$DA$60=C$3)*(GMW!$DB$2:$DB$60=C$1),0),$A20-1966)</f>
        <v>11.324999999999999</v>
      </c>
      <c r="D20" s="26" cm="1">
        <f t="array" ref="D20">INDEX(GMW!$A$2:$DB$60,MATCH(1,(GMW!$DA$2:$DA$60=D$3)*(GMW!$DB$2:$DB$60=D$1),0),$A20-1966)</f>
        <v>1320242</v>
      </c>
      <c r="E20" s="26" cm="1">
        <f t="array" ref="E20">INDEX(GMW!$A$2:$DB$60,MATCH(1,(GMW!$DA$2:$DA$60=E$3)*(GMW!$DB$2:$DB$60=E$1),0),$A20-1966)</f>
        <v>1343092</v>
      </c>
      <c r="F20" s="26" cm="1">
        <f t="array" ref="F20">INDEX(GMW!$A$2:$DB$60,MATCH(1,(GMW!$DA$2:$DA$60=F$3)*(GMW!$DB$2:$DB$60=F$1),0),$A20-1966)</f>
        <v>25255.61</v>
      </c>
      <c r="G20" s="26" cm="1">
        <f t="array" ref="G20">INDEX(GMW!$A$2:$DB$60,MATCH(1,(GMW!$DA$2:$DA$60=G$3)*(GMW!$DB$2:$DB$60=G$1),0),$A20-1966)</f>
        <v>33.524140000000003</v>
      </c>
      <c r="H20" s="26" cm="1">
        <f t="array" ref="H20">INDEX(GMW!$A$2:$DB$60,MATCH(1,(GMW!$DA$2:$DA$60=H$3)*(GMW!$DB$2:$DB$60=H$1),0),$A20-1966)</f>
        <v>327826.40000000002</v>
      </c>
      <c r="I20" s="26" cm="1">
        <f t="array" ref="I20">INDEX(GMW!$A$2:$DB$60,MATCH(1,(GMW!$DA$2:$DA$60=I$3)*(GMW!$DB$2:$DB$60=I$1),0),$A20-1966)</f>
        <v>37205.480000000003</v>
      </c>
      <c r="J20" s="26" cm="1">
        <f t="array" ref="J20">INDEX(GMW!$A$2:$DB$60,MATCH(1,(GMW!$DA$2:$DA$60=J$3)*(GMW!$DB$2:$DB$60=J$1),0),$A20-1966)</f>
        <v>-1.7529060000000001</v>
      </c>
      <c r="K20" s="26" cm="1">
        <f t="array" ref="K20">INDEX(GMW!$A$2:$DB$60,MATCH(1,(GMW!$DA$2:$DA$60=K$3)*(GMW!$DB$2:$DB$60=K$1),0),$A20-1966)</f>
        <v>24746.25</v>
      </c>
      <c r="L20" s="26" cm="1">
        <f t="array" ref="L20">INDEX(GMW!$A$2:$DB$60,MATCH(1,(GMW!$DA$2:$DA$60=L$3)*(GMW!$DB$2:$DB$60=L$1),0),$A20-1966)</f>
        <v>56698.38</v>
      </c>
      <c r="M20" s="26" cm="1">
        <f t="array" ref="M20">INDEX(GMW!$A$2:$DB$60,MATCH(1,(GMW!$DA$2:$DA$60=M$3)*(GMW!$DB$2:$DB$60=M$1),0),$A20-1966)</f>
        <v>34744.76</v>
      </c>
      <c r="N20" s="26" cm="1">
        <f t="array" ref="N20">INDEX(GMW!$A$2:$DB$60,MATCH(1,(GMW!$DA$2:$DA$60=N$3)*(GMW!$DB$2:$DB$60=N$1),0),$A20-1966)</f>
        <v>8957</v>
      </c>
      <c r="O20" s="26" cm="1">
        <f t="array" ref="O20">INDEX(GMW!$A$2:$DB$60,MATCH(1,(GMW!$DA$2:$DA$60=O$3)*(GMW!$DB$2:$DB$60=O$1),0),$A20-1966)</f>
        <v>116453.6</v>
      </c>
      <c r="P20" s="26" cm="1">
        <f t="array" ref="P20">INDEX(GMW!$A$2:$DB$60,MATCH(1,(GMW!$DA$2:$DA$60=P$3)*(GMW!$DB$2:$DB$60=P$1),0),$A20-1966)</f>
        <v>447561</v>
      </c>
    </row>
    <row r="21" spans="1:16">
      <c r="A21" s="26">
        <f t="shared" si="1"/>
        <v>1987</v>
      </c>
      <c r="B21" s="26" cm="1">
        <f t="array" ref="B21">INDEX(GMW!$A$2:$DB$60,MATCH(1,(GMW!$DA$2:$DA$60=B$3)*(GMW!$DB$2:$DB$60=B$1),0),$A21-1966)</f>
        <v>1395353</v>
      </c>
      <c r="C21" s="26" cm="1">
        <f t="array" ref="C21">INDEX(GMW!$A$2:$DB$60,MATCH(1,(GMW!$DA$2:$DA$60=C$3)*(GMW!$DB$2:$DB$60=C$1),0),$A21-1966)</f>
        <v>10.425000000000001</v>
      </c>
      <c r="D21" s="26" cm="1">
        <f t="array" ref="D21">INDEX(GMW!$A$2:$DB$60,MATCH(1,(GMW!$DA$2:$DA$60=D$3)*(GMW!$DB$2:$DB$60=D$1),0),$A21-1966)</f>
        <v>1357335</v>
      </c>
      <c r="E21" s="26" cm="1">
        <f t="array" ref="E21">INDEX(GMW!$A$2:$DB$60,MATCH(1,(GMW!$DA$2:$DA$60=E$3)*(GMW!$DB$2:$DB$60=E$1),0),$A21-1966)</f>
        <v>1373292</v>
      </c>
      <c r="F21" s="26" cm="1">
        <f t="array" ref="F21">INDEX(GMW!$A$2:$DB$60,MATCH(1,(GMW!$DA$2:$DA$60=F$3)*(GMW!$DB$2:$DB$60=F$1),0),$A21-1966)</f>
        <v>25501.77</v>
      </c>
      <c r="G21" s="26" cm="1">
        <f t="array" ref="G21">INDEX(GMW!$A$2:$DB$60,MATCH(1,(GMW!$DA$2:$DA$60=G$3)*(GMW!$DB$2:$DB$60=G$1),0),$A21-1966)</f>
        <v>33.524140000000003</v>
      </c>
      <c r="H21" s="26" cm="1">
        <f t="array" ref="H21">INDEX(GMW!$A$2:$DB$60,MATCH(1,(GMW!$DA$2:$DA$60=H$3)*(GMW!$DB$2:$DB$60=H$1),0),$A21-1966)</f>
        <v>332272.40000000002</v>
      </c>
      <c r="I21" s="26" cm="1">
        <f t="array" ref="I21">INDEX(GMW!$A$2:$DB$60,MATCH(1,(GMW!$DA$2:$DA$60=I$3)*(GMW!$DB$2:$DB$60=I$1),0),$A21-1966)</f>
        <v>37265.83</v>
      </c>
      <c r="J21" s="26" cm="1">
        <f t="array" ref="J21">INDEX(GMW!$A$2:$DB$60,MATCH(1,(GMW!$DA$2:$DA$60=J$3)*(GMW!$DB$2:$DB$60=J$1),0),$A21-1966)</f>
        <v>-1.7414620000000001</v>
      </c>
      <c r="K21" s="26" cm="1">
        <f t="array" ref="K21">INDEX(GMW!$A$2:$DB$60,MATCH(1,(GMW!$DA$2:$DA$60=K$3)*(GMW!$DB$2:$DB$60=K$1),0),$A21-1966)</f>
        <v>25238.75</v>
      </c>
      <c r="L21" s="26" cm="1">
        <f t="array" ref="L21">INDEX(GMW!$A$2:$DB$60,MATCH(1,(GMW!$DA$2:$DA$60=L$3)*(GMW!$DB$2:$DB$60=L$1),0),$A21-1966)</f>
        <v>56817.5</v>
      </c>
      <c r="M21" s="26" cm="1">
        <f t="array" ref="M21">INDEX(GMW!$A$2:$DB$60,MATCH(1,(GMW!$DA$2:$DA$60=M$3)*(GMW!$DB$2:$DB$60=M$1),0),$A21-1966)</f>
        <v>34886.879999999997</v>
      </c>
      <c r="N21" s="26" cm="1">
        <f t="array" ref="N21">INDEX(GMW!$A$2:$DB$60,MATCH(1,(GMW!$DA$2:$DA$60=N$3)*(GMW!$DB$2:$DB$60=N$1),0),$A21-1966)</f>
        <v>6930</v>
      </c>
      <c r="O21" s="26" cm="1">
        <f t="array" ref="O21">INDEX(GMW!$A$2:$DB$60,MATCH(1,(GMW!$DA$2:$DA$60=O$3)*(GMW!$DB$2:$DB$60=O$1),0),$A21-1966)</f>
        <v>115805.7</v>
      </c>
      <c r="P21" s="26" cm="1">
        <f t="array" ref="P21">INDEX(GMW!$A$2:$DB$60,MATCH(1,(GMW!$DA$2:$DA$60=P$3)*(GMW!$DB$2:$DB$60=P$1),0),$A21-1966)</f>
        <v>498040</v>
      </c>
    </row>
    <row r="22" spans="1:16">
      <c r="A22" s="26">
        <f t="shared" si="1"/>
        <v>1988</v>
      </c>
      <c r="B22" s="26" cm="1">
        <f t="array" ref="B22">INDEX(GMW!$A$2:$DB$60,MATCH(1,(GMW!$DA$2:$DA$60=B$3)*(GMW!$DB$2:$DB$60=B$1),0),$A22-1966)</f>
        <v>1471002</v>
      </c>
      <c r="C22" s="26" cm="1">
        <f t="array" ref="C22">INDEX(GMW!$A$2:$DB$60,MATCH(1,(GMW!$DA$2:$DA$60=C$3)*(GMW!$DB$2:$DB$60=C$1),0),$A22-1966)</f>
        <v>8.5749999999999993</v>
      </c>
      <c r="D22" s="26" cm="1">
        <f t="array" ref="D22">INDEX(GMW!$A$2:$DB$60,MATCH(1,(GMW!$DA$2:$DA$60=D$3)*(GMW!$DB$2:$DB$60=D$1),0),$A22-1966)</f>
        <v>1405883</v>
      </c>
      <c r="E22" s="26" cm="1">
        <f t="array" ref="E22">INDEX(GMW!$A$2:$DB$60,MATCH(1,(GMW!$DA$2:$DA$60=E$3)*(GMW!$DB$2:$DB$60=E$1),0),$A22-1966)</f>
        <v>1416696</v>
      </c>
      <c r="F22" s="26" cm="1">
        <f t="array" ref="F22">INDEX(GMW!$A$2:$DB$60,MATCH(1,(GMW!$DA$2:$DA$60=F$3)*(GMW!$DB$2:$DB$60=F$1),0),$A22-1966)</f>
        <v>25806.3</v>
      </c>
      <c r="G22" s="26" cm="1">
        <f t="array" ref="G22">INDEX(GMW!$A$2:$DB$60,MATCH(1,(GMW!$DA$2:$DA$60=G$3)*(GMW!$DB$2:$DB$60=G$1),0),$A22-1966)</f>
        <v>33.690100000000001</v>
      </c>
      <c r="H22" s="26" cm="1">
        <f t="array" ref="H22">INDEX(GMW!$A$2:$DB$60,MATCH(1,(GMW!$DA$2:$DA$60=H$3)*(GMW!$DB$2:$DB$60=H$1),0),$A22-1966)</f>
        <v>336945.5</v>
      </c>
      <c r="I22" s="26" cm="1">
        <f t="array" ref="I22">INDEX(GMW!$A$2:$DB$60,MATCH(1,(GMW!$DA$2:$DA$60=I$3)*(GMW!$DB$2:$DB$60=I$1),0),$A22-1966)</f>
        <v>37299.199999999997</v>
      </c>
      <c r="J22" s="26" cm="1">
        <f t="array" ref="J22">INDEX(GMW!$A$2:$DB$60,MATCH(1,(GMW!$DA$2:$DA$60=J$3)*(GMW!$DB$2:$DB$60=J$1),0),$A22-1966)</f>
        <v>-1.730137</v>
      </c>
      <c r="K22" s="26" cm="1">
        <f t="array" ref="K22">INDEX(GMW!$A$2:$DB$60,MATCH(1,(GMW!$DA$2:$DA$60=K$3)*(GMW!$DB$2:$DB$60=K$1),0),$A22-1966)</f>
        <v>26070</v>
      </c>
      <c r="L22" s="26" cm="1">
        <f t="array" ref="L22">INDEX(GMW!$A$2:$DB$60,MATCH(1,(GMW!$DA$2:$DA$60=L$3)*(GMW!$DB$2:$DB$60=L$1),0),$A22-1966)</f>
        <v>56939.19</v>
      </c>
      <c r="M22" s="26" cm="1">
        <f t="array" ref="M22">INDEX(GMW!$A$2:$DB$60,MATCH(1,(GMW!$DA$2:$DA$60=M$3)*(GMW!$DB$2:$DB$60=M$1),0),$A22-1966)</f>
        <v>34994.559999999998</v>
      </c>
      <c r="N22" s="26" cm="1">
        <f t="array" ref="N22">INDEX(GMW!$A$2:$DB$60,MATCH(1,(GMW!$DA$2:$DA$60=N$3)*(GMW!$DB$2:$DB$60=N$1),0),$A22-1966)</f>
        <v>-3133</v>
      </c>
      <c r="O22" s="26" cm="1">
        <f t="array" ref="O22">INDEX(GMW!$A$2:$DB$60,MATCH(1,(GMW!$DA$2:$DA$60=O$3)*(GMW!$DB$2:$DB$60=O$1),0),$A22-1966)</f>
        <v>102356.9</v>
      </c>
      <c r="P22" s="26" cm="1">
        <f t="array" ref="P22">INDEX(GMW!$A$2:$DB$60,MATCH(1,(GMW!$DA$2:$DA$60=P$3)*(GMW!$DB$2:$DB$60=P$1),0),$A22-1966)</f>
        <v>557277</v>
      </c>
    </row>
    <row r="23" spans="1:16">
      <c r="A23" s="26">
        <f t="shared" si="1"/>
        <v>1989</v>
      </c>
      <c r="B23" s="26" cm="1">
        <f t="array" ref="B23">INDEX(GMW!$A$2:$DB$60,MATCH(1,(GMW!$DA$2:$DA$60=B$3)*(GMW!$DB$2:$DB$60=B$1),0),$A23-1966)</f>
        <v>1506644</v>
      </c>
      <c r="C23" s="26" cm="1">
        <f t="array" ref="C23">INDEX(GMW!$A$2:$DB$60,MATCH(1,(GMW!$DA$2:$DA$60=C$3)*(GMW!$DB$2:$DB$60=C$1),0),$A23-1966)</f>
        <v>7.2249999999999996</v>
      </c>
      <c r="D23" s="26" cm="1">
        <f t="array" ref="D23">INDEX(GMW!$A$2:$DB$60,MATCH(1,(GMW!$DA$2:$DA$60=D$3)*(GMW!$DB$2:$DB$60=D$1),0),$A23-1966)</f>
        <v>1456761</v>
      </c>
      <c r="E23" s="26" cm="1">
        <f t="array" ref="E23">INDEX(GMW!$A$2:$DB$60,MATCH(1,(GMW!$DA$2:$DA$60=E$3)*(GMW!$DB$2:$DB$60=E$1),0),$A23-1966)</f>
        <v>1468447</v>
      </c>
      <c r="F23" s="26" cm="1">
        <f t="array" ref="F23">INDEX(GMW!$A$2:$DB$60,MATCH(1,(GMW!$DA$2:$DA$60=F$3)*(GMW!$DB$2:$DB$60=F$1),0),$A23-1966)</f>
        <v>26091.83</v>
      </c>
      <c r="G23" s="26" cm="1">
        <f t="array" ref="G23">INDEX(GMW!$A$2:$DB$60,MATCH(1,(GMW!$DA$2:$DA$60=G$3)*(GMW!$DB$2:$DB$60=G$1),0),$A23-1966)</f>
        <v>33.77308</v>
      </c>
      <c r="H23" s="26" cm="1">
        <f t="array" ref="H23">INDEX(GMW!$A$2:$DB$60,MATCH(1,(GMW!$DA$2:$DA$60=H$3)*(GMW!$DB$2:$DB$60=H$1),0),$A23-1966)</f>
        <v>341767.8</v>
      </c>
      <c r="I23" s="26" cm="1">
        <f t="array" ref="I23">INDEX(GMW!$A$2:$DB$60,MATCH(1,(GMW!$DA$2:$DA$60=I$3)*(GMW!$DB$2:$DB$60=I$1),0),$A23-1966)</f>
        <v>37327.730000000003</v>
      </c>
      <c r="J23" s="26" cm="1">
        <f t="array" ref="J23">INDEX(GMW!$A$2:$DB$60,MATCH(1,(GMW!$DA$2:$DA$60=J$3)*(GMW!$DB$2:$DB$60=J$1),0),$A23-1966)</f>
        <v>-1.718885</v>
      </c>
      <c r="K23" s="26" cm="1">
        <f t="array" ref="K23">INDEX(GMW!$A$2:$DB$60,MATCH(1,(GMW!$DA$2:$DA$60=K$3)*(GMW!$DB$2:$DB$60=K$1),0),$A23-1966)</f>
        <v>26748.75</v>
      </c>
      <c r="L23" s="26" cm="1">
        <f t="array" ref="L23">INDEX(GMW!$A$2:$DB$60,MATCH(1,(GMW!$DA$2:$DA$60=L$3)*(GMW!$DB$2:$DB$60=L$1),0),$A23-1966)</f>
        <v>57097.120000000003</v>
      </c>
      <c r="M23" s="26" cm="1">
        <f t="array" ref="M23">INDEX(GMW!$A$2:$DB$60,MATCH(1,(GMW!$DA$2:$DA$60=M$3)*(GMW!$DB$2:$DB$60=M$1),0),$A23-1966)</f>
        <v>35085.879999999997</v>
      </c>
      <c r="N23" s="26" cm="1">
        <f t="array" ref="N23">INDEX(GMW!$A$2:$DB$60,MATCH(1,(GMW!$DA$2:$DA$60=N$3)*(GMW!$DB$2:$DB$60=N$1),0),$A23-1966)</f>
        <v>-3117</v>
      </c>
      <c r="O23" s="26" cm="1">
        <f t="array" ref="O23">INDEX(GMW!$A$2:$DB$60,MATCH(1,(GMW!$DA$2:$DA$60=O$3)*(GMW!$DB$2:$DB$60=O$1),0),$A23-1966)</f>
        <v>94653.84</v>
      </c>
      <c r="P23" s="26" cm="1">
        <f t="array" ref="P23">INDEX(GMW!$A$2:$DB$60,MATCH(1,(GMW!$DA$2:$DA$60=P$3)*(GMW!$DB$2:$DB$60=P$1),0),$A23-1966)</f>
        <v>616595</v>
      </c>
    </row>
    <row r="24" spans="1:16">
      <c r="A24" s="26">
        <f t="shared" si="1"/>
        <v>1990</v>
      </c>
      <c r="B24" s="26" cm="1">
        <f t="array" ref="B24">INDEX(GMW!$A$2:$DB$60,MATCH(1,(GMW!$DA$2:$DA$60=B$3)*(GMW!$DB$2:$DB$60=B$1),0),$A24-1966)</f>
        <v>1515202</v>
      </c>
      <c r="C24" s="26" cm="1">
        <f t="array" ref="C24">INDEX(GMW!$A$2:$DB$60,MATCH(1,(GMW!$DA$2:$DA$60=C$3)*(GMW!$DB$2:$DB$60=C$1),0),$A24-1966)</f>
        <v>7.1</v>
      </c>
      <c r="D24" s="26" cm="1">
        <f t="array" ref="D24">INDEX(GMW!$A$2:$DB$60,MATCH(1,(GMW!$DA$2:$DA$60=D$3)*(GMW!$DB$2:$DB$60=D$1),0),$A24-1966)</f>
        <v>1496084</v>
      </c>
      <c r="E24" s="26" cm="1">
        <f t="array" ref="E24">INDEX(GMW!$A$2:$DB$60,MATCH(1,(GMW!$DA$2:$DA$60=E$3)*(GMW!$DB$2:$DB$60=E$1),0),$A24-1966)</f>
        <v>1526420</v>
      </c>
      <c r="F24" s="26" cm="1">
        <f t="array" ref="F24">INDEX(GMW!$A$2:$DB$60,MATCH(1,(GMW!$DA$2:$DA$60=F$3)*(GMW!$DB$2:$DB$60=F$1),0),$A24-1966)</f>
        <v>26176.67</v>
      </c>
      <c r="G24" s="26" cm="1">
        <f t="array" ref="G24">INDEX(GMW!$A$2:$DB$60,MATCH(1,(GMW!$DA$2:$DA$60=G$3)*(GMW!$DB$2:$DB$60=G$1),0),$A24-1966)</f>
        <v>33.607120000000002</v>
      </c>
      <c r="H24" s="26" cm="1">
        <f t="array" ref="H24">INDEX(GMW!$A$2:$DB$60,MATCH(1,(GMW!$DA$2:$DA$60=H$3)*(GMW!$DB$2:$DB$60=H$1),0),$A24-1966)</f>
        <v>346213.4</v>
      </c>
      <c r="I24" s="26" cm="1">
        <f t="array" ref="I24">INDEX(GMW!$A$2:$DB$60,MATCH(1,(GMW!$DA$2:$DA$60=I$3)*(GMW!$DB$2:$DB$60=I$1),0),$A24-1966)</f>
        <v>37358.559999999998</v>
      </c>
      <c r="J24" s="26" cm="1">
        <f t="array" ref="J24">INDEX(GMW!$A$2:$DB$60,MATCH(1,(GMW!$DA$2:$DA$60=J$3)*(GMW!$DB$2:$DB$60=J$1),0),$A24-1966)</f>
        <v>-1.7077070000000001</v>
      </c>
      <c r="K24" s="26" cm="1">
        <f t="array" ref="K24">INDEX(GMW!$A$2:$DB$60,MATCH(1,(GMW!$DA$2:$DA$60=K$3)*(GMW!$DB$2:$DB$60=K$1),0),$A24-1966)</f>
        <v>26871.25</v>
      </c>
      <c r="L24" s="26" cm="1">
        <f t="array" ref="L24">INDEX(GMW!$A$2:$DB$60,MATCH(1,(GMW!$DA$2:$DA$60=L$3)*(GMW!$DB$2:$DB$60=L$1),0),$A24-1966)</f>
        <v>57265.62</v>
      </c>
      <c r="M24" s="26" cm="1">
        <f t="array" ref="M24">INDEX(GMW!$A$2:$DB$60,MATCH(1,(GMW!$DA$2:$DA$60=M$3)*(GMW!$DB$2:$DB$60=M$1),0),$A24-1966)</f>
        <v>35152.129999999997</v>
      </c>
      <c r="N24" s="26" cm="1">
        <f t="array" ref="N24">INDEX(GMW!$A$2:$DB$60,MATCH(1,(GMW!$DA$2:$DA$60=N$3)*(GMW!$DB$2:$DB$60=N$1),0),$A24-1966)</f>
        <v>5268</v>
      </c>
      <c r="O24" s="26" cm="1">
        <f t="array" ref="O24">INDEX(GMW!$A$2:$DB$60,MATCH(1,(GMW!$DA$2:$DA$60=O$3)*(GMW!$DB$2:$DB$60=O$1),0),$A24-1966)</f>
        <v>101559.6</v>
      </c>
      <c r="P24" s="26" cm="1">
        <f t="array" ref="P24">INDEX(GMW!$A$2:$DB$60,MATCH(1,(GMW!$DA$2:$DA$60=P$3)*(GMW!$DB$2:$DB$60=P$1),0),$A24-1966)</f>
        <v>672977</v>
      </c>
    </row>
    <row r="25" spans="1:16">
      <c r="A25" s="26">
        <f t="shared" si="1"/>
        <v>1991</v>
      </c>
      <c r="B25" s="26" cm="1">
        <f t="array" ref="B25">INDEX(GMW!$A$2:$DB$60,MATCH(1,(GMW!$DA$2:$DA$60=B$3)*(GMW!$DB$2:$DB$60=B$1),0),$A25-1966)</f>
        <v>1493903</v>
      </c>
      <c r="C25" s="26" cm="1">
        <f t="array" ref="C25">INDEX(GMW!$A$2:$DB$60,MATCH(1,(GMW!$DA$2:$DA$60=C$3)*(GMW!$DB$2:$DB$60=C$1),0),$A25-1966)</f>
        <v>8.85</v>
      </c>
      <c r="D25" s="26" cm="1">
        <f t="array" ref="D25">INDEX(GMW!$A$2:$DB$60,MATCH(1,(GMW!$DA$2:$DA$60=D$3)*(GMW!$DB$2:$DB$60=D$1),0),$A25-1966)</f>
        <v>1517014</v>
      </c>
      <c r="E25" s="26" cm="1">
        <f t="array" ref="E25">INDEX(GMW!$A$2:$DB$60,MATCH(1,(GMW!$DA$2:$DA$60=E$3)*(GMW!$DB$2:$DB$60=E$1),0),$A25-1966)</f>
        <v>1575894</v>
      </c>
      <c r="F25" s="26" cm="1">
        <f t="array" ref="F25">INDEX(GMW!$A$2:$DB$60,MATCH(1,(GMW!$DA$2:$DA$60=F$3)*(GMW!$DB$2:$DB$60=F$1),0),$A25-1966)</f>
        <v>25966.49</v>
      </c>
      <c r="G25" s="26" cm="1">
        <f t="array" ref="G25">INDEX(GMW!$A$2:$DB$60,MATCH(1,(GMW!$DA$2:$DA$60=G$3)*(GMW!$DB$2:$DB$60=G$1),0),$A25-1966)</f>
        <v>33.192219999999999</v>
      </c>
      <c r="H25" s="26" cm="1">
        <f t="array" ref="H25">INDEX(GMW!$A$2:$DB$60,MATCH(1,(GMW!$DA$2:$DA$60=H$3)*(GMW!$DB$2:$DB$60=H$1),0),$A25-1966)</f>
        <v>350307.5</v>
      </c>
      <c r="I25" s="26" cm="1">
        <f t="array" ref="I25">INDEX(GMW!$A$2:$DB$60,MATCH(1,(GMW!$DA$2:$DA$60=I$3)*(GMW!$DB$2:$DB$60=I$1),0),$A25-1966)</f>
        <v>37364.49</v>
      </c>
      <c r="J25" s="26" cm="1">
        <f t="array" ref="J25">INDEX(GMW!$A$2:$DB$60,MATCH(1,(GMW!$DA$2:$DA$60=J$3)*(GMW!$DB$2:$DB$60=J$1),0),$A25-1966)</f>
        <v>-1.696601</v>
      </c>
      <c r="K25" s="26" cm="1">
        <f t="array" ref="K25">INDEX(GMW!$A$2:$DB$60,MATCH(1,(GMW!$DA$2:$DA$60=K$3)*(GMW!$DB$2:$DB$60=K$1),0),$A25-1966)</f>
        <v>26162.5</v>
      </c>
      <c r="L25" s="26" cm="1">
        <f t="array" ref="L25">INDEX(GMW!$A$2:$DB$60,MATCH(1,(GMW!$DA$2:$DA$60=L$3)*(GMW!$DB$2:$DB$60=L$1),0),$A25-1966)</f>
        <v>57453.81</v>
      </c>
      <c r="M25" s="26" cm="1">
        <f t="array" ref="M25">INDEX(GMW!$A$2:$DB$60,MATCH(1,(GMW!$DA$2:$DA$60=M$3)*(GMW!$DB$2:$DB$60=M$1),0),$A25-1966)</f>
        <v>35195.33</v>
      </c>
      <c r="N25" s="26" cm="1">
        <f t="array" ref="N25">INDEX(GMW!$A$2:$DB$60,MATCH(1,(GMW!$DA$2:$DA$60=N$3)*(GMW!$DB$2:$DB$60=N$1),0),$A25-1966)</f>
        <v>19190</v>
      </c>
      <c r="O25" s="26" cm="1">
        <f t="array" ref="O25">INDEX(GMW!$A$2:$DB$60,MATCH(1,(GMW!$DA$2:$DA$60=O$3)*(GMW!$DB$2:$DB$60=O$1),0),$A25-1966)</f>
        <v>119147.9</v>
      </c>
      <c r="P25" s="26" cm="1">
        <f t="array" ref="P25">INDEX(GMW!$A$2:$DB$60,MATCH(1,(GMW!$DA$2:$DA$60=P$3)*(GMW!$DB$2:$DB$60=P$1),0),$A25-1966)</f>
        <v>708072</v>
      </c>
    </row>
    <row r="26" spans="1:16">
      <c r="A26" s="26">
        <f t="shared" si="1"/>
        <v>1992</v>
      </c>
      <c r="B26" s="26" cm="1">
        <f t="array" ref="B26">INDEX(GMW!$A$2:$DB$60,MATCH(1,(GMW!$DA$2:$DA$60=B$3)*(GMW!$DB$2:$DB$60=B$1),0),$A26-1966)</f>
        <v>1498023</v>
      </c>
      <c r="C26" s="26" cm="1">
        <f t="array" ref="C26">INDEX(GMW!$A$2:$DB$60,MATCH(1,(GMW!$DA$2:$DA$60=C$3)*(GMW!$DB$2:$DB$60=C$1),0),$A26-1966)</f>
        <v>9.9499999999999993</v>
      </c>
      <c r="D26" s="26" cm="1">
        <f t="array" ref="D26">INDEX(GMW!$A$2:$DB$60,MATCH(1,(GMW!$DA$2:$DA$60=D$3)*(GMW!$DB$2:$DB$60=D$1),0),$A26-1966)</f>
        <v>1538270</v>
      </c>
      <c r="E26" s="26" cm="1">
        <f t="array" ref="E26">INDEX(GMW!$A$2:$DB$60,MATCH(1,(GMW!$DA$2:$DA$60=E$3)*(GMW!$DB$2:$DB$60=E$1),0),$A26-1966)</f>
        <v>1605639</v>
      </c>
      <c r="F26" s="26" cm="1">
        <f t="array" ref="F26">INDEX(GMW!$A$2:$DB$60,MATCH(1,(GMW!$DA$2:$DA$60=F$3)*(GMW!$DB$2:$DB$60=F$1),0),$A26-1966)</f>
        <v>25667.16</v>
      </c>
      <c r="G26" s="26" cm="1">
        <f t="array" ref="G26">INDEX(GMW!$A$2:$DB$60,MATCH(1,(GMW!$DA$2:$DA$60=G$3)*(GMW!$DB$2:$DB$60=G$1),0),$A26-1966)</f>
        <v>33.07629</v>
      </c>
      <c r="H26" s="26" cm="1">
        <f t="array" ref="H26">INDEX(GMW!$A$2:$DB$60,MATCH(1,(GMW!$DA$2:$DA$60=H$3)*(GMW!$DB$2:$DB$60=H$1),0),$A26-1966)</f>
        <v>353919.6</v>
      </c>
      <c r="I26" s="26" cm="1">
        <f t="array" ref="I26">INDEX(GMW!$A$2:$DB$60,MATCH(1,(GMW!$DA$2:$DA$60=I$3)*(GMW!$DB$2:$DB$60=I$1),0),$A26-1966)</f>
        <v>37339.07</v>
      </c>
      <c r="J26" s="26" cm="1">
        <f t="array" ref="J26">INDEX(GMW!$A$2:$DB$60,MATCH(1,(GMW!$DA$2:$DA$60=J$3)*(GMW!$DB$2:$DB$60=J$1),0),$A26-1966)</f>
        <v>-1.685568</v>
      </c>
      <c r="K26" s="26" cm="1">
        <f t="array" ref="K26">INDEX(GMW!$A$2:$DB$60,MATCH(1,(GMW!$DA$2:$DA$60=K$3)*(GMW!$DB$2:$DB$60=K$1),0),$A26-1966)</f>
        <v>25540</v>
      </c>
      <c r="L26" s="26" cm="1">
        <f t="array" ref="L26">INDEX(GMW!$A$2:$DB$60,MATCH(1,(GMW!$DA$2:$DA$60=L$3)*(GMW!$DB$2:$DB$60=L$1),0),$A26-1966)</f>
        <v>57600.06</v>
      </c>
      <c r="M26" s="26" cm="1">
        <f t="array" ref="M26">INDEX(GMW!$A$2:$DB$60,MATCH(1,(GMW!$DA$2:$DA$60=M$3)*(GMW!$DB$2:$DB$60=M$1),0),$A26-1966)</f>
        <v>35205.660000000003</v>
      </c>
      <c r="N26" s="26" cm="1">
        <f t="array" ref="N26">INDEX(GMW!$A$2:$DB$60,MATCH(1,(GMW!$DA$2:$DA$60=N$3)*(GMW!$DB$2:$DB$60=N$1),0),$A26-1966)</f>
        <v>40168</v>
      </c>
      <c r="O26" s="26" cm="1">
        <f t="array" ref="O26">INDEX(GMW!$A$2:$DB$60,MATCH(1,(GMW!$DA$2:$DA$60=O$3)*(GMW!$DB$2:$DB$60=O$1),0),$A26-1966)</f>
        <v>172439.8</v>
      </c>
      <c r="P26" s="26" cm="1">
        <f t="array" ref="P26">INDEX(GMW!$A$2:$DB$60,MATCH(1,(GMW!$DA$2:$DA$60=P$3)*(GMW!$DB$2:$DB$60=P$1),0),$A26-1966)</f>
        <v>733221</v>
      </c>
    </row>
    <row r="27" spans="1:16">
      <c r="A27" s="26">
        <f t="shared" si="1"/>
        <v>1993</v>
      </c>
      <c r="B27" s="26" cm="1">
        <f t="array" ref="B27">INDEX(GMW!$A$2:$DB$60,MATCH(1,(GMW!$DA$2:$DA$60=B$3)*(GMW!$DB$2:$DB$60=B$1),0),$A27-1966)</f>
        <v>1532082</v>
      </c>
      <c r="C27" s="26" cm="1">
        <f t="array" ref="C27">INDEX(GMW!$A$2:$DB$60,MATCH(1,(GMW!$DA$2:$DA$60=C$3)*(GMW!$DB$2:$DB$60=C$1),0),$A27-1966)</f>
        <v>10.375</v>
      </c>
      <c r="D27" s="26" cm="1">
        <f t="array" ref="D27">INDEX(GMW!$A$2:$DB$60,MATCH(1,(GMW!$DA$2:$DA$60=D$3)*(GMW!$DB$2:$DB$60=D$1),0),$A27-1966)</f>
        <v>1563590</v>
      </c>
      <c r="E27" s="26" cm="1">
        <f t="array" ref="E27">INDEX(GMW!$A$2:$DB$60,MATCH(1,(GMW!$DA$2:$DA$60=E$3)*(GMW!$DB$2:$DB$60=E$1),0),$A27-1966)</f>
        <v>1635840</v>
      </c>
      <c r="F27" s="26" cm="1">
        <f t="array" ref="F27">INDEX(GMW!$A$2:$DB$60,MATCH(1,(GMW!$DA$2:$DA$60=F$3)*(GMW!$DB$2:$DB$60=F$1),0),$A27-1966)</f>
        <v>25571.119999999999</v>
      </c>
      <c r="G27" s="26" cm="1">
        <f t="array" ref="G27">INDEX(GMW!$A$2:$DB$60,MATCH(1,(GMW!$DA$2:$DA$60=G$3)*(GMW!$DB$2:$DB$60=G$1),0),$A27-1966)</f>
        <v>33</v>
      </c>
      <c r="H27" s="26" cm="1">
        <f t="array" ref="H27">INDEX(GMW!$A$2:$DB$60,MATCH(1,(GMW!$DA$2:$DA$60=H$3)*(GMW!$DB$2:$DB$60=H$1),0),$A27-1966)</f>
        <v>357272.1</v>
      </c>
      <c r="I27" s="26" cm="1">
        <f t="array" ref="I27">INDEX(GMW!$A$2:$DB$60,MATCH(1,(GMW!$DA$2:$DA$60=I$3)*(GMW!$DB$2:$DB$60=I$1),0),$A27-1966)</f>
        <v>37349.410000000003</v>
      </c>
      <c r="J27" s="26" cm="1">
        <f t="array" ref="J27">INDEX(GMW!$A$2:$DB$60,MATCH(1,(GMW!$DA$2:$DA$60=J$3)*(GMW!$DB$2:$DB$60=J$1),0),$A27-1966)</f>
        <v>-1.674606</v>
      </c>
      <c r="K27" s="26" cm="1">
        <f t="array" ref="K27">INDEX(GMW!$A$2:$DB$60,MATCH(1,(GMW!$DA$2:$DA$60=K$3)*(GMW!$DB$2:$DB$60=K$1),0),$A27-1966)</f>
        <v>25302.75</v>
      </c>
      <c r="L27" s="26" cm="1">
        <f t="array" ref="L27">INDEX(GMW!$A$2:$DB$60,MATCH(1,(GMW!$DA$2:$DA$60=L$3)*(GMW!$DB$2:$DB$60=L$1),0),$A27-1966)</f>
        <v>57733.69</v>
      </c>
      <c r="M27" s="26" cm="1">
        <f t="array" ref="M27">INDEX(GMW!$A$2:$DB$60,MATCH(1,(GMW!$DA$2:$DA$60=M$3)*(GMW!$DB$2:$DB$60=M$1),0),$A27-1966)</f>
        <v>35216.769999999997</v>
      </c>
      <c r="N27" s="26" cm="1">
        <f t="array" ref="N27">INDEX(GMW!$A$2:$DB$60,MATCH(1,(GMW!$DA$2:$DA$60=N$3)*(GMW!$DB$2:$DB$60=N$1),0),$A27-1966)</f>
        <v>51391</v>
      </c>
      <c r="O27" s="26" cm="1">
        <f t="array" ref="O27">INDEX(GMW!$A$2:$DB$60,MATCH(1,(GMW!$DA$2:$DA$60=O$3)*(GMW!$DB$2:$DB$60=O$1),0),$A27-1966)</f>
        <v>234900</v>
      </c>
      <c r="P27" s="26" cm="1">
        <f t="array" ref="P27">INDEX(GMW!$A$2:$DB$60,MATCH(1,(GMW!$DA$2:$DA$60=P$3)*(GMW!$DB$2:$DB$60=P$1),0),$A27-1966)</f>
        <v>772390</v>
      </c>
    </row>
    <row r="28" spans="1:16">
      <c r="A28" s="26">
        <f t="shared" si="1"/>
        <v>1994</v>
      </c>
      <c r="B28" s="26" cm="1">
        <f t="array" ref="B28">INDEX(GMW!$A$2:$DB$60,MATCH(1,(GMW!$DA$2:$DA$60=B$3)*(GMW!$DB$2:$DB$60=B$1),0),$A28-1966)</f>
        <v>1584459</v>
      </c>
      <c r="C28" s="26" cm="1">
        <f t="array" ref="C28">INDEX(GMW!$A$2:$DB$60,MATCH(1,(GMW!$DA$2:$DA$60=C$3)*(GMW!$DB$2:$DB$60=C$1),0),$A28-1966)</f>
        <v>9.5</v>
      </c>
      <c r="D28" s="26" cm="1">
        <f t="array" ref="D28">INDEX(GMW!$A$2:$DB$60,MATCH(1,(GMW!$DA$2:$DA$60=D$3)*(GMW!$DB$2:$DB$60=D$1),0),$A28-1966)</f>
        <v>1604512</v>
      </c>
      <c r="E28" s="26" cm="1">
        <f t="array" ref="E28">INDEX(GMW!$A$2:$DB$60,MATCH(1,(GMW!$DA$2:$DA$60=E$3)*(GMW!$DB$2:$DB$60=E$1),0),$A28-1966)</f>
        <v>1671807</v>
      </c>
      <c r="F28" s="26" cm="1">
        <f t="array" ref="F28">INDEX(GMW!$A$2:$DB$60,MATCH(1,(GMW!$DA$2:$DA$60=F$3)*(GMW!$DB$2:$DB$60=F$1),0),$A28-1966)</f>
        <v>25629.68</v>
      </c>
      <c r="G28" s="26" cm="1">
        <f t="array" ref="G28">INDEX(GMW!$A$2:$DB$60,MATCH(1,(GMW!$DA$2:$DA$60=G$3)*(GMW!$DB$2:$DB$60=G$1),0),$A28-1966)</f>
        <v>33.225000000000001</v>
      </c>
      <c r="H28" s="26" cm="1">
        <f t="array" ref="H28">INDEX(GMW!$A$2:$DB$60,MATCH(1,(GMW!$DA$2:$DA$60=H$3)*(GMW!$DB$2:$DB$60=H$1),0),$A28-1966)</f>
        <v>360583.8</v>
      </c>
      <c r="I28" s="26" cm="1">
        <f t="array" ref="I28">INDEX(GMW!$A$2:$DB$60,MATCH(1,(GMW!$DA$2:$DA$60=I$3)*(GMW!$DB$2:$DB$60=I$1),0),$A28-1966)</f>
        <v>37433.699999999997</v>
      </c>
      <c r="J28" s="26" cm="1">
        <f t="array" ref="J28">INDEX(GMW!$A$2:$DB$60,MATCH(1,(GMW!$DA$2:$DA$60=J$3)*(GMW!$DB$2:$DB$60=J$1),0),$A28-1966)</f>
        <v>-1.663716</v>
      </c>
      <c r="K28" s="26" cm="1">
        <f t="array" ref="K28">INDEX(GMW!$A$2:$DB$60,MATCH(1,(GMW!$DA$2:$DA$60=K$3)*(GMW!$DB$2:$DB$60=K$1),0),$A28-1966)</f>
        <v>25504.5</v>
      </c>
      <c r="L28" s="26" cm="1">
        <f t="array" ref="L28">INDEX(GMW!$A$2:$DB$60,MATCH(1,(GMW!$DA$2:$DA$60=L$3)*(GMW!$DB$2:$DB$60=L$1),0),$A28-1966)</f>
        <v>57883.31</v>
      </c>
      <c r="M28" s="26" cm="1">
        <f t="array" ref="M28">INDEX(GMW!$A$2:$DB$60,MATCH(1,(GMW!$DA$2:$DA$60=M$3)*(GMW!$DB$2:$DB$60=M$1),0),$A28-1966)</f>
        <v>35273.269999999997</v>
      </c>
      <c r="N28" s="26" cm="1">
        <f t="array" ref="N28">INDEX(GMW!$A$2:$DB$60,MATCH(1,(GMW!$DA$2:$DA$60=N$3)*(GMW!$DB$2:$DB$60=N$1),0),$A28-1966)</f>
        <v>46482</v>
      </c>
      <c r="O28" s="26" cm="1">
        <f t="array" ref="O28">INDEX(GMW!$A$2:$DB$60,MATCH(1,(GMW!$DA$2:$DA$60=O$3)*(GMW!$DB$2:$DB$60=O$1),0),$A28-1966)</f>
        <v>278400</v>
      </c>
      <c r="P28" s="26" cm="1">
        <f t="array" ref="P28">INDEX(GMW!$A$2:$DB$60,MATCH(1,(GMW!$DA$2:$DA$60=P$3)*(GMW!$DB$2:$DB$60=P$1),0),$A28-1966)</f>
        <v>813527</v>
      </c>
    </row>
    <row r="29" spans="1:16">
      <c r="A29" s="26">
        <f t="shared" si="1"/>
        <v>1995</v>
      </c>
      <c r="B29" s="26" cm="1">
        <f t="array" ref="B29">INDEX(GMW!$A$2:$DB$60,MATCH(1,(GMW!$DA$2:$DA$60=B$3)*(GMW!$DB$2:$DB$60=B$1),0),$A29-1966)</f>
        <v>1622576</v>
      </c>
      <c r="C29" s="26" cm="1">
        <f t="array" ref="C29">INDEX(GMW!$A$2:$DB$60,MATCH(1,(GMW!$DA$2:$DA$60=C$3)*(GMW!$DB$2:$DB$60=C$1),0),$A29-1966)</f>
        <v>8.625</v>
      </c>
      <c r="D29" s="26" cm="1">
        <f t="array" ref="D29">INDEX(GMW!$A$2:$DB$60,MATCH(1,(GMW!$DA$2:$DA$60=D$3)*(GMW!$DB$2:$DB$60=D$1),0),$A29-1966)</f>
        <v>1646030</v>
      </c>
      <c r="E29" s="26" cm="1">
        <f t="array" ref="E29">INDEX(GMW!$A$2:$DB$60,MATCH(1,(GMW!$DA$2:$DA$60=E$3)*(GMW!$DB$2:$DB$60=E$1),0),$A29-1966)</f>
        <v>1712783</v>
      </c>
      <c r="F29" s="26" cm="1">
        <f t="array" ref="F29">INDEX(GMW!$A$2:$DB$60,MATCH(1,(GMW!$DA$2:$DA$60=F$3)*(GMW!$DB$2:$DB$60=F$1),0),$A29-1966)</f>
        <v>25810.1</v>
      </c>
      <c r="G29" s="26" cm="1">
        <f t="array" ref="G29">INDEX(GMW!$A$2:$DB$60,MATCH(1,(GMW!$DA$2:$DA$60=G$3)*(GMW!$DB$2:$DB$60=G$1),0),$A29-1966)</f>
        <v>33.25</v>
      </c>
      <c r="H29" s="26" cm="1">
        <f t="array" ref="H29">INDEX(GMW!$A$2:$DB$60,MATCH(1,(GMW!$DA$2:$DA$60=H$3)*(GMW!$DB$2:$DB$60=H$1),0),$A29-1966)</f>
        <v>363847.5</v>
      </c>
      <c r="I29" s="26" cm="1">
        <f t="array" ref="I29">INDEX(GMW!$A$2:$DB$60,MATCH(1,(GMW!$DA$2:$DA$60=I$3)*(GMW!$DB$2:$DB$60=I$1),0),$A29-1966)</f>
        <v>37553</v>
      </c>
      <c r="J29" s="26" cm="1">
        <f t="array" ref="J29">INDEX(GMW!$A$2:$DB$60,MATCH(1,(GMW!$DA$2:$DA$60=J$3)*(GMW!$DB$2:$DB$60=J$1),0),$A29-1966)</f>
        <v>-1.6528959999999999</v>
      </c>
      <c r="K29" s="26" cm="1">
        <f t="array" ref="K29">INDEX(GMW!$A$2:$DB$60,MATCH(1,(GMW!$DA$2:$DA$60=K$3)*(GMW!$DB$2:$DB$60=K$1),0),$A29-1966)</f>
        <v>25818.5</v>
      </c>
      <c r="L29" s="26" cm="1">
        <f t="array" ref="L29">INDEX(GMW!$A$2:$DB$60,MATCH(1,(GMW!$DA$2:$DA$60=L$3)*(GMW!$DB$2:$DB$60=L$1),0),$A29-1966)</f>
        <v>58040.88</v>
      </c>
      <c r="M29" s="26" cm="1">
        <f t="array" ref="M29">INDEX(GMW!$A$2:$DB$60,MATCH(1,(GMW!$DA$2:$DA$60=M$3)*(GMW!$DB$2:$DB$60=M$1),0),$A29-1966)</f>
        <v>35383.339999999997</v>
      </c>
      <c r="N29" s="26" cm="1">
        <f t="array" ref="N29">INDEX(GMW!$A$2:$DB$60,MATCH(1,(GMW!$DA$2:$DA$60=N$3)*(GMW!$DB$2:$DB$60=N$1),0),$A29-1966)</f>
        <v>39160</v>
      </c>
      <c r="O29" s="26" cm="1">
        <f t="array" ref="O29">INDEX(GMW!$A$2:$DB$60,MATCH(1,(GMW!$DA$2:$DA$60=O$3)*(GMW!$DB$2:$DB$60=O$1),0),$A29-1966)</f>
        <v>313600</v>
      </c>
      <c r="P29" s="26" cm="1">
        <f t="array" ref="P29">INDEX(GMW!$A$2:$DB$60,MATCH(1,(GMW!$DA$2:$DA$60=P$3)*(GMW!$DB$2:$DB$60=P$1),0),$A29-1966)</f>
        <v>854921</v>
      </c>
    </row>
    <row r="30" spans="1:16">
      <c r="A30" s="26">
        <f t="shared" si="1"/>
        <v>1996</v>
      </c>
      <c r="B30" s="26" cm="1">
        <f t="array" ref="B30">INDEX(GMW!$A$2:$DB$60,MATCH(1,(GMW!$DA$2:$DA$60=B$3)*(GMW!$DB$2:$DB$60=B$1),0),$A30-1966)</f>
        <v>1665005</v>
      </c>
      <c r="C30" s="26" cm="1">
        <f t="array" ref="C30">INDEX(GMW!$A$2:$DB$60,MATCH(1,(GMW!$DA$2:$DA$60=C$3)*(GMW!$DB$2:$DB$60=C$1),0),$A30-1966)</f>
        <v>8.1</v>
      </c>
      <c r="D30" s="26" cm="1">
        <f t="array" ref="D30">INDEX(GMW!$A$2:$DB$60,MATCH(1,(GMW!$DA$2:$DA$60=D$3)*(GMW!$DB$2:$DB$60=D$1),0),$A30-1966)</f>
        <v>1690512</v>
      </c>
      <c r="E30" s="26" cm="1">
        <f t="array" ref="E30">INDEX(GMW!$A$2:$DB$60,MATCH(1,(GMW!$DA$2:$DA$60=E$3)*(GMW!$DB$2:$DB$60=E$1),0),$A30-1966)</f>
        <v>1754821</v>
      </c>
      <c r="F30" s="26" cm="1">
        <f t="array" ref="F30">INDEX(GMW!$A$2:$DB$60,MATCH(1,(GMW!$DA$2:$DA$60=F$3)*(GMW!$DB$2:$DB$60=F$1),0),$A30-1966)</f>
        <v>26087.38</v>
      </c>
      <c r="G30" s="26" cm="1">
        <f t="array" ref="G30">INDEX(GMW!$A$2:$DB$60,MATCH(1,(GMW!$DA$2:$DA$60=G$3)*(GMW!$DB$2:$DB$60=G$1),0),$A30-1966)</f>
        <v>33.225000000000001</v>
      </c>
      <c r="H30" s="26" cm="1">
        <f t="array" ref="H30">INDEX(GMW!$A$2:$DB$60,MATCH(1,(GMW!$DA$2:$DA$60=H$3)*(GMW!$DB$2:$DB$60=H$1),0),$A30-1966)</f>
        <v>366199.2</v>
      </c>
      <c r="I30" s="26" cm="1">
        <f t="array" ref="I30">INDEX(GMW!$A$2:$DB$60,MATCH(1,(GMW!$DA$2:$DA$60=I$3)*(GMW!$DB$2:$DB$60=I$1),0),$A30-1966)</f>
        <v>37673.279999999999</v>
      </c>
      <c r="J30" s="26" cm="1">
        <f t="array" ref="J30">INDEX(GMW!$A$2:$DB$60,MATCH(1,(GMW!$DA$2:$DA$60=J$3)*(GMW!$DB$2:$DB$60=J$1),0),$A30-1966)</f>
        <v>-1.642147</v>
      </c>
      <c r="K30" s="26" cm="1">
        <f t="array" ref="K30">INDEX(GMW!$A$2:$DB$60,MATCH(1,(GMW!$DA$2:$DA$60=K$3)*(GMW!$DB$2:$DB$60=K$1),0),$A30-1966)</f>
        <v>26059.75</v>
      </c>
      <c r="L30" s="26" cm="1">
        <f t="array" ref="L30">INDEX(GMW!$A$2:$DB$60,MATCH(1,(GMW!$DA$2:$DA$60=L$3)*(GMW!$DB$2:$DB$60=L$1),0),$A30-1966)</f>
        <v>58183.44</v>
      </c>
      <c r="M30" s="26" cm="1">
        <f t="array" ref="M30">INDEX(GMW!$A$2:$DB$60,MATCH(1,(GMW!$DA$2:$DA$60=M$3)*(GMW!$DB$2:$DB$60=M$1),0),$A30-1966)</f>
        <v>35513.120000000003</v>
      </c>
      <c r="N30" s="26" cm="1">
        <f t="array" ref="N30">INDEX(GMW!$A$2:$DB$60,MATCH(1,(GMW!$DA$2:$DA$60=N$3)*(GMW!$DB$2:$DB$60=N$1),0),$A30-1966)</f>
        <v>29840</v>
      </c>
      <c r="O30" s="26" cm="1">
        <f t="array" ref="O30">INDEX(GMW!$A$2:$DB$60,MATCH(1,(GMW!$DA$2:$DA$60=O$3)*(GMW!$DB$2:$DB$60=O$1),0),$A30-1966)</f>
        <v>341900</v>
      </c>
      <c r="P30" s="26" cm="1">
        <f t="array" ref="P30">INDEX(GMW!$A$2:$DB$60,MATCH(1,(GMW!$DA$2:$DA$60=P$3)*(GMW!$DB$2:$DB$60=P$1),0),$A30-1966)</f>
        <v>913609</v>
      </c>
    </row>
    <row r="31" spans="1:16">
      <c r="A31" s="26">
        <f t="shared" si="1"/>
        <v>1997</v>
      </c>
      <c r="B31" s="26" cm="1">
        <f t="array" ref="B31">INDEX(GMW!$A$2:$DB$60,MATCH(1,(GMW!$DA$2:$DA$60=B$3)*(GMW!$DB$2:$DB$60=B$1),0),$A31-1966)</f>
        <v>1746257</v>
      </c>
      <c r="C31" s="26" cm="1">
        <f t="array" ref="C31">INDEX(GMW!$A$2:$DB$60,MATCH(1,(GMW!$DA$2:$DA$60=C$3)*(GMW!$DB$2:$DB$60=C$1),0),$A31-1966)</f>
        <v>6.95</v>
      </c>
      <c r="D31" s="26" cm="1">
        <f t="array" ref="D31">INDEX(GMW!$A$2:$DB$60,MATCH(1,(GMW!$DA$2:$DA$60=D$3)*(GMW!$DB$2:$DB$60=D$1),0),$A31-1966)</f>
        <v>1738403</v>
      </c>
      <c r="E31" s="26" cm="1">
        <f t="array" ref="E31">INDEX(GMW!$A$2:$DB$60,MATCH(1,(GMW!$DA$2:$DA$60=E$3)*(GMW!$DB$2:$DB$60=E$1),0),$A31-1966)</f>
        <v>1809000</v>
      </c>
      <c r="F31" s="26" cm="1">
        <f t="array" ref="F31">INDEX(GMW!$A$2:$DB$60,MATCH(1,(GMW!$DA$2:$DA$60=F$3)*(GMW!$DB$2:$DB$60=F$1),0),$A31-1966)</f>
        <v>26460.54</v>
      </c>
      <c r="G31" s="26" cm="1">
        <f t="array" ref="G31">INDEX(GMW!$A$2:$DB$60,MATCH(1,(GMW!$DA$2:$DA$60=G$3)*(GMW!$DB$2:$DB$60=G$1),0),$A31-1966)</f>
        <v>33.174999999999997</v>
      </c>
      <c r="H31" s="26" cm="1">
        <f t="array" ref="H31">INDEX(GMW!$A$2:$DB$60,MATCH(1,(GMW!$DA$2:$DA$60=H$3)*(GMW!$DB$2:$DB$60=H$1),0),$A31-1966)</f>
        <v>368101.4</v>
      </c>
      <c r="I31" s="26" cm="1">
        <f t="array" ref="I31">INDEX(GMW!$A$2:$DB$60,MATCH(1,(GMW!$DA$2:$DA$60=I$3)*(GMW!$DB$2:$DB$60=I$1),0),$A31-1966)</f>
        <v>37794.410000000003</v>
      </c>
      <c r="J31" s="26" cm="1">
        <f t="array" ref="J31">INDEX(GMW!$A$2:$DB$60,MATCH(1,(GMW!$DA$2:$DA$60=J$3)*(GMW!$DB$2:$DB$60=J$1),0),$A31-1966)</f>
        <v>-1.6323510000000001</v>
      </c>
      <c r="K31" s="26" cm="1">
        <f t="array" ref="K31">INDEX(GMW!$A$2:$DB$60,MATCH(1,(GMW!$DA$2:$DA$60=K$3)*(GMW!$DB$2:$DB$60=K$1),0),$A31-1966)</f>
        <v>26525.75</v>
      </c>
      <c r="L31" s="26" cm="1">
        <f t="array" ref="L31">INDEX(GMW!$A$2:$DB$60,MATCH(1,(GMW!$DA$2:$DA$60=L$3)*(GMW!$DB$2:$DB$60=L$1),0),$A31-1966)</f>
        <v>58334.81</v>
      </c>
      <c r="M31" s="26" cm="1">
        <f t="array" ref="M31">INDEX(GMW!$A$2:$DB$60,MATCH(1,(GMW!$DA$2:$DA$60=M$3)*(GMW!$DB$2:$DB$60=M$1),0),$A31-1966)</f>
        <v>35638.800000000003</v>
      </c>
      <c r="N31" s="26" cm="1">
        <f t="array" ref="N31">INDEX(GMW!$A$2:$DB$60,MATCH(1,(GMW!$DA$2:$DA$60=N$3)*(GMW!$DB$2:$DB$60=N$1),0),$A31-1966)</f>
        <v>19381</v>
      </c>
      <c r="O31" s="26" cm="1">
        <f t="array" ref="O31">INDEX(GMW!$A$2:$DB$60,MATCH(1,(GMW!$DA$2:$DA$60=O$3)*(GMW!$DB$2:$DB$60=O$1),0),$A31-1966)</f>
        <v>365000</v>
      </c>
      <c r="P31" s="26" cm="1">
        <f t="array" ref="P31">INDEX(GMW!$A$2:$DB$60,MATCH(1,(GMW!$DA$2:$DA$60=P$3)*(GMW!$DB$2:$DB$60=P$1),0),$A31-1966)</f>
        <v>958539</v>
      </c>
    </row>
    <row r="32" spans="1:16">
      <c r="A32" s="26">
        <f t="shared" si="1"/>
        <v>1998</v>
      </c>
      <c r="B32" s="26" cm="1">
        <f t="array" ref="B32">INDEX(GMW!$A$2:$DB$60,MATCH(1,(GMW!$DA$2:$DA$60=B$3)*(GMW!$DB$2:$DB$60=B$1),0),$A32-1966)</f>
        <v>1802946</v>
      </c>
      <c r="C32" s="26" cm="1">
        <f t="array" ref="C32">INDEX(GMW!$A$2:$DB$60,MATCH(1,(GMW!$DA$2:$DA$60=C$3)*(GMW!$DB$2:$DB$60=C$1),0),$A32-1966)</f>
        <v>6.25</v>
      </c>
      <c r="D32" s="26" cm="1">
        <f t="array" ref="D32">INDEX(GMW!$A$2:$DB$60,MATCH(1,(GMW!$DA$2:$DA$60=D$3)*(GMW!$DB$2:$DB$60=D$1),0),$A32-1966)</f>
        <v>1778836</v>
      </c>
      <c r="E32" s="26" cm="1">
        <f t="array" ref="E32">INDEX(GMW!$A$2:$DB$60,MATCH(1,(GMW!$DA$2:$DA$60=E$3)*(GMW!$DB$2:$DB$60=E$1),0),$A32-1966)</f>
        <v>1867000</v>
      </c>
      <c r="F32" s="26" cm="1">
        <f t="array" ref="F32">INDEX(GMW!$A$2:$DB$60,MATCH(1,(GMW!$DA$2:$DA$60=F$3)*(GMW!$DB$2:$DB$60=F$1),0),$A32-1966)</f>
        <v>26754.36</v>
      </c>
      <c r="G32" s="26" cm="1">
        <f t="array" ref="G32">INDEX(GMW!$A$2:$DB$60,MATCH(1,(GMW!$DA$2:$DA$60=G$3)*(GMW!$DB$2:$DB$60=G$1),0),$A32-1966)</f>
        <v>33.075000000000003</v>
      </c>
      <c r="H32" s="26" cm="1">
        <f t="array" ref="H32">INDEX(GMW!$A$2:$DB$60,MATCH(1,(GMW!$DA$2:$DA$60=H$3)*(GMW!$DB$2:$DB$60=H$1),0),$A32-1966)</f>
        <v>370531.5</v>
      </c>
      <c r="I32" s="26" cm="1">
        <f t="array" ref="I32">INDEX(GMW!$A$2:$DB$60,MATCH(1,(GMW!$DA$2:$DA$60=I$3)*(GMW!$DB$2:$DB$60=I$1),0),$A32-1966)</f>
        <v>37944.26</v>
      </c>
      <c r="J32" s="26" cm="1">
        <f t="array" ref="J32">INDEX(GMW!$A$2:$DB$60,MATCH(1,(GMW!$DA$2:$DA$60=J$3)*(GMW!$DB$2:$DB$60=J$1),0),$A32-1966)</f>
        <v>-1.6261380000000001</v>
      </c>
      <c r="K32" s="26" cm="1">
        <f t="array" ref="K32">INDEX(GMW!$A$2:$DB$60,MATCH(1,(GMW!$DA$2:$DA$60=K$3)*(GMW!$DB$2:$DB$60=K$1),0),$A32-1966)</f>
        <v>26795</v>
      </c>
      <c r="L32" s="26" cm="1">
        <f t="array" ref="L32">INDEX(GMW!$A$2:$DB$60,MATCH(1,(GMW!$DA$2:$DA$60=L$3)*(GMW!$DB$2:$DB$60=L$1),0),$A32-1966)</f>
        <v>58504.12</v>
      </c>
      <c r="M32" s="26" cm="1">
        <f t="array" ref="M32">INDEX(GMW!$A$2:$DB$60,MATCH(1,(GMW!$DA$2:$DA$60=M$3)*(GMW!$DB$2:$DB$60=M$1),0),$A32-1966)</f>
        <v>35772.379999999997</v>
      </c>
      <c r="N32" s="26" cm="1">
        <f t="array" ref="N32">INDEX(GMW!$A$2:$DB$60,MATCH(1,(GMW!$DA$2:$DA$60=N$3)*(GMW!$DB$2:$DB$60=N$1),0),$A32-1966)</f>
        <v>3875</v>
      </c>
      <c r="O32" s="26" cm="1">
        <f t="array" ref="O32">INDEX(GMW!$A$2:$DB$60,MATCH(1,(GMW!$DA$2:$DA$60=O$3)*(GMW!$DB$2:$DB$60=O$1),0),$A32-1966)</f>
        <v>364300</v>
      </c>
      <c r="P32" s="26" cm="1">
        <f t="array" ref="P32">INDEX(GMW!$A$2:$DB$60,MATCH(1,(GMW!$DA$2:$DA$60=P$3)*(GMW!$DB$2:$DB$60=P$1),0),$A32-1966)</f>
        <v>1002804</v>
      </c>
    </row>
    <row r="33" spans="1:16">
      <c r="A33" s="26">
        <f t="shared" si="1"/>
        <v>1999</v>
      </c>
      <c r="B33" s="26" cm="1">
        <f t="array" ref="B33">INDEX(GMW!$A$2:$DB$60,MATCH(1,(GMW!$DA$2:$DA$60=B$3)*(GMW!$DB$2:$DB$60=B$1),0),$A33-1966)</f>
        <v>1856033</v>
      </c>
      <c r="C33" s="26" cm="1">
        <f t="array" ref="C33">INDEX(GMW!$A$2:$DB$60,MATCH(1,(GMW!$DA$2:$DA$60=C$3)*(GMW!$DB$2:$DB$60=C$1),0),$A33-1966)</f>
        <v>5.9749999999999996</v>
      </c>
      <c r="D33" s="26" cm="1">
        <f t="array" ref="D33">INDEX(GMW!$A$2:$DB$60,MATCH(1,(GMW!$DA$2:$DA$60=D$3)*(GMW!$DB$2:$DB$60=D$1),0),$A33-1966)</f>
        <v>1827270</v>
      </c>
      <c r="E33" s="26" cm="1">
        <f t="array" ref="E33">INDEX(GMW!$A$2:$DB$60,MATCH(1,(GMW!$DA$2:$DA$60=E$3)*(GMW!$DB$2:$DB$60=E$1),0),$A33-1966)</f>
        <v>1923000</v>
      </c>
      <c r="F33" s="26" cm="1">
        <f t="array" ref="F33">INDEX(GMW!$A$2:$DB$60,MATCH(1,(GMW!$DA$2:$DA$60=F$3)*(GMW!$DB$2:$DB$60=F$1),0),$A33-1966)</f>
        <v>27233.62</v>
      </c>
      <c r="G33" s="26" cm="1">
        <f t="array" ref="G33">INDEX(GMW!$A$2:$DB$60,MATCH(1,(GMW!$DA$2:$DA$60=G$3)*(GMW!$DB$2:$DB$60=G$1),0),$A33-1966)</f>
        <v>32.9</v>
      </c>
      <c r="H33" s="26" cm="1">
        <f t="array" ref="H33">INDEX(GMW!$A$2:$DB$60,MATCH(1,(GMW!$DA$2:$DA$60=H$3)*(GMW!$DB$2:$DB$60=H$1),0),$A33-1966)</f>
        <v>375183.3</v>
      </c>
      <c r="I33" s="26" cm="1">
        <f t="array" ref="I33">INDEX(GMW!$A$2:$DB$60,MATCH(1,(GMW!$DA$2:$DA$60=I$3)*(GMW!$DB$2:$DB$60=I$1),0),$A33-1966)</f>
        <v>38156.28</v>
      </c>
      <c r="J33" s="26" cm="1">
        <f t="array" ref="J33">INDEX(GMW!$A$2:$DB$60,MATCH(1,(GMW!$DA$2:$DA$60=J$3)*(GMW!$DB$2:$DB$60=J$1),0),$A33-1966)</f>
        <v>-1.620242</v>
      </c>
      <c r="K33" s="26" cm="1">
        <f t="array" ref="K33">INDEX(GMW!$A$2:$DB$60,MATCH(1,(GMW!$DA$2:$DA$60=K$3)*(GMW!$DB$2:$DB$60=K$1),0),$A33-1966)</f>
        <v>27167.75</v>
      </c>
      <c r="L33" s="26" cm="1">
        <f t="array" ref="L33">INDEX(GMW!$A$2:$DB$60,MATCH(1,(GMW!$DA$2:$DA$60=L$3)*(GMW!$DB$2:$DB$60=L$1),0),$A33-1966)</f>
        <v>58708.81</v>
      </c>
      <c r="M33" s="26" cm="1">
        <f t="array" ref="M33">INDEX(GMW!$A$2:$DB$60,MATCH(1,(GMW!$DA$2:$DA$60=M$3)*(GMW!$DB$2:$DB$60=M$1),0),$A33-1966)</f>
        <v>35956.089999999997</v>
      </c>
      <c r="N33" s="26" cm="1">
        <f t="array" ref="N33">INDEX(GMW!$A$2:$DB$60,MATCH(1,(GMW!$DA$2:$DA$60=N$3)*(GMW!$DB$2:$DB$60=N$1),0),$A33-1966)</f>
        <v>-7654</v>
      </c>
      <c r="O33" s="26" cm="1">
        <f t="array" ref="O33">INDEX(GMW!$A$2:$DB$60,MATCH(1,(GMW!$DA$2:$DA$60=O$3)*(GMW!$DB$2:$DB$60=O$1),0),$A33-1966)</f>
        <v>368300</v>
      </c>
      <c r="P33" s="26" cm="1">
        <f t="array" ref="P33">INDEX(GMW!$A$2:$DB$60,MATCH(1,(GMW!$DA$2:$DA$60=P$3)*(GMW!$DB$2:$DB$60=P$1),0),$A33-1966)</f>
        <v>1046727</v>
      </c>
    </row>
    <row r="34" spans="1:16">
      <c r="A34" s="26">
        <f t="shared" si="1"/>
        <v>2000</v>
      </c>
      <c r="B34" s="26" cm="1">
        <f t="array" ref="B34">INDEX(GMW!$A$2:$DB$60,MATCH(1,(GMW!$DA$2:$DA$60=B$3)*(GMW!$DB$2:$DB$60=B$1),0),$A34-1966)</f>
        <v>1940007</v>
      </c>
      <c r="C34" s="26" cm="1">
        <f t="array" ref="C34">INDEX(GMW!$A$2:$DB$60,MATCH(1,(GMW!$DA$2:$DA$60=C$3)*(GMW!$DB$2:$DB$60=C$1),0),$A34-1966)</f>
        <v>5.45</v>
      </c>
      <c r="D34" s="26" cm="1">
        <f t="array" ref="D34">INDEX(GMW!$A$2:$DB$60,MATCH(1,(GMW!$DA$2:$DA$60=D$3)*(GMW!$DB$2:$DB$60=D$1),0),$A34-1966)</f>
        <v>1866820</v>
      </c>
      <c r="E34" s="26" cm="1">
        <f t="array" ref="E34">INDEX(GMW!$A$2:$DB$60,MATCH(1,(GMW!$DA$2:$DA$60=E$3)*(GMW!$DB$2:$DB$60=E$1),0),$A34-1966)</f>
        <v>1983000</v>
      </c>
      <c r="F34" s="26" cm="1">
        <f t="array" ref="F34">INDEX(GMW!$A$2:$DB$60,MATCH(1,(GMW!$DA$2:$DA$60=F$3)*(GMW!$DB$2:$DB$60=F$1),0),$A34-1966)</f>
        <v>27515.48</v>
      </c>
      <c r="G34" s="26" cm="1">
        <f t="array" ref="G34">INDEX(GMW!$A$2:$DB$60,MATCH(1,(GMW!$DA$2:$DA$60=G$3)*(GMW!$DB$2:$DB$60=G$1),0),$A34-1966)</f>
        <v>32.6</v>
      </c>
      <c r="H34" s="26" cm="1">
        <f t="array" ref="H34">INDEX(GMW!$A$2:$DB$60,MATCH(1,(GMW!$DA$2:$DA$60=H$3)*(GMW!$DB$2:$DB$60=H$1),0),$A34-1966)</f>
        <v>383089.9</v>
      </c>
      <c r="I34" s="26" cm="1">
        <f t="array" ref="I34">INDEX(GMW!$A$2:$DB$60,MATCH(1,(GMW!$DA$2:$DA$60=I$3)*(GMW!$DB$2:$DB$60=I$1),0),$A34-1966)</f>
        <v>38407.35</v>
      </c>
      <c r="J34" s="26" cm="1">
        <f t="array" ref="J34">INDEX(GMW!$A$2:$DB$60,MATCH(1,(GMW!$DA$2:$DA$60=J$3)*(GMW!$DB$2:$DB$60=J$1),0),$A34-1966)</f>
        <v>-1.6143670000000001</v>
      </c>
      <c r="K34" s="26" cm="1">
        <f t="array" ref="K34">INDEX(GMW!$A$2:$DB$60,MATCH(1,(GMW!$DA$2:$DA$60=K$3)*(GMW!$DB$2:$DB$60=K$1),0),$A34-1966)</f>
        <v>27483.5</v>
      </c>
      <c r="L34" s="26" cm="1">
        <f t="array" ref="L34">INDEX(GMW!$A$2:$DB$60,MATCH(1,(GMW!$DA$2:$DA$60=L$3)*(GMW!$DB$2:$DB$60=L$1),0),$A34-1966)</f>
        <v>58915.94</v>
      </c>
      <c r="M34" s="26" cm="1">
        <f t="array" ref="M34">INDEX(GMW!$A$2:$DB$60,MATCH(1,(GMW!$DA$2:$DA$60=M$3)*(GMW!$DB$2:$DB$60=M$1),0),$A34-1966)</f>
        <v>36175.06</v>
      </c>
      <c r="N34" s="26" cm="1">
        <f t="array" ref="N34">INDEX(GMW!$A$2:$DB$60,MATCH(1,(GMW!$DA$2:$DA$60=N$3)*(GMW!$DB$2:$DB$60=N$1),0),$A34-1966)</f>
        <v>-16426</v>
      </c>
      <c r="O34" s="26" cm="1">
        <f t="array" ref="O34">INDEX(GMW!$A$2:$DB$60,MATCH(1,(GMW!$DA$2:$DA$60=O$3)*(GMW!$DB$2:$DB$60=O$1),0),$A34-1966)</f>
        <v>333300</v>
      </c>
      <c r="P34" s="26" cm="1">
        <f t="array" ref="P34">INDEX(GMW!$A$2:$DB$60,MATCH(1,(GMW!$DA$2:$DA$60=P$3)*(GMW!$DB$2:$DB$60=P$1),0),$A34-1966)</f>
        <v>1104759</v>
      </c>
    </row>
    <row r="35" spans="1:16">
      <c r="A35" s="26">
        <f t="shared" si="1"/>
        <v>2001</v>
      </c>
      <c r="B35" s="26" cm="1">
        <f t="array" ref="B35">INDEX(GMW!$A$2:$DB$60,MATCH(1,(GMW!$DA$2:$DA$60=B$3)*(GMW!$DB$2:$DB$60=B$1),0),$A35-1966)</f>
        <v>1986393</v>
      </c>
      <c r="C35" s="26" cm="1">
        <f t="array" ref="C35">INDEX(GMW!$A$2:$DB$60,MATCH(1,(GMW!$DA$2:$DA$60=C$3)*(GMW!$DB$2:$DB$60=C$1),0),$A35-1966)</f>
        <v>5.0999999999999996</v>
      </c>
      <c r="D35" s="26" cm="1">
        <f t="array" ref="D35">INDEX(GMW!$A$2:$DB$60,MATCH(1,(GMW!$DA$2:$DA$60=D$3)*(GMW!$DB$2:$DB$60=D$1),0),$A35-1966)</f>
        <v>1923900</v>
      </c>
      <c r="E35" s="26" cm="1">
        <f t="array" ref="E35">INDEX(GMW!$A$2:$DB$60,MATCH(1,(GMW!$DA$2:$DA$60=E$3)*(GMW!$DB$2:$DB$60=E$1),0),$A35-1966)</f>
        <v>2038000</v>
      </c>
      <c r="F35" s="26" cm="1">
        <f t="array" ref="F35">INDEX(GMW!$A$2:$DB$60,MATCH(1,(GMW!$DA$2:$DA$60=F$3)*(GMW!$DB$2:$DB$60=F$1),0),$A35-1966)</f>
        <v>27733.68</v>
      </c>
      <c r="G35" s="26" cm="1">
        <f t="array" ref="G35">INDEX(GMW!$A$2:$DB$60,MATCH(1,(GMW!$DA$2:$DA$60=G$3)*(GMW!$DB$2:$DB$60=G$1),0),$A35-1966)</f>
        <v>32.674999999999997</v>
      </c>
      <c r="H35" s="26" cm="1">
        <f t="array" ref="H35">INDEX(GMW!$A$2:$DB$60,MATCH(1,(GMW!$DA$2:$DA$60=H$3)*(GMW!$DB$2:$DB$60=H$1),0),$A35-1966)</f>
        <v>395262.5</v>
      </c>
      <c r="I35" s="26" cm="1">
        <f t="array" ref="I35">INDEX(GMW!$A$2:$DB$60,MATCH(1,(GMW!$DA$2:$DA$60=I$3)*(GMW!$DB$2:$DB$60=I$1),0),$A35-1966)</f>
        <v>38667.29</v>
      </c>
      <c r="J35" s="26" cm="1">
        <f t="array" ref="J35">INDEX(GMW!$A$2:$DB$60,MATCH(1,(GMW!$DA$2:$DA$60=J$3)*(GMW!$DB$2:$DB$60=J$1),0),$A35-1966)</f>
        <v>-1.6085130000000001</v>
      </c>
      <c r="K35" s="26" cm="1">
        <f t="array" ref="K35">INDEX(GMW!$A$2:$DB$60,MATCH(1,(GMW!$DA$2:$DA$60=K$3)*(GMW!$DB$2:$DB$60=K$1),0),$A35-1966)</f>
        <v>27712</v>
      </c>
      <c r="L35" s="26" cm="1">
        <f t="array" ref="L35">INDEX(GMW!$A$2:$DB$60,MATCH(1,(GMW!$DA$2:$DA$60=L$3)*(GMW!$DB$2:$DB$60=L$1),0),$A35-1966)</f>
        <v>59146.25</v>
      </c>
      <c r="M35" s="26" cm="1">
        <f t="array" ref="M35">INDEX(GMW!$A$2:$DB$60,MATCH(1,(GMW!$DA$2:$DA$60=M$3)*(GMW!$DB$2:$DB$60=M$1),0),$A35-1966)</f>
        <v>36435.72</v>
      </c>
      <c r="N35" s="26" cm="1">
        <f t="array" ref="N35">INDEX(GMW!$A$2:$DB$60,MATCH(1,(GMW!$DA$2:$DA$60=N$3)*(GMW!$DB$2:$DB$60=N$1),0),$A35-1966)</f>
        <v>-3107</v>
      </c>
      <c r="O35" s="26" cm="1">
        <f t="array" ref="O35">INDEX(GMW!$A$2:$DB$60,MATCH(1,(GMW!$DA$2:$DA$60=O$3)*(GMW!$DB$2:$DB$60=O$1),0),$A35-1966)</f>
        <v>335500</v>
      </c>
      <c r="P35" s="26" cm="1">
        <f t="array" ref="P35">INDEX(GMW!$A$2:$DB$60,MATCH(1,(GMW!$DA$2:$DA$60=P$3)*(GMW!$DB$2:$DB$60=P$1),0),$A35-1966)</f>
        <v>1150542</v>
      </c>
    </row>
    <row r="36" spans="1:16">
      <c r="A36" s="26">
        <f t="shared" si="1"/>
        <v>2002</v>
      </c>
      <c r="B36" s="26" cm="1">
        <f t="array" ref="B36">INDEX(GMW!$A$2:$DB$60,MATCH(1,(GMW!$DA$2:$DA$60=B$3)*(GMW!$DB$2:$DB$60=B$1),0),$A36-1966)</f>
        <v>2020341</v>
      </c>
      <c r="C36" s="26" cm="1">
        <f t="array" ref="C36">INDEX(GMW!$A$2:$DB$60,MATCH(1,(GMW!$DA$2:$DA$60=C$3)*(GMW!$DB$2:$DB$60=C$1),0),$A36-1966)</f>
        <v>5.2</v>
      </c>
      <c r="D36" s="26" cm="1">
        <f t="array" ref="D36">INDEX(GMW!$A$2:$DB$60,MATCH(1,(GMW!$DA$2:$DA$60=D$3)*(GMW!$DB$2:$DB$60=D$1),0),$A36-1966)</f>
        <v>1969294</v>
      </c>
      <c r="E36" s="26" cm="1">
        <f t="array" ref="E36">INDEX(GMW!$A$2:$DB$60,MATCH(1,(GMW!$DA$2:$DA$60=E$3)*(GMW!$DB$2:$DB$60=E$1),0),$A36-1966)</f>
        <v>2081000</v>
      </c>
      <c r="F36" s="26" cm="1">
        <f t="array" ref="F36">INDEX(GMW!$A$2:$DB$60,MATCH(1,(GMW!$DA$2:$DA$60=F$3)*(GMW!$DB$2:$DB$60=F$1),0),$A36-1966)</f>
        <v>27999.35</v>
      </c>
      <c r="G36" s="26" cm="1">
        <f t="array" ref="G36">INDEX(GMW!$A$2:$DB$60,MATCH(1,(GMW!$DA$2:$DA$60=G$3)*(GMW!$DB$2:$DB$60=G$1),0),$A36-1966)</f>
        <v>32.325000000000003</v>
      </c>
      <c r="H36" s="26" cm="1">
        <f t="array" ref="H36">INDEX(GMW!$A$2:$DB$60,MATCH(1,(GMW!$DA$2:$DA$60=H$3)*(GMW!$DB$2:$DB$60=H$1),0),$A36-1966)</f>
        <v>410903.6</v>
      </c>
      <c r="I36" s="26" cm="1">
        <f t="array" ref="I36">INDEX(GMW!$A$2:$DB$60,MATCH(1,(GMW!$DA$2:$DA$60=I$3)*(GMW!$DB$2:$DB$60=I$1),0),$A36-1966)</f>
        <v>38934.07</v>
      </c>
      <c r="J36" s="26" cm="1">
        <f t="array" ref="J36">INDEX(GMW!$A$2:$DB$60,MATCH(1,(GMW!$DA$2:$DA$60=J$3)*(GMW!$DB$2:$DB$60=J$1),0),$A36-1966)</f>
        <v>-1.602681</v>
      </c>
      <c r="K36" s="26" cm="1">
        <f t="array" ref="K36">INDEX(GMW!$A$2:$DB$60,MATCH(1,(GMW!$DA$2:$DA$60=K$3)*(GMW!$DB$2:$DB$60=K$1),0),$A36-1966)</f>
        <v>27943.75</v>
      </c>
      <c r="L36" s="26" cm="1">
        <f t="array" ref="L36">INDEX(GMW!$A$2:$DB$60,MATCH(1,(GMW!$DA$2:$DA$60=L$3)*(GMW!$DB$2:$DB$60=L$1),0),$A36-1966)</f>
        <v>59401</v>
      </c>
      <c r="M36" s="26" cm="1">
        <f t="array" ref="M36">INDEX(GMW!$A$2:$DB$60,MATCH(1,(GMW!$DA$2:$DA$60=M$3)*(GMW!$DB$2:$DB$60=M$1),0),$A36-1966)</f>
        <v>36685.300000000003</v>
      </c>
      <c r="N36" s="26" cm="1">
        <f t="array" ref="N36">INDEX(GMW!$A$2:$DB$60,MATCH(1,(GMW!$DA$2:$DA$60=N$3)*(GMW!$DB$2:$DB$60=N$1),0),$A36-1966)</f>
        <v>26201</v>
      </c>
      <c r="O36" s="26" cm="1">
        <f t="array" ref="O36">INDEX(GMW!$A$2:$DB$60,MATCH(1,(GMW!$DA$2:$DA$60=O$3)*(GMW!$DB$2:$DB$60=O$1),0),$A36-1966)</f>
        <v>368700</v>
      </c>
      <c r="P36" s="26" cm="1">
        <f t="array" ref="P36">INDEX(GMW!$A$2:$DB$60,MATCH(1,(GMW!$DA$2:$DA$60=P$3)*(GMW!$DB$2:$DB$60=P$1),0),$A36-1966)</f>
        <v>1194646</v>
      </c>
    </row>
    <row r="37" spans="1:16">
      <c r="A37" s="26">
        <f t="shared" si="1"/>
        <v>2003</v>
      </c>
      <c r="B37" s="26" cm="1">
        <f t="array" ref="B37">INDEX(GMW!$A$2:$DB$60,MATCH(1,(GMW!$DA$2:$DA$60=B$3)*(GMW!$DB$2:$DB$60=B$1),0),$A37-1966)</f>
        <v>2085366</v>
      </c>
      <c r="C37" s="26" cm="1">
        <f t="array" ref="C37">INDEX(GMW!$A$2:$DB$60,MATCH(1,(GMW!$DA$2:$DA$60=C$3)*(GMW!$DB$2:$DB$60=C$1),0),$A37-1966)</f>
        <v>5</v>
      </c>
      <c r="D37" s="26" cm="1">
        <f t="array" ref="D37">INDEX(GMW!$A$2:$DB$60,MATCH(1,(GMW!$DA$2:$DA$60=D$3)*(GMW!$DB$2:$DB$60=D$1),0),$A37-1966)</f>
        <v>2018424</v>
      </c>
      <c r="E37" s="26" cm="1">
        <f t="array" ref="E37">INDEX(GMW!$A$2:$DB$60,MATCH(1,(GMW!$DA$2:$DA$60=E$3)*(GMW!$DB$2:$DB$60=E$1),0),$A37-1966)</f>
        <v>2118000</v>
      </c>
      <c r="F37" s="26" cm="1">
        <f t="array" ref="F37">INDEX(GMW!$A$2:$DB$60,MATCH(1,(GMW!$DA$2:$DA$60=F$3)*(GMW!$DB$2:$DB$60=F$1),0),$A37-1966)</f>
        <v>28224.98</v>
      </c>
      <c r="G37" s="26" cm="1">
        <f t="array" ref="G37">INDEX(GMW!$A$2:$DB$60,MATCH(1,(GMW!$DA$2:$DA$60=G$3)*(GMW!$DB$2:$DB$60=G$1),0),$A37-1966)</f>
        <v>32.15</v>
      </c>
      <c r="H37" s="26" cm="1">
        <f t="array" ref="H37">INDEX(GMW!$A$2:$DB$60,MATCH(1,(GMW!$DA$2:$DA$60=H$3)*(GMW!$DB$2:$DB$60=H$1),0),$A37-1966)</f>
        <v>428210.7</v>
      </c>
      <c r="I37" s="26" cm="1">
        <f t="array" ref="I37">INDEX(GMW!$A$2:$DB$60,MATCH(1,(GMW!$DA$2:$DA$60=I$3)*(GMW!$DB$2:$DB$60=I$1),0),$A37-1966)</f>
        <v>39208.639999999999</v>
      </c>
      <c r="J37" s="26" cm="1">
        <f t="array" ref="J37">INDEX(GMW!$A$2:$DB$60,MATCH(1,(GMW!$DA$2:$DA$60=J$3)*(GMW!$DB$2:$DB$60=J$1),0),$A37-1966)</f>
        <v>-1.59687</v>
      </c>
      <c r="K37" s="26" cm="1">
        <f t="array" ref="K37">INDEX(GMW!$A$2:$DB$60,MATCH(1,(GMW!$DA$2:$DA$60=K$3)*(GMW!$DB$2:$DB$60=K$1),0),$A37-1966)</f>
        <v>28221.25</v>
      </c>
      <c r="L37" s="26" cm="1">
        <f t="array" ref="L37">INDEX(GMW!$A$2:$DB$60,MATCH(1,(GMW!$DA$2:$DA$60=L$3)*(GMW!$DB$2:$DB$60=L$1),0),$A37-1966)</f>
        <v>59678.75</v>
      </c>
      <c r="M37" s="26" cm="1">
        <f t="array" ref="M37">INDEX(GMW!$A$2:$DB$60,MATCH(1,(GMW!$DA$2:$DA$60=M$3)*(GMW!$DB$2:$DB$60=M$1),0),$A37-1966)</f>
        <v>36916.480000000003</v>
      </c>
      <c r="N37" s="26" cm="1">
        <f t="array" ref="N37">INDEX(GMW!$A$2:$DB$60,MATCH(1,(GMW!$DA$2:$DA$60=N$3)*(GMW!$DB$2:$DB$60=N$1),0),$A37-1966)</f>
        <v>46394</v>
      </c>
      <c r="O37" s="26" cm="1">
        <f t="array" ref="O37">INDEX(GMW!$A$2:$DB$60,MATCH(1,(GMW!$DA$2:$DA$60=O$3)*(GMW!$DB$2:$DB$60=O$1),0),$A37-1966)</f>
        <v>404600</v>
      </c>
      <c r="P37" s="26" cm="1">
        <f t="array" ref="P37">INDEX(GMW!$A$2:$DB$60,MATCH(1,(GMW!$DA$2:$DA$60=P$3)*(GMW!$DB$2:$DB$60=P$1),0),$A37-1966)</f>
        <v>1262502</v>
      </c>
    </row>
    <row r="38" spans="1:16">
      <c r="A38" s="26">
        <f t="shared" si="1"/>
        <v>2004</v>
      </c>
      <c r="B38" s="26" cm="1">
        <f t="array" ref="B38">INDEX(GMW!$A$2:$DB$60,MATCH(1,(GMW!$DA$2:$DA$60=B$3)*(GMW!$DB$2:$DB$60=B$1),0),$A38-1966)</f>
        <v>2133872</v>
      </c>
      <c r="C38" s="26" cm="1">
        <f t="array" ref="C38">INDEX(GMW!$A$2:$DB$60,MATCH(1,(GMW!$DA$2:$DA$60=C$3)*(GMW!$DB$2:$DB$60=C$1),0),$A38-1966)</f>
        <v>4.75</v>
      </c>
      <c r="D38" s="26" cm="1">
        <f t="array" ref="D38">INDEX(GMW!$A$2:$DB$60,MATCH(1,(GMW!$DA$2:$DA$60=D$3)*(GMW!$DB$2:$DB$60=D$1),0),$A38-1966)</f>
        <v>2069413</v>
      </c>
      <c r="E38" s="26" cm="1">
        <f t="array" ref="E38">INDEX(GMW!$A$2:$DB$60,MATCH(1,(GMW!$DA$2:$DA$60=E$3)*(GMW!$DB$2:$DB$60=E$1),0),$A38-1966)</f>
        <v>2149000</v>
      </c>
      <c r="F38" s="26" cm="1">
        <f t="array" ref="F38">INDEX(GMW!$A$2:$DB$60,MATCH(1,(GMW!$DA$2:$DA$60=F$3)*(GMW!$DB$2:$DB$60=F$1),0),$A38-1966)</f>
        <v>28456.06</v>
      </c>
      <c r="G38" s="26" cm="1">
        <f t="array" ref="G38">INDEX(GMW!$A$2:$DB$60,MATCH(1,(GMW!$DA$2:$DA$60=G$3)*(GMW!$DB$2:$DB$60=G$1),0),$A38-1966)</f>
        <v>32.075000000000003</v>
      </c>
      <c r="H38" s="26" cm="1">
        <f t="array" ref="H38">INDEX(GMW!$A$2:$DB$60,MATCH(1,(GMW!$DA$2:$DA$60=H$3)*(GMW!$DB$2:$DB$60=H$1),0),$A38-1966)</f>
        <v>445699.5</v>
      </c>
      <c r="I38" s="26" cm="1">
        <f t="array" ref="I38">INDEX(GMW!$A$2:$DB$60,MATCH(1,(GMW!$DA$2:$DA$60=I$3)*(GMW!$DB$2:$DB$60=I$1),0),$A38-1966)</f>
        <v>39524.449999999997</v>
      </c>
      <c r="J38" s="26" cm="1">
        <f t="array" ref="J38">INDEX(GMW!$A$2:$DB$60,MATCH(1,(GMW!$DA$2:$DA$60=J$3)*(GMW!$DB$2:$DB$60=J$1),0),$A38-1966)</f>
        <v>-1.59108</v>
      </c>
      <c r="K38" s="26" cm="1">
        <f t="array" ref="K38">INDEX(GMW!$A$2:$DB$60,MATCH(1,(GMW!$DA$2:$DA$60=K$3)*(GMW!$DB$2:$DB$60=K$1),0),$A38-1966)</f>
        <v>28530</v>
      </c>
      <c r="L38" s="26" cm="1">
        <f t="array" ref="L38">INDEX(GMW!$A$2:$DB$60,MATCH(1,(GMW!$DA$2:$DA$60=L$3)*(GMW!$DB$2:$DB$60=L$1),0),$A38-1966)</f>
        <v>60017.25</v>
      </c>
      <c r="M38" s="26" cm="1">
        <f t="array" ref="M38">INDEX(GMW!$A$2:$DB$60,MATCH(1,(GMW!$DA$2:$DA$60=M$3)*(GMW!$DB$2:$DB$60=M$1),0),$A38-1966)</f>
        <v>37197</v>
      </c>
      <c r="N38" s="26" cm="1">
        <f t="array" ref="N38">INDEX(GMW!$A$2:$DB$60,MATCH(1,(GMW!$DA$2:$DA$60=N$3)*(GMW!$DB$2:$DB$60=N$1),0),$A38-1966)</f>
        <v>48574</v>
      </c>
      <c r="O38" s="26" cm="1">
        <f t="array" ref="O38">INDEX(GMW!$A$2:$DB$60,MATCH(1,(GMW!$DA$2:$DA$60=O$3)*(GMW!$DB$2:$DB$60=O$1),0),$A38-1966)</f>
        <v>463800</v>
      </c>
      <c r="P38" s="26" cm="1">
        <f t="array" ref="P38">INDEX(GMW!$A$2:$DB$60,MATCH(1,(GMW!$DA$2:$DA$60=P$3)*(GMW!$DB$2:$DB$60=P$1),0),$A38-1966)</f>
        <v>1327143</v>
      </c>
    </row>
    <row r="39" spans="1:16">
      <c r="A39" s="26">
        <f t="shared" si="1"/>
        <v>2005</v>
      </c>
      <c r="B39" s="26" cm="1">
        <f t="array" ref="B39">INDEX(GMW!$A$2:$DB$60,MATCH(1,(GMW!$DA$2:$DA$60=B$3)*(GMW!$DB$2:$DB$60=B$1),0),$A39-1966)</f>
        <v>2193421</v>
      </c>
      <c r="C39" s="26" cm="1">
        <f t="array" ref="C39">INDEX(GMW!$A$2:$DB$60,MATCH(1,(GMW!$DA$2:$DA$60=C$3)*(GMW!$DB$2:$DB$60=C$1),0),$A39-1966)</f>
        <v>4.8250000000000002</v>
      </c>
      <c r="D39" s="26" cm="1">
        <f t="array" ref="D39">INDEX(GMW!$A$2:$DB$60,MATCH(1,(GMW!$DA$2:$DA$60=D$3)*(GMW!$DB$2:$DB$60=D$1),0),$A39-1966)</f>
        <v>2130628</v>
      </c>
      <c r="E39" s="26" cm="1">
        <f t="array" ref="E39">INDEX(GMW!$A$2:$DB$60,MATCH(1,(GMW!$DA$2:$DA$60=E$3)*(GMW!$DB$2:$DB$60=E$1),0),$A39-1966)</f>
        <v>2193000</v>
      </c>
      <c r="F39" s="26" cm="1">
        <f t="array" ref="F39">INDEX(GMW!$A$2:$DB$60,MATCH(1,(GMW!$DA$2:$DA$60=F$3)*(GMW!$DB$2:$DB$60=F$1),0),$A39-1966)</f>
        <v>28798.3</v>
      </c>
      <c r="G39" s="26" cm="1">
        <f t="array" ref="G39">INDEX(GMW!$A$2:$DB$60,MATCH(1,(GMW!$DA$2:$DA$60=G$3)*(GMW!$DB$2:$DB$60=G$1),0),$A39-1966)</f>
        <v>32.174999999999997</v>
      </c>
      <c r="H39" s="26" cm="1">
        <f t="array" ref="H39">INDEX(GMW!$A$2:$DB$60,MATCH(1,(GMW!$DA$2:$DA$60=H$3)*(GMW!$DB$2:$DB$60=H$1),0),$A39-1966)</f>
        <v>462180.4</v>
      </c>
      <c r="I39" s="26" cm="1">
        <f t="array" ref="I39">INDEX(GMW!$A$2:$DB$60,MATCH(1,(GMW!$DA$2:$DA$60=I$3)*(GMW!$DB$2:$DB$60=I$1),0),$A39-1966)</f>
        <v>39942.1</v>
      </c>
      <c r="J39" s="26" cm="1">
        <f t="array" ref="J39">INDEX(GMW!$A$2:$DB$60,MATCH(1,(GMW!$DA$2:$DA$60=J$3)*(GMW!$DB$2:$DB$60=J$1),0),$A39-1966)</f>
        <v>-1.5853109999999999</v>
      </c>
      <c r="K39" s="26" cm="1">
        <f t="array" ref="K39">INDEX(GMW!$A$2:$DB$60,MATCH(1,(GMW!$DA$2:$DA$60=K$3)*(GMW!$DB$2:$DB$60=K$1),0),$A39-1966)</f>
        <v>28849.75</v>
      </c>
      <c r="L39" s="26" cm="1">
        <f t="array" ref="L39">INDEX(GMW!$A$2:$DB$60,MATCH(1,(GMW!$DA$2:$DA$60=L$3)*(GMW!$DB$2:$DB$60=L$1),0),$A39-1966)</f>
        <v>60461.69</v>
      </c>
      <c r="M39" s="26" cm="1">
        <f t="array" ref="M39">INDEX(GMW!$A$2:$DB$60,MATCH(1,(GMW!$DA$2:$DA$60=M$3)*(GMW!$DB$2:$DB$60=M$1),0),$A39-1966)</f>
        <v>37558.839999999997</v>
      </c>
      <c r="N39" s="26" cm="1">
        <f t="array" ref="N39">INDEX(GMW!$A$2:$DB$60,MATCH(1,(GMW!$DA$2:$DA$60=N$3)*(GMW!$DB$2:$DB$60=N$1),0),$A39-1966)</f>
        <v>48446</v>
      </c>
      <c r="O39" s="26" cm="1">
        <f t="array" ref="O39">INDEX(GMW!$A$2:$DB$60,MATCH(1,(GMW!$DA$2:$DA$60=O$3)*(GMW!$DB$2:$DB$60=O$1),0),$A39-1966)</f>
        <v>503500</v>
      </c>
      <c r="P39" s="26" cm="1">
        <f t="array" ref="P39">INDEX(GMW!$A$2:$DB$60,MATCH(1,(GMW!$DA$2:$DA$60=P$3)*(GMW!$DB$2:$DB$60=P$1),0),$A39-1966)</f>
        <v>1403249</v>
      </c>
    </row>
    <row r="40" spans="1:16">
      <c r="A40" s="26">
        <f t="shared" si="1"/>
        <v>2006</v>
      </c>
      <c r="B40" s="26" cm="1">
        <f t="array" ref="B40">INDEX(GMW!$A$2:$DB$60,MATCH(1,(GMW!$DA$2:$DA$60=B$3)*(GMW!$DB$2:$DB$60=B$1),0),$A40-1966)</f>
        <v>2241453</v>
      </c>
      <c r="C40" s="26" cm="1">
        <f t="array" ref="C40">INDEX(GMW!$A$2:$DB$60,MATCH(1,(GMW!$DA$2:$DA$60=C$3)*(GMW!$DB$2:$DB$60=C$1),0),$A40-1966)</f>
        <v>5.4249999999999998</v>
      </c>
      <c r="D40" s="26" cm="1">
        <f t="array" ref="D40">INDEX(GMW!$A$2:$DB$60,MATCH(1,(GMW!$DA$2:$DA$60=D$3)*(GMW!$DB$2:$DB$60=D$1),0),$A40-1966)</f>
        <v>2188892</v>
      </c>
      <c r="E40" s="26" cm="1">
        <f t="array" ref="E40">INDEX(GMW!$A$2:$DB$60,MATCH(1,(GMW!$DA$2:$DA$60=E$3)*(GMW!$DB$2:$DB$60=E$1),0),$A40-1966)</f>
        <v>2239000</v>
      </c>
      <c r="F40" s="26" cm="1">
        <f t="array" ref="F40">INDEX(GMW!$A$2:$DB$60,MATCH(1,(GMW!$DA$2:$DA$60=F$3)*(GMW!$DB$2:$DB$60=F$1),0),$A40-1966)</f>
        <v>29268.07</v>
      </c>
      <c r="G40" s="26" cm="1">
        <f t="array" ref="G40">INDEX(GMW!$A$2:$DB$60,MATCH(1,(GMW!$DA$2:$DA$60=G$3)*(GMW!$DB$2:$DB$60=G$1),0),$A40-1966)</f>
        <v>32.049999999999997</v>
      </c>
      <c r="H40" s="26" cm="1">
        <f t="array" ref="H40">INDEX(GMW!$A$2:$DB$60,MATCH(1,(GMW!$DA$2:$DA$60=H$3)*(GMW!$DB$2:$DB$60=H$1),0),$A40-1966)</f>
        <v>476476.1</v>
      </c>
      <c r="I40" s="26" cm="1">
        <f t="array" ref="I40">INDEX(GMW!$A$2:$DB$60,MATCH(1,(GMW!$DA$2:$DA$60=I$3)*(GMW!$DB$2:$DB$60=I$1),0),$A40-1966)</f>
        <v>40350.639999999999</v>
      </c>
      <c r="J40" s="26" cm="1">
        <f t="array" ref="J40">INDEX(GMW!$A$2:$DB$60,MATCH(1,(GMW!$DA$2:$DA$60=J$3)*(GMW!$DB$2:$DB$60=J$1),0),$A40-1966)</f>
        <v>-1.5795630000000001</v>
      </c>
      <c r="K40" s="26" cm="1">
        <f t="array" ref="K40">INDEX(GMW!$A$2:$DB$60,MATCH(1,(GMW!$DA$2:$DA$60=K$3)*(GMW!$DB$2:$DB$60=K$1),0),$A40-1966)</f>
        <v>29137.75</v>
      </c>
      <c r="L40" s="26" cm="1">
        <f t="array" ref="L40">INDEX(GMW!$A$2:$DB$60,MATCH(1,(GMW!$DA$2:$DA$60=L$3)*(GMW!$DB$2:$DB$60=L$1),0),$A40-1966)</f>
        <v>60893.38</v>
      </c>
      <c r="M40" s="26" cm="1">
        <f t="array" ref="M40">INDEX(GMW!$A$2:$DB$60,MATCH(1,(GMW!$DA$2:$DA$60=M$3)*(GMW!$DB$2:$DB$60=M$1),0),$A40-1966)</f>
        <v>37877.599999999999</v>
      </c>
      <c r="N40" s="26" cm="1">
        <f t="array" ref="N40">INDEX(GMW!$A$2:$DB$60,MATCH(1,(GMW!$DA$2:$DA$60=N$3)*(GMW!$DB$2:$DB$60=N$1),0),$A40-1966)</f>
        <v>43613</v>
      </c>
      <c r="O40" s="26" cm="1">
        <f t="array" ref="O40">INDEX(GMW!$A$2:$DB$60,MATCH(1,(GMW!$DA$2:$DA$60=O$3)*(GMW!$DB$2:$DB$60=O$1),0),$A40-1966)</f>
        <v>539000</v>
      </c>
      <c r="P40" s="26" cm="1">
        <f t="array" ref="P40">INDEX(GMW!$A$2:$DB$60,MATCH(1,(GMW!$DA$2:$DA$60=P$3)*(GMW!$DB$2:$DB$60=P$1),0),$A40-1966)</f>
        <v>1478080</v>
      </c>
    </row>
    <row r="41" spans="1:16">
      <c r="A41" s="26">
        <f t="shared" si="1"/>
        <v>2007</v>
      </c>
      <c r="B41" s="26" cm="1">
        <f t="array" ref="B41">INDEX(GMW!$A$2:$DB$60,MATCH(1,(GMW!$DA$2:$DA$60=B$3)*(GMW!$DB$2:$DB$60=B$1),0),$A41-1966)</f>
        <v>2307148</v>
      </c>
      <c r="C41" s="26" cm="1">
        <f t="array" ref="C41">INDEX(GMW!$A$2:$DB$60,MATCH(1,(GMW!$DA$2:$DA$60=C$3)*(GMW!$DB$2:$DB$60=C$1),0),$A41-1966)</f>
        <v>5.35</v>
      </c>
      <c r="D41" s="26" cm="1">
        <f t="array" ref="D41">INDEX(GMW!$A$2:$DB$60,MATCH(1,(GMW!$DA$2:$DA$60=D$3)*(GMW!$DB$2:$DB$60=D$1),0),$A41-1966)</f>
        <v>2236227</v>
      </c>
      <c r="E41" s="26" cm="1">
        <f t="array" ref="E41">INDEX(GMW!$A$2:$DB$60,MATCH(1,(GMW!$DA$2:$DA$60=E$3)*(GMW!$DB$2:$DB$60=E$1),0),$A41-1966)</f>
        <v>2304000</v>
      </c>
      <c r="F41" s="26" cm="1">
        <f t="array" ref="F41">INDEX(GMW!$A$2:$DB$60,MATCH(1,(GMW!$DA$2:$DA$60=F$3)*(GMW!$DB$2:$DB$60=F$1),0),$A41-1966)</f>
        <v>29481.35</v>
      </c>
      <c r="G41" s="26" cm="1">
        <f t="array" ref="G41">INDEX(GMW!$A$2:$DB$60,MATCH(1,(GMW!$DA$2:$DA$60=G$3)*(GMW!$DB$2:$DB$60=G$1),0),$A41-1966)</f>
        <v>32.075000000000003</v>
      </c>
      <c r="H41" s="26" cm="1">
        <f t="array" ref="H41">INDEX(GMW!$A$2:$DB$60,MATCH(1,(GMW!$DA$2:$DA$60=H$3)*(GMW!$DB$2:$DB$60=H$1),0),$A41-1966)</f>
        <v>489499.2</v>
      </c>
      <c r="I41" s="26" cm="1">
        <f t="array" ref="I41">INDEX(GMW!$A$2:$DB$60,MATCH(1,(GMW!$DA$2:$DA$60=I$3)*(GMW!$DB$2:$DB$60=I$1),0),$A41-1966)</f>
        <v>40723.550000000003</v>
      </c>
      <c r="J41" s="26" cm="1">
        <f t="array" ref="J41">INDEX(GMW!$A$2:$DB$60,MATCH(1,(GMW!$DA$2:$DA$60=J$3)*(GMW!$DB$2:$DB$60=J$1),0),$A41-1966)</f>
        <v>-1.5770169999999999</v>
      </c>
      <c r="K41" s="26" cm="1">
        <f t="array" ref="K41">INDEX(GMW!$A$2:$DB$60,MATCH(1,(GMW!$DA$2:$DA$60=K$3)*(GMW!$DB$2:$DB$60=K$1),0),$A41-1966)</f>
        <v>29378</v>
      </c>
      <c r="L41" s="26" cm="1">
        <f t="array" ref="L41">INDEX(GMW!$A$2:$DB$60,MATCH(1,(GMW!$DA$2:$DA$60=L$3)*(GMW!$DB$2:$DB$60=L$1),0),$A41-1966)</f>
        <v>61382.94</v>
      </c>
      <c r="M41" s="26" cm="1">
        <f t="array" ref="M41">INDEX(GMW!$A$2:$DB$60,MATCH(1,(GMW!$DA$2:$DA$60=M$3)*(GMW!$DB$2:$DB$60=M$1),0),$A41-1966)</f>
        <v>38141.879999999997</v>
      </c>
      <c r="N41" s="26" cm="1">
        <f t="array" ref="N41">INDEX(GMW!$A$2:$DB$60,MATCH(1,(GMW!$DA$2:$DA$60=N$3)*(GMW!$DB$2:$DB$60=N$1),0),$A41-1966)</f>
        <v>41813</v>
      </c>
      <c r="O41" s="26" cm="1">
        <f t="array" ref="O41">INDEX(GMW!$A$2:$DB$60,MATCH(1,(GMW!$DA$2:$DA$60=O$3)*(GMW!$DB$2:$DB$60=O$1),0),$A41-1966)</f>
        <v>574700</v>
      </c>
      <c r="P41" s="26" cm="1">
        <f t="array" ref="P41">INDEX(GMW!$A$2:$DB$60,MATCH(1,(GMW!$DA$2:$DA$60=P$3)*(GMW!$DB$2:$DB$60=P$1),0),$A41-1966)</f>
        <v>1551729</v>
      </c>
    </row>
    <row r="42" spans="1:16">
      <c r="A42" s="26">
        <f t="shared" si="1"/>
        <v>2008</v>
      </c>
      <c r="B42" s="26" cm="1">
        <f t="array" ref="B42">INDEX(GMW!$A$2:$DB$60,MATCH(1,(GMW!$DA$2:$DA$60=B$3)*(GMW!$DB$2:$DB$60=B$1),0),$A42-1966)</f>
        <v>2306008</v>
      </c>
      <c r="C42" s="26" cm="1">
        <f t="array" ref="C42">INDEX(GMW!$A$2:$DB$60,MATCH(1,(GMW!$DA$2:$DA$60=C$3)*(GMW!$DB$2:$DB$60=C$1),0),$A42-1966)</f>
        <v>5.7249999999999996</v>
      </c>
      <c r="D42" s="26" cm="1">
        <f t="array" ref="D42">INDEX(GMW!$A$2:$DB$60,MATCH(1,(GMW!$DA$2:$DA$60=D$3)*(GMW!$DB$2:$DB$60=D$1),0),$A42-1966)</f>
        <v>2282011</v>
      </c>
      <c r="E42" s="26" cm="1">
        <f t="array" ref="E42">INDEX(GMW!$A$2:$DB$60,MATCH(1,(GMW!$DA$2:$DA$60=E$3)*(GMW!$DB$2:$DB$60=E$1),0),$A42-1966)</f>
        <v>2370000</v>
      </c>
      <c r="F42" s="26" cm="1">
        <f t="array" ref="F42">INDEX(GMW!$A$2:$DB$60,MATCH(1,(GMW!$DA$2:$DA$60=F$3)*(GMW!$DB$2:$DB$60=F$1),0),$A42-1966)</f>
        <v>29844.01</v>
      </c>
      <c r="G42" s="26" cm="1">
        <f t="array" ref="G42">INDEX(GMW!$A$2:$DB$60,MATCH(1,(GMW!$DA$2:$DA$60=G$3)*(GMW!$DB$2:$DB$60=G$1),0),$A42-1966)</f>
        <v>31.975000000000001</v>
      </c>
      <c r="H42" s="26" cm="1">
        <f t="array" ref="H42">INDEX(GMW!$A$2:$DB$60,MATCH(1,(GMW!$DA$2:$DA$60=H$3)*(GMW!$DB$2:$DB$60=H$1),0),$A42-1966)</f>
        <v>500453.1</v>
      </c>
      <c r="I42" s="26" cm="1">
        <f t="array" ref="I42">INDEX(GMW!$A$2:$DB$60,MATCH(1,(GMW!$DA$2:$DA$60=I$3)*(GMW!$DB$2:$DB$60=I$1),0),$A42-1966)</f>
        <v>41014.32</v>
      </c>
      <c r="J42" s="26" cm="1">
        <f t="array" ref="J42">INDEX(GMW!$A$2:$DB$60,MATCH(1,(GMW!$DA$2:$DA$60=J$3)*(GMW!$DB$2:$DB$60=J$1),0),$A42-1966)</f>
        <v>-1.5771360000000001</v>
      </c>
      <c r="K42" s="26" cm="1">
        <f t="array" ref="K42">INDEX(GMW!$A$2:$DB$60,MATCH(1,(GMW!$DA$2:$DA$60=K$3)*(GMW!$DB$2:$DB$60=K$1),0),$A42-1966)</f>
        <v>29628.5</v>
      </c>
      <c r="L42" s="26" cm="1">
        <f t="array" ref="L42">INDEX(GMW!$A$2:$DB$60,MATCH(1,(GMW!$DA$2:$DA$60=L$3)*(GMW!$DB$2:$DB$60=L$1),0),$A42-1966)</f>
        <v>61874.38</v>
      </c>
      <c r="M42" s="26" cm="1">
        <f t="array" ref="M42">INDEX(GMW!$A$2:$DB$60,MATCH(1,(GMW!$DA$2:$DA$60=M$3)*(GMW!$DB$2:$DB$60=M$1),0),$A42-1966)</f>
        <v>38372.89</v>
      </c>
      <c r="N42" s="26" cm="1">
        <f t="array" ref="N42">INDEX(GMW!$A$2:$DB$60,MATCH(1,(GMW!$DA$2:$DA$60=N$3)*(GMW!$DB$2:$DB$60=N$1),0),$A42-1966)</f>
        <v>87979</v>
      </c>
      <c r="O42" s="26" cm="1">
        <f t="array" ref="O42">INDEX(GMW!$A$2:$DB$60,MATCH(1,(GMW!$DA$2:$DA$60=O$3)*(GMW!$DB$2:$DB$60=O$1),0),$A42-1966)</f>
        <v>749900</v>
      </c>
      <c r="P42" s="26" cm="1">
        <f t="array" ref="P42">INDEX(GMW!$A$2:$DB$60,MATCH(1,(GMW!$DA$2:$DA$60=P$3)*(GMW!$DB$2:$DB$60=P$1),0),$A42-1966)</f>
        <v>1602217</v>
      </c>
    </row>
    <row r="43" spans="1:16">
      <c r="A43" s="26">
        <f t="shared" si="1"/>
        <v>2009</v>
      </c>
      <c r="B43" s="26" cm="1">
        <f t="array" ref="B43">INDEX(GMW!$A$2:$DB$60,MATCH(1,(GMW!$DA$2:$DA$60=B$3)*(GMW!$DB$2:$DB$60=B$1),0),$A43-1966)</f>
        <v>2200222</v>
      </c>
      <c r="C43" s="26" cm="1">
        <f t="array" ref="C43">INDEX(GMW!$A$2:$DB$60,MATCH(1,(GMW!$DA$2:$DA$60=C$3)*(GMW!$DB$2:$DB$60=C$1),0),$A43-1966)</f>
        <v>7.625</v>
      </c>
      <c r="D43" s="26" cm="1">
        <f t="array" ref="D43">INDEX(GMW!$A$2:$DB$60,MATCH(1,(GMW!$DA$2:$DA$60=D$3)*(GMW!$DB$2:$DB$60=D$1),0),$A43-1966)</f>
        <v>2293332</v>
      </c>
      <c r="E43" s="26" cm="1">
        <f t="array" ref="E43">INDEX(GMW!$A$2:$DB$60,MATCH(1,(GMW!$DA$2:$DA$60=E$3)*(GMW!$DB$2:$DB$60=E$1),0),$A43-1966)</f>
        <v>2401000</v>
      </c>
      <c r="F43" s="26" cm="1">
        <f t="array" ref="F43">INDEX(GMW!$A$2:$DB$60,MATCH(1,(GMW!$DA$2:$DA$60=F$3)*(GMW!$DB$2:$DB$60=F$1),0),$A43-1966)</f>
        <v>29980.81</v>
      </c>
      <c r="G43" s="26" cm="1">
        <f t="array" ref="G43">INDEX(GMW!$A$2:$DB$60,MATCH(1,(GMW!$DA$2:$DA$60=G$3)*(GMW!$DB$2:$DB$60=G$1),0),$A43-1966)</f>
        <v>31.55</v>
      </c>
      <c r="H43" s="26" cm="1">
        <f t="array" ref="H43">INDEX(GMW!$A$2:$DB$60,MATCH(1,(GMW!$DA$2:$DA$60=H$3)*(GMW!$DB$2:$DB$60=H$1),0),$A43-1966)</f>
        <v>509276.2</v>
      </c>
      <c r="I43" s="26" cm="1">
        <f t="array" ref="I43">INDEX(GMW!$A$2:$DB$60,MATCH(1,(GMW!$DA$2:$DA$60=I$3)*(GMW!$DB$2:$DB$60=I$1),0),$A43-1966)</f>
        <v>41237.870000000003</v>
      </c>
      <c r="J43" s="26" cm="1">
        <f t="array" ref="J43">INDEX(GMW!$A$2:$DB$60,MATCH(1,(GMW!$DA$2:$DA$60=J$3)*(GMW!$DB$2:$DB$60=J$1),0),$A43-1966)</f>
        <v>-1.577942</v>
      </c>
      <c r="K43" s="26" cm="1">
        <f t="array" ref="K43">INDEX(GMW!$A$2:$DB$60,MATCH(1,(GMW!$DA$2:$DA$60=K$3)*(GMW!$DB$2:$DB$60=K$1),0),$A43-1966)</f>
        <v>29156</v>
      </c>
      <c r="L43" s="26" cm="1">
        <f t="array" ref="L43">INDEX(GMW!$A$2:$DB$60,MATCH(1,(GMW!$DA$2:$DA$60=L$3)*(GMW!$DB$2:$DB$60=L$1),0),$A43-1966)</f>
        <v>62327.25</v>
      </c>
      <c r="M43" s="26" cm="1">
        <f t="array" ref="M43">INDEX(GMW!$A$2:$DB$60,MATCH(1,(GMW!$DA$2:$DA$60=M$3)*(GMW!$DB$2:$DB$60=M$1),0),$A43-1966)</f>
        <v>38572.07</v>
      </c>
      <c r="N43" s="26" cm="1">
        <f t="array" ref="N43">INDEX(GMW!$A$2:$DB$60,MATCH(1,(GMW!$DA$2:$DA$60=N$3)*(GMW!$DB$2:$DB$60=N$1),0),$A43-1966)</f>
        <v>161020</v>
      </c>
      <c r="O43" s="26" cm="1">
        <f t="array" ref="O43">INDEX(GMW!$A$2:$DB$60,MATCH(1,(GMW!$DA$2:$DA$60=O$3)*(GMW!$DB$2:$DB$60=O$1),0),$A43-1966)</f>
        <v>958600</v>
      </c>
      <c r="P43" s="26" cm="1">
        <f t="array" ref="P43">INDEX(GMW!$A$2:$DB$60,MATCH(1,(GMW!$DA$2:$DA$60=P$3)*(GMW!$DB$2:$DB$60=P$1),0),$A43-1966)</f>
        <v>1559405</v>
      </c>
    </row>
    <row r="44" spans="1:16">
      <c r="A44" s="26">
        <f t="shared" si="1"/>
        <v>2010</v>
      </c>
      <c r="B44" s="26" cm="1">
        <f t="array" ref="B44">INDEX(GMW!$A$2:$DB$60,MATCH(1,(GMW!$DA$2:$DA$60=B$3)*(GMW!$DB$2:$DB$60=B$1),0),$A44-1966)</f>
        <v>2249959</v>
      </c>
      <c r="C44" s="26" cm="1">
        <f t="array" ref="C44">INDEX(GMW!$A$2:$DB$60,MATCH(1,(GMW!$DA$2:$DA$60=C$3)*(GMW!$DB$2:$DB$60=C$1),0),$A44-1966)</f>
        <v>7.9</v>
      </c>
      <c r="D44" s="26" cm="1">
        <f t="array" ref="D44">INDEX(GMW!$A$2:$DB$60,MATCH(1,(GMW!$DA$2:$DA$60=D$3)*(GMW!$DB$2:$DB$60=D$1),0),$A44-1966)</f>
        <v>2319739</v>
      </c>
      <c r="E44" s="26" cm="1">
        <f t="array" ref="E44">INDEX(GMW!$A$2:$DB$60,MATCH(1,(GMW!$DA$2:$DA$60=E$3)*(GMW!$DB$2:$DB$60=E$1),0),$A44-1966)</f>
        <v>2435000</v>
      </c>
      <c r="F44" s="26" cm="1">
        <f t="array" ref="F44">INDEX(GMW!$A$2:$DB$60,MATCH(1,(GMW!$DA$2:$DA$60=F$3)*(GMW!$DB$2:$DB$60=F$1),0),$A44-1966)</f>
        <v>30099.27</v>
      </c>
      <c r="G44" s="26" cm="1">
        <f t="array" ref="G44">INDEX(GMW!$A$2:$DB$60,MATCH(1,(GMW!$DA$2:$DA$60=G$3)*(GMW!$DB$2:$DB$60=G$1),0),$A44-1966)</f>
        <v>31.65</v>
      </c>
      <c r="H44" s="26" cm="1">
        <f t="array" ref="H44">INDEX(GMW!$A$2:$DB$60,MATCH(1,(GMW!$DA$2:$DA$60=H$3)*(GMW!$DB$2:$DB$60=H$1),0),$A44-1966)</f>
        <v>516794.4</v>
      </c>
      <c r="I44" s="26" cm="1">
        <f t="array" ref="I44">INDEX(GMW!$A$2:$DB$60,MATCH(1,(GMW!$DA$2:$DA$60=I$3)*(GMW!$DB$2:$DB$60=I$1),0),$A44-1966)</f>
        <v>41479.08</v>
      </c>
      <c r="J44" s="26" cm="1">
        <f t="array" ref="J44">INDEX(GMW!$A$2:$DB$60,MATCH(1,(GMW!$DA$2:$DA$60=J$3)*(GMW!$DB$2:$DB$60=J$1),0),$A44-1966)</f>
        <v>-1.578457</v>
      </c>
      <c r="K44" s="26" cm="1">
        <f t="array" ref="K44">INDEX(GMW!$A$2:$DB$60,MATCH(1,(GMW!$DA$2:$DA$60=K$3)*(GMW!$DB$2:$DB$60=K$1),0),$A44-1966)</f>
        <v>29228.5</v>
      </c>
      <c r="L44" s="26" cm="1">
        <f t="array" ref="L44">INDEX(GMW!$A$2:$DB$60,MATCH(1,(GMW!$DA$2:$DA$60=L$3)*(GMW!$DB$2:$DB$60=L$1),0),$A44-1966)</f>
        <v>62827.25</v>
      </c>
      <c r="M44" s="26" cm="1">
        <f t="array" ref="M44">INDEX(GMW!$A$2:$DB$60,MATCH(1,(GMW!$DA$2:$DA$60=M$3)*(GMW!$DB$2:$DB$60=M$1),0),$A44-1966)</f>
        <v>38889.22</v>
      </c>
      <c r="N44" s="26" cm="1">
        <f t="array" ref="N44">INDEX(GMW!$A$2:$DB$60,MATCH(1,(GMW!$DA$2:$DA$60=N$3)*(GMW!$DB$2:$DB$60=N$1),0),$A44-1966)</f>
        <v>148622</v>
      </c>
      <c r="O44" s="26" cm="1">
        <f t="array" ref="O44">INDEX(GMW!$A$2:$DB$60,MATCH(1,(GMW!$DA$2:$DA$60=O$3)*(GMW!$DB$2:$DB$60=O$1),0),$A44-1966)</f>
        <v>1152500</v>
      </c>
      <c r="P44" s="26" cm="1">
        <f t="array" ref="P44">INDEX(GMW!$A$2:$DB$60,MATCH(1,(GMW!$DA$2:$DA$60=P$3)*(GMW!$DB$2:$DB$60=P$1),0),$A44-1966)</f>
        <v>1615839</v>
      </c>
    </row>
    <row r="45" spans="1:16">
      <c r="A45" s="26">
        <f t="shared" si="1"/>
        <v>2011</v>
      </c>
      <c r="B45" s="26" cm="1">
        <f t="array" ref="B45">INDEX(GMW!$A$2:$DB$60,MATCH(1,(GMW!$DA$2:$DA$60=B$3)*(GMW!$DB$2:$DB$60=B$1),0),$A45-1966)</f>
        <v>2269116</v>
      </c>
      <c r="C45" s="26" cm="1">
        <f t="array" ref="C45">INDEX(GMW!$A$2:$DB$60,MATCH(1,(GMW!$DA$2:$DA$60=C$3)*(GMW!$DB$2:$DB$60=C$1),0),$A45-1966)</f>
        <v>8.1</v>
      </c>
      <c r="D45" s="26" cm="1">
        <f t="array" ref="D45">INDEX(GMW!$A$2:$DB$60,MATCH(1,(GMW!$DA$2:$DA$60=D$3)*(GMW!$DB$2:$DB$60=D$1),0),$A45-1966)</f>
        <v>2340697</v>
      </c>
      <c r="E45" s="26" cm="1">
        <f t="array" ref="E45">INDEX(GMW!$A$2:$DB$60,MATCH(1,(GMW!$DA$2:$DA$60=E$3)*(GMW!$DB$2:$DB$60=E$1),0),$A45-1966)</f>
        <v>2465000</v>
      </c>
      <c r="F45" s="26" cm="1">
        <f t="array" ref="F45">INDEX(GMW!$A$2:$DB$60,MATCH(1,(GMW!$DA$2:$DA$60=F$3)*(GMW!$DB$2:$DB$60=F$1),0),$A45-1966)</f>
        <v>30283.37</v>
      </c>
      <c r="G45" s="26" cm="1">
        <f t="array" ref="G45">INDEX(GMW!$A$2:$DB$60,MATCH(1,(GMW!$DA$2:$DA$60=G$3)*(GMW!$DB$2:$DB$60=G$1),0),$A45-1966)</f>
        <v>31.574999999999999</v>
      </c>
      <c r="H45" s="26" cm="1">
        <f t="array" ref="H45">INDEX(GMW!$A$2:$DB$60,MATCH(1,(GMW!$DA$2:$DA$60=H$3)*(GMW!$DB$2:$DB$60=H$1),0),$A45-1966)</f>
        <v>523986.6</v>
      </c>
      <c r="I45" s="26" cm="1">
        <f t="array" ref="I45">INDEX(GMW!$A$2:$DB$60,MATCH(1,(GMW!$DA$2:$DA$60=I$3)*(GMW!$DB$2:$DB$60=I$1),0),$A45-1966)</f>
        <v>41689.11</v>
      </c>
      <c r="J45" s="26" cm="1">
        <f t="array" ref="J45">INDEX(GMW!$A$2:$DB$60,MATCH(1,(GMW!$DA$2:$DA$60=J$3)*(GMW!$DB$2:$DB$60=J$1),0),$A45-1966)</f>
        <v>-1.579189</v>
      </c>
      <c r="K45" s="26" cm="1">
        <f t="array" ref="K45">INDEX(GMW!$A$2:$DB$60,MATCH(1,(GMW!$DA$2:$DA$60=K$3)*(GMW!$DB$2:$DB$60=K$1),0),$A45-1966)</f>
        <v>29381</v>
      </c>
      <c r="L45" s="26" cm="1">
        <f t="array" ref="L45">INDEX(GMW!$A$2:$DB$60,MATCH(1,(GMW!$DA$2:$DA$60=L$3)*(GMW!$DB$2:$DB$60=L$1),0),$A45-1966)</f>
        <v>63332.06</v>
      </c>
      <c r="M45" s="26" cm="1">
        <f t="array" ref="M45">INDEX(GMW!$A$2:$DB$60,MATCH(1,(GMW!$DA$2:$DA$60=M$3)*(GMW!$DB$2:$DB$60=M$1),0),$A45-1966)</f>
        <v>39318.54</v>
      </c>
      <c r="N45" s="26" cm="1">
        <f t="array" ref="N45">INDEX(GMW!$A$2:$DB$60,MATCH(1,(GMW!$DA$2:$DA$60=N$3)*(GMW!$DB$2:$DB$60=N$1),0),$A45-1966)</f>
        <v>122164</v>
      </c>
      <c r="O45" s="26" cm="1">
        <f t="array" ref="O45">INDEX(GMW!$A$2:$DB$60,MATCH(1,(GMW!$DA$2:$DA$60=O$3)*(GMW!$DB$2:$DB$60=O$1),0),$A45-1966)</f>
        <v>1250600</v>
      </c>
      <c r="P45" s="26" cm="1">
        <f t="array" ref="P45">INDEX(GMW!$A$2:$DB$60,MATCH(1,(GMW!$DA$2:$DA$60=P$3)*(GMW!$DB$2:$DB$60=P$1),0),$A45-1966)</f>
        <v>1669945</v>
      </c>
    </row>
    <row r="46" spans="1:16">
      <c r="A46" s="26">
        <f t="shared" si="1"/>
        <v>2012</v>
      </c>
      <c r="B46" s="26" cm="1">
        <f t="array" ref="B46">INDEX(GMW!$A$2:$DB$60,MATCH(1,(GMW!$DA$2:$DA$60=B$3)*(GMW!$DB$2:$DB$60=B$1),0),$A46-1966)</f>
        <v>2303794</v>
      </c>
      <c r="C46" s="26" cm="1">
        <f t="array" ref="C46">INDEX(GMW!$A$2:$DB$60,MATCH(1,(GMW!$DA$2:$DA$60=C$3)*(GMW!$DB$2:$DB$60=C$1),0),$A46-1966)</f>
        <v>7.95</v>
      </c>
      <c r="D46" s="26" cm="1">
        <f t="array" ref="D46">INDEX(GMW!$A$2:$DB$60,MATCH(1,(GMW!$DA$2:$DA$60=D$3)*(GMW!$DB$2:$DB$60=D$1),0),$A46-1966)</f>
        <v>2382224</v>
      </c>
      <c r="E46" s="26" cm="1">
        <f t="array" ref="E46">INDEX(GMW!$A$2:$DB$60,MATCH(1,(GMW!$DA$2:$DA$60=E$3)*(GMW!$DB$2:$DB$60=E$1),0),$A46-1966)</f>
        <v>2495000</v>
      </c>
      <c r="F46" s="26" cm="1">
        <f t="array" ref="F46">INDEX(GMW!$A$2:$DB$60,MATCH(1,(GMW!$DA$2:$DA$60=F$3)*(GMW!$DB$2:$DB$60=F$1),0),$A46-1966)</f>
        <v>30581.23</v>
      </c>
      <c r="G46" s="26" cm="1">
        <f t="array" ref="G46">INDEX(GMW!$A$2:$DB$60,MATCH(1,(GMW!$DA$2:$DA$60=G$3)*(GMW!$DB$2:$DB$60=G$1),0),$A46-1966)</f>
        <v>31.824999999999999</v>
      </c>
      <c r="H46" s="26" cm="1">
        <f t="array" ref="H46">INDEX(GMW!$A$2:$DB$60,MATCH(1,(GMW!$DA$2:$DA$60=H$3)*(GMW!$DB$2:$DB$60=H$1),0),$A46-1966)</f>
        <v>528582.9</v>
      </c>
      <c r="I46" s="26" cm="1">
        <f t="array" ref="I46">INDEX(GMW!$A$2:$DB$60,MATCH(1,(GMW!$DA$2:$DA$60=I$3)*(GMW!$DB$2:$DB$60=I$1),0),$A46-1966)</f>
        <v>41698.6</v>
      </c>
      <c r="J46" s="26" cm="1">
        <f t="array" ref="J46">INDEX(GMW!$A$2:$DB$60,MATCH(1,(GMW!$DA$2:$DA$60=J$3)*(GMW!$DB$2:$DB$60=J$1),0),$A46-1966)</f>
        <v>-1.579922</v>
      </c>
      <c r="K46" s="26" cm="1">
        <f t="array" ref="K46">INDEX(GMW!$A$2:$DB$60,MATCH(1,(GMW!$DA$2:$DA$60=K$3)*(GMW!$DB$2:$DB$60=K$1),0),$A46-1966)</f>
        <v>29723</v>
      </c>
      <c r="L46" s="26" cm="1">
        <f t="array" ref="L46">INDEX(GMW!$A$2:$DB$60,MATCH(1,(GMW!$DA$2:$DA$60=L$3)*(GMW!$DB$2:$DB$60=L$1),0),$A46-1966)</f>
        <v>63764.44</v>
      </c>
      <c r="M46" s="26" cm="1">
        <f t="array" ref="M46">INDEX(GMW!$A$2:$DB$60,MATCH(1,(GMW!$DA$2:$DA$60=M$3)*(GMW!$DB$2:$DB$60=M$1),0),$A46-1966)</f>
        <v>39577.57</v>
      </c>
      <c r="N46" s="26" cm="1">
        <f t="array" ref="N46">INDEX(GMW!$A$2:$DB$60,MATCH(1,(GMW!$DA$2:$DA$60=N$3)*(GMW!$DB$2:$DB$60=N$1),0),$A46-1966)</f>
        <v>130503</v>
      </c>
      <c r="O46" s="26" cm="1">
        <f t="array" ref="O46">INDEX(GMW!$A$2:$DB$60,MATCH(1,(GMW!$DA$2:$DA$60=O$3)*(GMW!$DB$2:$DB$60=O$1),0),$A46-1966)</f>
        <v>1354300</v>
      </c>
      <c r="P46" s="26" cm="1">
        <f t="array" ref="P46">INDEX(GMW!$A$2:$DB$60,MATCH(1,(GMW!$DA$2:$DA$60=P$3)*(GMW!$DB$2:$DB$60=P$1),0),$A46-1966)</f>
        <v>1721708</v>
      </c>
    </row>
    <row r="47" spans="1:16">
      <c r="A47" s="26">
        <f t="shared" si="1"/>
        <v>2013</v>
      </c>
      <c r="B47" s="26" cm="1">
        <f t="array" ref="B47">INDEX(GMW!$A$2:$DB$60,MATCH(1,(GMW!$DA$2:$DA$60=B$3)*(GMW!$DB$2:$DB$60=B$1),0),$A47-1966)</f>
        <v>2343384</v>
      </c>
      <c r="C47" s="26" cm="1">
        <f t="array" ref="C47">INDEX(GMW!$A$2:$DB$60,MATCH(1,(GMW!$DA$2:$DA$60=C$3)*(GMW!$DB$2:$DB$60=C$1),0),$A47-1966)</f>
        <v>7.5750000000000002</v>
      </c>
      <c r="D47" s="26" cm="1">
        <f t="array" ref="D47">INDEX(GMW!$A$2:$DB$60,MATCH(1,(GMW!$DA$2:$DA$60=D$3)*(GMW!$DB$2:$DB$60=D$1),0),$A47-1966)</f>
        <v>2421124</v>
      </c>
      <c r="E47" s="26" cm="1">
        <f t="array" ref="E47">INDEX(GMW!$A$2:$DB$60,MATCH(1,(GMW!$DA$2:$DA$60=E$3)*(GMW!$DB$2:$DB$60=E$1),0),$A47-1966)</f>
        <v>2527000</v>
      </c>
      <c r="F47" s="26" cm="1">
        <f t="array" ref="F47">INDEX(GMW!$A$2:$DB$60,MATCH(1,(GMW!$DA$2:$DA$60=F$3)*(GMW!$DB$2:$DB$60=F$1),0),$A47-1966)</f>
        <v>30844.5</v>
      </c>
      <c r="G47" s="26" cm="1">
        <f t="array" ref="G47">INDEX(GMW!$A$2:$DB$60,MATCH(1,(GMW!$DA$2:$DA$60=G$3)*(GMW!$DB$2:$DB$60=G$1),0),$A47-1966)</f>
        <v>32.049999999999997</v>
      </c>
      <c r="H47" s="26" cm="1">
        <f t="array" ref="H47">INDEX(GMW!$A$2:$DB$60,MATCH(1,(GMW!$DA$2:$DA$60=H$3)*(GMW!$DB$2:$DB$60=H$1),0),$A47-1966)</f>
        <v>533883.19999999995</v>
      </c>
      <c r="I47" s="26" cm="1">
        <f t="array" ref="I47">INDEX(GMW!$A$2:$DB$60,MATCH(1,(GMW!$DA$2:$DA$60=I$3)*(GMW!$DB$2:$DB$60=I$1),0),$A47-1966)</f>
        <v>41772.11</v>
      </c>
      <c r="J47" s="26" cm="1">
        <f t="array" ref="J47">INDEX(GMW!$A$2:$DB$60,MATCH(1,(GMW!$DA$2:$DA$60=J$3)*(GMW!$DB$2:$DB$60=J$1),0),$A47-1966)</f>
        <v>-1.5806549999999999</v>
      </c>
      <c r="K47" s="26" cm="1">
        <f t="array" ref="K47">INDEX(GMW!$A$2:$DB$60,MATCH(1,(GMW!$DA$2:$DA$60=K$3)*(GMW!$DB$2:$DB$60=K$1),0),$A47-1966)</f>
        <v>30096.75</v>
      </c>
      <c r="L47" s="26" cm="1">
        <f t="array" ref="L47">INDEX(GMW!$A$2:$DB$60,MATCH(1,(GMW!$DA$2:$DA$60=L$3)*(GMW!$DB$2:$DB$60=L$1),0),$A47-1966)</f>
        <v>64201.5</v>
      </c>
      <c r="M47" s="26" cm="1">
        <f t="array" ref="M47">INDEX(GMW!$A$2:$DB$60,MATCH(1,(GMW!$DA$2:$DA$60=M$3)*(GMW!$DB$2:$DB$60=M$1),0),$A47-1966)</f>
        <v>39885.01</v>
      </c>
      <c r="N47" s="26" cm="1">
        <f t="array" ref="N47">INDEX(GMW!$A$2:$DB$60,MATCH(1,(GMW!$DA$2:$DA$60=N$3)*(GMW!$DB$2:$DB$60=N$1),0),$A47-1966)</f>
        <v>103611</v>
      </c>
      <c r="O47" s="26" cm="1">
        <f t="array" ref="O47">INDEX(GMW!$A$2:$DB$60,MATCH(1,(GMW!$DA$2:$DA$60=O$3)*(GMW!$DB$2:$DB$60=O$1),0),$A47-1966)</f>
        <v>1452600</v>
      </c>
      <c r="P47" s="26" cm="1">
        <f t="array" ref="P47">INDEX(GMW!$A$2:$DB$60,MATCH(1,(GMW!$DA$2:$DA$60=P$3)*(GMW!$DB$2:$DB$60=P$1),0),$A47-1966)</f>
        <v>1789072</v>
      </c>
    </row>
    <row r="48" spans="1:16">
      <c r="A48" s="26">
        <f>+A47+1</f>
        <v>2014</v>
      </c>
      <c r="B48" s="26" cm="1">
        <f t="array" ref="B48">INDEX(GMW!$A$2:$DB$60,MATCH(1,(GMW!$DA$2:$DA$60=B$3)*(GMW!$DB$2:$DB$60=B$1),0),$A48-1966)</f>
        <v>2417439</v>
      </c>
      <c r="C48" s="26" cm="1">
        <f t="array" ref="C48">INDEX(GMW!$A$2:$DB$60,MATCH(1,(GMW!$DA$2:$DA$60=C$3)*(GMW!$DB$2:$DB$60=C$1),0),$A48-1966)</f>
        <v>6.1749999999999998</v>
      </c>
      <c r="D48" s="26" cm="1">
        <f t="array" ref="D48">INDEX(GMW!$A$2:$DB$60,MATCH(1,(GMW!$DA$2:$DA$60=D$3)*(GMW!$DB$2:$DB$60=D$1),0),$A48-1966)</f>
        <v>2457942</v>
      </c>
      <c r="E48" s="26" cm="1">
        <f t="array" ref="E48">INDEX(GMW!$A$2:$DB$60,MATCH(1,(GMW!$DA$2:$DA$60=E$3)*(GMW!$DB$2:$DB$60=E$1),0),$A48-1966)</f>
        <v>2574000</v>
      </c>
      <c r="F48" s="26" cm="1">
        <f t="array" ref="F48">INDEX(GMW!$A$2:$DB$60,MATCH(1,(GMW!$DA$2:$DA$60=F$3)*(GMW!$DB$2:$DB$60=F$1),0),$A48-1966)</f>
        <v>31116.07</v>
      </c>
      <c r="G48" s="26" cm="1">
        <f t="array" ref="G48">INDEX(GMW!$A$2:$DB$60,MATCH(1,(GMW!$DA$2:$DA$60=G$3)*(GMW!$DB$2:$DB$60=G$1),0),$A48-1966)</f>
        <v>32.174999999999997</v>
      </c>
      <c r="H48" s="26" cm="1">
        <f t="array" ref="H48">INDEX(GMW!$A$2:$DB$60,MATCH(1,(GMW!$DA$2:$DA$60=H$3)*(GMW!$DB$2:$DB$60=H$1),0),$A48-1966)</f>
        <v>539979</v>
      </c>
      <c r="I48" s="26" cm="1">
        <f t="array" ref="I48">INDEX(GMW!$A$2:$DB$60,MATCH(1,(GMW!$DA$2:$DA$60=I$3)*(GMW!$DB$2:$DB$60=I$1),0),$A48-1966)</f>
        <v>41914.35</v>
      </c>
      <c r="J48" s="26" cm="1">
        <f t="array" ref="J48">INDEX(GMW!$A$2:$DB$60,MATCH(1,(GMW!$DA$2:$DA$60=J$3)*(GMW!$DB$2:$DB$60=J$1),0),$A48-1966)</f>
        <v>-1.581388</v>
      </c>
      <c r="K48" s="26" cm="1">
        <f t="array" ref="K48">INDEX(GMW!$A$2:$DB$60,MATCH(1,(GMW!$DA$2:$DA$60=K$3)*(GMW!$DB$2:$DB$60=K$1),0),$A48-1966)</f>
        <v>30818.25</v>
      </c>
      <c r="L48" s="26" cm="1">
        <f t="array" ref="L48">INDEX(GMW!$A$2:$DB$60,MATCH(1,(GMW!$DA$2:$DA$60=L$3)*(GMW!$DB$2:$DB$60=L$1),0),$A48-1966)</f>
        <v>64676.69</v>
      </c>
      <c r="M48" s="26" cm="1">
        <f t="array" ref="M48">INDEX(GMW!$A$2:$DB$60,MATCH(1,(GMW!$DA$2:$DA$60=M$3)*(GMW!$DB$2:$DB$60=M$1),0),$A48-1966)</f>
        <v>40230.699999999997</v>
      </c>
      <c r="N48" s="26" cm="1">
        <f t="array" ref="N48">INDEX(GMW!$A$2:$DB$60,MATCH(1,(GMW!$DA$2:$DA$60=N$3)*(GMW!$DB$2:$DB$60=N$1),0),$A48-1966)</f>
        <v>104006</v>
      </c>
      <c r="O48" s="26" cm="1">
        <f t="array" ref="O48">INDEX(GMW!$A$2:$DB$60,MATCH(1,(GMW!$DA$2:$DA$60=O$3)*(GMW!$DB$2:$DB$60=O$1),0),$A48-1966)</f>
        <v>1550800</v>
      </c>
      <c r="P48" s="26" cm="1">
        <f t="array" ref="P48">INDEX(GMW!$A$2:$DB$60,MATCH(1,(GMW!$DA$2:$DA$60=P$3)*(GMW!$DB$2:$DB$60=P$1),0),$A48-1966)</f>
        <v>1875066</v>
      </c>
    </row>
    <row r="49" spans="1:16">
      <c r="A49" s="26">
        <f t="shared" ref="A49:A94" si="2">+A48+1</f>
        <v>2015</v>
      </c>
      <c r="B49" s="26" cm="1">
        <f t="array" ref="B49">INDEX(GMW!$A$2:$DB$60,MATCH(1,(GMW!$DA$2:$DA$60=B$3)*(GMW!$DB$2:$DB$60=B$1),0),$A49-1966)</f>
        <v>2469182</v>
      </c>
      <c r="C49" s="26" cm="1">
        <f t="array" ref="C49">INDEX(GMW!$A$2:$DB$60,MATCH(1,(GMW!$DA$2:$DA$60=C$3)*(GMW!$DB$2:$DB$60=C$1),0),$A49-1966)</f>
        <v>5.375</v>
      </c>
      <c r="D49" s="26" cm="1">
        <f t="array" ref="D49">INDEX(GMW!$A$2:$DB$60,MATCH(1,(GMW!$DA$2:$DA$60=D$3)*(GMW!$DB$2:$DB$60=D$1),0),$A49-1966)</f>
        <v>2494130</v>
      </c>
      <c r="E49" s="26" cm="1">
        <f t="array" ref="E49">INDEX(GMW!$A$2:$DB$60,MATCH(1,(GMW!$DA$2:$DA$60=E$3)*(GMW!$DB$2:$DB$60=E$1),0),$A49-1966)</f>
        <v>2635000</v>
      </c>
      <c r="F49" s="26" cm="1">
        <f t="array" ref="F49">INDEX(GMW!$A$2:$DB$60,MATCH(1,(GMW!$DA$2:$DA$60=F$3)*(GMW!$DB$2:$DB$60=F$1),0),$A49-1966)</f>
        <v>31474.14</v>
      </c>
      <c r="G49" s="26" cm="1">
        <f t="array" ref="G49">INDEX(GMW!$A$2:$DB$60,MATCH(1,(GMW!$DA$2:$DA$60=G$3)*(GMW!$DB$2:$DB$60=G$1),0),$A49-1966)</f>
        <v>32.1</v>
      </c>
      <c r="H49" s="26" cm="1">
        <f t="array" ref="H49">INDEX(GMW!$A$2:$DB$60,MATCH(1,(GMW!$DA$2:$DA$60=H$3)*(GMW!$DB$2:$DB$60=H$1),0),$A49-1966)</f>
        <v>546596.80000000005</v>
      </c>
      <c r="I49" s="26" cm="1">
        <f t="array" ref="I49">INDEX(GMW!$A$2:$DB$60,MATCH(1,(GMW!$DA$2:$DA$60=I$3)*(GMW!$DB$2:$DB$60=I$1),0),$A49-1966)</f>
        <v>42102.28</v>
      </c>
      <c r="J49" s="26" cm="1">
        <f t="array" ref="J49">INDEX(GMW!$A$2:$DB$60,MATCH(1,(GMW!$DA$2:$DA$60=J$3)*(GMW!$DB$2:$DB$60=J$1),0),$A49-1966)</f>
        <v>-1.5821210000000001</v>
      </c>
      <c r="K49" s="26" cm="1">
        <f t="array" ref="K49">INDEX(GMW!$A$2:$DB$60,MATCH(1,(GMW!$DA$2:$DA$60=K$3)*(GMW!$DB$2:$DB$60=K$1),0),$A49-1966)</f>
        <v>31345.75</v>
      </c>
      <c r="L49" s="26" cm="1">
        <f t="array" ref="L49">INDEX(GMW!$A$2:$DB$60,MATCH(1,(GMW!$DA$2:$DA$60=L$3)*(GMW!$DB$2:$DB$60=L$1),0),$A49-1966)</f>
        <v>65155.06</v>
      </c>
      <c r="M49" s="26" cm="1">
        <f t="array" ref="M49">INDEX(GMW!$A$2:$DB$60,MATCH(1,(GMW!$DA$2:$DA$60=M$3)*(GMW!$DB$2:$DB$60=M$1),0),$A49-1966)</f>
        <v>40619.86</v>
      </c>
      <c r="N49" s="26" cm="1">
        <f t="array" ref="N49">INDEX(GMW!$A$2:$DB$60,MATCH(1,(GMW!$DA$2:$DA$60=N$3)*(GMW!$DB$2:$DB$60=N$1),0),$A49-1966)</f>
        <v>85620</v>
      </c>
      <c r="O49" s="26" cm="1">
        <f t="array" ref="O49">INDEX(GMW!$A$2:$DB$60,MATCH(1,(GMW!$DA$2:$DA$60=O$3)*(GMW!$DB$2:$DB$60=O$1),0),$A49-1966)</f>
        <v>1602900</v>
      </c>
      <c r="P49" s="26" cm="1">
        <f t="array" ref="P49">INDEX(GMW!$A$2:$DB$60,MATCH(1,(GMW!$DA$2:$DA$60=P$3)*(GMW!$DB$2:$DB$60=P$1),0),$A49-1966)</f>
        <v>1928016</v>
      </c>
    </row>
    <row r="50" spans="1:16">
      <c r="A50" s="26">
        <f t="shared" si="2"/>
        <v>2016</v>
      </c>
      <c r="B50" s="26" cm="1">
        <f t="array" ref="B50">INDEX(GMW!$A$2:$DB$60,MATCH(1,(GMW!$DA$2:$DA$60=B$3)*(GMW!$DB$2:$DB$60=B$1),0),$A50-1966)</f>
        <v>2523665</v>
      </c>
      <c r="C50" s="26" cm="1">
        <f t="array" ref="C50">INDEX(GMW!$A$2:$DB$60,MATCH(1,(GMW!$DA$2:$DA$60=C$3)*(GMW!$DB$2:$DB$60=C$1),0),$A50-1966)</f>
        <v>4.875</v>
      </c>
      <c r="D50" s="26" cm="1">
        <f t="array" ref="D50">INDEX(GMW!$A$2:$DB$60,MATCH(1,(GMW!$DA$2:$DA$60=D$3)*(GMW!$DB$2:$DB$60=D$1),0),$A50-1966)</f>
        <v>2536360</v>
      </c>
      <c r="E50" s="26" cm="1">
        <f t="array" ref="E50">INDEX(GMW!$A$2:$DB$60,MATCH(1,(GMW!$DA$2:$DA$60=E$3)*(GMW!$DB$2:$DB$60=E$1),0),$A50-1966)</f>
        <v>2706000</v>
      </c>
      <c r="F50" s="26" cm="1">
        <f t="array" ref="F50">INDEX(GMW!$A$2:$DB$60,MATCH(1,(GMW!$DA$2:$DA$60=F$3)*(GMW!$DB$2:$DB$60=F$1),0),$A50-1966)</f>
        <v>31848.04</v>
      </c>
      <c r="G50" s="26" cm="1">
        <f t="array" ref="G50">INDEX(GMW!$A$2:$DB$60,MATCH(1,(GMW!$DA$2:$DA$60=G$3)*(GMW!$DB$2:$DB$60=G$1),0),$A50-1966)</f>
        <v>32.049999999999997</v>
      </c>
      <c r="H50" s="26" cm="1">
        <f t="array" ref="H50">INDEX(GMW!$A$2:$DB$60,MATCH(1,(GMW!$DA$2:$DA$60=H$3)*(GMW!$DB$2:$DB$60=H$1),0),$A50-1966)</f>
        <v>553279.6</v>
      </c>
      <c r="I50" s="26" cm="1">
        <f t="array" ref="I50">INDEX(GMW!$A$2:$DB$60,MATCH(1,(GMW!$DA$2:$DA$60=I$3)*(GMW!$DB$2:$DB$60=I$1),0),$A50-1966)</f>
        <v>42299.06</v>
      </c>
      <c r="J50" s="26" cm="1">
        <f t="array" ref="J50">INDEX(GMW!$A$2:$DB$60,MATCH(1,(GMW!$DA$2:$DA$60=J$3)*(GMW!$DB$2:$DB$60=J$1),0),$A50-1966)</f>
        <v>-1.5828549999999999</v>
      </c>
      <c r="K50" s="26" cm="1">
        <f t="array" ref="K50">INDEX(GMW!$A$2:$DB$60,MATCH(1,(GMW!$DA$2:$DA$60=K$3)*(GMW!$DB$2:$DB$60=K$1),0),$A50-1966)</f>
        <v>31810.25</v>
      </c>
      <c r="L50" s="26" cm="1">
        <f t="array" ref="L50">INDEX(GMW!$A$2:$DB$60,MATCH(1,(GMW!$DA$2:$DA$60=L$3)*(GMW!$DB$2:$DB$60=L$1),0),$A50-1966)</f>
        <v>65640.69</v>
      </c>
      <c r="M50" s="26" cm="1">
        <f t="array" ref="M50">INDEX(GMW!$A$2:$DB$60,MATCH(1,(GMW!$DA$2:$DA$60=M$3)*(GMW!$DB$2:$DB$60=M$1),0),$A50-1966)</f>
        <v>41036.28</v>
      </c>
      <c r="N50" s="26" cm="1">
        <f t="array" ref="N50">INDEX(GMW!$A$2:$DB$60,MATCH(1,(GMW!$DA$2:$DA$60=N$3)*(GMW!$DB$2:$DB$60=N$1),0),$A50-1966)</f>
        <v>67813</v>
      </c>
      <c r="O50" s="26" cm="1">
        <f t="array" ref="O50">INDEX(GMW!$A$2:$DB$60,MATCH(1,(GMW!$DA$2:$DA$60=O$3)*(GMW!$DB$2:$DB$60=O$1),0),$A50-1966)</f>
        <v>1690600</v>
      </c>
      <c r="P50" s="26" cm="1">
        <f t="array" ref="P50">INDEX(GMW!$A$2:$DB$60,MATCH(1,(GMW!$DA$2:$DA$60=P$3)*(GMW!$DB$2:$DB$60=P$1),0),$A50-1966)</f>
        <v>2004755</v>
      </c>
    </row>
    <row r="51" spans="1:16">
      <c r="A51" s="26">
        <f t="shared" si="2"/>
        <v>2017</v>
      </c>
      <c r="B51" s="26" cm="1">
        <f t="array" ref="B51">INDEX(GMW!$A$2:$DB$60,MATCH(1,(GMW!$DA$2:$DA$60=B$3)*(GMW!$DB$2:$DB$60=B$1),0),$A51-1966)</f>
        <v>2599961</v>
      </c>
      <c r="C51" s="26" cm="1">
        <f t="array" ref="C51">INDEX(GMW!$A$2:$DB$60,MATCH(1,(GMW!$DA$2:$DA$60=C$3)*(GMW!$DB$2:$DB$60=C$1),0),$A51-1966)</f>
        <v>4.4249999999999998</v>
      </c>
      <c r="D51" s="26" cm="1">
        <f t="array" ref="D51">INDEX(GMW!$A$2:$DB$60,MATCH(1,(GMW!$DA$2:$DA$60=D$3)*(GMW!$DB$2:$DB$60=D$1),0),$A51-1966)</f>
        <v>2578098</v>
      </c>
      <c r="E51" s="26" cm="1">
        <f t="array" ref="E51">INDEX(GMW!$A$2:$DB$60,MATCH(1,(GMW!$DA$2:$DA$60=E$3)*(GMW!$DB$2:$DB$60=E$1),0),$A51-1966)</f>
        <v>2780000</v>
      </c>
      <c r="F51" s="26" cm="1">
        <f t="array" ref="F51">INDEX(GMW!$A$2:$DB$60,MATCH(1,(GMW!$DA$2:$DA$60=F$3)*(GMW!$DB$2:$DB$60=F$1),0),$A51-1966)</f>
        <v>32069.5</v>
      </c>
      <c r="G51" s="26" cm="1">
        <f t="array" ref="G51">INDEX(GMW!$A$2:$DB$60,MATCH(1,(GMW!$DA$2:$DA$60=G$3)*(GMW!$DB$2:$DB$60=G$1),0),$A51-1966)</f>
        <v>32.1</v>
      </c>
      <c r="H51" s="26" cm="1">
        <f t="array" ref="H51">INDEX(GMW!$A$2:$DB$60,MATCH(1,(GMW!$DA$2:$DA$60=H$3)*(GMW!$DB$2:$DB$60=H$1),0),$A51-1966)</f>
        <v>559022.5</v>
      </c>
      <c r="I51" s="26" cm="1">
        <f t="array" ref="I51">INDEX(GMW!$A$2:$DB$60,MATCH(1,(GMW!$DA$2:$DA$60=I$3)*(GMW!$DB$2:$DB$60=I$1),0),$A51-1966)</f>
        <v>42426.66</v>
      </c>
      <c r="J51" s="26" cm="1">
        <f t="array" ref="J51">INDEX(GMW!$A$2:$DB$60,MATCH(1,(GMW!$DA$2:$DA$60=J$3)*(GMW!$DB$2:$DB$60=J$1),0),$A51-1966)</f>
        <v>-1.5835900000000001</v>
      </c>
      <c r="K51" s="26" cm="1">
        <f t="array" ref="K51">INDEX(GMW!$A$2:$DB$60,MATCH(1,(GMW!$DA$2:$DA$60=K$3)*(GMW!$DB$2:$DB$60=K$1),0),$A51-1966)</f>
        <v>32127.75</v>
      </c>
      <c r="L51" s="26" cm="1">
        <f t="array" ref="L51">INDEX(GMW!$A$2:$DB$60,MATCH(1,(GMW!$DA$2:$DA$60=L$3)*(GMW!$DB$2:$DB$60=L$1),0),$A51-1966)</f>
        <v>66002.19</v>
      </c>
      <c r="M51" s="26" cm="1">
        <f t="array" ref="M51">INDEX(GMW!$A$2:$DB$60,MATCH(1,(GMW!$DA$2:$DA$60=M$3)*(GMW!$DB$2:$DB$60=M$1),0),$A51-1966)</f>
        <v>41408.97</v>
      </c>
      <c r="N51" s="26" cm="1">
        <f t="array" ref="N51">INDEX(GMW!$A$2:$DB$60,MATCH(1,(GMW!$DA$2:$DA$60=N$3)*(GMW!$DB$2:$DB$60=N$1),0),$A51-1966)</f>
        <v>54621</v>
      </c>
      <c r="O51" s="26" cm="1">
        <f t="array" ref="O51">INDEX(GMW!$A$2:$DB$60,MATCH(1,(GMW!$DA$2:$DA$60=O$3)*(GMW!$DB$2:$DB$60=O$1),0),$A51-1966)</f>
        <v>1744600</v>
      </c>
      <c r="P51" s="26" cm="1">
        <f t="array" ref="P51">INDEX(GMW!$A$2:$DB$60,MATCH(1,(GMW!$DA$2:$DA$60=P$3)*(GMW!$DB$2:$DB$60=P$1),0),$A51-1966)</f>
        <v>2097222</v>
      </c>
    </row>
    <row r="52" spans="1:16">
      <c r="A52" s="26">
        <f t="shared" si="2"/>
        <v>2018</v>
      </c>
      <c r="B52" s="26" cm="1">
        <f t="array" ref="B52">INDEX(GMW!$A$2:$DB$60,MATCH(1,(GMW!$DA$2:$DA$60=B$3)*(GMW!$DB$2:$DB$60=B$1),0),$A52-1966)</f>
        <v>2640295</v>
      </c>
      <c r="C52" s="26" cm="1">
        <f t="array" ref="C52">INDEX(GMW!$A$2:$DB$60,MATCH(1,(GMW!$DA$2:$DA$60=C$3)*(GMW!$DB$2:$DB$60=C$1),0),$A52-1966)</f>
        <v>4.0750000000000002</v>
      </c>
      <c r="D52" s="26" cm="1">
        <f t="array" ref="D52">INDEX(GMW!$A$2:$DB$60,MATCH(1,(GMW!$DA$2:$DA$60=D$3)*(GMW!$DB$2:$DB$60=D$1),0),$A52-1966)</f>
        <v>2616327</v>
      </c>
      <c r="E52" s="26" cm="1">
        <f t="array" ref="E52">INDEX(GMW!$A$2:$DB$60,MATCH(1,(GMW!$DA$2:$DA$60=E$3)*(GMW!$DB$2:$DB$60=E$1),0),$A52-1966)</f>
        <v>2838000</v>
      </c>
      <c r="F52" s="26" cm="1">
        <f t="array" ref="F52">INDEX(GMW!$A$2:$DB$60,MATCH(1,(GMW!$DA$2:$DA$60=F$3)*(GMW!$DB$2:$DB$60=F$1),0),$A52-1966)</f>
        <v>32402.66</v>
      </c>
      <c r="G52" s="26" cm="1">
        <f t="array" ref="G52">INDEX(GMW!$A$2:$DB$60,MATCH(1,(GMW!$DA$2:$DA$60=G$3)*(GMW!$DB$2:$DB$60=G$1),0),$A52-1966)</f>
        <v>32</v>
      </c>
      <c r="H52" s="26" cm="1">
        <f t="array" ref="H52">INDEX(GMW!$A$2:$DB$60,MATCH(1,(GMW!$DA$2:$DA$60=H$3)*(GMW!$DB$2:$DB$60=H$1),0),$A52-1966)</f>
        <v>564875.5</v>
      </c>
      <c r="I52" s="26" cm="1">
        <f t="array" ref="I52">INDEX(GMW!$A$2:$DB$60,MATCH(1,(GMW!$DA$2:$DA$60=I$3)*(GMW!$DB$2:$DB$60=I$1),0),$A52-1966)</f>
        <v>42565.27</v>
      </c>
      <c r="J52" s="26" cm="1">
        <f t="array" ref="J52">INDEX(GMW!$A$2:$DB$60,MATCH(1,(GMW!$DA$2:$DA$60=J$3)*(GMW!$DB$2:$DB$60=J$1),0),$A52-1966)</f>
        <v>-1.5843240000000001</v>
      </c>
      <c r="K52" s="26" cm="1">
        <f t="array" ref="K52">INDEX(GMW!$A$2:$DB$60,MATCH(1,(GMW!$DA$2:$DA$60=K$3)*(GMW!$DB$2:$DB$60=K$1),0),$A52-1966)</f>
        <v>32506.75</v>
      </c>
      <c r="L52" s="26" cm="1">
        <f t="array" ref="L52">INDEX(GMW!$A$2:$DB$60,MATCH(1,(GMW!$DA$2:$DA$60=L$3)*(GMW!$DB$2:$DB$60=L$1),0),$A52-1966)</f>
        <v>66330.75</v>
      </c>
      <c r="M52" s="26" cm="1">
        <f t="array" ref="M52">INDEX(GMW!$A$2:$DB$60,MATCH(1,(GMW!$DA$2:$DA$60=M$3)*(GMW!$DB$2:$DB$60=M$1),0),$A52-1966)</f>
        <v>41800.04</v>
      </c>
      <c r="N52" s="26" cm="1">
        <f t="array" ref="N52">INDEX(GMW!$A$2:$DB$60,MATCH(1,(GMW!$DA$2:$DA$60=N$3)*(GMW!$DB$2:$DB$60=N$1),0),$A52-1966)</f>
        <v>51027</v>
      </c>
      <c r="O52" s="26" cm="1">
        <f t="array" ref="O52">INDEX(GMW!$A$2:$DB$60,MATCH(1,(GMW!$DA$2:$DA$60=O$3)*(GMW!$DB$2:$DB$60=O$1),0),$A52-1966)</f>
        <v>1798600</v>
      </c>
      <c r="P52" s="26" cm="1">
        <f t="array" ref="P52">INDEX(GMW!$A$2:$DB$60,MATCH(1,(GMW!$DA$2:$DA$60=P$3)*(GMW!$DB$2:$DB$60=P$1),0),$A52-1966)</f>
        <v>2171559</v>
      </c>
    </row>
    <row r="53" spans="1:16">
      <c r="A53" s="26">
        <f t="shared" si="2"/>
        <v>2019</v>
      </c>
      <c r="B53" s="26" cm="1">
        <f t="array" ref="B53">INDEX(GMW!$A$2:$DB$60,MATCH(1,(GMW!$DA$2:$DA$60=B$3)*(GMW!$DB$2:$DB$60=B$1),0),$A53-1966)</f>
        <v>2673465</v>
      </c>
      <c r="C53" s="26" cm="1">
        <f t="array" ref="C53">INDEX(GMW!$A$2:$DB$60,MATCH(1,(GMW!$DA$2:$DA$60=C$3)*(GMW!$DB$2:$DB$60=C$1),0),$A53-1966)</f>
        <v>3.8250000000000002</v>
      </c>
      <c r="D53" s="26" cm="1">
        <f t="array" ref="D53">INDEX(GMW!$A$2:$DB$60,MATCH(1,(GMW!$DA$2:$DA$60=D$3)*(GMW!$DB$2:$DB$60=D$1),0),$A53-1966)</f>
        <v>2660121</v>
      </c>
      <c r="E53" s="26" cm="1">
        <f t="array" ref="E53">INDEX(GMW!$A$2:$DB$60,MATCH(1,(GMW!$DA$2:$DA$60=E$3)*(GMW!$DB$2:$DB$60=E$1),0),$A53-1966)</f>
        <v>2892000</v>
      </c>
      <c r="F53" s="26" cm="1">
        <f t="array" ref="F53">INDEX(GMW!$A$2:$DB$60,MATCH(1,(GMW!$DA$2:$DA$60=F$3)*(GMW!$DB$2:$DB$60=F$1),0),$A53-1966)</f>
        <v>32766.240000000002</v>
      </c>
      <c r="G53" s="26" cm="1">
        <f t="array" ref="G53">INDEX(GMW!$A$2:$DB$60,MATCH(1,(GMW!$DA$2:$DA$60=G$3)*(GMW!$DB$2:$DB$60=G$1),0),$A53-1966)</f>
        <v>32.049999999999997</v>
      </c>
      <c r="H53" s="26" cm="1">
        <f t="array" ref="H53">INDEX(GMW!$A$2:$DB$60,MATCH(1,(GMW!$DA$2:$DA$60=H$3)*(GMW!$DB$2:$DB$60=H$1),0),$A53-1966)</f>
        <v>570674.4</v>
      </c>
      <c r="I53" s="26" cm="1">
        <f t="array" ref="I53">INDEX(GMW!$A$2:$DB$60,MATCH(1,(GMW!$DA$2:$DA$60=I$3)*(GMW!$DB$2:$DB$60=I$1),0),$A53-1966)</f>
        <v>42702.21</v>
      </c>
      <c r="J53" s="26" cm="1">
        <f t="array" ref="J53">INDEX(GMW!$A$2:$DB$60,MATCH(1,(GMW!$DA$2:$DA$60=J$3)*(GMW!$DB$2:$DB$60=J$1),0),$A53-1966)</f>
        <v>-1.585059</v>
      </c>
      <c r="K53" s="26" cm="1">
        <f t="array" ref="K53">INDEX(GMW!$A$2:$DB$60,MATCH(1,(GMW!$DA$2:$DA$60=K$3)*(GMW!$DB$2:$DB$60=K$1),0),$A53-1966)</f>
        <v>32923</v>
      </c>
      <c r="L53" s="26" cm="1">
        <f t="array" ref="L53">INDEX(GMW!$A$2:$DB$60,MATCH(1,(GMW!$DA$2:$DA$60=L$3)*(GMW!$DB$2:$DB$60=L$1),0),$A53-1966)</f>
        <v>66627.69</v>
      </c>
      <c r="M53" s="26" cm="1">
        <f t="array" ref="M53">INDEX(GMW!$A$2:$DB$60,MATCH(1,(GMW!$DA$2:$DA$60=M$3)*(GMW!$DB$2:$DB$60=M$1),0),$A53-1966)</f>
        <v>42268.43</v>
      </c>
      <c r="N53" s="26" cm="1">
        <f t="array" ref="N53">INDEX(GMW!$A$2:$DB$60,MATCH(1,(GMW!$DA$2:$DA$60=N$3)*(GMW!$DB$2:$DB$60=N$1),0),$A53-1966)</f>
        <v>49621</v>
      </c>
      <c r="O53" s="26" cm="1">
        <f t="array" ref="O53">INDEX(GMW!$A$2:$DB$60,MATCH(1,(GMW!$DA$2:$DA$60=O$3)*(GMW!$DB$2:$DB$60=O$1),0),$A53-1966)</f>
        <v>1837500</v>
      </c>
      <c r="P53" s="26" cm="1">
        <f t="array" ref="P53">INDEX(GMW!$A$2:$DB$60,MATCH(1,(GMW!$DA$2:$DA$60=P$3)*(GMW!$DB$2:$DB$60=P$1),0),$A53-1966)</f>
        <v>2252961</v>
      </c>
    </row>
    <row r="54" spans="1:16">
      <c r="A54" s="26">
        <f t="shared" si="2"/>
        <v>2020</v>
      </c>
      <c r="B54" s="26" cm="1">
        <f t="array" ref="B54">INDEX(GMW!$A$2:$DB$60,MATCH(1,(GMW!$DA$2:$DA$60=B$3)*(GMW!$DB$2:$DB$60=B$1),0),$A54-1966)</f>
        <v>2404838</v>
      </c>
      <c r="C54" s="26" cm="1">
        <f t="array" ref="C54">INDEX(GMW!$A$2:$DB$60,MATCH(1,(GMW!$DA$2:$DA$60=C$3)*(GMW!$DB$2:$DB$60=C$1),0),$A54-1966)</f>
        <v>4.625</v>
      </c>
      <c r="D54" s="26" cm="1">
        <f t="array" ref="D54">INDEX(GMW!$A$2:$DB$60,MATCH(1,(GMW!$DA$2:$DA$60=D$3)*(GMW!$DB$2:$DB$60=D$1),0),$A54-1966)</f>
        <v>2486749</v>
      </c>
      <c r="E54" s="26" cm="1">
        <f t="array" ref="E54">INDEX(GMW!$A$2:$DB$60,MATCH(1,(GMW!$DA$2:$DA$60=E$3)*(GMW!$DB$2:$DB$60=E$1),0),$A54-1966)</f>
        <v>2920000</v>
      </c>
      <c r="F54" s="26" cm="1">
        <f t="array" ref="F54">INDEX(GMW!$A$2:$DB$60,MATCH(1,(GMW!$DA$2:$DA$60=F$3)*(GMW!$DB$2:$DB$60=F$1),0),$A54-1966)</f>
        <v>32678.28</v>
      </c>
      <c r="G54" s="26" cm="1">
        <f t="array" ref="G54">INDEX(GMW!$A$2:$DB$60,MATCH(1,(GMW!$DA$2:$DA$60=G$3)*(GMW!$DB$2:$DB$60=G$1),0),$A54-1966)</f>
        <v>28.875</v>
      </c>
      <c r="H54" s="26" cm="1">
        <f t="array" ref="H54">INDEX(GMW!$A$2:$DB$60,MATCH(1,(GMW!$DA$2:$DA$60=H$3)*(GMW!$DB$2:$DB$60=H$1),0),$A54-1966)</f>
        <v>575664.80000000005</v>
      </c>
      <c r="I54" s="26" cm="1">
        <f t="array" ref="I54">INDEX(GMW!$A$2:$DB$60,MATCH(1,(GMW!$DA$2:$DA$60=I$3)*(GMW!$DB$2:$DB$60=I$1),0),$A54-1966)</f>
        <v>42780.800000000003</v>
      </c>
      <c r="J54" s="26" cm="1">
        <f t="array" ref="J54">INDEX(GMW!$A$2:$DB$60,MATCH(1,(GMW!$DA$2:$DA$60=J$3)*(GMW!$DB$2:$DB$60=J$1),0),$A54-1966)</f>
        <v>-1.589898</v>
      </c>
      <c r="K54" s="26" cm="1">
        <f t="array" ref="K54">INDEX(GMW!$A$2:$DB$60,MATCH(1,(GMW!$DA$2:$DA$60=K$3)*(GMW!$DB$2:$DB$60=K$1),0),$A54-1966)</f>
        <v>32558.75</v>
      </c>
      <c r="L54" s="26" cm="1">
        <f t="array" ref="L54">INDEX(GMW!$A$2:$DB$60,MATCH(1,(GMW!$DA$2:$DA$60=L$3)*(GMW!$DB$2:$DB$60=L$1),0),$A54-1966)</f>
        <v>66777.62</v>
      </c>
      <c r="M54" s="26" cm="1">
        <f t="array" ref="M54">INDEX(GMW!$A$2:$DB$60,MATCH(1,(GMW!$DA$2:$DA$60=M$3)*(GMW!$DB$2:$DB$60=M$1),0),$A54-1966)</f>
        <v>42633.5</v>
      </c>
      <c r="N54" s="26" cm="1">
        <f t="array" ref="N54">INDEX(GMW!$A$2:$DB$60,MATCH(1,(GMW!$DA$2:$DA$60=N$3)*(GMW!$DB$2:$DB$60=N$1),0),$A54-1966)</f>
        <v>269956</v>
      </c>
      <c r="O54" s="26" cm="1">
        <f t="array" ref="O54">INDEX(GMW!$A$2:$DB$60,MATCH(1,(GMW!$DA$2:$DA$60=O$3)*(GMW!$DB$2:$DB$60=O$1),0),$A54-1966)</f>
        <v>2152500</v>
      </c>
      <c r="P54" s="26" cm="1">
        <f t="array" ref="P54">INDEX(GMW!$A$2:$DB$60,MATCH(1,(GMW!$DA$2:$DA$60=P$3)*(GMW!$DB$2:$DB$60=P$1),0),$A54-1966)</f>
        <v>2124720</v>
      </c>
    </row>
    <row r="55" spans="1:16">
      <c r="A55" s="26">
        <f t="shared" si="2"/>
        <v>2021</v>
      </c>
      <c r="B55" s="26" cm="1">
        <f t="array" ref="B55">INDEX(GMW!$A$2:$DB$60,MATCH(1,(GMW!$DA$2:$DA$60=B$3)*(GMW!$DB$2:$DB$60=B$1),0),$A55-1966)</f>
        <v>2610286</v>
      </c>
      <c r="C55" s="26" cm="1">
        <f t="array" ref="C55">INDEX(GMW!$A$2:$DB$60,MATCH(1,(GMW!$DA$2:$DA$60=C$3)*(GMW!$DB$2:$DB$60=C$1),0),$A55-1966)</f>
        <v>4.55</v>
      </c>
      <c r="D55" s="26" cm="1">
        <f t="array" ref="D55">INDEX(GMW!$A$2:$DB$60,MATCH(1,(GMW!$DA$2:$DA$60=D$3)*(GMW!$DB$2:$DB$60=D$1),0),$A55-1966)</f>
        <v>2607600</v>
      </c>
      <c r="E55" s="26" cm="1">
        <f t="array" ref="E55">INDEX(GMW!$A$2:$DB$60,MATCH(1,(GMW!$DA$2:$DA$60=E$3)*(GMW!$DB$2:$DB$60=E$1),0),$A55-1966)</f>
        <v>2967000</v>
      </c>
      <c r="F55" s="26" cm="1">
        <f t="array" ref="F55">INDEX(GMW!$A$2:$DB$60,MATCH(1,(GMW!$DA$2:$DA$60=F$3)*(GMW!$DB$2:$DB$60=F$1),0),$A55-1966)</f>
        <v>32676.13</v>
      </c>
      <c r="G55" s="26" cm="1">
        <f t="array" ref="G55">INDEX(GMW!$A$2:$DB$60,MATCH(1,(GMW!$DA$2:$DA$60=G$3)*(GMW!$DB$2:$DB$60=G$1),0),$A55-1966)</f>
        <v>30.95</v>
      </c>
      <c r="H55" s="26" cm="1">
        <f t="array" ref="H55">INDEX(GMW!$A$2:$DB$60,MATCH(1,(GMW!$DA$2:$DA$60=H$3)*(GMW!$DB$2:$DB$60=H$1),0),$A55-1966)</f>
        <v>582053.80000000005</v>
      </c>
      <c r="I55" s="26" cm="1">
        <f t="array" ref="I55">INDEX(GMW!$A$2:$DB$60,MATCH(1,(GMW!$DA$2:$DA$60=I$3)*(GMW!$DB$2:$DB$60=I$1),0),$A55-1966)</f>
        <v>42964.73</v>
      </c>
      <c r="J55" s="26" cm="1">
        <f t="array" ref="J55">INDEX(GMW!$A$2:$DB$60,MATCH(1,(GMW!$DA$2:$DA$60=J$3)*(GMW!$DB$2:$DB$60=J$1),0),$A55-1966)</f>
        <v>-1.5941719999999999</v>
      </c>
      <c r="K55" s="26" cm="1">
        <f t="array" ref="K55">INDEX(GMW!$A$2:$DB$60,MATCH(1,(GMW!$DA$2:$DA$60=K$3)*(GMW!$DB$2:$DB$60=K$1),0),$A55-1966)</f>
        <v>32555</v>
      </c>
      <c r="L55" s="26" cm="1">
        <f t="array" ref="L55">INDEX(GMW!$A$2:$DB$60,MATCH(1,(GMW!$DA$2:$DA$60=L$3)*(GMW!$DB$2:$DB$60=L$1),0),$A55-1966)</f>
        <v>67086.5</v>
      </c>
      <c r="M55" s="26" cm="1">
        <f t="array" ref="M55">INDEX(GMW!$A$2:$DB$60,MATCH(1,(GMW!$DA$2:$DA$60=M$3)*(GMW!$DB$2:$DB$60=M$1),0),$A55-1966)</f>
        <v>42900.68</v>
      </c>
      <c r="N55" s="26" cm="1">
        <f t="array" ref="N55">INDEX(GMW!$A$2:$DB$60,MATCH(1,(GMW!$DA$2:$DA$60=N$3)*(GMW!$DB$2:$DB$60=N$1),0),$A55-1966)</f>
        <v>161177</v>
      </c>
      <c r="O55" s="26" cm="1">
        <f t="array" ref="O55">INDEX(GMW!$A$2:$DB$60,MATCH(1,(GMW!$DA$2:$DA$60=O$3)*(GMW!$DB$2:$DB$60=O$1),0),$A55-1966)</f>
        <v>2364800</v>
      </c>
      <c r="P55" s="26" cm="1">
        <f t="array" ref="P55">INDEX(GMW!$A$2:$DB$60,MATCH(1,(GMW!$DA$2:$DA$60=P$3)*(GMW!$DB$2:$DB$60=P$1),0),$A55-1966)</f>
        <v>2322652</v>
      </c>
    </row>
    <row r="56" spans="1:16">
      <c r="A56" s="26">
        <f t="shared" si="2"/>
        <v>2022</v>
      </c>
      <c r="B56" s="26" cm="1">
        <f t="array" ref="B56">INDEX(GMW!$A$2:$DB$60,MATCH(1,(GMW!$DA$2:$DA$60=B$3)*(GMW!$DB$2:$DB$60=B$1),0),$A56-1966)</f>
        <v>2744708</v>
      </c>
      <c r="C56" s="26" cm="1">
        <f t="array" ref="C56">INDEX(GMW!$A$2:$DB$60,MATCH(1,(GMW!$DA$2:$DA$60=C$3)*(GMW!$DB$2:$DB$60=C$1),0),$A56-1966)</f>
        <v>3.8</v>
      </c>
      <c r="D56" s="26" cm="1">
        <f t="array" ref="D56">INDEX(GMW!$A$2:$DB$60,MATCH(1,(GMW!$DA$2:$DA$60=D$3)*(GMW!$DB$2:$DB$60=D$1),0),$A56-1966)</f>
        <v>2680477</v>
      </c>
      <c r="E56" s="26" cm="1">
        <f t="array" ref="E56">INDEX(GMW!$A$2:$DB$60,MATCH(1,(GMW!$DA$2:$DA$60=E$3)*(GMW!$DB$2:$DB$60=E$1),0),$A56-1966)</f>
        <v>3028000</v>
      </c>
      <c r="F56" s="26" cm="1">
        <f t="array" ref="F56">INDEX(GMW!$A$2:$DB$60,MATCH(1,(GMW!$DA$2:$DA$60=F$3)*(GMW!$DB$2:$DB$60=F$1),0),$A56-1966)</f>
        <v>32856.300000000003</v>
      </c>
      <c r="G56" s="26" cm="1">
        <f t="array" ref="G56">INDEX(GMW!$A$2:$DB$60,MATCH(1,(GMW!$DA$2:$DA$60=G$3)*(GMW!$DB$2:$DB$60=G$1),0),$A56-1966)</f>
        <v>31.75</v>
      </c>
      <c r="H56" s="26" cm="1">
        <f t="array" ref="H56">INDEX(GMW!$A$2:$DB$60,MATCH(1,(GMW!$DA$2:$DA$60=H$3)*(GMW!$DB$2:$DB$60=H$1),0),$A56-1966)</f>
        <v>591449.80000000005</v>
      </c>
      <c r="I56" s="26" cm="1">
        <f t="array" ref="I56">INDEX(GMW!$A$2:$DB$60,MATCH(1,(GMW!$DA$2:$DA$60=I$3)*(GMW!$DB$2:$DB$60=I$1),0),$A56-1966)</f>
        <v>43370.1</v>
      </c>
      <c r="J56" s="26" cm="1">
        <f t="array" ref="J56">INDEX(GMW!$A$2:$DB$60,MATCH(1,(GMW!$DA$2:$DA$60=J$3)*(GMW!$DB$2:$DB$60=J$1),0),$A56-1966)</f>
        <v>-1.594949</v>
      </c>
      <c r="K56" s="26" cm="1">
        <f t="array" ref="K56">INDEX(GMW!$A$2:$DB$60,MATCH(1,(GMW!$DA$2:$DA$60=K$3)*(GMW!$DB$2:$DB$60=K$1),0),$A56-1966)</f>
        <v>32957.25</v>
      </c>
      <c r="L56" s="26" cm="1">
        <f t="array" ref="L56">INDEX(GMW!$A$2:$DB$60,MATCH(1,(GMW!$DA$2:$DA$60=L$3)*(GMW!$DB$2:$DB$60=L$1),0),$A56-1966)</f>
        <v>67761.75</v>
      </c>
      <c r="M56" s="26" cm="1">
        <f t="array" ref="M56">INDEX(GMW!$A$2:$DB$60,MATCH(1,(GMW!$DA$2:$DA$60=M$3)*(GMW!$DB$2:$DB$60=M$1),0),$A56-1966)</f>
        <v>43306</v>
      </c>
      <c r="N56" s="26" cm="1">
        <f t="array" ref="N56">INDEX(GMW!$A$2:$DB$60,MATCH(1,(GMW!$DA$2:$DA$60=N$3)*(GMW!$DB$2:$DB$60=N$1),0),$A56-1966)</f>
        <v>107926</v>
      </c>
      <c r="O56" s="26" cm="1">
        <f t="array" ref="O56">INDEX(GMW!$A$2:$DB$60,MATCH(1,(GMW!$DA$2:$DA$60=O$3)*(GMW!$DB$2:$DB$60=O$1),0),$A56-1966)</f>
        <v>2501300</v>
      </c>
      <c r="P56" s="26" cm="1">
        <f t="array" ref="P56">INDEX(GMW!$A$2:$DB$60,MATCH(1,(GMW!$DA$2:$DA$60=P$3)*(GMW!$DB$2:$DB$60=P$1),0),$A56-1966)</f>
        <v>2580949</v>
      </c>
    </row>
    <row r="57" spans="1:16">
      <c r="A57" s="26">
        <f t="shared" si="2"/>
        <v>2023</v>
      </c>
      <c r="B57" s="26" cm="1">
        <f t="array" ref="B57">INDEX(GMW!$A$2:$DB$60,MATCH(1,(GMW!$DA$2:$DA$60=B$3)*(GMW!$DB$2:$DB$60=B$1),0),$A57-1966)</f>
        <v>2752164</v>
      </c>
      <c r="C57" s="26" cm="1">
        <f t="array" ref="C57">INDEX(GMW!$A$2:$DB$60,MATCH(1,(GMW!$DA$2:$DA$60=C$3)*(GMW!$DB$2:$DB$60=C$1),0),$A57-1966)</f>
        <v>4.05</v>
      </c>
      <c r="D57" s="26" cm="1">
        <f t="array" ref="D57">INDEX(GMW!$A$2:$DB$60,MATCH(1,(GMW!$DA$2:$DA$60=D$3)*(GMW!$DB$2:$DB$60=D$1),0),$A57-1966)</f>
        <v>2722320</v>
      </c>
      <c r="E57" s="26" cm="1">
        <f t="array" ref="E57">INDEX(GMW!$A$2:$DB$60,MATCH(1,(GMW!$DA$2:$DA$60=E$3)*(GMW!$DB$2:$DB$60=E$1),0),$A57-1966)</f>
        <v>3095000</v>
      </c>
      <c r="F57" s="26" cm="1">
        <f t="array" ref="F57">INDEX(GMW!$A$2:$DB$60,MATCH(1,(GMW!$DA$2:$DA$60=F$3)*(GMW!$DB$2:$DB$60=F$1),0),$A57-1966)</f>
        <v>33332.92</v>
      </c>
      <c r="G57" s="26" cm="1">
        <f t="array" ref="G57">INDEX(GMW!$A$2:$DB$60,MATCH(1,(GMW!$DA$2:$DA$60=G$3)*(GMW!$DB$2:$DB$60=G$1),0),$A57-1966)</f>
        <v>31.625</v>
      </c>
      <c r="H57" s="26" cm="1">
        <f t="array" ref="H57">INDEX(GMW!$A$2:$DB$60,MATCH(1,(GMW!$DA$2:$DA$60=H$3)*(GMW!$DB$2:$DB$60=H$1),0),$A57-1966)</f>
        <v>603143.5</v>
      </c>
      <c r="I57" s="26" cm="1">
        <f t="array" ref="I57">INDEX(GMW!$A$2:$DB$60,MATCH(1,(GMW!$DA$2:$DA$60=I$3)*(GMW!$DB$2:$DB$60=I$1),0),$A57-1966)</f>
        <v>43941.599999999999</v>
      </c>
      <c r="J57" s="26" cm="1">
        <f t="array" ref="J57">INDEX(GMW!$A$2:$DB$60,MATCH(1,(GMW!$DA$2:$DA$60=J$3)*(GMW!$DB$2:$DB$60=J$1),0),$A57-1966)</f>
        <v>-1.5955269999999999</v>
      </c>
      <c r="K57" s="26" cm="1">
        <f t="array" ref="K57">INDEX(GMW!$A$2:$DB$60,MATCH(1,(GMW!$DA$2:$DA$60=K$3)*(GMW!$DB$2:$DB$60=K$1),0),$A57-1966)</f>
        <v>33351</v>
      </c>
      <c r="L57" s="26" cm="1">
        <f t="array" ref="L57">INDEX(GMW!$A$2:$DB$60,MATCH(1,(GMW!$DA$2:$DA$60=L$3)*(GMW!$DB$2:$DB$60=L$1),0),$A57-1966)</f>
        <v>68611.94</v>
      </c>
      <c r="M57" s="26" cm="1">
        <f t="array" ref="M57">INDEX(GMW!$A$2:$DB$60,MATCH(1,(GMW!$DA$2:$DA$60=M$3)*(GMW!$DB$2:$DB$60=M$1),0),$A57-1966)</f>
        <v>43867.71</v>
      </c>
      <c r="N57" s="26" cm="1">
        <f t="array" ref="N57">INDEX(GMW!$A$2:$DB$60,MATCH(1,(GMW!$DA$2:$DA$60=N$3)*(GMW!$DB$2:$DB$60=N$1),0),$A57-1966)</f>
        <v>143180</v>
      </c>
      <c r="O57" s="26" cm="1">
        <f t="array" ref="O57">INDEX(GMW!$A$2:$DB$60,MATCH(1,(GMW!$DA$2:$DA$60=O$3)*(GMW!$DB$2:$DB$60=O$1),0),$A57-1966)</f>
        <v>2695600</v>
      </c>
      <c r="P57" s="26" cm="1">
        <f t="array" ref="P57">INDEX(GMW!$A$2:$DB$60,MATCH(1,(GMW!$DA$2:$DA$60=P$3)*(GMW!$DB$2:$DB$60=P$1),0),$A57-1966)</f>
        <v>2752164</v>
      </c>
    </row>
    <row r="58" spans="1:16">
      <c r="A58" s="26">
        <f t="shared" si="2"/>
        <v>2024</v>
      </c>
      <c r="B58" s="26" cm="1">
        <f t="array" ref="B58">INDEX(GMW!$A$2:$DB$60,MATCH(1,(GMW!$DA$2:$DA$60=B$3)*(GMW!$DB$2:$DB$60=B$1),0),$A58-1966)</f>
        <v>2782111</v>
      </c>
      <c r="C58" s="26" cm="1">
        <f t="array" ref="C58">INDEX(GMW!$A$2:$DB$60,MATCH(1,(GMW!$DA$2:$DA$60=C$3)*(GMW!$DB$2:$DB$60=C$1),0),$A58-1966)</f>
        <v>4.3</v>
      </c>
      <c r="D58" s="26" cm="1">
        <f t="array" ref="D58">INDEX(GMW!$A$2:$DB$60,MATCH(1,(GMW!$DA$2:$DA$60=D$3)*(GMW!$DB$2:$DB$60=D$1),0),$A58-1966)</f>
        <v>2785026</v>
      </c>
      <c r="E58" s="26" cm="1">
        <f t="array" ref="E58">INDEX(GMW!$A$2:$DB$60,MATCH(1,(GMW!$DA$2:$DA$60=E$3)*(GMW!$DB$2:$DB$60=E$1),0),$A58-1966)</f>
        <v>3153000</v>
      </c>
      <c r="F58" s="26" cm="1">
        <f t="array" ref="F58">INDEX(GMW!$A$2:$DB$60,MATCH(1,(GMW!$DA$2:$DA$60=F$3)*(GMW!$DB$2:$DB$60=F$1),0),$A58-1966)</f>
        <v>33685.11</v>
      </c>
      <c r="G58" s="26" cm="1">
        <f t="array" ref="G58">INDEX(GMW!$A$2:$DB$60,MATCH(1,(GMW!$DA$2:$DA$60=G$3)*(GMW!$DB$2:$DB$60=G$1),0),$A58-1966)</f>
        <v>31.975000000000001</v>
      </c>
      <c r="H58" s="26" cm="1">
        <f t="array" ref="H58">INDEX(GMW!$A$2:$DB$60,MATCH(1,(GMW!$DA$2:$DA$60=H$3)*(GMW!$DB$2:$DB$60=H$1),0),$A58-1966)</f>
        <v>613184.9</v>
      </c>
      <c r="I58" s="26" cm="1">
        <f t="array" ref="I58">INDEX(GMW!$A$2:$DB$60,MATCH(1,(GMW!$DA$2:$DA$60=I$3)*(GMW!$DB$2:$DB$60=I$1),0),$A58-1966)</f>
        <v>44390.12</v>
      </c>
      <c r="J58" s="26" cm="1">
        <f t="array" ref="J58">INDEX(GMW!$A$2:$DB$60,MATCH(1,(GMW!$DA$2:$DA$60=J$3)*(GMW!$DB$2:$DB$60=J$1),0),$A58-1966)</f>
        <v>-1.5958669999999999</v>
      </c>
      <c r="K58" s="26" cm="1">
        <f t="array" ref="K58">INDEX(GMW!$A$2:$DB$60,MATCH(1,(GMW!$DA$2:$DA$60=K$3)*(GMW!$DB$2:$DB$60=K$1),0),$A58-1966)</f>
        <v>33615.5</v>
      </c>
      <c r="L58" s="26" cm="1">
        <f t="array" ref="L58">INDEX(GMW!$A$2:$DB$60,MATCH(1,(GMW!$DA$2:$DA$60=L$3)*(GMW!$DB$2:$DB$60=L$1),0),$A58-1966)</f>
        <v>69272.44</v>
      </c>
      <c r="M58" s="26" cm="1">
        <f t="array" ref="M58">INDEX(GMW!$A$2:$DB$60,MATCH(1,(GMW!$DA$2:$DA$60=M$3)*(GMW!$DB$2:$DB$60=M$1),0),$A58-1966)</f>
        <v>44324.94</v>
      </c>
      <c r="N58" s="26" cm="1">
        <f t="array" ref="N58">INDEX(GMW!$A$2:$DB$60,MATCH(1,(GMW!$DA$2:$DA$60=N$3)*(GMW!$DB$2:$DB$60=N$1),0),$A58-1966)</f>
        <v>152010</v>
      </c>
      <c r="O58" s="26" cm="1">
        <f t="array" ref="O58">INDEX(GMW!$A$2:$DB$60,MATCH(1,(GMW!$DA$2:$DA$60=O$3)*(GMW!$DB$2:$DB$60=O$1),0),$A58-1966)</f>
        <v>2815200</v>
      </c>
      <c r="P58" s="26" cm="1">
        <f t="array" ref="P58">INDEX(GMW!$A$2:$DB$60,MATCH(1,(GMW!$DA$2:$DA$60=P$3)*(GMW!$DB$2:$DB$60=P$1),0),$A58-1966)</f>
        <v>2890664</v>
      </c>
    </row>
    <row r="59" spans="1:16">
      <c r="A59" s="26">
        <f t="shared" si="2"/>
        <v>2025</v>
      </c>
      <c r="B59" s="26" cm="1">
        <f t="array" ref="B59">INDEX(GMW!$A$2:$DB$60,MATCH(1,(GMW!$DA$2:$DA$60=B$3)*(GMW!$DB$2:$DB$60=B$1),0),$A59-1966)</f>
        <v>2820536</v>
      </c>
      <c r="C59" s="26" cm="1">
        <f t="array" ref="C59">INDEX(GMW!$A$2:$DB$60,MATCH(1,(GMW!$DA$2:$DA$60=C$3)*(GMW!$DB$2:$DB$60=C$1),0),$A59-1966)</f>
        <v>4.8223479999999999</v>
      </c>
      <c r="D59" s="26" cm="1">
        <f t="array" ref="D59">INDEX(GMW!$A$2:$DB$60,MATCH(1,(GMW!$DA$2:$DA$60=D$3)*(GMW!$DB$2:$DB$60=D$1),0),$A59-1966)</f>
        <v>2839341</v>
      </c>
      <c r="E59" s="26" cm="1">
        <f t="array" ref="E59">INDEX(GMW!$A$2:$DB$60,MATCH(1,(GMW!$DA$2:$DA$60=E$3)*(GMW!$DB$2:$DB$60=E$1),0),$A59-1966)</f>
        <v>3210988</v>
      </c>
      <c r="F59" s="26" cm="1">
        <f t="array" ref="F59">INDEX(GMW!$A$2:$DB$60,MATCH(1,(GMW!$DA$2:$DA$60=F$3)*(GMW!$DB$2:$DB$60=F$1),0),$A59-1966)</f>
        <v>34427.06</v>
      </c>
      <c r="G59" s="26" cm="1">
        <f t="array" ref="G59">INDEX(GMW!$A$2:$DB$60,MATCH(1,(GMW!$DA$2:$DA$60=G$3)*(GMW!$DB$2:$DB$60=G$1),0),$A59-1966)</f>
        <v>31.824999999999999</v>
      </c>
      <c r="H59" s="26" cm="1">
        <f t="array" ref="H59">INDEX(GMW!$A$2:$DB$60,MATCH(1,(GMW!$DA$2:$DA$60=H$3)*(GMW!$DB$2:$DB$60=H$1),0),$A59-1966)</f>
        <v>619001.5</v>
      </c>
      <c r="I59" s="26" cm="1">
        <f t="array" ref="I59">INDEX(GMW!$A$2:$DB$60,MATCH(1,(GMW!$DA$2:$DA$60=I$3)*(GMW!$DB$2:$DB$60=I$1),0),$A59-1966)</f>
        <v>44533.42</v>
      </c>
      <c r="J59" s="26" cm="1">
        <f t="array" ref="J59">INDEX(GMW!$A$2:$DB$60,MATCH(1,(GMW!$DA$2:$DA$60=J$3)*(GMW!$DB$2:$DB$60=J$1),0),$A59-1966)</f>
        <v>-1.5961860000000001</v>
      </c>
      <c r="K59" s="26" cm="1">
        <f t="array" ref="K59">INDEX(GMW!$A$2:$DB$60,MATCH(1,(GMW!$DA$2:$DA$60=K$3)*(GMW!$DB$2:$DB$60=K$1),0),$A59-1966)</f>
        <v>34170.35</v>
      </c>
      <c r="L59" s="26" cm="1">
        <f t="array" ref="L59">INDEX(GMW!$A$2:$DB$60,MATCH(1,(GMW!$DA$2:$DA$60=L$3)*(GMW!$DB$2:$DB$60=L$1),0),$A59-1966)</f>
        <v>69493.98</v>
      </c>
      <c r="M59" s="26" cm="1">
        <f t="array" ref="M59">INDEX(GMW!$A$2:$DB$60,MATCH(1,(GMW!$DA$2:$DA$60=M$3)*(GMW!$DB$2:$DB$60=M$1),0),$A59-1966)</f>
        <v>44442.19</v>
      </c>
      <c r="N59" s="26" cm="1">
        <f t="array" ref="N59">INDEX(GMW!$A$2:$DB$60,MATCH(1,(GMW!$DA$2:$DA$60=N$3)*(GMW!$DB$2:$DB$60=N$1),0),$A59-1966)</f>
        <v>151924</v>
      </c>
      <c r="O59" s="26" cm="1">
        <f t="array" ref="O59">INDEX(GMW!$A$2:$DB$60,MATCH(1,(GMW!$DA$2:$DA$60=O$3)*(GMW!$DB$2:$DB$60=O$1),0),$A59-1966)</f>
        <v>2935800</v>
      </c>
      <c r="P59" s="26" cm="1">
        <f t="array" ref="P59">INDEX(GMW!$A$2:$DB$60,MATCH(1,(GMW!$DA$2:$DA$60=P$3)*(GMW!$DB$2:$DB$60=P$1),0),$A59-1966)</f>
        <v>3036810</v>
      </c>
    </row>
    <row r="60" spans="1:16">
      <c r="A60" s="26">
        <f t="shared" si="2"/>
        <v>2026</v>
      </c>
      <c r="B60" s="26" cm="1">
        <f t="array" ref="B60">INDEX(GMW!$A$2:$DB$60,MATCH(1,(GMW!$DA$2:$DA$60=B$3)*(GMW!$DB$2:$DB$60=B$1),0),$A60-1966)</f>
        <v>2845122</v>
      </c>
      <c r="C60" s="26" cm="1">
        <f t="array" ref="C60">INDEX(GMW!$A$2:$DB$60,MATCH(1,(GMW!$DA$2:$DA$60=C$3)*(GMW!$DB$2:$DB$60=C$1),0),$A60-1966)</f>
        <v>5.1673280000000004</v>
      </c>
      <c r="D60" s="26" cm="1">
        <f t="array" ref="D60">INDEX(GMW!$A$2:$DB$60,MATCH(1,(GMW!$DA$2:$DA$60=D$3)*(GMW!$DB$2:$DB$60=D$1),0),$A60-1966)</f>
        <v>2881111</v>
      </c>
      <c r="E60" s="26" cm="1">
        <f t="array" ref="E60">INDEX(GMW!$A$2:$DB$60,MATCH(1,(GMW!$DA$2:$DA$60=E$3)*(GMW!$DB$2:$DB$60=E$1),0),$A60-1966)</f>
        <v>3257932</v>
      </c>
      <c r="F60" s="26" cm="1">
        <f t="array" ref="F60">INDEX(GMW!$A$2:$DB$60,MATCH(1,(GMW!$DA$2:$DA$60=F$3)*(GMW!$DB$2:$DB$60=F$1),0),$A60-1966)</f>
        <v>34702.44</v>
      </c>
      <c r="G60" s="26" cm="1">
        <f t="array" ref="G60">INDEX(GMW!$A$2:$DB$60,MATCH(1,(GMW!$DA$2:$DA$60=G$3)*(GMW!$DB$2:$DB$60=G$1),0),$A60-1966)</f>
        <v>31.925000000000001</v>
      </c>
      <c r="H60" s="26" cm="1">
        <f t="array" ref="H60">INDEX(GMW!$A$2:$DB$60,MATCH(1,(GMW!$DA$2:$DA$60=H$3)*(GMW!$DB$2:$DB$60=H$1),0),$A60-1966)</f>
        <v>622970.9</v>
      </c>
      <c r="I60" s="26" cm="1">
        <f t="array" ref="I60">INDEX(GMW!$A$2:$DB$60,MATCH(1,(GMW!$DA$2:$DA$60=I$3)*(GMW!$DB$2:$DB$60=I$1),0),$A60-1966)</f>
        <v>44547.9</v>
      </c>
      <c r="J60" s="26" cm="1">
        <f t="array" ref="J60">INDEX(GMW!$A$2:$DB$60,MATCH(1,(GMW!$DA$2:$DA$60=J$3)*(GMW!$DB$2:$DB$60=J$1),0),$A60-1966)</f>
        <v>-1.596306</v>
      </c>
      <c r="K60" s="26" cm="1">
        <f t="array" ref="K60">INDEX(GMW!$A$2:$DB$60,MATCH(1,(GMW!$DA$2:$DA$60=K$3)*(GMW!$DB$2:$DB$60=K$1),0),$A60-1966)</f>
        <v>34316.22</v>
      </c>
      <c r="L60" s="26" cm="1">
        <f t="array" ref="L60">INDEX(GMW!$A$2:$DB$60,MATCH(1,(GMW!$DA$2:$DA$60=L$3)*(GMW!$DB$2:$DB$60=L$1),0),$A60-1966)</f>
        <v>69614.42</v>
      </c>
      <c r="M60" s="26" cm="1">
        <f t="array" ref="M60">INDEX(GMW!$A$2:$DB$60,MATCH(1,(GMW!$DA$2:$DA$60=M$3)*(GMW!$DB$2:$DB$60=M$1),0),$A60-1966)</f>
        <v>44368.3</v>
      </c>
      <c r="N60" s="26" cm="1">
        <f t="array" ref="N60">INDEX(GMW!$A$2:$DB$60,MATCH(1,(GMW!$DA$2:$DA$60=N$3)*(GMW!$DB$2:$DB$60=N$1),0),$A60-1966)</f>
        <v>122088.6</v>
      </c>
      <c r="O60" s="26" cm="1">
        <f t="array" ref="O60">INDEX(GMW!$A$2:$DB$60,MATCH(1,(GMW!$DA$2:$DA$60=O$3)*(GMW!$DB$2:$DB$60=O$1),0),$A60-1966)</f>
        <v>3062897</v>
      </c>
      <c r="P60" s="26" cm="1">
        <f t="array" ref="P60">INDEX(GMW!$A$2:$DB$60,MATCH(1,(GMW!$DA$2:$DA$60=P$3)*(GMW!$DB$2:$DB$60=P$1),0),$A60-1966)</f>
        <v>3135849</v>
      </c>
    </row>
    <row r="61" spans="1:16">
      <c r="A61" s="26">
        <f t="shared" si="2"/>
        <v>2027</v>
      </c>
      <c r="B61" s="26" cm="1">
        <f t="array" ref="B61">INDEX(GMW!$A$2:$DB$60,MATCH(1,(GMW!$DA$2:$DA$60=B$3)*(GMW!$DB$2:$DB$60=B$1),0),$A61-1966)</f>
        <v>2883162</v>
      </c>
      <c r="C61" s="26" cm="1">
        <f t="array" ref="C61">INDEX(GMW!$A$2:$DB$60,MATCH(1,(GMW!$DA$2:$DA$60=C$3)*(GMW!$DB$2:$DB$60=C$1),0),$A61-1966)</f>
        <v>4.9704269999999999</v>
      </c>
      <c r="D61" s="26" cm="1">
        <f t="array" ref="D61">INDEX(GMW!$A$2:$DB$60,MATCH(1,(GMW!$DA$2:$DA$60=D$3)*(GMW!$DB$2:$DB$60=D$1),0),$A61-1966)</f>
        <v>2916429</v>
      </c>
      <c r="E61" s="26" cm="1">
        <f t="array" ref="E61">INDEX(GMW!$A$2:$DB$60,MATCH(1,(GMW!$DA$2:$DA$60=E$3)*(GMW!$DB$2:$DB$60=E$1),0),$A61-1966)</f>
        <v>3305250</v>
      </c>
      <c r="F61" s="26" cm="1">
        <f t="array" ref="F61">INDEX(GMW!$A$2:$DB$60,MATCH(1,(GMW!$DA$2:$DA$60=F$3)*(GMW!$DB$2:$DB$60=F$1),0),$A61-1966)</f>
        <v>34894.57</v>
      </c>
      <c r="G61" s="26" cm="1">
        <f t="array" ref="G61">INDEX(GMW!$A$2:$DB$60,MATCH(1,(GMW!$DA$2:$DA$60=G$3)*(GMW!$DB$2:$DB$60=G$1),0),$A61-1966)</f>
        <v>31.999479999999998</v>
      </c>
      <c r="H61" s="26" cm="1">
        <f t="array" ref="H61">INDEX(GMW!$A$2:$DB$60,MATCH(1,(GMW!$DA$2:$DA$60=H$3)*(GMW!$DB$2:$DB$60=H$1),0),$A61-1966)</f>
        <v>627020.9</v>
      </c>
      <c r="I61" s="26" cm="1">
        <f t="array" ref="I61">INDEX(GMW!$A$2:$DB$60,MATCH(1,(GMW!$DA$2:$DA$60=I$3)*(GMW!$DB$2:$DB$60=I$1),0),$A61-1966)</f>
        <v>44573.84</v>
      </c>
      <c r="J61" s="26" cm="1">
        <f t="array" ref="J61">INDEX(GMW!$A$2:$DB$60,MATCH(1,(GMW!$DA$2:$DA$60=J$3)*(GMW!$DB$2:$DB$60=J$1),0),$A61-1966)</f>
        <v>-1.5960460000000001</v>
      </c>
      <c r="K61" s="26" cm="1">
        <f t="array" ref="K61">INDEX(GMW!$A$2:$DB$60,MATCH(1,(GMW!$DA$2:$DA$60=K$3)*(GMW!$DB$2:$DB$60=K$1),0),$A61-1966)</f>
        <v>34577.910000000003</v>
      </c>
      <c r="L61" s="26" cm="1">
        <f t="array" ref="L61">INDEX(GMW!$A$2:$DB$60,MATCH(1,(GMW!$DA$2:$DA$60=L$3)*(GMW!$DB$2:$DB$60=L$1),0),$A61-1966)</f>
        <v>69767.960000000006</v>
      </c>
      <c r="M61" s="26" cm="1">
        <f t="array" ref="M61">INDEX(GMW!$A$2:$DB$60,MATCH(1,(GMW!$DA$2:$DA$60=M$3)*(GMW!$DB$2:$DB$60=M$1),0),$A61-1966)</f>
        <v>44564.99</v>
      </c>
      <c r="N61" s="26" cm="1">
        <f t="array" ref="N61">INDEX(GMW!$A$2:$DB$60,MATCH(1,(GMW!$DA$2:$DA$60=N$3)*(GMW!$DB$2:$DB$60=N$1),0),$A61-1966)</f>
        <v>108248.7</v>
      </c>
      <c r="O61" s="26" cm="1">
        <f t="array" ref="O61">INDEX(GMW!$A$2:$DB$60,MATCH(1,(GMW!$DA$2:$DA$60=O$3)*(GMW!$DB$2:$DB$60=O$1),0),$A61-1966)</f>
        <v>3207597</v>
      </c>
      <c r="P61" s="26" cm="1">
        <f t="array" ref="P61">INDEX(GMW!$A$2:$DB$60,MATCH(1,(GMW!$DA$2:$DA$60=P$3)*(GMW!$DB$2:$DB$60=P$1),0),$A61-1966)</f>
        <v>3258126</v>
      </c>
    </row>
    <row r="62" spans="1:16">
      <c r="A62" s="26">
        <f t="shared" si="2"/>
        <v>2028</v>
      </c>
      <c r="B62" s="26" cm="1">
        <f t="array" ref="B62">INDEX(GMW!$A$2:$DB$60,MATCH(1,(GMW!$DA$2:$DA$60=B$3)*(GMW!$DB$2:$DB$60=B$1),0),$A62-1966)</f>
        <v>2924704</v>
      </c>
      <c r="C62" s="26" cm="1">
        <f t="array" ref="C62">INDEX(GMW!$A$2:$DB$60,MATCH(1,(GMW!$DA$2:$DA$60=C$3)*(GMW!$DB$2:$DB$60=C$1),0),$A62-1966)</f>
        <v>4.6821590000000004</v>
      </c>
      <c r="D62" s="26" cm="1">
        <f t="array" ref="D62">INDEX(GMW!$A$2:$DB$60,MATCH(1,(GMW!$DA$2:$DA$60=D$3)*(GMW!$DB$2:$DB$60=D$1),0),$A62-1966)</f>
        <v>2949480</v>
      </c>
      <c r="E62" s="26" cm="1">
        <f t="array" ref="E62">INDEX(GMW!$A$2:$DB$60,MATCH(1,(GMW!$DA$2:$DA$60=E$3)*(GMW!$DB$2:$DB$60=E$1),0),$A62-1966)</f>
        <v>3353361</v>
      </c>
      <c r="F62" s="26" cm="1">
        <f t="array" ref="F62">INDEX(GMW!$A$2:$DB$60,MATCH(1,(GMW!$DA$2:$DA$60=F$3)*(GMW!$DB$2:$DB$60=F$1),0),$A62-1966)</f>
        <v>35093.019999999997</v>
      </c>
      <c r="G62" s="26" cm="1">
        <f t="array" ref="G62">INDEX(GMW!$A$2:$DB$60,MATCH(1,(GMW!$DA$2:$DA$60=G$3)*(GMW!$DB$2:$DB$60=G$1),0),$A62-1966)</f>
        <v>31.998650000000001</v>
      </c>
      <c r="H62" s="26" cm="1">
        <f t="array" ref="H62">INDEX(GMW!$A$2:$DB$60,MATCH(1,(GMW!$DA$2:$DA$60=H$3)*(GMW!$DB$2:$DB$60=H$1),0),$A62-1966)</f>
        <v>630937.1</v>
      </c>
      <c r="I62" s="26" cm="1">
        <f t="array" ref="I62">INDEX(GMW!$A$2:$DB$60,MATCH(1,(GMW!$DA$2:$DA$60=I$3)*(GMW!$DB$2:$DB$60=I$1),0),$A62-1966)</f>
        <v>44596.25</v>
      </c>
      <c r="J62" s="26" cm="1">
        <f t="array" ref="J62">INDEX(GMW!$A$2:$DB$60,MATCH(1,(GMW!$DA$2:$DA$60=J$3)*(GMW!$DB$2:$DB$60=J$1),0),$A62-1966)</f>
        <v>-1.595229</v>
      </c>
      <c r="K62" s="26" cm="1">
        <f t="array" ref="K62">INDEX(GMW!$A$2:$DB$60,MATCH(1,(GMW!$DA$2:$DA$60=K$3)*(GMW!$DB$2:$DB$60=K$1),0),$A62-1966)</f>
        <v>34880.04</v>
      </c>
      <c r="L62" s="26" cm="1">
        <f t="array" ref="L62">INDEX(GMW!$A$2:$DB$60,MATCH(1,(GMW!$DA$2:$DA$60=L$3)*(GMW!$DB$2:$DB$60=L$1),0),$A62-1966)</f>
        <v>69953.27</v>
      </c>
      <c r="M62" s="26" cm="1">
        <f t="array" ref="M62">INDEX(GMW!$A$2:$DB$60,MATCH(1,(GMW!$DA$2:$DA$60=M$3)*(GMW!$DB$2:$DB$60=M$1),0),$A62-1966)</f>
        <v>44983.96</v>
      </c>
      <c r="N62" s="26" cm="1">
        <f t="array" ref="N62">INDEX(GMW!$A$2:$DB$60,MATCH(1,(GMW!$DA$2:$DA$60=N$3)*(GMW!$DB$2:$DB$60=N$1),0),$A62-1966)</f>
        <v>95428.07</v>
      </c>
      <c r="O62" s="26" cm="1">
        <f t="array" ref="O62">INDEX(GMW!$A$2:$DB$60,MATCH(1,(GMW!$DA$2:$DA$60=O$3)*(GMW!$DB$2:$DB$60=O$1),0),$A62-1966)</f>
        <v>3345910</v>
      </c>
      <c r="P62" s="26" cm="1">
        <f t="array" ref="P62">INDEX(GMW!$A$2:$DB$60,MATCH(1,(GMW!$DA$2:$DA$60=P$3)*(GMW!$DB$2:$DB$60=P$1),0),$A62-1966)</f>
        <v>3379536</v>
      </c>
    </row>
    <row r="63" spans="1:16">
      <c r="A63" s="26">
        <f t="shared" si="2"/>
        <v>2029</v>
      </c>
      <c r="B63" s="26" cm="1">
        <f t="array" ref="B63">INDEX(GMW!$A$2:$DB$60,MATCH(1,(GMW!$DA$2:$DA$60=B$3)*(GMW!$DB$2:$DB$60=B$1),0),$A63-1966)</f>
        <v>2967061</v>
      </c>
      <c r="C63" s="26" cm="1">
        <f t="array" ref="C63">INDEX(GMW!$A$2:$DB$60,MATCH(1,(GMW!$DA$2:$DA$60=C$3)*(GMW!$DB$2:$DB$60=C$1),0),$A63-1966)</f>
        <v>4.471292</v>
      </c>
      <c r="D63" s="26" cm="1">
        <f t="array" ref="D63">INDEX(GMW!$A$2:$DB$60,MATCH(1,(GMW!$DA$2:$DA$60=D$3)*(GMW!$DB$2:$DB$60=D$1),0),$A63-1966)</f>
        <v>2984114</v>
      </c>
      <c r="E63" s="26" cm="1">
        <f t="array" ref="E63">INDEX(GMW!$A$2:$DB$60,MATCH(1,(GMW!$DA$2:$DA$60=E$3)*(GMW!$DB$2:$DB$60=E$1),0),$A63-1966)</f>
        <v>3401949</v>
      </c>
      <c r="F63" s="26" cm="1">
        <f t="array" ref="F63">INDEX(GMW!$A$2:$DB$60,MATCH(1,(GMW!$DA$2:$DA$60=F$3)*(GMW!$DB$2:$DB$60=F$1),0),$A63-1966)</f>
        <v>35297.120000000003</v>
      </c>
      <c r="G63" s="26" cm="1">
        <f t="array" ref="G63">INDEX(GMW!$A$2:$DB$60,MATCH(1,(GMW!$DA$2:$DA$60=G$3)*(GMW!$DB$2:$DB$60=G$1),0),$A63-1966)</f>
        <v>31.997810000000001</v>
      </c>
      <c r="H63" s="26" cm="1">
        <f t="array" ref="H63">INDEX(GMW!$A$2:$DB$60,MATCH(1,(GMW!$DA$2:$DA$60=H$3)*(GMW!$DB$2:$DB$60=H$1),0),$A63-1966)</f>
        <v>634689</v>
      </c>
      <c r="I63" s="26" cm="1">
        <f t="array" ref="I63">INDEX(GMW!$A$2:$DB$60,MATCH(1,(GMW!$DA$2:$DA$60=I$3)*(GMW!$DB$2:$DB$60=I$1),0),$A63-1966)</f>
        <v>44613.64</v>
      </c>
      <c r="J63" s="26" cm="1">
        <f t="array" ref="J63">INDEX(GMW!$A$2:$DB$60,MATCH(1,(GMW!$DA$2:$DA$60=J$3)*(GMW!$DB$2:$DB$60=J$1),0),$A63-1966)</f>
        <v>-1.5940129999999999</v>
      </c>
      <c r="K63" s="26" cm="1">
        <f t="array" ref="K63">INDEX(GMW!$A$2:$DB$60,MATCH(1,(GMW!$DA$2:$DA$60=K$3)*(GMW!$DB$2:$DB$60=K$1),0),$A63-1966)</f>
        <v>35157.74</v>
      </c>
      <c r="L63" s="26" cm="1">
        <f t="array" ref="L63">INDEX(GMW!$A$2:$DB$60,MATCH(1,(GMW!$DA$2:$DA$60=L$3)*(GMW!$DB$2:$DB$60=L$1),0),$A63-1966)</f>
        <v>70158.98</v>
      </c>
      <c r="M63" s="26" cm="1">
        <f t="array" ref="M63">INDEX(GMW!$A$2:$DB$60,MATCH(1,(GMW!$DA$2:$DA$60=M$3)*(GMW!$DB$2:$DB$60=M$1),0),$A63-1966)</f>
        <v>45297.95</v>
      </c>
      <c r="N63" s="26" cm="1">
        <f t="array" ref="N63">INDEX(GMW!$A$2:$DB$60,MATCH(1,(GMW!$DA$2:$DA$60=N$3)*(GMW!$DB$2:$DB$60=N$1),0),$A63-1966)</f>
        <v>92911.29</v>
      </c>
      <c r="O63" s="26" cm="1">
        <f t="array" ref="O63">INDEX(GMW!$A$2:$DB$60,MATCH(1,(GMW!$DA$2:$DA$60=O$3)*(GMW!$DB$2:$DB$60=O$1),0),$A63-1966)</f>
        <v>3481869</v>
      </c>
      <c r="P63" s="26" cm="1">
        <f t="array" ref="P63">INDEX(GMW!$A$2:$DB$60,MATCH(1,(GMW!$DA$2:$DA$60=P$3)*(GMW!$DB$2:$DB$60=P$1),0),$A63-1966)</f>
        <v>3498528</v>
      </c>
    </row>
    <row r="64" spans="1:16">
      <c r="A64" s="26">
        <f t="shared" si="2"/>
        <v>2030</v>
      </c>
      <c r="B64" s="26" cm="1">
        <f t="array" ref="B64">INDEX(GMW!$A$2:$DB$60,MATCH(1,(GMW!$DA$2:$DA$60=B$3)*(GMW!$DB$2:$DB$60=B$1),0),$A64-1966)</f>
        <v>3010770</v>
      </c>
      <c r="C64" s="26" cm="1">
        <f t="array" ref="C64">INDEX(GMW!$A$2:$DB$60,MATCH(1,(GMW!$DA$2:$DA$60=C$3)*(GMW!$DB$2:$DB$60=C$1),0),$A64-1966)</f>
        <v>4.318524</v>
      </c>
      <c r="D64" s="26" cm="1">
        <f t="array" ref="D64">INDEX(GMW!$A$2:$DB$60,MATCH(1,(GMW!$DA$2:$DA$60=D$3)*(GMW!$DB$2:$DB$60=D$1),0),$A64-1966)</f>
        <v>3021213</v>
      </c>
      <c r="E64" s="26" cm="1">
        <f t="array" ref="E64">INDEX(GMW!$A$2:$DB$60,MATCH(1,(GMW!$DA$2:$DA$60=E$3)*(GMW!$DB$2:$DB$60=E$1),0),$A64-1966)</f>
        <v>3451700</v>
      </c>
      <c r="F64" s="26" cm="1">
        <f t="array" ref="F64">INDEX(GMW!$A$2:$DB$60,MATCH(1,(GMW!$DA$2:$DA$60=F$3)*(GMW!$DB$2:$DB$60=F$1),0),$A64-1966)</f>
        <v>35509.089999999997</v>
      </c>
      <c r="G64" s="26" cm="1">
        <f t="array" ref="G64">INDEX(GMW!$A$2:$DB$60,MATCH(1,(GMW!$DA$2:$DA$60=G$3)*(GMW!$DB$2:$DB$60=G$1),0),$A64-1966)</f>
        <v>31.996980000000001</v>
      </c>
      <c r="H64" s="26" cm="1">
        <f t="array" ref="H64">INDEX(GMW!$A$2:$DB$60,MATCH(1,(GMW!$DA$2:$DA$60=H$3)*(GMW!$DB$2:$DB$60=H$1),0),$A64-1966)</f>
        <v>638252.19999999995</v>
      </c>
      <c r="I64" s="26" cm="1">
        <f t="array" ref="I64">INDEX(GMW!$A$2:$DB$60,MATCH(1,(GMW!$DA$2:$DA$60=I$3)*(GMW!$DB$2:$DB$60=I$1),0),$A64-1966)</f>
        <v>44624.91</v>
      </c>
      <c r="J64" s="26" cm="1">
        <f t="array" ref="J64">INDEX(GMW!$A$2:$DB$60,MATCH(1,(GMW!$DA$2:$DA$60=J$3)*(GMW!$DB$2:$DB$60=J$1),0),$A64-1966)</f>
        <v>-1.5921799999999999</v>
      </c>
      <c r="K64" s="26" cm="1">
        <f t="array" ref="K64">INDEX(GMW!$A$2:$DB$60,MATCH(1,(GMW!$DA$2:$DA$60=K$3)*(GMW!$DB$2:$DB$60=K$1),0),$A64-1966)</f>
        <v>35411.58</v>
      </c>
      <c r="L64" s="26" cm="1">
        <f t="array" ref="L64">INDEX(GMW!$A$2:$DB$60,MATCH(1,(GMW!$DA$2:$DA$60=L$3)*(GMW!$DB$2:$DB$60=L$1),0),$A64-1966)</f>
        <v>70381.77</v>
      </c>
      <c r="M64" s="26" cm="1">
        <f t="array" ref="M64">INDEX(GMW!$A$2:$DB$60,MATCH(1,(GMW!$DA$2:$DA$60=M$3)*(GMW!$DB$2:$DB$60=M$1),0),$A64-1966)</f>
        <v>45373.88</v>
      </c>
      <c r="N64" s="26" cm="1">
        <f t="array" ref="N64">INDEX(GMW!$A$2:$DB$60,MATCH(1,(GMW!$DA$2:$DA$60=N$3)*(GMW!$DB$2:$DB$60=N$1),0),$A64-1966)</f>
        <v>87069.52</v>
      </c>
      <c r="O64" s="26" cm="1">
        <f t="array" ref="O64">INDEX(GMW!$A$2:$DB$60,MATCH(1,(GMW!$DA$2:$DA$60=O$3)*(GMW!$DB$2:$DB$60=O$1),0),$A64-1966)</f>
        <v>3600212</v>
      </c>
      <c r="P64" s="26" cm="1">
        <f t="array" ref="P64">INDEX(GMW!$A$2:$DB$60,MATCH(1,(GMW!$DA$2:$DA$60=P$3)*(GMW!$DB$2:$DB$60=P$1),0),$A64-1966)</f>
        <v>3622229</v>
      </c>
    </row>
    <row r="65" spans="1:16">
      <c r="A65" s="26">
        <f t="shared" si="2"/>
        <v>2031</v>
      </c>
      <c r="B65" s="26" cm="1">
        <f t="array" ref="B65">INDEX(GMW!$A$2:$DB$60,MATCH(1,(GMW!$DA$2:$DA$60=B$3)*(GMW!$DB$2:$DB$60=B$1),0),$A65-1966)</f>
        <v>3056529</v>
      </c>
      <c r="C65" s="26" cm="1">
        <f t="array" ref="C65">INDEX(GMW!$A$2:$DB$60,MATCH(1,(GMW!$DA$2:$DA$60=C$3)*(GMW!$DB$2:$DB$60=C$1),0),$A65-1966)</f>
        <v>4.1411490000000004</v>
      </c>
      <c r="D65" s="26" cm="1">
        <f t="array" ref="D65">INDEX(GMW!$A$2:$DB$60,MATCH(1,(GMW!$DA$2:$DA$60=D$3)*(GMW!$DB$2:$DB$60=D$1),0),$A65-1966)</f>
        <v>3060781</v>
      </c>
      <c r="E65" s="26" cm="1">
        <f t="array" ref="E65">INDEX(GMW!$A$2:$DB$60,MATCH(1,(GMW!$DA$2:$DA$60=E$3)*(GMW!$DB$2:$DB$60=E$1),0),$A65-1966)</f>
        <v>3503373</v>
      </c>
      <c r="F65" s="26" cm="1">
        <f t="array" ref="F65">INDEX(GMW!$A$2:$DB$60,MATCH(1,(GMW!$DA$2:$DA$60=F$3)*(GMW!$DB$2:$DB$60=F$1),0),$A65-1966)</f>
        <v>35723.24</v>
      </c>
      <c r="G65" s="26" cm="1">
        <f t="array" ref="G65">INDEX(GMW!$A$2:$DB$60,MATCH(1,(GMW!$DA$2:$DA$60=G$3)*(GMW!$DB$2:$DB$60=G$1),0),$A65-1966)</f>
        <v>31.99615</v>
      </c>
      <c r="H65" s="26" cm="1">
        <f t="array" ref="H65">INDEX(GMW!$A$2:$DB$60,MATCH(1,(GMW!$DA$2:$DA$60=H$3)*(GMW!$DB$2:$DB$60=H$1),0),$A65-1966)</f>
        <v>641890.80000000005</v>
      </c>
      <c r="I65" s="26" cm="1">
        <f t="array" ref="I65">INDEX(GMW!$A$2:$DB$60,MATCH(1,(GMW!$DA$2:$DA$60=I$3)*(GMW!$DB$2:$DB$60=I$1),0),$A65-1966)</f>
        <v>44651.040000000001</v>
      </c>
      <c r="J65" s="26" cm="1">
        <f t="array" ref="J65">INDEX(GMW!$A$2:$DB$60,MATCH(1,(GMW!$DA$2:$DA$60=J$3)*(GMW!$DB$2:$DB$60=J$1),0),$A65-1966)</f>
        <v>-1.5897140000000001</v>
      </c>
      <c r="K65" s="26" cm="1">
        <f t="array" ref="K65">INDEX(GMW!$A$2:$DB$60,MATCH(1,(GMW!$DA$2:$DA$60=K$3)*(GMW!$DB$2:$DB$60=K$1),0),$A65-1966)</f>
        <v>35676.31</v>
      </c>
      <c r="L65" s="26" cm="1">
        <f t="array" ref="L65">INDEX(GMW!$A$2:$DB$60,MATCH(1,(GMW!$DA$2:$DA$60=L$3)*(GMW!$DB$2:$DB$60=L$1),0),$A65-1966)</f>
        <v>70618.570000000007</v>
      </c>
      <c r="M65" s="26" cm="1">
        <f t="array" ref="M65">INDEX(GMW!$A$2:$DB$60,MATCH(1,(GMW!$DA$2:$DA$60=M$3)*(GMW!$DB$2:$DB$60=M$1),0),$A65-1966)</f>
        <v>45421.33</v>
      </c>
      <c r="N65" s="26" cm="1">
        <f t="array" ref="N65">INDEX(GMW!$A$2:$DB$60,MATCH(1,(GMW!$DA$2:$DA$60=N$3)*(GMW!$DB$2:$DB$60=N$1),0),$A65-1966)</f>
        <v>92512.24</v>
      </c>
      <c r="O65" s="26" cm="1">
        <f t="array" ref="O65">INDEX(GMW!$A$2:$DB$60,MATCH(1,(GMW!$DA$2:$DA$60=O$3)*(GMW!$DB$2:$DB$60=O$1),0),$A65-1966)</f>
        <v>3720058</v>
      </c>
      <c r="P65" s="26" cm="1">
        <f t="array" ref="P65">INDEX(GMW!$A$2:$DB$60,MATCH(1,(GMW!$DA$2:$DA$60=P$3)*(GMW!$DB$2:$DB$60=P$1),0),$A65-1966)</f>
        <v>3755902</v>
      </c>
    </row>
    <row r="66" spans="1:16">
      <c r="A66" s="26">
        <f t="shared" si="2"/>
        <v>2032</v>
      </c>
      <c r="B66" s="26" cm="1">
        <f t="array" ref="B66">INDEX(GMW!$A$2:$DB$60,MATCH(1,(GMW!$DA$2:$DA$60=B$3)*(GMW!$DB$2:$DB$60=B$1),0),$A66-1966)</f>
        <v>3101862</v>
      </c>
      <c r="C66" s="26" cm="1">
        <f t="array" ref="C66">INDEX(GMW!$A$2:$DB$60,MATCH(1,(GMW!$DA$2:$DA$60=C$3)*(GMW!$DB$2:$DB$60=C$1),0),$A66-1966)</f>
        <v>4.0312780000000004</v>
      </c>
      <c r="D66" s="26" cm="1">
        <f t="array" ref="D66">INDEX(GMW!$A$2:$DB$60,MATCH(1,(GMW!$DA$2:$DA$60=D$3)*(GMW!$DB$2:$DB$60=D$1),0),$A66-1966)</f>
        <v>3102499</v>
      </c>
      <c r="E66" s="26" cm="1">
        <f t="array" ref="E66">INDEX(GMW!$A$2:$DB$60,MATCH(1,(GMW!$DA$2:$DA$60=E$3)*(GMW!$DB$2:$DB$60=E$1),0),$A66-1966)</f>
        <v>3557452</v>
      </c>
      <c r="F66" s="26" cm="1">
        <f t="array" ref="F66">INDEX(GMW!$A$2:$DB$60,MATCH(1,(GMW!$DA$2:$DA$60=F$3)*(GMW!$DB$2:$DB$60=F$1),0),$A66-1966)</f>
        <v>35929.32</v>
      </c>
      <c r="G66" s="26" cm="1">
        <f t="array" ref="G66">INDEX(GMW!$A$2:$DB$60,MATCH(1,(GMW!$DA$2:$DA$60=G$3)*(GMW!$DB$2:$DB$60=G$1),0),$A66-1966)</f>
        <v>31.99531</v>
      </c>
      <c r="H66" s="26" cm="1">
        <f t="array" ref="H66">INDEX(GMW!$A$2:$DB$60,MATCH(1,(GMW!$DA$2:$DA$60=H$3)*(GMW!$DB$2:$DB$60=H$1),0),$A66-1966)</f>
        <v>645735.19999999995</v>
      </c>
      <c r="I66" s="26" cm="1">
        <f t="array" ref="I66">INDEX(GMW!$A$2:$DB$60,MATCH(1,(GMW!$DA$2:$DA$60=I$3)*(GMW!$DB$2:$DB$60=I$1),0),$A66-1966)</f>
        <v>44704.37</v>
      </c>
      <c r="J66" s="26" cm="1">
        <f t="array" ref="J66">INDEX(GMW!$A$2:$DB$60,MATCH(1,(GMW!$DA$2:$DA$60=J$3)*(GMW!$DB$2:$DB$60=J$1),0),$A66-1966)</f>
        <v>-1.5865929999999999</v>
      </c>
      <c r="K66" s="26" cm="1">
        <f t="array" ref="K66">INDEX(GMW!$A$2:$DB$60,MATCH(1,(GMW!$DA$2:$DA$60=K$3)*(GMW!$DB$2:$DB$60=K$1),0),$A66-1966)</f>
        <v>35917.629999999997</v>
      </c>
      <c r="L66" s="26" cm="1">
        <f t="array" ref="L66">INDEX(GMW!$A$2:$DB$60,MATCH(1,(GMW!$DA$2:$DA$60=L$3)*(GMW!$DB$2:$DB$60=L$1),0),$A66-1966)</f>
        <v>70864.850000000006</v>
      </c>
      <c r="M66" s="26" cm="1">
        <f t="array" ref="M66">INDEX(GMW!$A$2:$DB$60,MATCH(1,(GMW!$DA$2:$DA$60=M$3)*(GMW!$DB$2:$DB$60=M$1),0),$A66-1966)</f>
        <v>45472.34</v>
      </c>
      <c r="N66" s="26" cm="1">
        <f t="array" ref="N66">INDEX(GMW!$A$2:$DB$60,MATCH(1,(GMW!$DA$2:$DA$60=N$3)*(GMW!$DB$2:$DB$60=N$1),0),$A66-1966)</f>
        <v>103983.7</v>
      </c>
      <c r="O66" s="26" cm="1">
        <f t="array" ref="O66">INDEX(GMW!$A$2:$DB$60,MATCH(1,(GMW!$DA$2:$DA$60=O$3)*(GMW!$DB$2:$DB$60=O$1),0),$A66-1966)</f>
        <v>3851374</v>
      </c>
      <c r="P66" s="26" cm="1">
        <f t="array" ref="P66">INDEX(GMW!$A$2:$DB$60,MATCH(1,(GMW!$DA$2:$DA$60=P$3)*(GMW!$DB$2:$DB$60=P$1),0),$A66-1966)</f>
        <v>3894588</v>
      </c>
    </row>
    <row r="67" spans="1:16">
      <c r="A67" s="26">
        <f t="shared" si="2"/>
        <v>2033</v>
      </c>
      <c r="B67" s="26" cm="1">
        <f t="array" ref="B67">INDEX(GMW!$A$2:$DB$60,MATCH(1,(GMW!$DA$2:$DA$60=B$3)*(GMW!$DB$2:$DB$60=B$1),0),$A67-1966)</f>
        <v>3146720</v>
      </c>
      <c r="C67" s="26" cm="1">
        <f t="array" ref="C67">INDEX(GMW!$A$2:$DB$60,MATCH(1,(GMW!$DA$2:$DA$60=C$3)*(GMW!$DB$2:$DB$60=C$1),0),$A67-1966)</f>
        <v>4.0000020000000003</v>
      </c>
      <c r="D67" s="26" cm="1">
        <f t="array" ref="D67">INDEX(GMW!$A$2:$DB$60,MATCH(1,(GMW!$DA$2:$DA$60=D$3)*(GMW!$DB$2:$DB$60=D$1),0),$A67-1966)</f>
        <v>3146720</v>
      </c>
      <c r="E67" s="26" cm="1">
        <f t="array" ref="E67">INDEX(GMW!$A$2:$DB$60,MATCH(1,(GMW!$DA$2:$DA$60=E$3)*(GMW!$DB$2:$DB$60=E$1),0),$A67-1966)</f>
        <v>3614353</v>
      </c>
      <c r="F67" s="26" cm="1">
        <f t="array" ref="F67">INDEX(GMW!$A$2:$DB$60,MATCH(1,(GMW!$DA$2:$DA$60=F$3)*(GMW!$DB$2:$DB$60=F$1),0),$A67-1966)</f>
        <v>36130.949999999997</v>
      </c>
      <c r="G67" s="26" cm="1">
        <f t="array" ref="G67">INDEX(GMW!$A$2:$DB$60,MATCH(1,(GMW!$DA$2:$DA$60=G$3)*(GMW!$DB$2:$DB$60=G$1),0),$A67-1966)</f>
        <v>31.993569999999998</v>
      </c>
      <c r="H67" s="26" cm="1">
        <f t="array" ref="H67">INDEX(GMW!$A$2:$DB$60,MATCH(1,(GMW!$DA$2:$DA$60=H$3)*(GMW!$DB$2:$DB$60=H$1),0),$A67-1966)</f>
        <v>649382.6</v>
      </c>
      <c r="I67" s="26" cm="1">
        <f t="array" ref="I67">INDEX(GMW!$A$2:$DB$60,MATCH(1,(GMW!$DA$2:$DA$60=I$3)*(GMW!$DB$2:$DB$60=I$1),0),$A67-1966)</f>
        <v>44757.55</v>
      </c>
      <c r="J67" s="26" cm="1">
        <f t="array" ref="J67">INDEX(GMW!$A$2:$DB$60,MATCH(1,(GMW!$DA$2:$DA$60=J$3)*(GMW!$DB$2:$DB$60=J$1),0),$A67-1966)</f>
        <v>-1.582805</v>
      </c>
      <c r="K67" s="26" cm="1">
        <f t="array" ref="K67">INDEX(GMW!$A$2:$DB$60,MATCH(1,(GMW!$DA$2:$DA$60=K$3)*(GMW!$DB$2:$DB$60=K$1),0),$A67-1966)</f>
        <v>36130.949999999997</v>
      </c>
      <c r="L67" s="26" cm="1">
        <f t="array" ref="L67">INDEX(GMW!$A$2:$DB$60,MATCH(1,(GMW!$DA$2:$DA$60=L$3)*(GMW!$DB$2:$DB$60=L$1),0),$A67-1966)</f>
        <v>71104.800000000003</v>
      </c>
      <c r="M67" s="26" cm="1">
        <f t="array" ref="M67">INDEX(GMW!$A$2:$DB$60,MATCH(1,(GMW!$DA$2:$DA$60=M$3)*(GMW!$DB$2:$DB$60=M$1),0),$A67-1966)</f>
        <v>45535.95</v>
      </c>
      <c r="N67" s="26" cm="1">
        <f t="array" ref="N67">INDEX(GMW!$A$2:$DB$60,MATCH(1,(GMW!$DA$2:$DA$60=N$3)*(GMW!$DB$2:$DB$60=N$1),0),$A67-1966)</f>
        <v>116128.1</v>
      </c>
      <c r="O67" s="26" cm="1">
        <f t="array" ref="O67">INDEX(GMW!$A$2:$DB$60,MATCH(1,(GMW!$DA$2:$DA$60=O$3)*(GMW!$DB$2:$DB$60=O$1),0),$A67-1966)</f>
        <v>3982372</v>
      </c>
      <c r="P67" s="26" cm="1">
        <f t="array" ref="P67">INDEX(GMW!$A$2:$DB$60,MATCH(1,(GMW!$DA$2:$DA$60=P$3)*(GMW!$DB$2:$DB$60=P$1),0),$A67-1966)</f>
        <v>4036918</v>
      </c>
    </row>
    <row r="68" spans="1:16">
      <c r="A68" s="26">
        <f t="shared" si="2"/>
        <v>2034</v>
      </c>
      <c r="B68" s="26" cm="1">
        <f t="array" ref="B68">INDEX(GMW!$A$2:$DB$60,MATCH(1,(GMW!$DA$2:$DA$60=B$3)*(GMW!$DB$2:$DB$60=B$1),0),$A68-1966)</f>
        <v>3193113</v>
      </c>
      <c r="C68" s="26" cm="1">
        <f t="array" ref="C68">INDEX(GMW!$A$2:$DB$60,MATCH(1,(GMW!$DA$2:$DA$60=C$3)*(GMW!$DB$2:$DB$60=C$1),0),$A68-1966)</f>
        <v>3.9999910000000001</v>
      </c>
      <c r="D68" s="26" cm="1">
        <f t="array" ref="D68">INDEX(GMW!$A$2:$DB$60,MATCH(1,(GMW!$DA$2:$DA$60=D$3)*(GMW!$DB$2:$DB$60=D$1),0),$A68-1966)</f>
        <v>3193112</v>
      </c>
      <c r="E68" s="26" cm="1">
        <f t="array" ref="E68">INDEX(GMW!$A$2:$DB$60,MATCH(1,(GMW!$DA$2:$DA$60=E$3)*(GMW!$DB$2:$DB$60=E$1),0),$A68-1966)</f>
        <v>3674380</v>
      </c>
      <c r="F68" s="26" cm="1">
        <f t="array" ref="F68">INDEX(GMW!$A$2:$DB$60,MATCH(1,(GMW!$DA$2:$DA$60=F$3)*(GMW!$DB$2:$DB$60=F$1),0),$A68-1966)</f>
        <v>36327.620000000003</v>
      </c>
      <c r="G68" s="26" cm="1">
        <f t="array" ref="G68">INDEX(GMW!$A$2:$DB$60,MATCH(1,(GMW!$DA$2:$DA$60=G$3)*(GMW!$DB$2:$DB$60=G$1),0),$A68-1966)</f>
        <v>31.99128</v>
      </c>
      <c r="H68" s="26" cm="1">
        <f t="array" ref="H68">INDEX(GMW!$A$2:$DB$60,MATCH(1,(GMW!$DA$2:$DA$60=H$3)*(GMW!$DB$2:$DB$60=H$1),0),$A68-1966)</f>
        <v>652741.4</v>
      </c>
      <c r="I68" s="26" cm="1">
        <f t="array" ref="I68">INDEX(GMW!$A$2:$DB$60,MATCH(1,(GMW!$DA$2:$DA$60=I$3)*(GMW!$DB$2:$DB$60=I$1),0),$A68-1966)</f>
        <v>44805.02</v>
      </c>
      <c r="J68" s="26" cm="1">
        <f t="array" ref="J68">INDEX(GMW!$A$2:$DB$60,MATCH(1,(GMW!$DA$2:$DA$60=J$3)*(GMW!$DB$2:$DB$60=J$1),0),$A68-1966)</f>
        <v>-1.578516</v>
      </c>
      <c r="K68" s="26" cm="1">
        <f t="array" ref="K68">INDEX(GMW!$A$2:$DB$60,MATCH(1,(GMW!$DA$2:$DA$60=K$3)*(GMW!$DB$2:$DB$60=K$1),0),$A68-1966)</f>
        <v>36327.620000000003</v>
      </c>
      <c r="L68" s="26" cm="1">
        <f t="array" ref="L68">INDEX(GMW!$A$2:$DB$60,MATCH(1,(GMW!$DA$2:$DA$60=L$3)*(GMW!$DB$2:$DB$60=L$1),0),$A68-1966)</f>
        <v>71337.5</v>
      </c>
      <c r="M68" s="26" cm="1">
        <f t="array" ref="M68">INDEX(GMW!$A$2:$DB$60,MATCH(1,(GMW!$DA$2:$DA$60=M$3)*(GMW!$DB$2:$DB$60=M$1),0),$A68-1966)</f>
        <v>45589.85</v>
      </c>
      <c r="N68" s="26" cm="1">
        <f t="array" ref="N68">INDEX(GMW!$A$2:$DB$60,MATCH(1,(GMW!$DA$2:$DA$60=N$3)*(GMW!$DB$2:$DB$60=N$1),0),$A68-1966)</f>
        <v>129051.8</v>
      </c>
      <c r="O68" s="26" cm="1">
        <f t="array" ref="O68">INDEX(GMW!$A$2:$DB$60,MATCH(1,(GMW!$DA$2:$DA$60=O$3)*(GMW!$DB$2:$DB$60=O$1),0),$A68-1966)</f>
        <v>4122138</v>
      </c>
      <c r="P68" s="26" cm="1">
        <f t="array" ref="P68">INDEX(GMW!$A$2:$DB$60,MATCH(1,(GMW!$DA$2:$DA$60=P$3)*(GMW!$DB$2:$DB$60=P$1),0),$A68-1966)</f>
        <v>4185062</v>
      </c>
    </row>
    <row r="69" spans="1:16">
      <c r="A69" s="26">
        <f t="shared" si="2"/>
        <v>2035</v>
      </c>
      <c r="B69" s="26" cm="1">
        <f t="array" ref="B69">INDEX(GMW!$A$2:$DB$60,MATCH(1,(GMW!$DA$2:$DA$60=B$3)*(GMW!$DB$2:$DB$60=B$1),0),$A69-1966)</f>
        <v>3240626</v>
      </c>
      <c r="C69" s="26" cm="1">
        <f t="array" ref="C69">INDEX(GMW!$A$2:$DB$60,MATCH(1,(GMW!$DA$2:$DA$60=C$3)*(GMW!$DB$2:$DB$60=C$1),0),$A69-1966)</f>
        <v>4.0000099999999996</v>
      </c>
      <c r="D69" s="26" cm="1">
        <f t="array" ref="D69">INDEX(GMW!$A$2:$DB$60,MATCH(1,(GMW!$DA$2:$DA$60=D$3)*(GMW!$DB$2:$DB$60=D$1),0),$A69-1966)</f>
        <v>3240625</v>
      </c>
      <c r="E69" s="26" cm="1">
        <f t="array" ref="E69">INDEX(GMW!$A$2:$DB$60,MATCH(1,(GMW!$DA$2:$DA$60=E$3)*(GMW!$DB$2:$DB$60=E$1),0),$A69-1966)</f>
        <v>3737431</v>
      </c>
      <c r="F69" s="26" cm="1">
        <f t="array" ref="F69">INDEX(GMW!$A$2:$DB$60,MATCH(1,(GMW!$DA$2:$DA$60=F$3)*(GMW!$DB$2:$DB$60=F$1),0),$A69-1966)</f>
        <v>36509.370000000003</v>
      </c>
      <c r="G69" s="26" cm="1">
        <f t="array" ref="G69">INDEX(GMW!$A$2:$DB$60,MATCH(1,(GMW!$DA$2:$DA$60=G$3)*(GMW!$DB$2:$DB$60=G$1),0),$A69-1966)</f>
        <v>31.988980000000002</v>
      </c>
      <c r="H69" s="26" cm="1">
        <f t="array" ref="H69">INDEX(GMW!$A$2:$DB$60,MATCH(1,(GMW!$DA$2:$DA$60=H$3)*(GMW!$DB$2:$DB$60=H$1),0),$A69-1966)</f>
        <v>655856.6</v>
      </c>
      <c r="I69" s="26" cm="1">
        <f t="array" ref="I69">INDEX(GMW!$A$2:$DB$60,MATCH(1,(GMW!$DA$2:$DA$60=I$3)*(GMW!$DB$2:$DB$60=I$1),0),$A69-1966)</f>
        <v>44850.61</v>
      </c>
      <c r="J69" s="26" cm="1">
        <f t="array" ref="J69">INDEX(GMW!$A$2:$DB$60,MATCH(1,(GMW!$DA$2:$DA$60=J$3)*(GMW!$DB$2:$DB$60=J$1),0),$A69-1966)</f>
        <v>-1.573904</v>
      </c>
      <c r="K69" s="26" cm="1">
        <f t="array" ref="K69">INDEX(GMW!$A$2:$DB$60,MATCH(1,(GMW!$DA$2:$DA$60=K$3)*(GMW!$DB$2:$DB$60=K$1),0),$A69-1966)</f>
        <v>36509.370000000003</v>
      </c>
      <c r="L69" s="26" cm="1">
        <f t="array" ref="L69">INDEX(GMW!$A$2:$DB$60,MATCH(1,(GMW!$DA$2:$DA$60=L$3)*(GMW!$DB$2:$DB$60=L$1),0),$A69-1966)</f>
        <v>71563.23</v>
      </c>
      <c r="M69" s="26" cm="1">
        <f t="array" ref="M69">INDEX(GMW!$A$2:$DB$60,MATCH(1,(GMW!$DA$2:$DA$60=M$3)*(GMW!$DB$2:$DB$60=M$1),0),$A69-1966)</f>
        <v>45632.65</v>
      </c>
      <c r="N69" s="26" cm="1">
        <f t="array" ref="N69">INDEX(GMW!$A$2:$DB$60,MATCH(1,(GMW!$DA$2:$DA$60=N$3)*(GMW!$DB$2:$DB$60=N$1),0),$A69-1966)</f>
        <v>142776.4</v>
      </c>
      <c r="O69" s="26" cm="1">
        <f t="array" ref="O69">INDEX(GMW!$A$2:$DB$60,MATCH(1,(GMW!$DA$2:$DA$60=O$3)*(GMW!$DB$2:$DB$60=O$1),0),$A69-1966)</f>
        <v>4275630</v>
      </c>
      <c r="P69" s="26" cm="1">
        <f t="array" ref="P69">INDEX(GMW!$A$2:$DB$60,MATCH(1,(GMW!$DA$2:$DA$60=P$3)*(GMW!$DB$2:$DB$60=P$1),0),$A69-1966)</f>
        <v>4338592</v>
      </c>
    </row>
    <row r="70" spans="1:16">
      <c r="A70" s="26">
        <f t="shared" si="2"/>
        <v>2036</v>
      </c>
      <c r="B70" s="26" cm="1">
        <f t="array" ref="B70">INDEX(GMW!$A$2:$DB$60,MATCH(1,(GMW!$DA$2:$DA$60=B$3)*(GMW!$DB$2:$DB$60=B$1),0),$A70-1966)</f>
        <v>3289377</v>
      </c>
      <c r="C70" s="26" cm="1">
        <f t="array" ref="C70">INDEX(GMW!$A$2:$DB$60,MATCH(1,(GMW!$DA$2:$DA$60=C$3)*(GMW!$DB$2:$DB$60=C$1),0),$A70-1966)</f>
        <v>4.0000049999999998</v>
      </c>
      <c r="D70" s="26" cm="1">
        <f t="array" ref="D70">INDEX(GMW!$A$2:$DB$60,MATCH(1,(GMW!$DA$2:$DA$60=D$3)*(GMW!$DB$2:$DB$60=D$1),0),$A70-1966)</f>
        <v>3289375</v>
      </c>
      <c r="E70" s="26" cm="1">
        <f t="array" ref="E70">INDEX(GMW!$A$2:$DB$60,MATCH(1,(GMW!$DA$2:$DA$60=E$3)*(GMW!$DB$2:$DB$60=E$1),0),$A70-1966)</f>
        <v>3803435</v>
      </c>
      <c r="F70" s="26" cm="1">
        <f t="array" ref="F70">INDEX(GMW!$A$2:$DB$60,MATCH(1,(GMW!$DA$2:$DA$60=F$3)*(GMW!$DB$2:$DB$60=F$1),0),$A70-1966)</f>
        <v>36689.879999999997</v>
      </c>
      <c r="G70" s="26" cm="1">
        <f t="array" ref="G70">INDEX(GMW!$A$2:$DB$60,MATCH(1,(GMW!$DA$2:$DA$60=G$3)*(GMW!$DB$2:$DB$60=G$1),0),$A70-1966)</f>
        <v>31.986689999999999</v>
      </c>
      <c r="H70" s="26" cm="1">
        <f t="array" ref="H70">INDEX(GMW!$A$2:$DB$60,MATCH(1,(GMW!$DA$2:$DA$60=H$3)*(GMW!$DB$2:$DB$60=H$1),0),$A70-1966)</f>
        <v>658802.4</v>
      </c>
      <c r="I70" s="26" cm="1">
        <f t="array" ref="I70">INDEX(GMW!$A$2:$DB$60,MATCH(1,(GMW!$DA$2:$DA$60=I$3)*(GMW!$DB$2:$DB$60=I$1),0),$A70-1966)</f>
        <v>44896.95</v>
      </c>
      <c r="J70" s="26" cm="1">
        <f t="array" ref="J70">INDEX(GMW!$A$2:$DB$60,MATCH(1,(GMW!$DA$2:$DA$60=J$3)*(GMW!$DB$2:$DB$60=J$1),0),$A70-1966)</f>
        <v>-1.569188</v>
      </c>
      <c r="K70" s="26" cm="1">
        <f t="array" ref="K70">INDEX(GMW!$A$2:$DB$60,MATCH(1,(GMW!$DA$2:$DA$60=K$3)*(GMW!$DB$2:$DB$60=K$1),0),$A70-1966)</f>
        <v>36689.879999999997</v>
      </c>
      <c r="L70" s="26" cm="1">
        <f t="array" ref="L70">INDEX(GMW!$A$2:$DB$60,MATCH(1,(GMW!$DA$2:$DA$60=L$3)*(GMW!$DB$2:$DB$60=L$1),0),$A70-1966)</f>
        <v>71782.41</v>
      </c>
      <c r="M70" s="26" cm="1">
        <f t="array" ref="M70">INDEX(GMW!$A$2:$DB$60,MATCH(1,(GMW!$DA$2:$DA$60=M$3)*(GMW!$DB$2:$DB$60=M$1),0),$A70-1966)</f>
        <v>45674.43</v>
      </c>
      <c r="N70" s="26" cm="1">
        <f t="array" ref="N70">INDEX(GMW!$A$2:$DB$60,MATCH(1,(GMW!$DA$2:$DA$60=N$3)*(GMW!$DB$2:$DB$60=N$1),0),$A70-1966)</f>
        <v>154683.70000000001</v>
      </c>
      <c r="O70" s="26" cm="1">
        <f t="array" ref="O70">INDEX(GMW!$A$2:$DB$60,MATCH(1,(GMW!$DA$2:$DA$60=O$3)*(GMW!$DB$2:$DB$60=O$1),0),$A70-1966)</f>
        <v>4441028</v>
      </c>
      <c r="P70" s="26" cm="1">
        <f t="array" ref="P70">INDEX(GMW!$A$2:$DB$60,MATCH(1,(GMW!$DA$2:$DA$60=P$3)*(GMW!$DB$2:$DB$60=P$1),0),$A70-1966)</f>
        <v>4497976</v>
      </c>
    </row>
    <row r="71" spans="1:16">
      <c r="A71" s="26">
        <f t="shared" si="2"/>
        <v>2037</v>
      </c>
      <c r="B71" s="26" cm="1">
        <f t="array" ref="B71">INDEX(GMW!$A$2:$DB$60,MATCH(1,(GMW!$DA$2:$DA$60=B$3)*(GMW!$DB$2:$DB$60=B$1),0),$A71-1966)</f>
        <v>3339125</v>
      </c>
      <c r="C71" s="26" cm="1">
        <f t="array" ref="C71">INDEX(GMW!$A$2:$DB$60,MATCH(1,(GMW!$DA$2:$DA$60=C$3)*(GMW!$DB$2:$DB$60=C$1),0),$A71-1966)</f>
        <v>4.0000099999999996</v>
      </c>
      <c r="D71" s="26" cm="1">
        <f t="array" ref="D71">INDEX(GMW!$A$2:$DB$60,MATCH(1,(GMW!$DA$2:$DA$60=D$3)*(GMW!$DB$2:$DB$60=D$1),0),$A71-1966)</f>
        <v>3339124</v>
      </c>
      <c r="E71" s="26" cm="1">
        <f t="array" ref="E71">INDEX(GMW!$A$2:$DB$60,MATCH(1,(GMW!$DA$2:$DA$60=E$3)*(GMW!$DB$2:$DB$60=E$1),0),$A71-1966)</f>
        <v>3872296</v>
      </c>
      <c r="F71" s="26" cm="1">
        <f t="array" ref="F71">INDEX(GMW!$A$2:$DB$60,MATCH(1,(GMW!$DA$2:$DA$60=F$3)*(GMW!$DB$2:$DB$60=F$1),0),$A71-1966)</f>
        <v>36870.400000000001</v>
      </c>
      <c r="G71" s="26" cm="1">
        <f t="array" ref="G71">INDEX(GMW!$A$2:$DB$60,MATCH(1,(GMW!$DA$2:$DA$60=G$3)*(GMW!$DB$2:$DB$60=G$1),0),$A71-1966)</f>
        <v>31.984400000000001</v>
      </c>
      <c r="H71" s="26" cm="1">
        <f t="array" ref="H71">INDEX(GMW!$A$2:$DB$60,MATCH(1,(GMW!$DA$2:$DA$60=H$3)*(GMW!$DB$2:$DB$60=H$1),0),$A71-1966)</f>
        <v>661344.30000000005</v>
      </c>
      <c r="I71" s="26" cm="1">
        <f t="array" ref="I71">INDEX(GMW!$A$2:$DB$60,MATCH(1,(GMW!$DA$2:$DA$60=I$3)*(GMW!$DB$2:$DB$60=I$1),0),$A71-1966)</f>
        <v>44923.39</v>
      </c>
      <c r="J71" s="26" cm="1">
        <f t="array" ref="J71">INDEX(GMW!$A$2:$DB$60,MATCH(1,(GMW!$DA$2:$DA$60=J$3)*(GMW!$DB$2:$DB$60=J$1),0),$A71-1966)</f>
        <v>-1.564486</v>
      </c>
      <c r="K71" s="26" cm="1">
        <f t="array" ref="K71">INDEX(GMW!$A$2:$DB$60,MATCH(1,(GMW!$DA$2:$DA$60=K$3)*(GMW!$DB$2:$DB$60=K$1),0),$A71-1966)</f>
        <v>36870.39</v>
      </c>
      <c r="L71" s="26" cm="1">
        <f t="array" ref="L71">INDEX(GMW!$A$2:$DB$60,MATCH(1,(GMW!$DA$2:$DA$60=L$3)*(GMW!$DB$2:$DB$60=L$1),0),$A71-1966)</f>
        <v>71995.59</v>
      </c>
      <c r="M71" s="26" cm="1">
        <f t="array" ref="M71">INDEX(GMW!$A$2:$DB$60,MATCH(1,(GMW!$DA$2:$DA$60=M$3)*(GMW!$DB$2:$DB$60=M$1),0),$A71-1966)</f>
        <v>45709.22</v>
      </c>
      <c r="N71" s="26" cm="1">
        <f t="array" ref="N71">INDEX(GMW!$A$2:$DB$60,MATCH(1,(GMW!$DA$2:$DA$60=N$3)*(GMW!$DB$2:$DB$60=N$1),0),$A71-1966)</f>
        <v>167285.29999999999</v>
      </c>
      <c r="O71" s="26" cm="1">
        <f t="array" ref="O71">INDEX(GMW!$A$2:$DB$60,MATCH(1,(GMW!$DA$2:$DA$60=O$3)*(GMW!$DB$2:$DB$60=O$1),0),$A71-1966)</f>
        <v>4619026</v>
      </c>
      <c r="P71" s="26" cm="1">
        <f t="array" ref="P71">INDEX(GMW!$A$2:$DB$60,MATCH(1,(GMW!$DA$2:$DA$60=P$3)*(GMW!$DB$2:$DB$60=P$1),0),$A71-1966)</f>
        <v>4663265</v>
      </c>
    </row>
    <row r="72" spans="1:16">
      <c r="A72" s="26">
        <f t="shared" si="2"/>
        <v>2038</v>
      </c>
      <c r="B72" s="26" cm="1">
        <f t="array" ref="B72">INDEX(GMW!$A$2:$DB$60,MATCH(1,(GMW!$DA$2:$DA$60=B$3)*(GMW!$DB$2:$DB$60=B$1),0),$A72-1966)</f>
        <v>3389847</v>
      </c>
      <c r="C72" s="26" cm="1">
        <f t="array" ref="C72">INDEX(GMW!$A$2:$DB$60,MATCH(1,(GMW!$DA$2:$DA$60=C$3)*(GMW!$DB$2:$DB$60=C$1),0),$A72-1966)</f>
        <v>4.000006</v>
      </c>
      <c r="D72" s="26" cm="1">
        <f t="array" ref="D72">INDEX(GMW!$A$2:$DB$60,MATCH(1,(GMW!$DA$2:$DA$60=D$3)*(GMW!$DB$2:$DB$60=D$1),0),$A72-1966)</f>
        <v>3389844</v>
      </c>
      <c r="E72" s="26" cm="1">
        <f t="array" ref="E72">INDEX(GMW!$A$2:$DB$60,MATCH(1,(GMW!$DA$2:$DA$60=E$3)*(GMW!$DB$2:$DB$60=E$1),0),$A72-1966)</f>
        <v>3943931</v>
      </c>
      <c r="F72" s="26" cm="1">
        <f t="array" ref="F72">INDEX(GMW!$A$2:$DB$60,MATCH(1,(GMW!$DA$2:$DA$60=F$3)*(GMW!$DB$2:$DB$60=F$1),0),$A72-1966)</f>
        <v>37050.910000000003</v>
      </c>
      <c r="G72" s="26" cm="1">
        <f t="array" ref="G72">INDEX(GMW!$A$2:$DB$60,MATCH(1,(GMW!$DA$2:$DA$60=G$3)*(GMW!$DB$2:$DB$60=G$1),0),$A72-1966)</f>
        <v>31.982109999999999</v>
      </c>
      <c r="H72" s="26" cm="1">
        <f t="array" ref="H72">INDEX(GMW!$A$2:$DB$60,MATCH(1,(GMW!$DA$2:$DA$60=H$3)*(GMW!$DB$2:$DB$60=H$1),0),$A72-1966)</f>
        <v>664192.19999999995</v>
      </c>
      <c r="I72" s="26" cm="1">
        <f t="array" ref="I72">INDEX(GMW!$A$2:$DB$60,MATCH(1,(GMW!$DA$2:$DA$60=I$3)*(GMW!$DB$2:$DB$60=I$1),0),$A72-1966)</f>
        <v>44977.55</v>
      </c>
      <c r="J72" s="26" cm="1">
        <f t="array" ref="J72">INDEX(GMW!$A$2:$DB$60,MATCH(1,(GMW!$DA$2:$DA$60=J$3)*(GMW!$DB$2:$DB$60=J$1),0),$A72-1966)</f>
        <v>-1.5597970000000001</v>
      </c>
      <c r="K72" s="26" cm="1">
        <f t="array" ref="K72">INDEX(GMW!$A$2:$DB$60,MATCH(1,(GMW!$DA$2:$DA$60=K$3)*(GMW!$DB$2:$DB$60=K$1),0),$A72-1966)</f>
        <v>37050.910000000003</v>
      </c>
      <c r="L72" s="26" cm="1">
        <f t="array" ref="L72">INDEX(GMW!$A$2:$DB$60,MATCH(1,(GMW!$DA$2:$DA$60=L$3)*(GMW!$DB$2:$DB$60=L$1),0),$A72-1966)</f>
        <v>72203.38</v>
      </c>
      <c r="M72" s="26" cm="1">
        <f t="array" ref="M72">INDEX(GMW!$A$2:$DB$60,MATCH(1,(GMW!$DA$2:$DA$60=M$3)*(GMW!$DB$2:$DB$60=M$1),0),$A72-1966)</f>
        <v>45743.41</v>
      </c>
      <c r="N72" s="26" cm="1">
        <f t="array" ref="N72">INDEX(GMW!$A$2:$DB$60,MATCH(1,(GMW!$DA$2:$DA$60=N$3)*(GMW!$DB$2:$DB$60=N$1),0),$A72-1966)</f>
        <v>180625.9</v>
      </c>
      <c r="O72" s="26" cm="1">
        <f t="array" ref="O72">INDEX(GMW!$A$2:$DB$60,MATCH(1,(GMW!$DA$2:$DA$60=O$3)*(GMW!$DB$2:$DB$60=O$1),0),$A72-1966)</f>
        <v>4810366</v>
      </c>
      <c r="P72" s="26" cm="1">
        <f t="array" ref="P72">INDEX(GMW!$A$2:$DB$60,MATCH(1,(GMW!$DA$2:$DA$60=P$3)*(GMW!$DB$2:$DB$60=P$1),0),$A72-1966)</f>
        <v>4834916</v>
      </c>
    </row>
    <row r="73" spans="1:16">
      <c r="A73" s="26">
        <f t="shared" si="2"/>
        <v>2039</v>
      </c>
      <c r="B73" s="26" cm="1">
        <f t="array" ref="B73">INDEX(GMW!$A$2:$DB$60,MATCH(1,(GMW!$DA$2:$DA$60=B$3)*(GMW!$DB$2:$DB$60=B$1),0),$A73-1966)</f>
        <v>3441535</v>
      </c>
      <c r="C73" s="26" cm="1">
        <f t="array" ref="C73">INDEX(GMW!$A$2:$DB$60,MATCH(1,(GMW!$DA$2:$DA$60=C$3)*(GMW!$DB$2:$DB$60=C$1),0),$A73-1966)</f>
        <v>4.0000010000000001</v>
      </c>
      <c r="D73" s="26" cm="1">
        <f t="array" ref="D73">INDEX(GMW!$A$2:$DB$60,MATCH(1,(GMW!$DA$2:$DA$60=D$3)*(GMW!$DB$2:$DB$60=D$1),0),$A73-1966)</f>
        <v>3441533</v>
      </c>
      <c r="E73" s="26" cm="1">
        <f t="array" ref="E73">INDEX(GMW!$A$2:$DB$60,MATCH(1,(GMW!$DA$2:$DA$60=E$3)*(GMW!$DB$2:$DB$60=E$1),0),$A73-1966)</f>
        <v>4018269</v>
      </c>
      <c r="F73" s="26" cm="1">
        <f t="array" ref="F73">INDEX(GMW!$A$2:$DB$60,MATCH(1,(GMW!$DA$2:$DA$60=F$3)*(GMW!$DB$2:$DB$60=F$1),0),$A73-1966)</f>
        <v>37231.42</v>
      </c>
      <c r="G73" s="26" cm="1">
        <f t="array" ref="G73">INDEX(GMW!$A$2:$DB$60,MATCH(1,(GMW!$DA$2:$DA$60=G$3)*(GMW!$DB$2:$DB$60=G$1),0),$A73-1966)</f>
        <v>31.97982</v>
      </c>
      <c r="H73" s="26" cm="1">
        <f t="array" ref="H73">INDEX(GMW!$A$2:$DB$60,MATCH(1,(GMW!$DA$2:$DA$60=H$3)*(GMW!$DB$2:$DB$60=H$1),0),$A73-1966)</f>
        <v>667045.80000000005</v>
      </c>
      <c r="I73" s="26" cm="1">
        <f t="array" ref="I73">INDEX(GMW!$A$2:$DB$60,MATCH(1,(GMW!$DA$2:$DA$60=I$3)*(GMW!$DB$2:$DB$60=I$1),0),$A73-1966)</f>
        <v>45037.79</v>
      </c>
      <c r="J73" s="26" cm="1">
        <f t="array" ref="J73">INDEX(GMW!$A$2:$DB$60,MATCH(1,(GMW!$DA$2:$DA$60=J$3)*(GMW!$DB$2:$DB$60=J$1),0),$A73-1966)</f>
        <v>-1.555124</v>
      </c>
      <c r="K73" s="26" cm="1">
        <f t="array" ref="K73">INDEX(GMW!$A$2:$DB$60,MATCH(1,(GMW!$DA$2:$DA$60=K$3)*(GMW!$DB$2:$DB$60=K$1),0),$A73-1966)</f>
        <v>37231.42</v>
      </c>
      <c r="L73" s="26" cm="1">
        <f t="array" ref="L73">INDEX(GMW!$A$2:$DB$60,MATCH(1,(GMW!$DA$2:$DA$60=L$3)*(GMW!$DB$2:$DB$60=L$1),0),$A73-1966)</f>
        <v>72406.2</v>
      </c>
      <c r="M73" s="26" cm="1">
        <f t="array" ref="M73">INDEX(GMW!$A$2:$DB$60,MATCH(1,(GMW!$DA$2:$DA$60=M$3)*(GMW!$DB$2:$DB$60=M$1),0),$A73-1966)</f>
        <v>45769.57</v>
      </c>
      <c r="N73" s="26" cm="1">
        <f t="array" ref="N73">INDEX(GMW!$A$2:$DB$60,MATCH(1,(GMW!$DA$2:$DA$60=N$3)*(GMW!$DB$2:$DB$60=N$1),0),$A73-1966)</f>
        <v>194777.2</v>
      </c>
      <c r="O73" s="26" cm="1">
        <f t="array" ref="O73">INDEX(GMW!$A$2:$DB$60,MATCH(1,(GMW!$DA$2:$DA$60=O$3)*(GMW!$DB$2:$DB$60=O$1),0),$A73-1966)</f>
        <v>5015858</v>
      </c>
      <c r="P73" s="26" cm="1">
        <f t="array" ref="P73">INDEX(GMW!$A$2:$DB$60,MATCH(1,(GMW!$DA$2:$DA$60=P$3)*(GMW!$DB$2:$DB$60=P$1),0),$A73-1966)</f>
        <v>5013925</v>
      </c>
    </row>
    <row r="74" spans="1:16">
      <c r="A74" s="26">
        <f t="shared" si="2"/>
        <v>2040</v>
      </c>
      <c r="B74" s="26" cm="1">
        <f t="array" ref="B74">INDEX(GMW!$A$2:$DB$60,MATCH(1,(GMW!$DA$2:$DA$60=B$3)*(GMW!$DB$2:$DB$60=B$1),0),$A74-1966)</f>
        <v>3494880</v>
      </c>
      <c r="C74" s="26" cm="1">
        <f t="array" ref="C74">INDEX(GMW!$A$2:$DB$60,MATCH(1,(GMW!$DA$2:$DA$60=C$3)*(GMW!$DB$2:$DB$60=C$1),0),$A74-1966)</f>
        <v>4.0000010000000001</v>
      </c>
      <c r="D74" s="26" cm="1">
        <f t="array" ref="D74">INDEX(GMW!$A$2:$DB$60,MATCH(1,(GMW!$DA$2:$DA$60=D$3)*(GMW!$DB$2:$DB$60=D$1),0),$A74-1966)</f>
        <v>3494877</v>
      </c>
      <c r="E74" s="26" cm="1">
        <f t="array" ref="E74">INDEX(GMW!$A$2:$DB$60,MATCH(1,(GMW!$DA$2:$DA$60=E$3)*(GMW!$DB$2:$DB$60=E$1),0),$A74-1966)</f>
        <v>4095163</v>
      </c>
      <c r="F74" s="26" cm="1">
        <f t="array" ref="F74">INDEX(GMW!$A$2:$DB$60,MATCH(1,(GMW!$DA$2:$DA$60=F$3)*(GMW!$DB$2:$DB$60=F$1),0),$A74-1966)</f>
        <v>37411.93</v>
      </c>
      <c r="G74" s="26" cm="1">
        <f t="array" ref="G74">INDEX(GMW!$A$2:$DB$60,MATCH(1,(GMW!$DA$2:$DA$60=G$3)*(GMW!$DB$2:$DB$60=G$1),0),$A74-1966)</f>
        <v>31.977530000000002</v>
      </c>
      <c r="H74" s="26" cm="1">
        <f t="array" ref="H74">INDEX(GMW!$A$2:$DB$60,MATCH(1,(GMW!$DA$2:$DA$60=H$3)*(GMW!$DB$2:$DB$60=H$1),0),$A74-1966)</f>
        <v>670206.30000000005</v>
      </c>
      <c r="I74" s="26" cm="1">
        <f t="array" ref="I74">INDEX(GMW!$A$2:$DB$60,MATCH(1,(GMW!$DA$2:$DA$60=I$3)*(GMW!$DB$2:$DB$60=I$1),0),$A74-1966)</f>
        <v>45122.38</v>
      </c>
      <c r="J74" s="26" cm="1">
        <f t="array" ref="J74">INDEX(GMW!$A$2:$DB$60,MATCH(1,(GMW!$DA$2:$DA$60=J$3)*(GMW!$DB$2:$DB$60=J$1),0),$A74-1966)</f>
        <v>-1.5502689999999999</v>
      </c>
      <c r="K74" s="26" cm="1">
        <f t="array" ref="K74">INDEX(GMW!$A$2:$DB$60,MATCH(1,(GMW!$DA$2:$DA$60=K$3)*(GMW!$DB$2:$DB$60=K$1),0),$A74-1966)</f>
        <v>37411.93</v>
      </c>
      <c r="L74" s="26" cm="1">
        <f t="array" ref="L74">INDEX(GMW!$A$2:$DB$60,MATCH(1,(GMW!$DA$2:$DA$60=L$3)*(GMW!$DB$2:$DB$60=L$1),0),$A74-1966)</f>
        <v>72604.399999999994</v>
      </c>
      <c r="M74" s="26" cm="1">
        <f t="array" ref="M74">INDEX(GMW!$A$2:$DB$60,MATCH(1,(GMW!$DA$2:$DA$60=M$3)*(GMW!$DB$2:$DB$60=M$1),0),$A74-1966)</f>
        <v>45799.7</v>
      </c>
      <c r="N74" s="26" cm="1">
        <f t="array" ref="N74">INDEX(GMW!$A$2:$DB$60,MATCH(1,(GMW!$DA$2:$DA$60=N$3)*(GMW!$DB$2:$DB$60=N$1),0),$A74-1966)</f>
        <v>209809.7</v>
      </c>
      <c r="O74" s="26" cm="1">
        <f t="array" ref="O74">INDEX(GMW!$A$2:$DB$60,MATCH(1,(GMW!$DA$2:$DA$60=O$3)*(GMW!$DB$2:$DB$60=O$1),0),$A74-1966)</f>
        <v>5236382</v>
      </c>
      <c r="P74" s="26" cm="1">
        <f t="array" ref="P74">INDEX(GMW!$A$2:$DB$60,MATCH(1,(GMW!$DA$2:$DA$60=P$3)*(GMW!$DB$2:$DB$60=P$1),0),$A74-1966)</f>
        <v>5201316</v>
      </c>
    </row>
    <row r="75" spans="1:16">
      <c r="A75" s="26">
        <f t="shared" si="2"/>
        <v>2041</v>
      </c>
      <c r="B75" s="26" cm="1">
        <f t="array" ref="B75">INDEX(GMW!$A$2:$DB$60,MATCH(1,(GMW!$DA$2:$DA$60=B$3)*(GMW!$DB$2:$DB$60=B$1),0),$A75-1966)</f>
        <v>3550360</v>
      </c>
      <c r="C75" s="26" cm="1">
        <f t="array" ref="C75">INDEX(GMW!$A$2:$DB$60,MATCH(1,(GMW!$DA$2:$DA$60=C$3)*(GMW!$DB$2:$DB$60=C$1),0),$A75-1966)</f>
        <v>3.999997</v>
      </c>
      <c r="D75" s="26" cm="1">
        <f t="array" ref="D75">INDEX(GMW!$A$2:$DB$60,MATCH(1,(GMW!$DA$2:$DA$60=D$3)*(GMW!$DB$2:$DB$60=D$1),0),$A75-1966)</f>
        <v>3550358</v>
      </c>
      <c r="E75" s="26" cm="1">
        <f t="array" ref="E75">INDEX(GMW!$A$2:$DB$60,MATCH(1,(GMW!$DA$2:$DA$60=E$3)*(GMW!$DB$2:$DB$60=E$1),0),$A75-1966)</f>
        <v>4174660</v>
      </c>
      <c r="F75" s="26" cm="1">
        <f t="array" ref="F75">INDEX(GMW!$A$2:$DB$60,MATCH(1,(GMW!$DA$2:$DA$60=F$3)*(GMW!$DB$2:$DB$60=F$1),0),$A75-1966)</f>
        <v>37604.93</v>
      </c>
      <c r="G75" s="26" cm="1">
        <f t="array" ref="G75">INDEX(GMW!$A$2:$DB$60,MATCH(1,(GMW!$DA$2:$DA$60=G$3)*(GMW!$DB$2:$DB$60=G$1),0),$A75-1966)</f>
        <v>31.974789999999999</v>
      </c>
      <c r="H75" s="26" cm="1">
        <f t="array" ref="H75">INDEX(GMW!$A$2:$DB$60,MATCH(1,(GMW!$DA$2:$DA$60=H$3)*(GMW!$DB$2:$DB$60=H$1),0),$A75-1966)</f>
        <v>673555.8</v>
      </c>
      <c r="I75" s="26" cm="1">
        <f t="array" ref="I75">INDEX(GMW!$A$2:$DB$60,MATCH(1,(GMW!$DA$2:$DA$60=I$3)*(GMW!$DB$2:$DB$60=I$1),0),$A75-1966)</f>
        <v>45221.64</v>
      </c>
      <c r="J75" s="26" cm="1">
        <f t="array" ref="J75">INDEX(GMW!$A$2:$DB$60,MATCH(1,(GMW!$DA$2:$DA$60=J$3)*(GMW!$DB$2:$DB$60=J$1),0),$A75-1966)</f>
        <v>-1.5453140000000001</v>
      </c>
      <c r="K75" s="26" cm="1">
        <f t="array" ref="K75">INDEX(GMW!$A$2:$DB$60,MATCH(1,(GMW!$DA$2:$DA$60=K$3)*(GMW!$DB$2:$DB$60=K$1),0),$A75-1966)</f>
        <v>37604.94</v>
      </c>
      <c r="L75" s="26" cm="1">
        <f t="array" ref="L75">INDEX(GMW!$A$2:$DB$60,MATCH(1,(GMW!$DA$2:$DA$60=L$3)*(GMW!$DB$2:$DB$60=L$1),0),$A75-1966)</f>
        <v>72798.289999999994</v>
      </c>
      <c r="M75" s="26" cm="1">
        <f t="array" ref="M75">INDEX(GMW!$A$2:$DB$60,MATCH(1,(GMW!$DA$2:$DA$60=M$3)*(GMW!$DB$2:$DB$60=M$1),0),$A75-1966)</f>
        <v>45858.47</v>
      </c>
      <c r="N75" s="26" cm="1">
        <f t="array" ref="N75">INDEX(GMW!$A$2:$DB$60,MATCH(1,(GMW!$DA$2:$DA$60=N$3)*(GMW!$DB$2:$DB$60=N$1),0),$A75-1966)</f>
        <v>217839.8</v>
      </c>
      <c r="O75" s="26" cm="1">
        <f t="array" ref="O75">INDEX(GMW!$A$2:$DB$60,MATCH(1,(GMW!$DA$2:$DA$60=O$3)*(GMW!$DB$2:$DB$60=O$1),0),$A75-1966)</f>
        <v>5464936</v>
      </c>
      <c r="P75" s="26" cm="1">
        <f t="array" ref="P75">INDEX(GMW!$A$2:$DB$60,MATCH(1,(GMW!$DA$2:$DA$60=P$3)*(GMW!$DB$2:$DB$60=P$1),0),$A75-1966)</f>
        <v>5397826</v>
      </c>
    </row>
    <row r="76" spans="1:16">
      <c r="A76" s="26">
        <f t="shared" si="2"/>
        <v>2042</v>
      </c>
      <c r="B76" s="26" cm="1">
        <f t="array" ref="B76">INDEX(GMW!$A$2:$DB$60,MATCH(1,(GMW!$DA$2:$DA$60=B$3)*(GMW!$DB$2:$DB$60=B$1),0),$A76-1966)</f>
        <v>3607231</v>
      </c>
      <c r="C76" s="26" cm="1">
        <f t="array" ref="C76">INDEX(GMW!$A$2:$DB$60,MATCH(1,(GMW!$DA$2:$DA$60=C$3)*(GMW!$DB$2:$DB$60=C$1),0),$A76-1966)</f>
        <v>4.0000109999999998</v>
      </c>
      <c r="D76" s="26" cm="1">
        <f t="array" ref="D76">INDEX(GMW!$A$2:$DB$60,MATCH(1,(GMW!$DA$2:$DA$60=D$3)*(GMW!$DB$2:$DB$60=D$1),0),$A76-1966)</f>
        <v>3607228</v>
      </c>
      <c r="E76" s="26" cm="1">
        <f t="array" ref="E76">INDEX(GMW!$A$2:$DB$60,MATCH(1,(GMW!$DA$2:$DA$60=E$3)*(GMW!$DB$2:$DB$60=E$1),0),$A76-1966)</f>
        <v>4256788</v>
      </c>
      <c r="F76" s="26" cm="1">
        <f t="array" ref="F76">INDEX(GMW!$A$2:$DB$60,MATCH(1,(GMW!$DA$2:$DA$60=F$3)*(GMW!$DB$2:$DB$60=F$1),0),$A76-1966)</f>
        <v>37803.74</v>
      </c>
      <c r="G76" s="26" cm="1">
        <f t="array" ref="G76">INDEX(GMW!$A$2:$DB$60,MATCH(1,(GMW!$DA$2:$DA$60=G$3)*(GMW!$DB$2:$DB$60=G$1),0),$A76-1966)</f>
        <v>31.971800000000002</v>
      </c>
      <c r="H76" s="26" cm="1">
        <f t="array" ref="H76">INDEX(GMW!$A$2:$DB$60,MATCH(1,(GMW!$DA$2:$DA$60=H$3)*(GMW!$DB$2:$DB$60=H$1),0),$A76-1966)</f>
        <v>677117.5</v>
      </c>
      <c r="I76" s="26" cm="1">
        <f t="array" ref="I76">INDEX(GMW!$A$2:$DB$60,MATCH(1,(GMW!$DA$2:$DA$60=I$3)*(GMW!$DB$2:$DB$60=I$1),0),$A76-1966)</f>
        <v>45336.43</v>
      </c>
      <c r="J76" s="26" cm="1">
        <f t="array" ref="J76">INDEX(GMW!$A$2:$DB$60,MATCH(1,(GMW!$DA$2:$DA$60=J$3)*(GMW!$DB$2:$DB$60=J$1),0),$A76-1966)</f>
        <v>-1.540375</v>
      </c>
      <c r="K76" s="26" cm="1">
        <f t="array" ref="K76">INDEX(GMW!$A$2:$DB$60,MATCH(1,(GMW!$DA$2:$DA$60=K$3)*(GMW!$DB$2:$DB$60=K$1),0),$A76-1966)</f>
        <v>37803.730000000003</v>
      </c>
      <c r="L76" s="26" cm="1">
        <f t="array" ref="L76">INDEX(GMW!$A$2:$DB$60,MATCH(1,(GMW!$DA$2:$DA$60=L$3)*(GMW!$DB$2:$DB$60=L$1),0),$A76-1966)</f>
        <v>72988.03</v>
      </c>
      <c r="M76" s="26" cm="1">
        <f t="array" ref="M76">INDEX(GMW!$A$2:$DB$60,MATCH(1,(GMW!$DA$2:$DA$60=M$3)*(GMW!$DB$2:$DB$60=M$1),0),$A76-1966)</f>
        <v>45946.53</v>
      </c>
      <c r="N76" s="26" cm="1">
        <f t="array" ref="N76">INDEX(GMW!$A$2:$DB$60,MATCH(1,(GMW!$DA$2:$DA$60=N$3)*(GMW!$DB$2:$DB$60=N$1),0),$A76-1966)</f>
        <v>226081.5</v>
      </c>
      <c r="O76" s="26" cm="1">
        <f t="array" ref="O76">INDEX(GMW!$A$2:$DB$60,MATCH(1,(GMW!$DA$2:$DA$60=O$3)*(GMW!$DB$2:$DB$60=O$1),0),$A76-1966)</f>
        <v>5701732</v>
      </c>
      <c r="P76" s="26" cm="1">
        <f t="array" ref="P76">INDEX(GMW!$A$2:$DB$60,MATCH(1,(GMW!$DA$2:$DA$60=P$3)*(GMW!$DB$2:$DB$60=P$1),0),$A76-1966)</f>
        <v>5602767</v>
      </c>
    </row>
    <row r="77" spans="1:16">
      <c r="A77" s="26">
        <f t="shared" si="2"/>
        <v>2043</v>
      </c>
      <c r="B77" s="26" cm="1">
        <f t="array" ref="B77">INDEX(GMW!$A$2:$DB$60,MATCH(1,(GMW!$DA$2:$DA$60=B$3)*(GMW!$DB$2:$DB$60=B$1),0),$A77-1966)</f>
        <v>3663765</v>
      </c>
      <c r="C77" s="26" cm="1">
        <f t="array" ref="C77">INDEX(GMW!$A$2:$DB$60,MATCH(1,(GMW!$DA$2:$DA$60=C$3)*(GMW!$DB$2:$DB$60=C$1),0),$A77-1966)</f>
        <v>4.0000010000000001</v>
      </c>
      <c r="D77" s="26" cm="1">
        <f t="array" ref="D77">INDEX(GMW!$A$2:$DB$60,MATCH(1,(GMW!$DA$2:$DA$60=D$3)*(GMW!$DB$2:$DB$60=D$1),0),$A77-1966)</f>
        <v>3663762</v>
      </c>
      <c r="E77" s="26" cm="1">
        <f t="array" ref="E77">INDEX(GMW!$A$2:$DB$60,MATCH(1,(GMW!$DA$2:$DA$60=E$3)*(GMW!$DB$2:$DB$60=E$1),0),$A77-1966)</f>
        <v>4341282</v>
      </c>
      <c r="F77" s="26" cm="1">
        <f t="array" ref="F77">INDEX(GMW!$A$2:$DB$60,MATCH(1,(GMW!$DA$2:$DA$60=F$3)*(GMW!$DB$2:$DB$60=F$1),0),$A77-1966)</f>
        <v>37980.720000000001</v>
      </c>
      <c r="G77" s="26" cm="1">
        <f t="array" ref="G77">INDEX(GMW!$A$2:$DB$60,MATCH(1,(GMW!$DA$2:$DA$60=G$3)*(GMW!$DB$2:$DB$60=G$1),0),$A77-1966)</f>
        <v>31.968800000000002</v>
      </c>
      <c r="H77" s="26" cm="1">
        <f t="array" ref="H77">INDEX(GMW!$A$2:$DB$60,MATCH(1,(GMW!$DA$2:$DA$60=H$3)*(GMW!$DB$2:$DB$60=H$1),0),$A77-1966)</f>
        <v>680823.2</v>
      </c>
      <c r="I77" s="26" cm="1">
        <f t="array" ref="I77">INDEX(GMW!$A$2:$DB$60,MATCH(1,(GMW!$DA$2:$DA$60=I$3)*(GMW!$DB$2:$DB$60=I$1),0),$A77-1966)</f>
        <v>45461.84</v>
      </c>
      <c r="J77" s="26" cm="1">
        <f t="array" ref="J77">INDEX(GMW!$A$2:$DB$60,MATCH(1,(GMW!$DA$2:$DA$60=J$3)*(GMW!$DB$2:$DB$60=J$1),0),$A77-1966)</f>
        <v>-1.535452</v>
      </c>
      <c r="K77" s="26" cm="1">
        <f t="array" ref="K77">INDEX(GMW!$A$2:$DB$60,MATCH(1,(GMW!$DA$2:$DA$60=K$3)*(GMW!$DB$2:$DB$60=K$1),0),$A77-1966)</f>
        <v>37980.720000000001</v>
      </c>
      <c r="L77" s="26" cm="1">
        <f t="array" ref="L77">INDEX(GMW!$A$2:$DB$60,MATCH(1,(GMW!$DA$2:$DA$60=L$3)*(GMW!$DB$2:$DB$60=L$1),0),$A77-1966)</f>
        <v>73173.42</v>
      </c>
      <c r="M77" s="26" cm="1">
        <f t="array" ref="M77">INDEX(GMW!$A$2:$DB$60,MATCH(1,(GMW!$DA$2:$DA$60=M$3)*(GMW!$DB$2:$DB$60=M$1),0),$A77-1966)</f>
        <v>46048.25</v>
      </c>
      <c r="N77" s="26" cm="1">
        <f t="array" ref="N77">INDEX(GMW!$A$2:$DB$60,MATCH(1,(GMW!$DA$2:$DA$60=N$3)*(GMW!$DB$2:$DB$60=N$1),0),$A77-1966)</f>
        <v>234613.2</v>
      </c>
      <c r="O77" s="26" cm="1">
        <f t="array" ref="O77">INDEX(GMW!$A$2:$DB$60,MATCH(1,(GMW!$DA$2:$DA$60=O$3)*(GMW!$DB$2:$DB$60=O$1),0),$A77-1966)</f>
        <v>5947058</v>
      </c>
      <c r="P77" s="26" cm="1">
        <f t="array" ref="P77">INDEX(GMW!$A$2:$DB$60,MATCH(1,(GMW!$DA$2:$DA$60=P$3)*(GMW!$DB$2:$DB$60=P$1),0),$A77-1966)</f>
        <v>5813881</v>
      </c>
    </row>
    <row r="78" spans="1:16">
      <c r="A78" s="26">
        <f t="shared" si="2"/>
        <v>2044</v>
      </c>
      <c r="B78" s="26" cm="1">
        <f t="array" ref="B78">INDEX(GMW!$A$2:$DB$60,MATCH(1,(GMW!$DA$2:$DA$60=B$3)*(GMW!$DB$2:$DB$60=B$1),0),$A78-1966)</f>
        <v>3718710</v>
      </c>
      <c r="C78" s="26" cm="1">
        <f t="array" ref="C78">INDEX(GMW!$A$2:$DB$60,MATCH(1,(GMW!$DA$2:$DA$60=C$3)*(GMW!$DB$2:$DB$60=C$1),0),$A78-1966)</f>
        <v>4.0000010000000001</v>
      </c>
      <c r="D78" s="26" cm="1">
        <f t="array" ref="D78">INDEX(GMW!$A$2:$DB$60,MATCH(1,(GMW!$DA$2:$DA$60=D$3)*(GMW!$DB$2:$DB$60=D$1),0),$A78-1966)</f>
        <v>3718705</v>
      </c>
      <c r="E78" s="26" cm="1">
        <f t="array" ref="E78">INDEX(GMW!$A$2:$DB$60,MATCH(1,(GMW!$DA$2:$DA$60=E$3)*(GMW!$DB$2:$DB$60=E$1),0),$A78-1966)</f>
        <v>4427700</v>
      </c>
      <c r="F78" s="26" cm="1">
        <f t="array" ref="F78">INDEX(GMW!$A$2:$DB$60,MATCH(1,(GMW!$DA$2:$DA$60=F$3)*(GMW!$DB$2:$DB$60=F$1),0),$A78-1966)</f>
        <v>38118.6</v>
      </c>
      <c r="G78" s="26" cm="1">
        <f t="array" ref="G78">INDEX(GMW!$A$2:$DB$60,MATCH(1,(GMW!$DA$2:$DA$60=G$3)*(GMW!$DB$2:$DB$60=G$1),0),$A78-1966)</f>
        <v>31.965800000000002</v>
      </c>
      <c r="H78" s="26" cm="1">
        <f t="array" ref="H78">INDEX(GMW!$A$2:$DB$60,MATCH(1,(GMW!$DA$2:$DA$60=H$3)*(GMW!$DB$2:$DB$60=H$1),0),$A78-1966)</f>
        <v>684201.1</v>
      </c>
      <c r="I78" s="26" cm="1">
        <f t="array" ref="I78">INDEX(GMW!$A$2:$DB$60,MATCH(1,(GMW!$DA$2:$DA$60=I$3)*(GMW!$DB$2:$DB$60=I$1),0),$A78-1966)</f>
        <v>45566.51</v>
      </c>
      <c r="J78" s="26" cm="1">
        <f t="array" ref="J78">INDEX(GMW!$A$2:$DB$60,MATCH(1,(GMW!$DA$2:$DA$60=J$3)*(GMW!$DB$2:$DB$60=J$1),0),$A78-1966)</f>
        <v>-1.530545</v>
      </c>
      <c r="K78" s="26" cm="1">
        <f t="array" ref="K78">INDEX(GMW!$A$2:$DB$60,MATCH(1,(GMW!$DA$2:$DA$60=K$3)*(GMW!$DB$2:$DB$60=K$1),0),$A78-1966)</f>
        <v>38118.6</v>
      </c>
      <c r="L78" s="26" cm="1">
        <f t="array" ref="L78">INDEX(GMW!$A$2:$DB$60,MATCH(1,(GMW!$DA$2:$DA$60=L$3)*(GMW!$DB$2:$DB$60=L$1),0),$A78-1966)</f>
        <v>73354.02</v>
      </c>
      <c r="M78" s="26" cm="1">
        <f t="array" ref="M78">INDEX(GMW!$A$2:$DB$60,MATCH(1,(GMW!$DA$2:$DA$60=M$3)*(GMW!$DB$2:$DB$60=M$1),0),$A78-1966)</f>
        <v>46185.2</v>
      </c>
      <c r="N78" s="26" cm="1">
        <f t="array" ref="N78">INDEX(GMW!$A$2:$DB$60,MATCH(1,(GMW!$DA$2:$DA$60=N$3)*(GMW!$DB$2:$DB$60=N$1),0),$A78-1966)</f>
        <v>243323.2</v>
      </c>
      <c r="O78" s="26" cm="1">
        <f t="array" ref="O78">INDEX(GMW!$A$2:$DB$60,MATCH(1,(GMW!$DA$2:$DA$60=O$3)*(GMW!$DB$2:$DB$60=O$1),0),$A78-1966)</f>
        <v>6201096</v>
      </c>
      <c r="P78" s="26" cm="1">
        <f t="array" ref="P78">INDEX(GMW!$A$2:$DB$60,MATCH(1,(GMW!$DA$2:$DA$60=P$3)*(GMW!$DB$2:$DB$60=P$1),0),$A78-1966)</f>
        <v>6029272</v>
      </c>
    </row>
    <row r="79" spans="1:16">
      <c r="A79" s="26">
        <f t="shared" si="2"/>
        <v>2045</v>
      </c>
      <c r="B79" s="26" cm="1">
        <f t="array" ref="B79">INDEX(GMW!$A$2:$DB$60,MATCH(1,(GMW!$DA$2:$DA$60=B$3)*(GMW!$DB$2:$DB$60=B$1),0),$A79-1966)</f>
        <v>3772181</v>
      </c>
      <c r="C79" s="26" cm="1">
        <f t="array" ref="C79">INDEX(GMW!$A$2:$DB$60,MATCH(1,(GMW!$DA$2:$DA$60=C$3)*(GMW!$DB$2:$DB$60=C$1),0),$A79-1966)</f>
        <v>4.0000010000000001</v>
      </c>
      <c r="D79" s="26" cm="1">
        <f t="array" ref="D79">INDEX(GMW!$A$2:$DB$60,MATCH(1,(GMW!$DA$2:$DA$60=D$3)*(GMW!$DB$2:$DB$60=D$1),0),$A79-1966)</f>
        <v>3772176</v>
      </c>
      <c r="E79" s="26" cm="1">
        <f t="array" ref="E79">INDEX(GMW!$A$2:$DB$60,MATCH(1,(GMW!$DA$2:$DA$60=E$3)*(GMW!$DB$2:$DB$60=E$1),0),$A79-1966)</f>
        <v>4515675</v>
      </c>
      <c r="F79" s="26" cm="1">
        <f t="array" ref="F79">INDEX(GMW!$A$2:$DB$60,MATCH(1,(GMW!$DA$2:$DA$60=F$3)*(GMW!$DB$2:$DB$60=F$1),0),$A79-1966)</f>
        <v>38222.800000000003</v>
      </c>
      <c r="G79" s="26" cm="1">
        <f t="array" ref="G79">INDEX(GMW!$A$2:$DB$60,MATCH(1,(GMW!$DA$2:$DA$60=G$3)*(GMW!$DB$2:$DB$60=G$1),0),$A79-1966)</f>
        <v>31.962800000000001</v>
      </c>
      <c r="H79" s="26" cm="1">
        <f t="array" ref="H79">INDEX(GMW!$A$2:$DB$60,MATCH(1,(GMW!$DA$2:$DA$60=H$3)*(GMW!$DB$2:$DB$60=H$1),0),$A79-1966)</f>
        <v>686790.8</v>
      </c>
      <c r="I79" s="26" cm="1">
        <f t="array" ref="I79">INDEX(GMW!$A$2:$DB$60,MATCH(1,(GMW!$DA$2:$DA$60=I$3)*(GMW!$DB$2:$DB$60=I$1),0),$A79-1966)</f>
        <v>45620.89</v>
      </c>
      <c r="J79" s="26" cm="1">
        <f t="array" ref="J79">INDEX(GMW!$A$2:$DB$60,MATCH(1,(GMW!$DA$2:$DA$60=J$3)*(GMW!$DB$2:$DB$60=J$1),0),$A79-1966)</f>
        <v>-1.5256529999999999</v>
      </c>
      <c r="K79" s="26" cm="1">
        <f t="array" ref="K79">INDEX(GMW!$A$2:$DB$60,MATCH(1,(GMW!$DA$2:$DA$60=K$3)*(GMW!$DB$2:$DB$60=K$1),0),$A79-1966)</f>
        <v>38222.800000000003</v>
      </c>
      <c r="L79" s="26" cm="1">
        <f t="array" ref="L79">INDEX(GMW!$A$2:$DB$60,MATCH(1,(GMW!$DA$2:$DA$60=L$3)*(GMW!$DB$2:$DB$60=L$1),0),$A79-1966)</f>
        <v>73529.48</v>
      </c>
      <c r="M79" s="26" cm="1">
        <f t="array" ref="M79">INDEX(GMW!$A$2:$DB$60,MATCH(1,(GMW!$DA$2:$DA$60=M$3)*(GMW!$DB$2:$DB$60=M$1),0),$A79-1966)</f>
        <v>46464.62</v>
      </c>
      <c r="N79" s="26" cm="1">
        <f t="array" ref="N79">INDEX(GMW!$A$2:$DB$60,MATCH(1,(GMW!$DA$2:$DA$60=N$3)*(GMW!$DB$2:$DB$60=N$1),0),$A79-1966)</f>
        <v>252202.2</v>
      </c>
      <c r="O79" s="26" cm="1">
        <f t="array" ref="O79">INDEX(GMW!$A$2:$DB$60,MATCH(1,(GMW!$DA$2:$DA$60=O$3)*(GMW!$DB$2:$DB$60=O$1),0),$A79-1966)</f>
        <v>6464012</v>
      </c>
      <c r="P79" s="26" cm="1">
        <f t="array" ref="P79">INDEX(GMW!$A$2:$DB$60,MATCH(1,(GMW!$DA$2:$DA$60=P$3)*(GMW!$DB$2:$DB$60=P$1),0),$A79-1966)</f>
        <v>6248932</v>
      </c>
    </row>
    <row r="80" spans="1:16">
      <c r="A80" s="26">
        <f t="shared" si="2"/>
        <v>2046</v>
      </c>
      <c r="B80" s="26" cm="1">
        <f t="array" ref="B80">INDEX(GMW!$A$2:$DB$60,MATCH(1,(GMW!$DA$2:$DA$60=B$3)*(GMW!$DB$2:$DB$60=B$1),0),$A80-1966)</f>
        <v>3825357</v>
      </c>
      <c r="C80" s="26" cm="1">
        <f t="array" ref="C80">INDEX(GMW!$A$2:$DB$60,MATCH(1,(GMW!$DA$2:$DA$60=C$3)*(GMW!$DB$2:$DB$60=C$1),0),$A80-1966)</f>
        <v>4.0000020000000003</v>
      </c>
      <c r="D80" s="26" cm="1">
        <f t="array" ref="D80">INDEX(GMW!$A$2:$DB$60,MATCH(1,(GMW!$DA$2:$DA$60=D$3)*(GMW!$DB$2:$DB$60=D$1),0),$A80-1966)</f>
        <v>3825352</v>
      </c>
      <c r="E80" s="26" cm="1">
        <f t="array" ref="E80">INDEX(GMW!$A$2:$DB$60,MATCH(1,(GMW!$DA$2:$DA$60=E$3)*(GMW!$DB$2:$DB$60=E$1),0),$A80-1966)</f>
        <v>4605080</v>
      </c>
      <c r="F80" s="26" cm="1">
        <f t="array" ref="F80">INDEX(GMW!$A$2:$DB$60,MATCH(1,(GMW!$DA$2:$DA$60=F$3)*(GMW!$DB$2:$DB$60=F$1),0),$A80-1966)</f>
        <v>38314.22</v>
      </c>
      <c r="G80" s="26" cm="1">
        <f t="array" ref="G80">INDEX(GMW!$A$2:$DB$60,MATCH(1,(GMW!$DA$2:$DA$60=G$3)*(GMW!$DB$2:$DB$60=G$1),0),$A80-1966)</f>
        <v>31.959790000000002</v>
      </c>
      <c r="H80" s="26" cm="1">
        <f t="array" ref="H80">INDEX(GMW!$A$2:$DB$60,MATCH(1,(GMW!$DA$2:$DA$60=H$3)*(GMW!$DB$2:$DB$60=H$1),0),$A80-1966)</f>
        <v>688888.8</v>
      </c>
      <c r="I80" s="26" cm="1">
        <f t="array" ref="I80">INDEX(GMW!$A$2:$DB$60,MATCH(1,(GMW!$DA$2:$DA$60=I$3)*(GMW!$DB$2:$DB$60=I$1),0),$A80-1966)</f>
        <v>45645.4</v>
      </c>
      <c r="J80" s="26" cm="1">
        <f t="array" ref="J80">INDEX(GMW!$A$2:$DB$60,MATCH(1,(GMW!$DA$2:$DA$60=J$3)*(GMW!$DB$2:$DB$60=J$1),0),$A80-1966)</f>
        <v>-1.5207759999999999</v>
      </c>
      <c r="K80" s="26" cm="1">
        <f t="array" ref="K80">INDEX(GMW!$A$2:$DB$60,MATCH(1,(GMW!$DA$2:$DA$60=K$3)*(GMW!$DB$2:$DB$60=K$1),0),$A80-1966)</f>
        <v>38314.22</v>
      </c>
      <c r="L80" s="26" cm="1">
        <f t="array" ref="L80">INDEX(GMW!$A$2:$DB$60,MATCH(1,(GMW!$DA$2:$DA$60=L$3)*(GMW!$DB$2:$DB$60=L$1),0),$A80-1966)</f>
        <v>73699.509999999995</v>
      </c>
      <c r="M80" s="26" cm="1">
        <f t="array" ref="M80">INDEX(GMW!$A$2:$DB$60,MATCH(1,(GMW!$DA$2:$DA$60=M$3)*(GMW!$DB$2:$DB$60=M$1),0),$A80-1966)</f>
        <v>46914.97</v>
      </c>
      <c r="N80" s="26" cm="1">
        <f t="array" ref="N80">INDEX(GMW!$A$2:$DB$60,MATCH(1,(GMW!$DA$2:$DA$60=N$3)*(GMW!$DB$2:$DB$60=N$1),0),$A80-1966)</f>
        <v>261321.60000000001</v>
      </c>
      <c r="O80" s="26" cm="1">
        <f t="array" ref="O80">INDEX(GMW!$A$2:$DB$60,MATCH(1,(GMW!$DA$2:$DA$60=O$3)*(GMW!$DB$2:$DB$60=O$1),0),$A80-1966)</f>
        <v>6736048</v>
      </c>
      <c r="P80" s="26" cm="1">
        <f t="array" ref="P80">INDEX(GMW!$A$2:$DB$60,MATCH(1,(GMW!$DA$2:$DA$60=P$3)*(GMW!$DB$2:$DB$60=P$1),0),$A80-1966)</f>
        <v>6474800</v>
      </c>
    </row>
    <row r="81" spans="1:16">
      <c r="A81" s="26">
        <f t="shared" si="2"/>
        <v>2047</v>
      </c>
      <c r="B81" s="26" cm="1">
        <f t="array" ref="B81">INDEX(GMW!$A$2:$DB$60,MATCH(1,(GMW!$DA$2:$DA$60=B$3)*(GMW!$DB$2:$DB$60=B$1),0),$A81-1966)</f>
        <v>3879212</v>
      </c>
      <c r="C81" s="26" cm="1">
        <f t="array" ref="C81">INDEX(GMW!$A$2:$DB$60,MATCH(1,(GMW!$DA$2:$DA$60=C$3)*(GMW!$DB$2:$DB$60=C$1),0),$A81-1966)</f>
        <v>3.9999950000000002</v>
      </c>
      <c r="D81" s="26" cm="1">
        <f t="array" ref="D81">INDEX(GMW!$A$2:$DB$60,MATCH(1,(GMW!$DA$2:$DA$60=D$3)*(GMW!$DB$2:$DB$60=D$1),0),$A81-1966)</f>
        <v>3879208</v>
      </c>
      <c r="E81" s="26" cm="1">
        <f t="array" ref="E81">INDEX(GMW!$A$2:$DB$60,MATCH(1,(GMW!$DA$2:$DA$60=E$3)*(GMW!$DB$2:$DB$60=E$1),0),$A81-1966)</f>
        <v>4695962</v>
      </c>
      <c r="F81" s="26" cm="1">
        <f t="array" ref="F81">INDEX(GMW!$A$2:$DB$60,MATCH(1,(GMW!$DA$2:$DA$60=F$3)*(GMW!$DB$2:$DB$60=F$1),0),$A81-1966)</f>
        <v>38408.25</v>
      </c>
      <c r="G81" s="26" cm="1">
        <f t="array" ref="G81">INDEX(GMW!$A$2:$DB$60,MATCH(1,(GMW!$DA$2:$DA$60=G$3)*(GMW!$DB$2:$DB$60=G$1),0),$A81-1966)</f>
        <v>31.956790000000002</v>
      </c>
      <c r="H81" s="26" cm="1">
        <f t="array" ref="H81">INDEX(GMW!$A$2:$DB$60,MATCH(1,(GMW!$DA$2:$DA$60=H$3)*(GMW!$DB$2:$DB$60=H$1),0),$A81-1966)</f>
        <v>690924</v>
      </c>
      <c r="I81" s="26" cm="1">
        <f t="array" ref="I81">INDEX(GMW!$A$2:$DB$60,MATCH(1,(GMW!$DA$2:$DA$60=I$3)*(GMW!$DB$2:$DB$60=I$1),0),$A81-1966)</f>
        <v>45668.5</v>
      </c>
      <c r="J81" s="26" cm="1">
        <f t="array" ref="J81">INDEX(GMW!$A$2:$DB$60,MATCH(1,(GMW!$DA$2:$DA$60=J$3)*(GMW!$DB$2:$DB$60=J$1),0),$A81-1966)</f>
        <v>-1.515916</v>
      </c>
      <c r="K81" s="26" cm="1">
        <f t="array" ref="K81">INDEX(GMW!$A$2:$DB$60,MATCH(1,(GMW!$DA$2:$DA$60=K$3)*(GMW!$DB$2:$DB$60=K$1),0),$A81-1966)</f>
        <v>38408.25</v>
      </c>
      <c r="L81" s="26" cm="1">
        <f t="array" ref="L81">INDEX(GMW!$A$2:$DB$60,MATCH(1,(GMW!$DA$2:$DA$60=L$3)*(GMW!$DB$2:$DB$60=L$1),0),$A81-1966)</f>
        <v>73863.570000000007</v>
      </c>
      <c r="M81" s="26" cm="1">
        <f t="array" ref="M81">INDEX(GMW!$A$2:$DB$60,MATCH(1,(GMW!$DA$2:$DA$60=M$3)*(GMW!$DB$2:$DB$60=M$1),0),$A81-1966)</f>
        <v>47238.559999999998</v>
      </c>
      <c r="N81" s="26" cm="1">
        <f t="array" ref="N81">INDEX(GMW!$A$2:$DB$60,MATCH(1,(GMW!$DA$2:$DA$60=N$3)*(GMW!$DB$2:$DB$60=N$1),0),$A81-1966)</f>
        <v>270765.90000000002</v>
      </c>
      <c r="O81" s="26" cm="1">
        <f t="array" ref="O81">INDEX(GMW!$A$2:$DB$60,MATCH(1,(GMW!$DA$2:$DA$60=O$3)*(GMW!$DB$2:$DB$60=O$1),0),$A81-1966)</f>
        <v>7017528</v>
      </c>
      <c r="P81" s="26" cm="1">
        <f t="array" ref="P81">INDEX(GMW!$A$2:$DB$60,MATCH(1,(GMW!$DA$2:$DA$60=P$3)*(GMW!$DB$2:$DB$60=P$1),0),$A81-1966)</f>
        <v>6708702</v>
      </c>
    </row>
    <row r="82" spans="1:16">
      <c r="A82" s="26">
        <f t="shared" si="2"/>
        <v>2048</v>
      </c>
      <c r="B82" s="26" cm="1">
        <f t="array" ref="B82">INDEX(GMW!$A$2:$DB$60,MATCH(1,(GMW!$DA$2:$DA$60=B$3)*(GMW!$DB$2:$DB$60=B$1),0),$A82-1966)</f>
        <v>3932862</v>
      </c>
      <c r="C82" s="26" cm="1">
        <f t="array" ref="C82">INDEX(GMW!$A$2:$DB$60,MATCH(1,(GMW!$DA$2:$DA$60=C$3)*(GMW!$DB$2:$DB$60=C$1),0),$A82-1966)</f>
        <v>4.0000039999999997</v>
      </c>
      <c r="D82" s="26" cm="1">
        <f t="array" ref="D82">INDEX(GMW!$A$2:$DB$60,MATCH(1,(GMW!$DA$2:$DA$60=D$3)*(GMW!$DB$2:$DB$60=D$1),0),$A82-1966)</f>
        <v>3932860</v>
      </c>
      <c r="E82" s="26" cm="1">
        <f t="array" ref="E82">INDEX(GMW!$A$2:$DB$60,MATCH(1,(GMW!$DA$2:$DA$60=E$3)*(GMW!$DB$2:$DB$60=E$1),0),$A82-1966)</f>
        <v>4788220</v>
      </c>
      <c r="F82" s="26" cm="1">
        <f t="array" ref="F82">INDEX(GMW!$A$2:$DB$60,MATCH(1,(GMW!$DA$2:$DA$60=F$3)*(GMW!$DB$2:$DB$60=F$1),0),$A82-1966)</f>
        <v>38491.5</v>
      </c>
      <c r="G82" s="26" cm="1">
        <f t="array" ref="G82">INDEX(GMW!$A$2:$DB$60,MATCH(1,(GMW!$DA$2:$DA$60=G$3)*(GMW!$DB$2:$DB$60=G$1),0),$A82-1966)</f>
        <v>31.953790000000001</v>
      </c>
      <c r="H82" s="26" cm="1">
        <f t="array" ref="H82">INDEX(GMW!$A$2:$DB$60,MATCH(1,(GMW!$DA$2:$DA$60=H$3)*(GMW!$DB$2:$DB$60=H$1),0),$A82-1966)</f>
        <v>692966.1</v>
      </c>
      <c r="I82" s="26" cm="1">
        <f t="array" ref="I82">INDEX(GMW!$A$2:$DB$60,MATCH(1,(GMW!$DA$2:$DA$60=I$3)*(GMW!$DB$2:$DB$60=I$1),0),$A82-1966)</f>
        <v>45694.41</v>
      </c>
      <c r="J82" s="26" cm="1">
        <f t="array" ref="J82">INDEX(GMW!$A$2:$DB$60,MATCH(1,(GMW!$DA$2:$DA$60=J$3)*(GMW!$DB$2:$DB$60=J$1),0),$A82-1966)</f>
        <v>-1.5110710000000001</v>
      </c>
      <c r="K82" s="26" cm="1">
        <f t="array" ref="K82">INDEX(GMW!$A$2:$DB$60,MATCH(1,(GMW!$DA$2:$DA$60=K$3)*(GMW!$DB$2:$DB$60=K$1),0),$A82-1966)</f>
        <v>38491.5</v>
      </c>
      <c r="L82" s="26" cm="1">
        <f t="array" ref="L82">INDEX(GMW!$A$2:$DB$60,MATCH(1,(GMW!$DA$2:$DA$60=L$3)*(GMW!$DB$2:$DB$60=L$1),0),$A82-1966)</f>
        <v>74020.27</v>
      </c>
      <c r="M82" s="26" cm="1">
        <f t="array" ref="M82">INDEX(GMW!$A$2:$DB$60,MATCH(1,(GMW!$DA$2:$DA$60=M$3)*(GMW!$DB$2:$DB$60=M$1),0),$A82-1966)</f>
        <v>47310.73</v>
      </c>
      <c r="N82" s="26" cm="1">
        <f t="array" ref="N82">INDEX(GMW!$A$2:$DB$60,MATCH(1,(GMW!$DA$2:$DA$60=N$3)*(GMW!$DB$2:$DB$60=N$1),0),$A82-1966)</f>
        <v>280486.5</v>
      </c>
      <c r="O82" s="26" cm="1">
        <f t="array" ref="O82">INDEX(GMW!$A$2:$DB$60,MATCH(1,(GMW!$DA$2:$DA$60=O$3)*(GMW!$DB$2:$DB$60=O$1),0),$A82-1966)</f>
        <v>7308728</v>
      </c>
      <c r="P82" s="26" cm="1">
        <f t="array" ref="P82">INDEX(GMW!$A$2:$DB$60,MATCH(1,(GMW!$DA$2:$DA$60=P$3)*(GMW!$DB$2:$DB$60=P$1),0),$A82-1966)</f>
        <v>6949354</v>
      </c>
    </row>
    <row r="83" spans="1:16">
      <c r="A83" s="26">
        <f t="shared" si="2"/>
        <v>2049</v>
      </c>
      <c r="B83" s="26" cm="1">
        <f t="array" ref="B83">INDEX(GMW!$A$2:$DB$60,MATCH(1,(GMW!$DA$2:$DA$60=B$3)*(GMW!$DB$2:$DB$60=B$1),0),$A83-1966)</f>
        <v>3986408</v>
      </c>
      <c r="C83" s="26" cm="1">
        <f t="array" ref="C83">INDEX(GMW!$A$2:$DB$60,MATCH(1,(GMW!$DA$2:$DA$60=C$3)*(GMW!$DB$2:$DB$60=C$1),0),$A83-1966)</f>
        <v>4.0000020000000003</v>
      </c>
      <c r="D83" s="26" cm="1">
        <f t="array" ref="D83">INDEX(GMW!$A$2:$DB$60,MATCH(1,(GMW!$DA$2:$DA$60=D$3)*(GMW!$DB$2:$DB$60=D$1),0),$A83-1966)</f>
        <v>3986404</v>
      </c>
      <c r="E83" s="26" cm="1">
        <f t="array" ref="E83">INDEX(GMW!$A$2:$DB$60,MATCH(1,(GMW!$DA$2:$DA$60=E$3)*(GMW!$DB$2:$DB$60=E$1),0),$A83-1966)</f>
        <v>4881777</v>
      </c>
      <c r="F83" s="26" cm="1">
        <f t="array" ref="F83">INDEX(GMW!$A$2:$DB$60,MATCH(1,(GMW!$DA$2:$DA$60=F$3)*(GMW!$DB$2:$DB$60=F$1),0),$A83-1966)</f>
        <v>38566.080000000002</v>
      </c>
      <c r="G83" s="26" cm="1">
        <f t="array" ref="G83">INDEX(GMW!$A$2:$DB$60,MATCH(1,(GMW!$DA$2:$DA$60=G$3)*(GMW!$DB$2:$DB$60=G$1),0),$A83-1966)</f>
        <v>31.950800000000001</v>
      </c>
      <c r="H83" s="26" cm="1">
        <f t="array" ref="H83">INDEX(GMW!$A$2:$DB$60,MATCH(1,(GMW!$DA$2:$DA$60=H$3)*(GMW!$DB$2:$DB$60=H$1),0),$A83-1966)</f>
        <v>694890.4</v>
      </c>
      <c r="I83" s="26" cm="1">
        <f t="array" ref="I83">INDEX(GMW!$A$2:$DB$60,MATCH(1,(GMW!$DA$2:$DA$60=I$3)*(GMW!$DB$2:$DB$60=I$1),0),$A83-1966)</f>
        <v>45714.5</v>
      </c>
      <c r="J83" s="26" cm="1">
        <f t="array" ref="J83">INDEX(GMW!$A$2:$DB$60,MATCH(1,(GMW!$DA$2:$DA$60=J$3)*(GMW!$DB$2:$DB$60=J$1),0),$A83-1966)</f>
        <v>-1.5062409999999999</v>
      </c>
      <c r="K83" s="26" cm="1">
        <f t="array" ref="K83">INDEX(GMW!$A$2:$DB$60,MATCH(1,(GMW!$DA$2:$DA$60=K$3)*(GMW!$DB$2:$DB$60=K$1),0),$A83-1966)</f>
        <v>38566.080000000002</v>
      </c>
      <c r="L83" s="26" cm="1">
        <f t="array" ref="L83">INDEX(GMW!$A$2:$DB$60,MATCH(1,(GMW!$DA$2:$DA$60=L$3)*(GMW!$DB$2:$DB$60=L$1),0),$A83-1966)</f>
        <v>74168.23</v>
      </c>
      <c r="M83" s="26" cm="1">
        <f t="array" ref="M83">INDEX(GMW!$A$2:$DB$60,MATCH(1,(GMW!$DA$2:$DA$60=M$3)*(GMW!$DB$2:$DB$60=M$1),0),$A83-1966)</f>
        <v>47337.16</v>
      </c>
      <c r="N83" s="26" cm="1">
        <f t="array" ref="N83">INDEX(GMW!$A$2:$DB$60,MATCH(1,(GMW!$DA$2:$DA$60=N$3)*(GMW!$DB$2:$DB$60=N$1),0),$A83-1966)</f>
        <v>290503</v>
      </c>
      <c r="O83" s="26" cm="1">
        <f t="array" ref="O83">INDEX(GMW!$A$2:$DB$60,MATCH(1,(GMW!$DA$2:$DA$60=O$3)*(GMW!$DB$2:$DB$60=O$1),0),$A83-1966)</f>
        <v>7609944</v>
      </c>
      <c r="P83" s="26" cm="1">
        <f t="array" ref="P83">INDEX(GMW!$A$2:$DB$60,MATCH(1,(GMW!$DA$2:$DA$60=P$3)*(GMW!$DB$2:$DB$60=P$1),0),$A83-1966)</f>
        <v>7197288</v>
      </c>
    </row>
    <row r="84" spans="1:16">
      <c r="A84" s="26">
        <f t="shared" si="2"/>
        <v>2050</v>
      </c>
      <c r="B84" s="26" cm="1">
        <f t="array" ref="B84">INDEX(GMW!$A$2:$DB$60,MATCH(1,(GMW!$DA$2:$DA$60=B$3)*(GMW!$DB$2:$DB$60=B$1),0),$A84-1966)</f>
        <v>4039316</v>
      </c>
      <c r="C84" s="26" cm="1">
        <f t="array" ref="C84">INDEX(GMW!$A$2:$DB$60,MATCH(1,(GMW!$DA$2:$DA$60=C$3)*(GMW!$DB$2:$DB$60=C$1),0),$A84-1966)</f>
        <v>4</v>
      </c>
      <c r="D84" s="26" cm="1">
        <f t="array" ref="D84">INDEX(GMW!$A$2:$DB$60,MATCH(1,(GMW!$DA$2:$DA$60=D$3)*(GMW!$DB$2:$DB$60=D$1),0),$A84-1966)</f>
        <v>4039312</v>
      </c>
      <c r="E84" s="26" cm="1">
        <f t="array" ref="E84">INDEX(GMW!$A$2:$DB$60,MATCH(1,(GMW!$DA$2:$DA$60=E$3)*(GMW!$DB$2:$DB$60=E$1),0),$A84-1966)</f>
        <v>4976234</v>
      </c>
      <c r="F84" s="26" cm="1">
        <f t="array" ref="F84">INDEX(GMW!$A$2:$DB$60,MATCH(1,(GMW!$DA$2:$DA$60=F$3)*(GMW!$DB$2:$DB$60=F$1),0),$A84-1966)</f>
        <v>38625.230000000003</v>
      </c>
      <c r="G84" s="26" cm="1">
        <f t="array" ref="G84">INDEX(GMW!$A$2:$DB$60,MATCH(1,(GMW!$DA$2:$DA$60=G$3)*(GMW!$DB$2:$DB$60=G$1),0),$A84-1966)</f>
        <v>31.947790000000001</v>
      </c>
      <c r="H84" s="26" cm="1">
        <f t="array" ref="H84">INDEX(GMW!$A$2:$DB$60,MATCH(1,(GMW!$DA$2:$DA$60=H$3)*(GMW!$DB$2:$DB$60=H$1),0),$A84-1966)</f>
        <v>696661.2</v>
      </c>
      <c r="I84" s="26" cm="1">
        <f t="array" ref="I84">INDEX(GMW!$A$2:$DB$60,MATCH(1,(GMW!$DA$2:$DA$60=I$3)*(GMW!$DB$2:$DB$60=I$1),0),$A84-1966)</f>
        <v>45726.45</v>
      </c>
      <c r="J84" s="26" cm="1">
        <f t="array" ref="J84">INDEX(GMW!$A$2:$DB$60,MATCH(1,(GMW!$DA$2:$DA$60=J$3)*(GMW!$DB$2:$DB$60=J$1),0),$A84-1966)</f>
        <v>-1.5014270000000001</v>
      </c>
      <c r="K84" s="26" cm="1">
        <f t="array" ref="K84">INDEX(GMW!$A$2:$DB$60,MATCH(1,(GMW!$DA$2:$DA$60=K$3)*(GMW!$DB$2:$DB$60=K$1),0),$A84-1966)</f>
        <v>38625.230000000003</v>
      </c>
      <c r="L84" s="26" cm="1">
        <f t="array" ref="L84">INDEX(GMW!$A$2:$DB$60,MATCH(1,(GMW!$DA$2:$DA$60=L$3)*(GMW!$DB$2:$DB$60=L$1),0),$A84-1966)</f>
        <v>74306.820000000007</v>
      </c>
      <c r="M84" s="26" cm="1">
        <f t="array" ref="M84">INDEX(GMW!$A$2:$DB$60,MATCH(1,(GMW!$DA$2:$DA$60=M$3)*(GMW!$DB$2:$DB$60=M$1),0),$A84-1966)</f>
        <v>47362.54</v>
      </c>
      <c r="N84" s="26" cm="1">
        <f t="array" ref="N84">INDEX(GMW!$A$2:$DB$60,MATCH(1,(GMW!$DA$2:$DA$60=N$3)*(GMW!$DB$2:$DB$60=N$1),0),$A84-1966)</f>
        <v>300779.7</v>
      </c>
      <c r="O84" s="26" cm="1">
        <f t="array" ref="O84">INDEX(GMW!$A$2:$DB$60,MATCH(1,(GMW!$DA$2:$DA$60=O$3)*(GMW!$DB$2:$DB$60=O$1),0),$A84-1966)</f>
        <v>7921438</v>
      </c>
      <c r="P84" s="26" cm="1">
        <f t="array" ref="P84">INDEX(GMW!$A$2:$DB$60,MATCH(1,(GMW!$DA$2:$DA$60=P$3)*(GMW!$DB$2:$DB$60=P$1),0),$A84-1966)</f>
        <v>7451668</v>
      </c>
    </row>
    <row r="85" spans="1:16">
      <c r="A85" s="26">
        <f t="shared" si="2"/>
        <v>2051</v>
      </c>
      <c r="B85" s="26" cm="1">
        <f t="array" ref="B85">INDEX(GMW!$A$2:$DB$60,MATCH(1,(GMW!$DA$2:$DA$60=B$3)*(GMW!$DB$2:$DB$60=B$1),0),$A85-1966)</f>
        <v>4092014</v>
      </c>
      <c r="C85" s="26" cm="1">
        <f t="array" ref="C85">INDEX(GMW!$A$2:$DB$60,MATCH(1,(GMW!$DA$2:$DA$60=C$3)*(GMW!$DB$2:$DB$60=C$1),0),$A85-1966)</f>
        <v>3.999994</v>
      </c>
      <c r="D85" s="26" cm="1">
        <f t="array" ref="D85">INDEX(GMW!$A$2:$DB$60,MATCH(1,(GMW!$DA$2:$DA$60=D$3)*(GMW!$DB$2:$DB$60=D$1),0),$A85-1966)</f>
        <v>4092009</v>
      </c>
      <c r="E85" s="26" cm="1">
        <f t="array" ref="E85">INDEX(GMW!$A$2:$DB$60,MATCH(1,(GMW!$DA$2:$DA$60=E$3)*(GMW!$DB$2:$DB$60=E$1),0),$A85-1966)</f>
        <v>5071464</v>
      </c>
      <c r="F85" s="26" cm="1">
        <f t="array" ref="F85">INDEX(GMW!$A$2:$DB$60,MATCH(1,(GMW!$DA$2:$DA$60=F$3)*(GMW!$DB$2:$DB$60=F$1),0),$A85-1966)</f>
        <v>38677.050000000003</v>
      </c>
      <c r="G85" s="26" cm="1">
        <f t="array" ref="G85">INDEX(GMW!$A$2:$DB$60,MATCH(1,(GMW!$DA$2:$DA$60=G$3)*(GMW!$DB$2:$DB$60=G$1),0),$A85-1966)</f>
        <v>31.944800000000001</v>
      </c>
      <c r="H85" s="26" cm="1">
        <f t="array" ref="H85">INDEX(GMW!$A$2:$DB$60,MATCH(1,(GMW!$DA$2:$DA$60=H$3)*(GMW!$DB$2:$DB$60=H$1),0),$A85-1966)</f>
        <v>698040.1</v>
      </c>
      <c r="I85" s="26" cm="1">
        <f t="array" ref="I85">INDEX(GMW!$A$2:$DB$60,MATCH(1,(GMW!$DA$2:$DA$60=I$3)*(GMW!$DB$2:$DB$60=I$1),0),$A85-1966)</f>
        <v>45714.27</v>
      </c>
      <c r="J85" s="26" cm="1">
        <f t="array" ref="J85">INDEX(GMW!$A$2:$DB$60,MATCH(1,(GMW!$DA$2:$DA$60=J$3)*(GMW!$DB$2:$DB$60=J$1),0),$A85-1966)</f>
        <v>-1.4966280000000001</v>
      </c>
      <c r="K85" s="26" cm="1">
        <f t="array" ref="K85">INDEX(GMW!$A$2:$DB$60,MATCH(1,(GMW!$DA$2:$DA$60=K$3)*(GMW!$DB$2:$DB$60=K$1),0),$A85-1966)</f>
        <v>38677.050000000003</v>
      </c>
      <c r="L85" s="26" cm="1">
        <f t="array" ref="L85">INDEX(GMW!$A$2:$DB$60,MATCH(1,(GMW!$DA$2:$DA$60=L$3)*(GMW!$DB$2:$DB$60=L$1),0),$A85-1966)</f>
        <v>74435.73</v>
      </c>
      <c r="M85" s="26" cm="1">
        <f t="array" ref="M85">INDEX(GMW!$A$2:$DB$60,MATCH(1,(GMW!$DA$2:$DA$60=M$3)*(GMW!$DB$2:$DB$60=M$1),0),$A85-1966)</f>
        <v>47391.39</v>
      </c>
      <c r="N85" s="26" cm="1">
        <f t="array" ref="N85">INDEX(GMW!$A$2:$DB$60,MATCH(1,(GMW!$DA$2:$DA$60=N$3)*(GMW!$DB$2:$DB$60=N$1),0),$A85-1966)</f>
        <v>311357.2</v>
      </c>
      <c r="O85" s="26" cm="1">
        <f t="array" ref="O85">INDEX(GMW!$A$2:$DB$60,MATCH(1,(GMW!$DA$2:$DA$60=O$3)*(GMW!$DB$2:$DB$60=O$1),0),$A85-1966)</f>
        <v>8243509</v>
      </c>
      <c r="P85" s="26" cm="1">
        <f t="array" ref="P85">INDEX(GMW!$A$2:$DB$60,MATCH(1,(GMW!$DA$2:$DA$60=P$3)*(GMW!$DB$2:$DB$60=P$1),0),$A85-1966)</f>
        <v>7713513</v>
      </c>
    </row>
    <row r="86" spans="1:16">
      <c r="A86" s="26">
        <f t="shared" si="2"/>
        <v>2052</v>
      </c>
      <c r="B86" s="26" cm="1">
        <f t="array" ref="B86">INDEX(GMW!$A$2:$DB$60,MATCH(1,(GMW!$DA$2:$DA$60=B$3)*(GMW!$DB$2:$DB$60=B$1),0),$A86-1966)</f>
        <v>4144268</v>
      </c>
      <c r="C86" s="26" cm="1">
        <f t="array" ref="C86">INDEX(GMW!$A$2:$DB$60,MATCH(1,(GMW!$DA$2:$DA$60=C$3)*(GMW!$DB$2:$DB$60=C$1),0),$A86-1966)</f>
        <v>3.9999889999999998</v>
      </c>
      <c r="D86" s="26" cm="1">
        <f t="array" ref="D86">INDEX(GMW!$A$2:$DB$60,MATCH(1,(GMW!$DA$2:$DA$60=D$3)*(GMW!$DB$2:$DB$60=D$1),0),$A86-1966)</f>
        <v>4144264</v>
      </c>
      <c r="E86" s="26" cm="1">
        <f t="array" ref="E86">INDEX(GMW!$A$2:$DB$60,MATCH(1,(GMW!$DA$2:$DA$60=E$3)*(GMW!$DB$2:$DB$60=E$1),0),$A86-1966)</f>
        <v>5167431</v>
      </c>
      <c r="F86" s="26" cm="1">
        <f t="array" ref="F86">INDEX(GMW!$A$2:$DB$60,MATCH(1,(GMW!$DA$2:$DA$60=F$3)*(GMW!$DB$2:$DB$60=F$1),0),$A86-1966)</f>
        <v>38718.06</v>
      </c>
      <c r="G86" s="26" cm="1">
        <f t="array" ref="G86">INDEX(GMW!$A$2:$DB$60,MATCH(1,(GMW!$DA$2:$DA$60=G$3)*(GMW!$DB$2:$DB$60=G$1),0),$A86-1966)</f>
        <v>31.941800000000001</v>
      </c>
      <c r="H86" s="26" cm="1">
        <f t="array" ref="H86">INDEX(GMW!$A$2:$DB$60,MATCH(1,(GMW!$DA$2:$DA$60=H$3)*(GMW!$DB$2:$DB$60=H$1),0),$A86-1966)</f>
        <v>699264.5</v>
      </c>
      <c r="I86" s="26" cm="1">
        <f t="array" ref="I86">INDEX(GMW!$A$2:$DB$60,MATCH(1,(GMW!$DA$2:$DA$60=I$3)*(GMW!$DB$2:$DB$60=I$1),0),$A86-1966)</f>
        <v>45692.26</v>
      </c>
      <c r="J86" s="26" cm="1">
        <f t="array" ref="J86">INDEX(GMW!$A$2:$DB$60,MATCH(1,(GMW!$DA$2:$DA$60=J$3)*(GMW!$DB$2:$DB$60=J$1),0),$A86-1966)</f>
        <v>-1.4918450000000001</v>
      </c>
      <c r="K86" s="26" cm="1">
        <f t="array" ref="K86">INDEX(GMW!$A$2:$DB$60,MATCH(1,(GMW!$DA$2:$DA$60=K$3)*(GMW!$DB$2:$DB$60=K$1),0),$A86-1966)</f>
        <v>38718.06</v>
      </c>
      <c r="L86" s="26" cm="1">
        <f t="array" ref="L86">INDEX(GMW!$A$2:$DB$60,MATCH(1,(GMW!$DA$2:$DA$60=L$3)*(GMW!$DB$2:$DB$60=L$1),0),$A86-1966)</f>
        <v>74554.91</v>
      </c>
      <c r="M86" s="26" cm="1">
        <f t="array" ref="M86">INDEX(GMW!$A$2:$DB$60,MATCH(1,(GMW!$DA$2:$DA$60=M$3)*(GMW!$DB$2:$DB$60=M$1),0),$A86-1966)</f>
        <v>47415.06</v>
      </c>
      <c r="N86" s="26" cm="1">
        <f t="array" ref="N86">INDEX(GMW!$A$2:$DB$60,MATCH(1,(GMW!$DA$2:$DA$60=N$3)*(GMW!$DB$2:$DB$60=N$1),0),$A86-1966)</f>
        <v>322227.20000000001</v>
      </c>
      <c r="O86" s="26" cm="1">
        <f t="array" ref="O86">INDEX(GMW!$A$2:$DB$60,MATCH(1,(GMW!$DA$2:$DA$60=O$3)*(GMW!$DB$2:$DB$60=O$1),0),$A86-1966)</f>
        <v>8576451</v>
      </c>
      <c r="P86" s="26" cm="1">
        <f t="array" ref="P86">INDEX(GMW!$A$2:$DB$60,MATCH(1,(GMW!$DA$2:$DA$60=P$3)*(GMW!$DB$2:$DB$60=P$1),0),$A86-1966)</f>
        <v>7982503</v>
      </c>
    </row>
    <row r="87" spans="1:16">
      <c r="A87" s="26">
        <f t="shared" si="2"/>
        <v>2053</v>
      </c>
      <c r="B87" s="26" cm="1">
        <f t="array" ref="B87">INDEX(GMW!$A$2:$DB$60,MATCH(1,(GMW!$DA$2:$DA$60=B$3)*(GMW!$DB$2:$DB$60=B$1),0),$A87-1966)</f>
        <v>4195761</v>
      </c>
      <c r="C87" s="26" cm="1">
        <f t="array" ref="C87">INDEX(GMW!$A$2:$DB$60,MATCH(1,(GMW!$DA$2:$DA$60=C$3)*(GMW!$DB$2:$DB$60=C$1),0),$A87-1966)</f>
        <v>3.9999980000000002</v>
      </c>
      <c r="D87" s="26" cm="1">
        <f t="array" ref="D87">INDEX(GMW!$A$2:$DB$60,MATCH(1,(GMW!$DA$2:$DA$60=D$3)*(GMW!$DB$2:$DB$60=D$1),0),$A87-1966)</f>
        <v>4195756</v>
      </c>
      <c r="E87" s="26" cm="1">
        <f t="array" ref="E87">INDEX(GMW!$A$2:$DB$60,MATCH(1,(GMW!$DA$2:$DA$60=E$3)*(GMW!$DB$2:$DB$60=E$1),0),$A87-1966)</f>
        <v>5264017</v>
      </c>
      <c r="F87" s="26" cm="1">
        <f t="array" ref="F87">INDEX(GMW!$A$2:$DB$60,MATCH(1,(GMW!$DA$2:$DA$60=F$3)*(GMW!$DB$2:$DB$60=F$1),0),$A87-1966)</f>
        <v>38744.480000000003</v>
      </c>
      <c r="G87" s="26" cm="1">
        <f t="array" ref="G87">INDEX(GMW!$A$2:$DB$60,MATCH(1,(GMW!$DA$2:$DA$60=G$3)*(GMW!$DB$2:$DB$60=G$1),0),$A87-1966)</f>
        <v>31.938790000000001</v>
      </c>
      <c r="H87" s="26" cm="1">
        <f t="array" ref="H87">INDEX(GMW!$A$2:$DB$60,MATCH(1,(GMW!$DA$2:$DA$60=H$3)*(GMW!$DB$2:$DB$60=H$1),0),$A87-1966)</f>
        <v>700274.5</v>
      </c>
      <c r="I87" s="26" cm="1">
        <f t="array" ref="I87">INDEX(GMW!$A$2:$DB$60,MATCH(1,(GMW!$DA$2:$DA$60=I$3)*(GMW!$DB$2:$DB$60=I$1),0),$A87-1966)</f>
        <v>45656.63</v>
      </c>
      <c r="J87" s="26" cm="1">
        <f t="array" ref="J87">INDEX(GMW!$A$2:$DB$60,MATCH(1,(GMW!$DA$2:$DA$60=J$3)*(GMW!$DB$2:$DB$60=J$1),0),$A87-1966)</f>
        <v>-1.4870760000000001</v>
      </c>
      <c r="K87" s="26" cm="1">
        <f t="array" ref="K87">INDEX(GMW!$A$2:$DB$60,MATCH(1,(GMW!$DA$2:$DA$60=K$3)*(GMW!$DB$2:$DB$60=K$1),0),$A87-1966)</f>
        <v>38744.480000000003</v>
      </c>
      <c r="L87" s="26" cm="1">
        <f t="array" ref="L87">INDEX(GMW!$A$2:$DB$60,MATCH(1,(GMW!$DA$2:$DA$60=L$3)*(GMW!$DB$2:$DB$60=L$1),0),$A87-1966)</f>
        <v>74664.36</v>
      </c>
      <c r="M87" s="26" cm="1">
        <f t="array" ref="M87">INDEX(GMW!$A$2:$DB$60,MATCH(1,(GMW!$DA$2:$DA$60=M$3)*(GMW!$DB$2:$DB$60=M$1),0),$A87-1966)</f>
        <v>47431.08</v>
      </c>
      <c r="N87" s="26" cm="1">
        <f t="array" ref="N87">INDEX(GMW!$A$2:$DB$60,MATCH(1,(GMW!$DA$2:$DA$60=N$3)*(GMW!$DB$2:$DB$60=N$1),0),$A87-1966)</f>
        <v>333360.8</v>
      </c>
      <c r="O87" s="26" cm="1">
        <f t="array" ref="O87">INDEX(GMW!$A$2:$DB$60,MATCH(1,(GMW!$DA$2:$DA$60=O$3)*(GMW!$DB$2:$DB$60=O$1),0),$A87-1966)</f>
        <v>8920527</v>
      </c>
      <c r="P87" s="26" cm="1">
        <f t="array" ref="P87">INDEX(GMW!$A$2:$DB$60,MATCH(1,(GMW!$DA$2:$DA$60=P$3)*(GMW!$DB$2:$DB$60=P$1),0),$A87-1966)</f>
        <v>8258062</v>
      </c>
    </row>
    <row r="88" spans="1:16">
      <c r="A88" s="26">
        <f t="shared" si="2"/>
        <v>2054</v>
      </c>
      <c r="B88" s="26" cm="1">
        <f t="array" ref="B88">INDEX(GMW!$A$2:$DB$60,MATCH(1,(GMW!$DA$2:$DA$60=B$3)*(GMW!$DB$2:$DB$60=B$1),0),$A88-1966)</f>
        <v>4247258</v>
      </c>
      <c r="C88" s="26" cm="1">
        <f t="array" ref="C88">INDEX(GMW!$A$2:$DB$60,MATCH(1,(GMW!$DA$2:$DA$60=C$3)*(GMW!$DB$2:$DB$60=C$1),0),$A88-1966)</f>
        <v>3.999997</v>
      </c>
      <c r="D88" s="26" cm="1">
        <f t="array" ref="D88">INDEX(GMW!$A$2:$DB$60,MATCH(1,(GMW!$DA$2:$DA$60=D$3)*(GMW!$DB$2:$DB$60=D$1),0),$A88-1966)</f>
        <v>4247256</v>
      </c>
      <c r="E88" s="26" cm="1">
        <f t="array" ref="E88">INDEX(GMW!$A$2:$DB$60,MATCH(1,(GMW!$DA$2:$DA$60=E$3)*(GMW!$DB$2:$DB$60=E$1),0),$A88-1966)</f>
        <v>5361248</v>
      </c>
      <c r="F88" s="26" cm="1">
        <f t="array" ref="F88">INDEX(GMW!$A$2:$DB$60,MATCH(1,(GMW!$DA$2:$DA$60=F$3)*(GMW!$DB$2:$DB$60=F$1),0),$A88-1966)</f>
        <v>38768.019999999997</v>
      </c>
      <c r="G88" s="26" cm="1">
        <f t="array" ref="G88">INDEX(GMW!$A$2:$DB$60,MATCH(1,(GMW!$DA$2:$DA$60=G$3)*(GMW!$DB$2:$DB$60=G$1),0),$A88-1966)</f>
        <v>31.935790000000001</v>
      </c>
      <c r="H88" s="26" cm="1">
        <f t="array" ref="H88">INDEX(GMW!$A$2:$DB$60,MATCH(1,(GMW!$DA$2:$DA$60=H$3)*(GMW!$DB$2:$DB$60=H$1),0),$A88-1966)</f>
        <v>700972.5</v>
      </c>
      <c r="I88" s="26" cm="1">
        <f t="array" ref="I88">INDEX(GMW!$A$2:$DB$60,MATCH(1,(GMW!$DA$2:$DA$60=I$3)*(GMW!$DB$2:$DB$60=I$1),0),$A88-1966)</f>
        <v>45601.84</v>
      </c>
      <c r="J88" s="26" cm="1">
        <f t="array" ref="J88">INDEX(GMW!$A$2:$DB$60,MATCH(1,(GMW!$DA$2:$DA$60=J$3)*(GMW!$DB$2:$DB$60=J$1),0),$A88-1966)</f>
        <v>-1.4823230000000001</v>
      </c>
      <c r="K88" s="26" cm="1">
        <f t="array" ref="K88">INDEX(GMW!$A$2:$DB$60,MATCH(1,(GMW!$DA$2:$DA$60=K$3)*(GMW!$DB$2:$DB$60=K$1),0),$A88-1966)</f>
        <v>38768.019999999997</v>
      </c>
      <c r="L88" s="26" cm="1">
        <f t="array" ref="L88">INDEX(GMW!$A$2:$DB$60,MATCH(1,(GMW!$DA$2:$DA$60=L$3)*(GMW!$DB$2:$DB$60=L$1),0),$A88-1966)</f>
        <v>74764.41</v>
      </c>
      <c r="M88" s="26" cm="1">
        <f t="array" ref="M88">INDEX(GMW!$A$2:$DB$60,MATCH(1,(GMW!$DA$2:$DA$60=M$3)*(GMW!$DB$2:$DB$60=M$1),0),$A88-1966)</f>
        <v>47423.87</v>
      </c>
      <c r="N88" s="26" cm="1">
        <f t="array" ref="N88">INDEX(GMW!$A$2:$DB$60,MATCH(1,(GMW!$DA$2:$DA$60=N$3)*(GMW!$DB$2:$DB$60=N$1),0),$A88-1966)</f>
        <v>344828.3</v>
      </c>
      <c r="O88" s="26" cm="1">
        <f t="array" ref="O88">INDEX(GMW!$A$2:$DB$60,MATCH(1,(GMW!$DA$2:$DA$60=O$3)*(GMW!$DB$2:$DB$60=O$1),0),$A88-1966)</f>
        <v>9276071</v>
      </c>
      <c r="P88" s="26" cm="1">
        <f t="array" ref="P88">INDEX(GMW!$A$2:$DB$60,MATCH(1,(GMW!$DA$2:$DA$60=P$3)*(GMW!$DB$2:$DB$60=P$1),0),$A88-1966)</f>
        <v>8541962</v>
      </c>
    </row>
    <row r="89" spans="1:16">
      <c r="A89" s="26">
        <f t="shared" si="2"/>
        <v>2055</v>
      </c>
      <c r="B89" s="26" cm="1">
        <f t="array" ref="B89">INDEX(GMW!$A$2:$DB$60,MATCH(1,(GMW!$DA$2:$DA$60=B$3)*(GMW!$DB$2:$DB$60=B$1),0),$A89-1966)</f>
        <v>4298423</v>
      </c>
      <c r="C89" s="26" cm="1">
        <f t="array" ref="C89">INDEX(GMW!$A$2:$DB$60,MATCH(1,(GMW!$DA$2:$DA$60=C$3)*(GMW!$DB$2:$DB$60=C$1),0),$A89-1966)</f>
        <v>3.9999950000000002</v>
      </c>
      <c r="D89" s="26" cm="1">
        <f t="array" ref="D89">INDEX(GMW!$A$2:$DB$60,MATCH(1,(GMW!$DA$2:$DA$60=D$3)*(GMW!$DB$2:$DB$60=D$1),0),$A89-1966)</f>
        <v>4298419</v>
      </c>
      <c r="E89" s="26" cm="1">
        <f t="array" ref="E89">INDEX(GMW!$A$2:$DB$60,MATCH(1,(GMW!$DA$2:$DA$60=E$3)*(GMW!$DB$2:$DB$60=E$1),0),$A89-1966)</f>
        <v>5459089</v>
      </c>
      <c r="F89" s="26" cm="1">
        <f t="array" ref="F89">INDEX(GMW!$A$2:$DB$60,MATCH(1,(GMW!$DA$2:$DA$60=F$3)*(GMW!$DB$2:$DB$60=F$1),0),$A89-1966)</f>
        <v>38784.14</v>
      </c>
      <c r="G89" s="26" cm="1">
        <f t="array" ref="G89">INDEX(GMW!$A$2:$DB$60,MATCH(1,(GMW!$DA$2:$DA$60=G$3)*(GMW!$DB$2:$DB$60=G$1),0),$A89-1966)</f>
        <v>31.932790000000001</v>
      </c>
      <c r="H89" s="26" cm="1">
        <f t="array" ref="H89">INDEX(GMW!$A$2:$DB$60,MATCH(1,(GMW!$DA$2:$DA$60=H$3)*(GMW!$DB$2:$DB$60=H$1),0),$A89-1966)</f>
        <v>701641.6</v>
      </c>
      <c r="I89" s="26" cm="1">
        <f t="array" ref="I89">INDEX(GMW!$A$2:$DB$60,MATCH(1,(GMW!$DA$2:$DA$60=I$3)*(GMW!$DB$2:$DB$60=I$1),0),$A89-1966)</f>
        <v>45546.53</v>
      </c>
      <c r="J89" s="26" cm="1">
        <f t="array" ref="J89">INDEX(GMW!$A$2:$DB$60,MATCH(1,(GMW!$DA$2:$DA$60=J$3)*(GMW!$DB$2:$DB$60=J$1),0),$A89-1966)</f>
        <v>-1.4775860000000001</v>
      </c>
      <c r="K89" s="26" cm="1">
        <f t="array" ref="K89">INDEX(GMW!$A$2:$DB$60,MATCH(1,(GMW!$DA$2:$DA$60=K$3)*(GMW!$DB$2:$DB$60=K$1),0),$A89-1966)</f>
        <v>38784.15</v>
      </c>
      <c r="L89" s="26" cm="1">
        <f t="array" ref="L89">INDEX(GMW!$A$2:$DB$60,MATCH(1,(GMW!$DA$2:$DA$60=L$3)*(GMW!$DB$2:$DB$60=L$1),0),$A89-1966)</f>
        <v>74855.8</v>
      </c>
      <c r="M89" s="26" cm="1">
        <f t="array" ref="M89">INDEX(GMW!$A$2:$DB$60,MATCH(1,(GMW!$DA$2:$DA$60=M$3)*(GMW!$DB$2:$DB$60=M$1),0),$A89-1966)</f>
        <v>47407.54</v>
      </c>
      <c r="N89" s="26" cm="1">
        <f t="array" ref="N89">INDEX(GMW!$A$2:$DB$60,MATCH(1,(GMW!$DA$2:$DA$60=N$3)*(GMW!$DB$2:$DB$60=N$1),0),$A89-1966)</f>
        <v>356615.2</v>
      </c>
      <c r="O89" s="26" cm="1">
        <f t="array" ref="O89">INDEX(GMW!$A$2:$DB$60,MATCH(1,(GMW!$DA$2:$DA$60=O$3)*(GMW!$DB$2:$DB$60=O$1),0),$A89-1966)</f>
        <v>9643402</v>
      </c>
      <c r="P89" s="26" cm="1">
        <f t="array" ref="P89">INDEX(GMW!$A$2:$DB$60,MATCH(1,(GMW!$DA$2:$DA$60=P$3)*(GMW!$DB$2:$DB$60=P$1),0),$A89-1966)</f>
        <v>8833706</v>
      </c>
    </row>
    <row r="90" spans="1:16">
      <c r="A90" s="26">
        <f t="shared" si="2"/>
        <v>2056</v>
      </c>
      <c r="B90" s="26" cm="1">
        <f t="array" ref="B90">INDEX(GMW!$A$2:$DB$60,MATCH(1,(GMW!$DA$2:$DA$60=B$3)*(GMW!$DB$2:$DB$60=B$1),0),$A90-1966)</f>
        <v>4349305</v>
      </c>
      <c r="C90" s="26" cm="1">
        <f t="array" ref="C90">INDEX(GMW!$A$2:$DB$60,MATCH(1,(GMW!$DA$2:$DA$60=C$3)*(GMW!$DB$2:$DB$60=C$1),0),$A90-1966)</f>
        <v>4.0000039999999997</v>
      </c>
      <c r="D90" s="26" cm="1">
        <f t="array" ref="D90">INDEX(GMW!$A$2:$DB$60,MATCH(1,(GMW!$DA$2:$DA$60=D$3)*(GMW!$DB$2:$DB$60=D$1),0),$A90-1966)</f>
        <v>4349304</v>
      </c>
      <c r="E90" s="26" cm="1">
        <f t="array" ref="E90">INDEX(GMW!$A$2:$DB$60,MATCH(1,(GMW!$DA$2:$DA$60=E$3)*(GMW!$DB$2:$DB$60=E$1),0),$A90-1966)</f>
        <v>5557519</v>
      </c>
      <c r="F90" s="26" cm="1">
        <f t="array" ref="F90">INDEX(GMW!$A$2:$DB$60,MATCH(1,(GMW!$DA$2:$DA$60=F$3)*(GMW!$DB$2:$DB$60=F$1),0),$A90-1966)</f>
        <v>38794.04</v>
      </c>
      <c r="G90" s="26" cm="1">
        <f t="array" ref="G90">INDEX(GMW!$A$2:$DB$60,MATCH(1,(GMW!$DA$2:$DA$60=G$3)*(GMW!$DB$2:$DB$60=G$1),0),$A90-1966)</f>
        <v>31.9298</v>
      </c>
      <c r="H90" s="26" cm="1">
        <f t="array" ref="H90">INDEX(GMW!$A$2:$DB$60,MATCH(1,(GMW!$DA$2:$DA$60=H$3)*(GMW!$DB$2:$DB$60=H$1),0),$A90-1966)</f>
        <v>702116.8</v>
      </c>
      <c r="I90" s="26" cm="1">
        <f t="array" ref="I90">INDEX(GMW!$A$2:$DB$60,MATCH(1,(GMW!$DA$2:$DA$60=I$3)*(GMW!$DB$2:$DB$60=I$1),0),$A90-1966)</f>
        <v>45480.28</v>
      </c>
      <c r="J90" s="26" cm="1">
        <f t="array" ref="J90">INDEX(GMW!$A$2:$DB$60,MATCH(1,(GMW!$DA$2:$DA$60=J$3)*(GMW!$DB$2:$DB$60=J$1),0),$A90-1966)</f>
        <v>-1.472863</v>
      </c>
      <c r="K90" s="26" cm="1">
        <f t="array" ref="K90">INDEX(GMW!$A$2:$DB$60,MATCH(1,(GMW!$DA$2:$DA$60=K$3)*(GMW!$DB$2:$DB$60=K$1),0),$A90-1966)</f>
        <v>38794.04</v>
      </c>
      <c r="L90" s="26" cm="1">
        <f t="array" ref="L90">INDEX(GMW!$A$2:$DB$60,MATCH(1,(GMW!$DA$2:$DA$60=L$3)*(GMW!$DB$2:$DB$60=L$1),0),$A90-1966)</f>
        <v>74939.66</v>
      </c>
      <c r="M90" s="26" cm="1">
        <f t="array" ref="M90">INDEX(GMW!$A$2:$DB$60,MATCH(1,(GMW!$DA$2:$DA$60=M$3)*(GMW!$DB$2:$DB$60=M$1),0),$A90-1966)</f>
        <v>47378.16</v>
      </c>
      <c r="N90" s="26" cm="1">
        <f t="array" ref="N90">INDEX(GMW!$A$2:$DB$60,MATCH(1,(GMW!$DA$2:$DA$60=N$3)*(GMW!$DB$2:$DB$60=N$1),0),$A90-1966)</f>
        <v>368726.9</v>
      </c>
      <c r="O90" s="26" cm="1">
        <f t="array" ref="O90">INDEX(GMW!$A$2:$DB$60,MATCH(1,(GMW!$DA$2:$DA$60=O$3)*(GMW!$DB$2:$DB$60=O$1),0),$A90-1966)</f>
        <v>10022840</v>
      </c>
      <c r="P90" s="26" cm="1">
        <f t="array" ref="P90">INDEX(GMW!$A$2:$DB$60,MATCH(1,(GMW!$DA$2:$DA$60=P$3)*(GMW!$DB$2:$DB$60=P$1),0),$A90-1966)</f>
        <v>9133532</v>
      </c>
    </row>
    <row r="91" spans="1:16">
      <c r="A91" s="26">
        <f t="shared" si="2"/>
        <v>2057</v>
      </c>
      <c r="B91" s="26" cm="1">
        <f t="array" ref="B91">INDEX(GMW!$A$2:$DB$60,MATCH(1,(GMW!$DA$2:$DA$60=B$3)*(GMW!$DB$2:$DB$60=B$1),0),$A91-1966)</f>
        <v>4400366</v>
      </c>
      <c r="C91" s="26" cm="1">
        <f t="array" ref="C91">INDEX(GMW!$A$2:$DB$60,MATCH(1,(GMW!$DA$2:$DA$60=C$3)*(GMW!$DB$2:$DB$60=C$1),0),$A91-1966)</f>
        <v>4.0000109999999998</v>
      </c>
      <c r="D91" s="26" cm="1">
        <f t="array" ref="D91">INDEX(GMW!$A$2:$DB$60,MATCH(1,(GMW!$DA$2:$DA$60=D$3)*(GMW!$DB$2:$DB$60=D$1),0),$A91-1966)</f>
        <v>4400360</v>
      </c>
      <c r="E91" s="26" cm="1">
        <f t="array" ref="E91">INDEX(GMW!$A$2:$DB$60,MATCH(1,(GMW!$DA$2:$DA$60=E$3)*(GMW!$DB$2:$DB$60=E$1),0),$A91-1966)</f>
        <v>5656602</v>
      </c>
      <c r="F91" s="26" cm="1">
        <f t="array" ref="F91">INDEX(GMW!$A$2:$DB$60,MATCH(1,(GMW!$DA$2:$DA$60=F$3)*(GMW!$DB$2:$DB$60=F$1),0),$A91-1966)</f>
        <v>38804.19</v>
      </c>
      <c r="G91" s="26" cm="1">
        <f t="array" ref="G91">INDEX(GMW!$A$2:$DB$60,MATCH(1,(GMW!$DA$2:$DA$60=G$3)*(GMW!$DB$2:$DB$60=G$1),0),$A91-1966)</f>
        <v>31.9268</v>
      </c>
      <c r="H91" s="26" cm="1">
        <f t="array" ref="H91">INDEX(GMW!$A$2:$DB$60,MATCH(1,(GMW!$DA$2:$DA$60=H$3)*(GMW!$DB$2:$DB$60=H$1),0),$A91-1966)</f>
        <v>702420.5</v>
      </c>
      <c r="I91" s="26" cm="1">
        <f t="array" ref="I91">INDEX(GMW!$A$2:$DB$60,MATCH(1,(GMW!$DA$2:$DA$60=I$3)*(GMW!$DB$2:$DB$60=I$1),0),$A91-1966)</f>
        <v>45404.92</v>
      </c>
      <c r="J91" s="26" cm="1">
        <f t="array" ref="J91">INDEX(GMW!$A$2:$DB$60,MATCH(1,(GMW!$DA$2:$DA$60=J$3)*(GMW!$DB$2:$DB$60=J$1),0),$A91-1966)</f>
        <v>-1.468156</v>
      </c>
      <c r="K91" s="26" cm="1">
        <f t="array" ref="K91">INDEX(GMW!$A$2:$DB$60,MATCH(1,(GMW!$DA$2:$DA$60=K$3)*(GMW!$DB$2:$DB$60=K$1),0),$A91-1966)</f>
        <v>38804.18</v>
      </c>
      <c r="L91" s="26" cm="1">
        <f t="array" ref="L91">INDEX(GMW!$A$2:$DB$60,MATCH(1,(GMW!$DA$2:$DA$60=L$3)*(GMW!$DB$2:$DB$60=L$1),0),$A91-1966)</f>
        <v>75017.17</v>
      </c>
      <c r="M91" s="26" cm="1">
        <f t="array" ref="M91">INDEX(GMW!$A$2:$DB$60,MATCH(1,(GMW!$DA$2:$DA$60=M$3)*(GMW!$DB$2:$DB$60=M$1),0),$A91-1966)</f>
        <v>47329.91</v>
      </c>
      <c r="N91" s="26" cm="1">
        <f t="array" ref="N91">INDEX(GMW!$A$2:$DB$60,MATCH(1,(GMW!$DA$2:$DA$60=N$3)*(GMW!$DB$2:$DB$60=N$1),0),$A91-1966)</f>
        <v>381207.8</v>
      </c>
      <c r="O91" s="26" cm="1">
        <f t="array" ref="O91">INDEX(GMW!$A$2:$DB$60,MATCH(1,(GMW!$DA$2:$DA$60=O$3)*(GMW!$DB$2:$DB$60=O$1),0),$A91-1966)</f>
        <v>10414770</v>
      </c>
      <c r="P91" s="26" cm="1">
        <f t="array" ref="P91">INDEX(GMW!$A$2:$DB$60,MATCH(1,(GMW!$DA$2:$DA$60=P$3)*(GMW!$DB$2:$DB$60=P$1),0),$A91-1966)</f>
        <v>9442621</v>
      </c>
    </row>
    <row r="92" spans="1:16">
      <c r="A92" s="26">
        <f t="shared" si="2"/>
        <v>2058</v>
      </c>
      <c r="B92" s="26" cm="1">
        <f t="array" ref="B92">INDEX(GMW!$A$2:$DB$60,MATCH(1,(GMW!$DA$2:$DA$60=B$3)*(GMW!$DB$2:$DB$60=B$1),0),$A92-1966)</f>
        <v>4451856</v>
      </c>
      <c r="C92" s="26" cm="1">
        <f t="array" ref="C92">INDEX(GMW!$A$2:$DB$60,MATCH(1,(GMW!$DA$2:$DA$60=C$3)*(GMW!$DB$2:$DB$60=C$1),0),$A92-1966)</f>
        <v>4.0000030000000004</v>
      </c>
      <c r="D92" s="26" cm="1">
        <f t="array" ref="D92">INDEX(GMW!$A$2:$DB$60,MATCH(1,(GMW!$DA$2:$DA$60=D$3)*(GMW!$DB$2:$DB$60=D$1),0),$A92-1966)</f>
        <v>4451854</v>
      </c>
      <c r="E92" s="26" cm="1">
        <f t="array" ref="E92">INDEX(GMW!$A$2:$DB$60,MATCH(1,(GMW!$DA$2:$DA$60=E$3)*(GMW!$DB$2:$DB$60=E$1),0),$A92-1966)</f>
        <v>5756439</v>
      </c>
      <c r="F92" s="26" cm="1">
        <f t="array" ref="F92">INDEX(GMW!$A$2:$DB$60,MATCH(1,(GMW!$DA$2:$DA$60=F$3)*(GMW!$DB$2:$DB$60=F$1),0),$A92-1966)</f>
        <v>38817.58</v>
      </c>
      <c r="G92" s="26" cm="1">
        <f t="array" ref="G92">INDEX(GMW!$A$2:$DB$60,MATCH(1,(GMW!$DA$2:$DA$60=G$3)*(GMW!$DB$2:$DB$60=G$1),0),$A92-1966)</f>
        <v>31.92379</v>
      </c>
      <c r="H92" s="26" cm="1">
        <f t="array" ref="H92">INDEX(GMW!$A$2:$DB$60,MATCH(1,(GMW!$DA$2:$DA$60=H$3)*(GMW!$DB$2:$DB$60=H$1),0),$A92-1966)</f>
        <v>702752.2</v>
      </c>
      <c r="I92" s="26" cm="1">
        <f t="array" ref="I92">INDEX(GMW!$A$2:$DB$60,MATCH(1,(GMW!$DA$2:$DA$60=I$3)*(GMW!$DB$2:$DB$60=I$1),0),$A92-1966)</f>
        <v>45333.13</v>
      </c>
      <c r="J92" s="26" cm="1">
        <f t="array" ref="J92">INDEX(GMW!$A$2:$DB$60,MATCH(1,(GMW!$DA$2:$DA$60=J$3)*(GMW!$DB$2:$DB$60=J$1),0),$A92-1966)</f>
        <v>-1.463463</v>
      </c>
      <c r="K92" s="26" cm="1">
        <f t="array" ref="K92">INDEX(GMW!$A$2:$DB$60,MATCH(1,(GMW!$DA$2:$DA$60=K$3)*(GMW!$DB$2:$DB$60=K$1),0),$A92-1966)</f>
        <v>38817.58</v>
      </c>
      <c r="L92" s="26" cm="1">
        <f t="array" ref="L92">INDEX(GMW!$A$2:$DB$60,MATCH(1,(GMW!$DA$2:$DA$60=L$3)*(GMW!$DB$2:$DB$60=L$1),0),$A92-1966)</f>
        <v>75089.39</v>
      </c>
      <c r="M92" s="26" cm="1">
        <f t="array" ref="M92">INDEX(GMW!$A$2:$DB$60,MATCH(1,(GMW!$DA$2:$DA$60=M$3)*(GMW!$DB$2:$DB$60=M$1),0),$A92-1966)</f>
        <v>47280.800000000003</v>
      </c>
      <c r="N92" s="26" cm="1">
        <f t="array" ref="N92">INDEX(GMW!$A$2:$DB$60,MATCH(1,(GMW!$DA$2:$DA$60=N$3)*(GMW!$DB$2:$DB$60=N$1),0),$A92-1966)</f>
        <v>394102.6</v>
      </c>
      <c r="O92" s="26" cm="1">
        <f t="array" ref="O92">INDEX(GMW!$A$2:$DB$60,MATCH(1,(GMW!$DA$2:$DA$60=O$3)*(GMW!$DB$2:$DB$60=O$1),0),$A92-1966)</f>
        <v>10819590</v>
      </c>
      <c r="P92" s="26" cm="1">
        <f t="array" ref="P92">INDEX(GMW!$A$2:$DB$60,MATCH(1,(GMW!$DA$2:$DA$60=P$3)*(GMW!$DB$2:$DB$60=P$1),0),$A92-1966)</f>
        <v>9761924</v>
      </c>
    </row>
    <row r="93" spans="1:16">
      <c r="A93" s="26">
        <f t="shared" si="2"/>
        <v>2059</v>
      </c>
      <c r="B93" s="26" cm="1">
        <f t="array" ref="B93">INDEX(GMW!$A$2:$DB$60,MATCH(1,(GMW!$DA$2:$DA$60=B$3)*(GMW!$DB$2:$DB$60=B$1),0),$A93-1966)</f>
        <v>4503392</v>
      </c>
      <c r="C93" s="26" cm="1">
        <f t="array" ref="C93">INDEX(GMW!$A$2:$DB$60,MATCH(1,(GMW!$DA$2:$DA$60=C$3)*(GMW!$DB$2:$DB$60=C$1),0),$A93-1966)</f>
        <v>3.9999989999999999</v>
      </c>
      <c r="D93" s="26" cm="1">
        <f t="array" ref="D93">INDEX(GMW!$A$2:$DB$60,MATCH(1,(GMW!$DA$2:$DA$60=D$3)*(GMW!$DB$2:$DB$60=D$1),0),$A93-1966)</f>
        <v>4503388</v>
      </c>
      <c r="E93" s="26" cm="1">
        <f t="array" ref="E93">INDEX(GMW!$A$2:$DB$60,MATCH(1,(GMW!$DA$2:$DA$60=E$3)*(GMW!$DB$2:$DB$60=E$1),0),$A93-1966)</f>
        <v>5857050</v>
      </c>
      <c r="F93" s="26" cm="1">
        <f t="array" ref="F93">INDEX(GMW!$A$2:$DB$60,MATCH(1,(GMW!$DA$2:$DA$60=F$3)*(GMW!$DB$2:$DB$60=F$1),0),$A93-1966)</f>
        <v>38828.639999999999</v>
      </c>
      <c r="G93" s="26" cm="1">
        <f t="array" ref="G93">INDEX(GMW!$A$2:$DB$60,MATCH(1,(GMW!$DA$2:$DA$60=G$3)*(GMW!$DB$2:$DB$60=G$1),0),$A93-1966)</f>
        <v>31.9208</v>
      </c>
      <c r="H93" s="26" cm="1">
        <f t="array" ref="H93">INDEX(GMW!$A$2:$DB$60,MATCH(1,(GMW!$DA$2:$DA$60=H$3)*(GMW!$DB$2:$DB$60=H$1),0),$A93-1966)</f>
        <v>703197.1</v>
      </c>
      <c r="I93" s="26" cm="1">
        <f t="array" ref="I93">INDEX(GMW!$A$2:$DB$60,MATCH(1,(GMW!$DA$2:$DA$60=I$3)*(GMW!$DB$2:$DB$60=I$1),0),$A93-1966)</f>
        <v>45270.12</v>
      </c>
      <c r="J93" s="26" cm="1">
        <f t="array" ref="J93">INDEX(GMW!$A$2:$DB$60,MATCH(1,(GMW!$DA$2:$DA$60=J$3)*(GMW!$DB$2:$DB$60=J$1),0),$A93-1966)</f>
        <v>-1.4587859999999999</v>
      </c>
      <c r="K93" s="26" cm="1">
        <f t="array" ref="K93">INDEX(GMW!$A$2:$DB$60,MATCH(1,(GMW!$DA$2:$DA$60=K$3)*(GMW!$DB$2:$DB$60=K$1),0),$A93-1966)</f>
        <v>38828.639999999999</v>
      </c>
      <c r="L93" s="26" cm="1">
        <f t="array" ref="L93">INDEX(GMW!$A$2:$DB$60,MATCH(1,(GMW!$DA$2:$DA$60=L$3)*(GMW!$DB$2:$DB$60=L$1),0),$A93-1966)</f>
        <v>75157.48</v>
      </c>
      <c r="M93" s="26" cm="1">
        <f t="array" ref="M93">INDEX(GMW!$A$2:$DB$60,MATCH(1,(GMW!$DA$2:$DA$60=M$3)*(GMW!$DB$2:$DB$60=M$1),0),$A93-1966)</f>
        <v>47220.39</v>
      </c>
      <c r="N93" s="26" cm="1">
        <f t="array" ref="N93">INDEX(GMW!$A$2:$DB$60,MATCH(1,(GMW!$DA$2:$DA$60=N$3)*(GMW!$DB$2:$DB$60=N$1),0),$A93-1966)</f>
        <v>407385</v>
      </c>
      <c r="O93" s="26" cm="1">
        <f t="array" ref="O93">INDEX(GMW!$A$2:$DB$60,MATCH(1,(GMW!$DA$2:$DA$60=O$3)*(GMW!$DB$2:$DB$60=O$1),0),$A93-1966)</f>
        <v>11237690</v>
      </c>
      <c r="P93" s="26" cm="1">
        <f t="array" ref="P93">INDEX(GMW!$A$2:$DB$60,MATCH(1,(GMW!$DA$2:$DA$60=P$3)*(GMW!$DB$2:$DB$60=P$1),0),$A93-1966)</f>
        <v>10090850</v>
      </c>
    </row>
    <row r="94" spans="1:16">
      <c r="A94" s="26">
        <f t="shared" si="2"/>
        <v>2060</v>
      </c>
      <c r="B94" s="26" cm="1">
        <f t="array" ref="B94">INDEX(GMW!$A$2:$DB$60,MATCH(1,(GMW!$DA$2:$DA$60=B$3)*(GMW!$DB$2:$DB$60=B$1),0),$A94-1966)</f>
        <v>4555422</v>
      </c>
      <c r="C94" s="26" cm="1">
        <f t="array" ref="C94">INDEX(GMW!$A$2:$DB$60,MATCH(1,(GMW!$DA$2:$DA$60=C$3)*(GMW!$DB$2:$DB$60=C$1),0),$A94-1966)</f>
        <v>3.9999980000000002</v>
      </c>
      <c r="D94" s="26" cm="1">
        <f t="array" ref="D94">INDEX(GMW!$A$2:$DB$60,MATCH(1,(GMW!$DA$2:$DA$60=D$3)*(GMW!$DB$2:$DB$60=D$1),0),$A94-1966)</f>
        <v>4555414</v>
      </c>
      <c r="E94" s="26" cm="1">
        <f t="array" ref="E94">INDEX(GMW!$A$2:$DB$60,MATCH(1,(GMW!$DA$2:$DA$60=E$3)*(GMW!$DB$2:$DB$60=E$1),0),$A94-1966)</f>
        <v>5958536</v>
      </c>
      <c r="F94" s="26" cm="1">
        <f t="array" ref="F94">INDEX(GMW!$A$2:$DB$60,MATCH(1,(GMW!$DA$2:$DA$60=F$3)*(GMW!$DB$2:$DB$60=F$1),0),$A94-1966)</f>
        <v>38843.18</v>
      </c>
      <c r="G94" s="26" cm="1">
        <f t="array" ref="G94">INDEX(GMW!$A$2:$DB$60,MATCH(1,(GMW!$DA$2:$DA$60=G$3)*(GMW!$DB$2:$DB$60=G$1),0),$A94-1966)</f>
        <v>31.9178</v>
      </c>
      <c r="H94" s="26" cm="1">
        <f t="array" ref="H94">INDEX(GMW!$A$2:$DB$60,MATCH(1,(GMW!$DA$2:$DA$60=H$3)*(GMW!$DB$2:$DB$60=H$1),0),$A94-1966)</f>
        <v>703536.3</v>
      </c>
      <c r="I94" s="26" cm="1">
        <f t="array" ref="I94">INDEX(GMW!$A$2:$DB$60,MATCH(1,(GMW!$DA$2:$DA$60=I$3)*(GMW!$DB$2:$DB$60=I$1),0),$A94-1966)</f>
        <v>45201.8</v>
      </c>
      <c r="J94" s="26" cm="1">
        <f t="array" ref="J94">INDEX(GMW!$A$2:$DB$60,MATCH(1,(GMW!$DA$2:$DA$60=J$3)*(GMW!$DB$2:$DB$60=J$1),0),$A94-1966)</f>
        <v>-1.4541230000000001</v>
      </c>
      <c r="K94" s="26" cm="1">
        <f t="array" ref="K94">INDEX(GMW!$A$2:$DB$60,MATCH(1,(GMW!$DA$2:$DA$60=K$3)*(GMW!$DB$2:$DB$60=K$1),0),$A94-1966)</f>
        <v>38843.18</v>
      </c>
      <c r="L94" s="26" cm="1">
        <f t="array" ref="L94">INDEX(GMW!$A$2:$DB$60,MATCH(1,(GMW!$DA$2:$DA$60=L$3)*(GMW!$DB$2:$DB$60=L$1),0),$A94-1966)</f>
        <v>75222.94</v>
      </c>
      <c r="M94" s="26" cm="1">
        <f t="array" ref="M94">INDEX(GMW!$A$2:$DB$60,MATCH(1,(GMW!$DA$2:$DA$60=M$3)*(GMW!$DB$2:$DB$60=M$1),0),$A94-1966)</f>
        <v>47150.05</v>
      </c>
      <c r="N94" s="26" cm="1">
        <f t="array" ref="N94">INDEX(GMW!$A$2:$DB$60,MATCH(1,(GMW!$DA$2:$DA$60=N$3)*(GMW!$DB$2:$DB$60=N$1),0),$A94-1966)</f>
        <v>421105.1</v>
      </c>
      <c r="O94" s="26" cm="1">
        <f t="array" ref="O94">INDEX(GMW!$A$2:$DB$60,MATCH(1,(GMW!$DA$2:$DA$60=O$3)*(GMW!$DB$2:$DB$60=O$1),0),$A94-1966)</f>
        <v>11669510</v>
      </c>
      <c r="P94" s="26" cm="1">
        <f t="array" ref="P94">INDEX(GMW!$A$2:$DB$60,MATCH(1,(GMW!$DA$2:$DA$60=P$3)*(GMW!$DB$2:$DB$60=P$1),0),$A94-1966)</f>
        <v>10430610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A9340-2700-4690-97CA-80F446C070AD}">
  <dimension ref="A1:DB18"/>
  <sheetViews>
    <sheetView workbookViewId="0">
      <pane xSplit="6" ySplit="1" topLeftCell="CS2" activePane="bottomRight" state="frozen"/>
      <selection pane="topRight" activeCell="G1" sqref="G1"/>
      <selection pane="bottomLeft" activeCell="A2" sqref="A2"/>
      <selection pane="bottomRight" activeCell="CX17" sqref="CX17"/>
    </sheetView>
  </sheetViews>
  <sheetFormatPr defaultRowHeight="15"/>
  <cols>
    <col min="1" max="1" width="15.7109375" customWidth="1"/>
    <col min="2" max="3" width="20.7109375" customWidth="1"/>
    <col min="4" max="5" width="10.7109375" customWidth="1"/>
    <col min="6" max="6" width="15.7109375" customWidth="1"/>
    <col min="7" max="95" width="10.7109375" customWidth="1"/>
    <col min="96" max="96" width="20.7109375" customWidth="1"/>
    <col min="97" max="98" width="15.7109375" customWidth="1"/>
    <col min="99" max="100" width="20.7109375" customWidth="1"/>
    <col min="101" max="101" width="18.7109375" customWidth="1"/>
    <col min="102" max="103" width="22.7109375" customWidth="1"/>
    <col min="104" max="104" width="13.7109375" customWidth="1"/>
    <col min="105" max="105" width="14.7109375" customWidth="1"/>
    <col min="106" max="106" width="10.7109375" customWidth="1"/>
  </cols>
  <sheetData>
    <row r="1" spans="1:106" ht="30">
      <c r="A1" s="91" t="s">
        <v>121</v>
      </c>
      <c r="B1" s="91" t="s">
        <v>122</v>
      </c>
      <c r="C1" s="91" t="s">
        <v>123</v>
      </c>
      <c r="D1" s="91" t="s">
        <v>124</v>
      </c>
      <c r="E1" s="91" t="s">
        <v>125</v>
      </c>
      <c r="F1" s="91" t="s">
        <v>126</v>
      </c>
      <c r="G1" s="91" t="s">
        <v>127</v>
      </c>
      <c r="H1" s="91" t="s">
        <v>128</v>
      </c>
      <c r="I1" s="91" t="s">
        <v>129</v>
      </c>
      <c r="J1" s="91" t="s">
        <v>130</v>
      </c>
      <c r="K1" s="91" t="s">
        <v>131</v>
      </c>
      <c r="L1" s="91" t="s">
        <v>132</v>
      </c>
      <c r="M1" s="91" t="s">
        <v>133</v>
      </c>
      <c r="N1" s="91" t="s">
        <v>134</v>
      </c>
      <c r="O1" s="91" t="s">
        <v>135</v>
      </c>
      <c r="P1" s="91" t="s">
        <v>136</v>
      </c>
      <c r="Q1" s="91" t="s">
        <v>137</v>
      </c>
      <c r="R1" s="91" t="s">
        <v>138</v>
      </c>
      <c r="S1" s="91" t="s">
        <v>139</v>
      </c>
      <c r="T1" s="91" t="s">
        <v>140</v>
      </c>
      <c r="U1" s="91" t="s">
        <v>141</v>
      </c>
      <c r="V1" s="91" t="s">
        <v>142</v>
      </c>
      <c r="W1" s="91" t="s">
        <v>143</v>
      </c>
      <c r="X1" s="91" t="s">
        <v>144</v>
      </c>
      <c r="Y1" s="91" t="s">
        <v>145</v>
      </c>
      <c r="Z1" s="91" t="s">
        <v>146</v>
      </c>
      <c r="AA1" s="91" t="s">
        <v>147</v>
      </c>
      <c r="AB1" s="91" t="s">
        <v>148</v>
      </c>
      <c r="AC1" s="91" t="s">
        <v>149</v>
      </c>
      <c r="AD1" s="91" t="s">
        <v>150</v>
      </c>
      <c r="AE1" s="91" t="s">
        <v>151</v>
      </c>
      <c r="AF1" s="91" t="s">
        <v>152</v>
      </c>
      <c r="AG1" s="91" t="s">
        <v>153</v>
      </c>
      <c r="AH1" s="91" t="s">
        <v>154</v>
      </c>
      <c r="AI1" s="91" t="s">
        <v>155</v>
      </c>
      <c r="AJ1" s="91" t="s">
        <v>156</v>
      </c>
      <c r="AK1" s="91" t="s">
        <v>157</v>
      </c>
      <c r="AL1" s="91" t="s">
        <v>158</v>
      </c>
      <c r="AM1" s="91" t="s">
        <v>159</v>
      </c>
      <c r="AN1" s="91" t="s">
        <v>160</v>
      </c>
      <c r="AO1" s="91" t="s">
        <v>161</v>
      </c>
      <c r="AP1" s="91" t="s">
        <v>162</v>
      </c>
      <c r="AQ1" s="91" t="s">
        <v>163</v>
      </c>
      <c r="AR1" s="91" t="s">
        <v>164</v>
      </c>
      <c r="AS1" s="91" t="s">
        <v>165</v>
      </c>
      <c r="AT1" s="91" t="s">
        <v>166</v>
      </c>
      <c r="AU1" s="91" t="s">
        <v>167</v>
      </c>
      <c r="AV1" s="91" t="s">
        <v>168</v>
      </c>
      <c r="AW1" s="91" t="s">
        <v>169</v>
      </c>
      <c r="AX1" s="91" t="s">
        <v>170</v>
      </c>
      <c r="AY1" s="91" t="s">
        <v>171</v>
      </c>
      <c r="AZ1" s="91" t="s">
        <v>172</v>
      </c>
      <c r="BA1" s="91" t="s">
        <v>173</v>
      </c>
      <c r="BB1" s="91" t="s">
        <v>174</v>
      </c>
      <c r="BC1" s="91" t="s">
        <v>175</v>
      </c>
      <c r="BD1" s="91" t="s">
        <v>176</v>
      </c>
      <c r="BE1" s="91" t="s">
        <v>177</v>
      </c>
      <c r="BF1" s="91" t="s">
        <v>178</v>
      </c>
      <c r="BG1" s="91" t="s">
        <v>179</v>
      </c>
      <c r="BH1" s="91" t="s">
        <v>180</v>
      </c>
      <c r="BI1" s="91" t="s">
        <v>181</v>
      </c>
      <c r="BJ1" s="91" t="s">
        <v>182</v>
      </c>
      <c r="BK1" s="91" t="s">
        <v>183</v>
      </c>
      <c r="BL1" s="91" t="s">
        <v>184</v>
      </c>
      <c r="BM1" s="91" t="s">
        <v>185</v>
      </c>
      <c r="BN1" s="91" t="s">
        <v>186</v>
      </c>
      <c r="BO1" s="91" t="s">
        <v>187</v>
      </c>
      <c r="BP1" s="91" t="s">
        <v>188</v>
      </c>
      <c r="BQ1" s="91" t="s">
        <v>189</v>
      </c>
      <c r="BR1" s="91" t="s">
        <v>190</v>
      </c>
      <c r="BS1" s="91" t="s">
        <v>191</v>
      </c>
      <c r="BT1" s="91" t="s">
        <v>192</v>
      </c>
      <c r="BU1" s="91" t="s">
        <v>193</v>
      </c>
      <c r="BV1" s="91" t="s">
        <v>194</v>
      </c>
      <c r="BW1" s="91" t="s">
        <v>195</v>
      </c>
      <c r="BX1" s="91" t="s">
        <v>196</v>
      </c>
      <c r="BY1" s="91" t="s">
        <v>197</v>
      </c>
      <c r="BZ1" s="91" t="s">
        <v>198</v>
      </c>
      <c r="CA1" s="91" t="s">
        <v>199</v>
      </c>
      <c r="CB1" s="91" t="s">
        <v>200</v>
      </c>
      <c r="CC1" s="91" t="s">
        <v>201</v>
      </c>
      <c r="CD1" s="91" t="s">
        <v>202</v>
      </c>
      <c r="CE1" s="91" t="s">
        <v>203</v>
      </c>
      <c r="CF1" s="91" t="s">
        <v>204</v>
      </c>
      <c r="CG1" s="91" t="s">
        <v>205</v>
      </c>
      <c r="CH1" s="91" t="s">
        <v>206</v>
      </c>
      <c r="CI1" s="91" t="s">
        <v>207</v>
      </c>
      <c r="CJ1" s="91" t="s">
        <v>208</v>
      </c>
      <c r="CK1" s="91" t="s">
        <v>209</v>
      </c>
      <c r="CL1" s="91" t="s">
        <v>210</v>
      </c>
      <c r="CM1" s="91" t="s">
        <v>211</v>
      </c>
      <c r="CN1" s="91" t="s">
        <v>212</v>
      </c>
      <c r="CO1" s="91" t="s">
        <v>213</v>
      </c>
      <c r="CP1" s="91" t="s">
        <v>214</v>
      </c>
      <c r="CQ1" s="91" t="s">
        <v>215</v>
      </c>
      <c r="CR1" s="91" t="s">
        <v>216</v>
      </c>
      <c r="CS1" s="91" t="s">
        <v>217</v>
      </c>
      <c r="CT1" s="91" t="s">
        <v>218</v>
      </c>
      <c r="CU1" s="91" t="s">
        <v>219</v>
      </c>
      <c r="CV1" s="91" t="s">
        <v>220</v>
      </c>
      <c r="CW1" s="91" t="s">
        <v>221</v>
      </c>
      <c r="CX1" s="91" t="s">
        <v>222</v>
      </c>
      <c r="CY1" s="91" t="s">
        <v>223</v>
      </c>
      <c r="CZ1" s="91" t="s">
        <v>224</v>
      </c>
      <c r="DA1" s="91" t="s">
        <v>225</v>
      </c>
      <c r="DB1" s="91" t="s">
        <v>226</v>
      </c>
    </row>
    <row r="2" spans="1:106">
      <c r="A2" t="s">
        <v>227</v>
      </c>
      <c r="B2" t="s">
        <v>228</v>
      </c>
      <c r="C2" s="22" t="s">
        <v>498</v>
      </c>
      <c r="D2" t="s">
        <v>229</v>
      </c>
      <c r="E2" t="s">
        <v>230</v>
      </c>
      <c r="F2" t="s">
        <v>231</v>
      </c>
      <c r="G2" s="24">
        <v>1E-3</v>
      </c>
      <c r="H2" s="24">
        <v>1E-3</v>
      </c>
      <c r="I2" s="24">
        <v>1E-3</v>
      </c>
      <c r="J2" s="24">
        <v>1E-3</v>
      </c>
      <c r="K2" s="24">
        <v>1E-3</v>
      </c>
      <c r="L2" s="24">
        <v>1E-3</v>
      </c>
      <c r="M2" s="24">
        <v>1E-3</v>
      </c>
      <c r="N2" s="24">
        <v>1E-3</v>
      </c>
      <c r="O2" s="24">
        <v>1E-3</v>
      </c>
      <c r="P2" s="24">
        <v>1E-3</v>
      </c>
      <c r="Q2" s="24">
        <v>1E-3</v>
      </c>
      <c r="R2" s="24">
        <v>1E-3</v>
      </c>
      <c r="S2" s="24">
        <v>1E-3</v>
      </c>
      <c r="T2" s="24">
        <v>33.524140000000003</v>
      </c>
      <c r="U2" s="24">
        <v>33.524140000000003</v>
      </c>
      <c r="V2" s="24">
        <v>33.690100000000001</v>
      </c>
      <c r="W2" s="24">
        <v>33.77308</v>
      </c>
      <c r="X2" s="24">
        <v>33.607120000000002</v>
      </c>
      <c r="Y2" s="24">
        <v>33.192219999999999</v>
      </c>
      <c r="Z2" s="24">
        <v>33.07629</v>
      </c>
      <c r="AA2" s="24">
        <v>33</v>
      </c>
      <c r="AB2" s="24">
        <v>33.225000000000001</v>
      </c>
      <c r="AC2" s="24">
        <v>33.25</v>
      </c>
      <c r="AD2" s="24">
        <v>33.225000000000001</v>
      </c>
      <c r="AE2" s="24">
        <v>33.174999999999997</v>
      </c>
      <c r="AF2" s="24">
        <v>33.075000000000003</v>
      </c>
      <c r="AG2" s="24">
        <v>32.9</v>
      </c>
      <c r="AH2" s="24">
        <v>32.6</v>
      </c>
      <c r="AI2" s="24">
        <v>32.674999999999997</v>
      </c>
      <c r="AJ2" s="24">
        <v>32.325000000000003</v>
      </c>
      <c r="AK2" s="24">
        <v>32.15</v>
      </c>
      <c r="AL2" s="24">
        <v>32.075000000000003</v>
      </c>
      <c r="AM2" s="24">
        <v>32.174999999999997</v>
      </c>
      <c r="AN2" s="24">
        <v>32.049999999999997</v>
      </c>
      <c r="AO2" s="24">
        <v>32.075000000000003</v>
      </c>
      <c r="AP2" s="24">
        <v>31.975000000000001</v>
      </c>
      <c r="AQ2" s="24">
        <v>31.55</v>
      </c>
      <c r="AR2" s="24">
        <v>31.65</v>
      </c>
      <c r="AS2" s="24">
        <v>31.574999999999999</v>
      </c>
      <c r="AT2" s="24">
        <v>31.824999999999999</v>
      </c>
      <c r="AU2" s="24">
        <v>32.049999999999997</v>
      </c>
      <c r="AV2" s="24">
        <v>32.174999999999997</v>
      </c>
      <c r="AW2" s="24">
        <v>32.1</v>
      </c>
      <c r="AX2" s="24">
        <v>32.049999999999997</v>
      </c>
      <c r="AY2" s="24">
        <v>32.1</v>
      </c>
      <c r="AZ2" s="24">
        <v>32</v>
      </c>
      <c r="BA2" s="24">
        <v>32.049999999999997</v>
      </c>
      <c r="BB2" s="24">
        <v>28.875</v>
      </c>
      <c r="BC2" s="24">
        <v>30.95</v>
      </c>
      <c r="BD2" s="24">
        <v>31.75</v>
      </c>
      <c r="BE2" s="24">
        <v>31.625</v>
      </c>
      <c r="BF2" s="24">
        <v>31.975000000000001</v>
      </c>
      <c r="BG2" s="24">
        <v>31.824999999999999</v>
      </c>
      <c r="BH2" s="25">
        <v>31.925000000000001</v>
      </c>
      <c r="BI2" s="25">
        <v>31.999479999999998</v>
      </c>
      <c r="BJ2" s="25">
        <v>31.998650000000001</v>
      </c>
      <c r="BK2" s="25">
        <v>31.997810000000001</v>
      </c>
      <c r="BL2" s="25">
        <v>31.996980000000001</v>
      </c>
      <c r="BM2" s="25">
        <v>31.99615</v>
      </c>
      <c r="BN2" s="25">
        <v>31.99531</v>
      </c>
      <c r="BO2" s="25">
        <v>31.993569999999998</v>
      </c>
      <c r="BP2" s="25">
        <v>31.99128</v>
      </c>
      <c r="BQ2" s="25">
        <v>31.988980000000002</v>
      </c>
      <c r="BR2" s="25">
        <v>31.986689999999999</v>
      </c>
      <c r="BS2" s="25">
        <v>31.984400000000001</v>
      </c>
      <c r="BT2" s="25">
        <v>31.982109999999999</v>
      </c>
      <c r="BU2" s="25">
        <v>31.97982</v>
      </c>
      <c r="BV2" s="25">
        <v>31.977530000000002</v>
      </c>
      <c r="BW2" s="25">
        <v>31.974789999999999</v>
      </c>
      <c r="BX2" s="25">
        <v>31.971800000000002</v>
      </c>
      <c r="BY2" s="25">
        <v>31.968800000000002</v>
      </c>
      <c r="BZ2" s="25">
        <v>31.965800000000002</v>
      </c>
      <c r="CA2" s="25">
        <v>31.962800000000001</v>
      </c>
      <c r="CB2" s="25">
        <v>31.959790000000002</v>
      </c>
      <c r="CC2" s="25">
        <v>31.956790000000002</v>
      </c>
      <c r="CD2" s="25">
        <v>31.953790000000001</v>
      </c>
      <c r="CE2" s="25">
        <v>31.950800000000001</v>
      </c>
      <c r="CF2" s="25">
        <v>31.947790000000001</v>
      </c>
      <c r="CG2" s="25">
        <v>31.944800000000001</v>
      </c>
      <c r="CH2" s="25">
        <v>31.941800000000001</v>
      </c>
      <c r="CI2" s="25">
        <v>31.938790000000001</v>
      </c>
      <c r="CJ2" s="25">
        <v>31.935790000000001</v>
      </c>
      <c r="CK2" s="25">
        <v>31.932790000000001</v>
      </c>
      <c r="CL2" s="25">
        <v>31.9298</v>
      </c>
      <c r="CM2" s="25">
        <v>31.9268</v>
      </c>
      <c r="CN2" s="25">
        <v>31.92379</v>
      </c>
      <c r="CO2" s="25">
        <v>31.9208</v>
      </c>
      <c r="CP2" s="25">
        <v>31.9178</v>
      </c>
      <c r="CQ2" t="s">
        <v>232</v>
      </c>
      <c r="CR2" t="b">
        <v>0</v>
      </c>
      <c r="CS2" t="s">
        <v>230</v>
      </c>
      <c r="CT2" t="s">
        <v>230</v>
      </c>
      <c r="CU2">
        <v>2025</v>
      </c>
      <c r="CV2">
        <v>3</v>
      </c>
      <c r="CW2" s="23">
        <v>46057</v>
      </c>
      <c r="CX2" t="s">
        <v>233</v>
      </c>
      <c r="CY2" t="s">
        <v>234</v>
      </c>
      <c r="CZ2" t="s">
        <v>235</v>
      </c>
      <c r="DA2" t="s">
        <v>236</v>
      </c>
      <c r="DB2" t="s">
        <v>237</v>
      </c>
    </row>
    <row r="3" spans="1:106">
      <c r="A3" t="s">
        <v>227</v>
      </c>
      <c r="B3" t="s">
        <v>238</v>
      </c>
      <c r="C3" s="22" t="s">
        <v>498</v>
      </c>
      <c r="D3" t="s">
        <v>239</v>
      </c>
      <c r="E3" s="22" t="s">
        <v>240</v>
      </c>
      <c r="F3" t="s">
        <v>231</v>
      </c>
      <c r="G3" s="24">
        <v>1059904</v>
      </c>
      <c r="H3" s="24">
        <v>1089042</v>
      </c>
      <c r="I3" s="24">
        <v>1117422</v>
      </c>
      <c r="J3" s="24">
        <v>1143676</v>
      </c>
      <c r="K3" s="24">
        <v>1167655</v>
      </c>
      <c r="L3" s="24">
        <v>1197400</v>
      </c>
      <c r="M3" s="24">
        <v>1220468</v>
      </c>
      <c r="N3" s="24">
        <v>1238528</v>
      </c>
      <c r="O3" s="24">
        <v>1247026</v>
      </c>
      <c r="P3" s="24">
        <v>1258257</v>
      </c>
      <c r="Q3" s="24">
        <v>1271612</v>
      </c>
      <c r="R3" s="24">
        <v>1295894</v>
      </c>
      <c r="S3" s="24">
        <v>1321996</v>
      </c>
      <c r="T3" s="24">
        <v>1343092</v>
      </c>
      <c r="U3" s="24">
        <v>1373292</v>
      </c>
      <c r="V3" s="24">
        <v>1416696</v>
      </c>
      <c r="W3" s="24">
        <v>1468447</v>
      </c>
      <c r="X3" s="24">
        <v>1526420</v>
      </c>
      <c r="Y3" s="24">
        <v>1575894</v>
      </c>
      <c r="Z3" s="24">
        <v>1605639</v>
      </c>
      <c r="AA3" s="24">
        <v>1635840</v>
      </c>
      <c r="AB3" s="24">
        <v>1671807</v>
      </c>
      <c r="AC3" s="24">
        <v>1712783</v>
      </c>
      <c r="AD3" s="24">
        <v>1754821</v>
      </c>
      <c r="AE3" s="24">
        <v>1809000</v>
      </c>
      <c r="AF3" s="24">
        <v>1867000</v>
      </c>
      <c r="AG3" s="24">
        <v>1923000</v>
      </c>
      <c r="AH3" s="24">
        <v>1983000</v>
      </c>
      <c r="AI3" s="24">
        <v>2038000</v>
      </c>
      <c r="AJ3" s="24">
        <v>2081000</v>
      </c>
      <c r="AK3" s="24">
        <v>2118000</v>
      </c>
      <c r="AL3" s="24">
        <v>2149000</v>
      </c>
      <c r="AM3" s="24">
        <v>2193000</v>
      </c>
      <c r="AN3" s="24">
        <v>2239000</v>
      </c>
      <c r="AO3" s="24">
        <v>2304000</v>
      </c>
      <c r="AP3" s="24">
        <v>2370000</v>
      </c>
      <c r="AQ3" s="24">
        <v>2401000</v>
      </c>
      <c r="AR3" s="24">
        <v>2435000</v>
      </c>
      <c r="AS3" s="24">
        <v>2465000</v>
      </c>
      <c r="AT3" s="24">
        <v>2495000</v>
      </c>
      <c r="AU3" s="24">
        <v>2527000</v>
      </c>
      <c r="AV3" s="24">
        <v>2574000</v>
      </c>
      <c r="AW3" s="24">
        <v>2635000</v>
      </c>
      <c r="AX3" s="24">
        <v>2706000</v>
      </c>
      <c r="AY3" s="24">
        <v>2780000</v>
      </c>
      <c r="AZ3" s="24">
        <v>2838000</v>
      </c>
      <c r="BA3" s="24">
        <v>2892000</v>
      </c>
      <c r="BB3" s="24">
        <v>2920000</v>
      </c>
      <c r="BC3" s="24">
        <v>2967000</v>
      </c>
      <c r="BD3" s="24">
        <v>3028000</v>
      </c>
      <c r="BE3" s="24">
        <v>3095000</v>
      </c>
      <c r="BF3" s="24">
        <v>3153000</v>
      </c>
      <c r="BG3" s="25">
        <v>3210988</v>
      </c>
      <c r="BH3" s="25">
        <v>3257932</v>
      </c>
      <c r="BI3" s="25">
        <v>3305250</v>
      </c>
      <c r="BJ3" s="25">
        <v>3353361</v>
      </c>
      <c r="BK3" s="25">
        <v>3401949</v>
      </c>
      <c r="BL3" s="25">
        <v>3451700</v>
      </c>
      <c r="BM3" s="25">
        <v>3503373</v>
      </c>
      <c r="BN3" s="25">
        <v>3557452</v>
      </c>
      <c r="BO3" s="25">
        <v>3614353</v>
      </c>
      <c r="BP3" s="25">
        <v>3674380</v>
      </c>
      <c r="BQ3" s="25">
        <v>3737431</v>
      </c>
      <c r="BR3" s="25">
        <v>3803435</v>
      </c>
      <c r="BS3" s="25">
        <v>3872296</v>
      </c>
      <c r="BT3" s="25">
        <v>3943931</v>
      </c>
      <c r="BU3" s="25">
        <v>4018269</v>
      </c>
      <c r="BV3" s="25">
        <v>4095163</v>
      </c>
      <c r="BW3" s="25">
        <v>4174660</v>
      </c>
      <c r="BX3" s="25">
        <v>4256788</v>
      </c>
      <c r="BY3" s="25">
        <v>4341282</v>
      </c>
      <c r="BZ3" s="25">
        <v>4427700</v>
      </c>
      <c r="CA3" s="25">
        <v>4515675</v>
      </c>
      <c r="CB3" s="25">
        <v>4605080</v>
      </c>
      <c r="CC3" s="25">
        <v>4695962</v>
      </c>
      <c r="CD3" s="25">
        <v>4788220</v>
      </c>
      <c r="CE3" s="25">
        <v>4881777</v>
      </c>
      <c r="CF3" s="25">
        <v>4976234</v>
      </c>
      <c r="CG3" s="25">
        <v>5071464</v>
      </c>
      <c r="CH3" s="25">
        <v>5167431</v>
      </c>
      <c r="CI3" s="25">
        <v>5264017</v>
      </c>
      <c r="CJ3" s="25">
        <v>5361248</v>
      </c>
      <c r="CK3" s="25">
        <v>5459089</v>
      </c>
      <c r="CL3" s="25">
        <v>5557519</v>
      </c>
      <c r="CM3" s="25">
        <v>5656602</v>
      </c>
      <c r="CN3" s="25">
        <v>5756439</v>
      </c>
      <c r="CO3" s="25">
        <v>5857050</v>
      </c>
      <c r="CP3" s="25">
        <v>5958536</v>
      </c>
      <c r="CQ3" t="s">
        <v>241</v>
      </c>
      <c r="CR3" t="b">
        <v>0</v>
      </c>
      <c r="CS3" s="22" t="s">
        <v>242</v>
      </c>
      <c r="CT3" t="s">
        <v>230</v>
      </c>
      <c r="CU3">
        <v>2024</v>
      </c>
      <c r="CV3">
        <v>4</v>
      </c>
      <c r="CW3" s="23">
        <v>46057</v>
      </c>
      <c r="CX3" s="22" t="s">
        <v>243</v>
      </c>
      <c r="CY3" s="22" t="s">
        <v>244</v>
      </c>
      <c r="CZ3" t="s">
        <v>235</v>
      </c>
      <c r="DA3" t="s">
        <v>245</v>
      </c>
      <c r="DB3" t="s">
        <v>237</v>
      </c>
    </row>
    <row r="4" spans="1:106">
      <c r="A4" t="s">
        <v>227</v>
      </c>
      <c r="B4" t="s">
        <v>246</v>
      </c>
      <c r="C4" s="22" t="s">
        <v>498</v>
      </c>
      <c r="D4" t="s">
        <v>247</v>
      </c>
      <c r="E4" t="s">
        <v>248</v>
      </c>
      <c r="F4" t="s">
        <v>231</v>
      </c>
      <c r="G4" s="24">
        <v>24874.799999999999</v>
      </c>
      <c r="H4" s="24">
        <v>24938.639999999999</v>
      </c>
      <c r="I4" s="24">
        <v>24932.05</v>
      </c>
      <c r="J4" s="24">
        <v>24850.21</v>
      </c>
      <c r="K4" s="24">
        <v>24800.74</v>
      </c>
      <c r="L4" s="24">
        <v>24703.73</v>
      </c>
      <c r="M4" s="24">
        <v>24709.439999999999</v>
      </c>
      <c r="N4" s="24">
        <v>24765.53</v>
      </c>
      <c r="O4" s="24">
        <v>24659.65</v>
      </c>
      <c r="P4" s="24">
        <v>24297.71</v>
      </c>
      <c r="Q4" s="24">
        <v>24304.68</v>
      </c>
      <c r="R4" s="24">
        <v>24910.799999999999</v>
      </c>
      <c r="S4" s="24">
        <v>25107.87</v>
      </c>
      <c r="T4" s="24">
        <v>25255.61</v>
      </c>
      <c r="U4" s="24">
        <v>25501.77</v>
      </c>
      <c r="V4" s="24">
        <v>25806.3</v>
      </c>
      <c r="W4" s="24">
        <v>26091.83</v>
      </c>
      <c r="X4" s="24">
        <v>26176.67</v>
      </c>
      <c r="Y4" s="24">
        <v>25966.49</v>
      </c>
      <c r="Z4" s="24">
        <v>25667.16</v>
      </c>
      <c r="AA4" s="24">
        <v>25571.119999999999</v>
      </c>
      <c r="AB4" s="24">
        <v>25629.68</v>
      </c>
      <c r="AC4" s="24">
        <v>25810.1</v>
      </c>
      <c r="AD4" s="24">
        <v>26087.38</v>
      </c>
      <c r="AE4" s="24">
        <v>26460.54</v>
      </c>
      <c r="AF4" s="24">
        <v>26754.36</v>
      </c>
      <c r="AG4" s="24">
        <v>27233.62</v>
      </c>
      <c r="AH4" s="24">
        <v>27515.48</v>
      </c>
      <c r="AI4" s="24">
        <v>27733.68</v>
      </c>
      <c r="AJ4" s="24">
        <v>27999.35</v>
      </c>
      <c r="AK4" s="24">
        <v>28224.98</v>
      </c>
      <c r="AL4" s="24">
        <v>28456.06</v>
      </c>
      <c r="AM4" s="24">
        <v>28798.3</v>
      </c>
      <c r="AN4" s="24">
        <v>29268.07</v>
      </c>
      <c r="AO4" s="24">
        <v>29481.35</v>
      </c>
      <c r="AP4" s="24">
        <v>29844.01</v>
      </c>
      <c r="AQ4" s="24">
        <v>29980.81</v>
      </c>
      <c r="AR4" s="24">
        <v>30099.27</v>
      </c>
      <c r="AS4" s="24">
        <v>30283.37</v>
      </c>
      <c r="AT4" s="24">
        <v>30581.23</v>
      </c>
      <c r="AU4" s="24">
        <v>30844.5</v>
      </c>
      <c r="AV4" s="24">
        <v>31116.07</v>
      </c>
      <c r="AW4" s="24">
        <v>31474.14</v>
      </c>
      <c r="AX4" s="24">
        <v>31848.04</v>
      </c>
      <c r="AY4" s="24">
        <v>32069.5</v>
      </c>
      <c r="AZ4" s="24">
        <v>32402.66</v>
      </c>
      <c r="BA4" s="24">
        <v>32766.240000000002</v>
      </c>
      <c r="BB4" s="24">
        <v>32678.28</v>
      </c>
      <c r="BC4" s="24">
        <v>32676.13</v>
      </c>
      <c r="BD4" s="24">
        <v>32856.300000000003</v>
      </c>
      <c r="BE4" s="24">
        <v>33332.92</v>
      </c>
      <c r="BF4" s="24">
        <v>33685.11</v>
      </c>
      <c r="BG4" s="25">
        <v>34427.06</v>
      </c>
      <c r="BH4" s="25">
        <v>34702.44</v>
      </c>
      <c r="BI4" s="25">
        <v>34894.57</v>
      </c>
      <c r="BJ4" s="25">
        <v>35093.019999999997</v>
      </c>
      <c r="BK4" s="25">
        <v>35297.120000000003</v>
      </c>
      <c r="BL4" s="25">
        <v>35509.089999999997</v>
      </c>
      <c r="BM4" s="25">
        <v>35723.24</v>
      </c>
      <c r="BN4" s="25">
        <v>35929.32</v>
      </c>
      <c r="BO4" s="25">
        <v>36130.949999999997</v>
      </c>
      <c r="BP4" s="25">
        <v>36327.620000000003</v>
      </c>
      <c r="BQ4" s="25">
        <v>36509.370000000003</v>
      </c>
      <c r="BR4" s="25">
        <v>36689.879999999997</v>
      </c>
      <c r="BS4" s="25">
        <v>36870.400000000001</v>
      </c>
      <c r="BT4" s="25">
        <v>37050.910000000003</v>
      </c>
      <c r="BU4" s="25">
        <v>37231.42</v>
      </c>
      <c r="BV4" s="25">
        <v>37411.93</v>
      </c>
      <c r="BW4" s="25">
        <v>37604.93</v>
      </c>
      <c r="BX4" s="25">
        <v>37803.74</v>
      </c>
      <c r="BY4" s="25">
        <v>37980.720000000001</v>
      </c>
      <c r="BZ4" s="25">
        <v>38118.6</v>
      </c>
      <c r="CA4" s="25">
        <v>38222.800000000003</v>
      </c>
      <c r="CB4" s="25">
        <v>38314.22</v>
      </c>
      <c r="CC4" s="25">
        <v>38408.25</v>
      </c>
      <c r="CD4" s="25">
        <v>38491.5</v>
      </c>
      <c r="CE4" s="25">
        <v>38566.080000000002</v>
      </c>
      <c r="CF4" s="25">
        <v>38625.230000000003</v>
      </c>
      <c r="CG4" s="25">
        <v>38677.050000000003</v>
      </c>
      <c r="CH4" s="25">
        <v>38718.06</v>
      </c>
      <c r="CI4" s="25">
        <v>38744.480000000003</v>
      </c>
      <c r="CJ4" s="25">
        <v>38768.019999999997</v>
      </c>
      <c r="CK4" s="25">
        <v>38784.14</v>
      </c>
      <c r="CL4" s="25">
        <v>38794.04</v>
      </c>
      <c r="CM4" s="25">
        <v>38804.19</v>
      </c>
      <c r="CN4" s="25">
        <v>38817.58</v>
      </c>
      <c r="CO4" s="25">
        <v>38828.639999999999</v>
      </c>
      <c r="CP4" s="25">
        <v>38843.18</v>
      </c>
      <c r="CQ4" t="s">
        <v>249</v>
      </c>
      <c r="CR4" t="b">
        <v>0</v>
      </c>
      <c r="CS4" t="s">
        <v>230</v>
      </c>
      <c r="CT4" t="s">
        <v>230</v>
      </c>
      <c r="CU4">
        <v>2024</v>
      </c>
      <c r="CV4">
        <v>4</v>
      </c>
      <c r="CW4" s="23">
        <v>46057</v>
      </c>
      <c r="CX4" t="s">
        <v>249</v>
      </c>
      <c r="CY4" t="s">
        <v>230</v>
      </c>
      <c r="CZ4" t="s">
        <v>235</v>
      </c>
      <c r="DA4" t="s">
        <v>250</v>
      </c>
      <c r="DB4" t="s">
        <v>237</v>
      </c>
    </row>
    <row r="5" spans="1:106">
      <c r="A5" t="s">
        <v>227</v>
      </c>
      <c r="B5" s="22" t="s">
        <v>251</v>
      </c>
      <c r="C5" s="22" t="s">
        <v>498</v>
      </c>
      <c r="D5" t="s">
        <v>247</v>
      </c>
      <c r="E5" t="s">
        <v>248</v>
      </c>
      <c r="F5" t="s">
        <v>231</v>
      </c>
      <c r="G5" s="24">
        <v>24965</v>
      </c>
      <c r="H5" s="24">
        <v>25029.25</v>
      </c>
      <c r="I5" s="24">
        <v>24933.25</v>
      </c>
      <c r="J5" s="24">
        <v>24786</v>
      </c>
      <c r="K5" s="24">
        <v>24809</v>
      </c>
      <c r="L5" s="24">
        <v>24939.75</v>
      </c>
      <c r="M5" s="24">
        <v>25195.25</v>
      </c>
      <c r="N5" s="24">
        <v>25086.25</v>
      </c>
      <c r="O5" s="24">
        <v>24430</v>
      </c>
      <c r="P5" s="24">
        <v>23950.75</v>
      </c>
      <c r="Q5" s="24">
        <v>23775.25</v>
      </c>
      <c r="R5" s="24">
        <v>24285</v>
      </c>
      <c r="S5" s="24">
        <v>24592.5</v>
      </c>
      <c r="T5" s="24">
        <v>24746.25</v>
      </c>
      <c r="U5" s="24">
        <v>25238.75</v>
      </c>
      <c r="V5" s="24">
        <v>26070</v>
      </c>
      <c r="W5" s="24">
        <v>26748.75</v>
      </c>
      <c r="X5" s="24">
        <v>26871.25</v>
      </c>
      <c r="Y5" s="24">
        <v>26162.5</v>
      </c>
      <c r="Z5" s="24">
        <v>25540</v>
      </c>
      <c r="AA5" s="24">
        <v>25302.75</v>
      </c>
      <c r="AB5" s="24">
        <v>25504.5</v>
      </c>
      <c r="AC5" s="24">
        <v>25818.5</v>
      </c>
      <c r="AD5" s="24">
        <v>26059.75</v>
      </c>
      <c r="AE5" s="24">
        <v>26525.75</v>
      </c>
      <c r="AF5" s="24">
        <v>26795</v>
      </c>
      <c r="AG5" s="24">
        <v>27167.75</v>
      </c>
      <c r="AH5" s="24">
        <v>27483.5</v>
      </c>
      <c r="AI5" s="24">
        <v>27712</v>
      </c>
      <c r="AJ5" s="24">
        <v>27943.75</v>
      </c>
      <c r="AK5" s="24">
        <v>28221.25</v>
      </c>
      <c r="AL5" s="24">
        <v>28530</v>
      </c>
      <c r="AM5" s="24">
        <v>28849.75</v>
      </c>
      <c r="AN5" s="24">
        <v>29137.75</v>
      </c>
      <c r="AO5" s="24">
        <v>29378</v>
      </c>
      <c r="AP5" s="24">
        <v>29628.5</v>
      </c>
      <c r="AQ5" s="24">
        <v>29156</v>
      </c>
      <c r="AR5" s="24">
        <v>29228.5</v>
      </c>
      <c r="AS5" s="24">
        <v>29381</v>
      </c>
      <c r="AT5" s="24">
        <v>29723</v>
      </c>
      <c r="AU5" s="24">
        <v>30096.75</v>
      </c>
      <c r="AV5" s="24">
        <v>30818.25</v>
      </c>
      <c r="AW5" s="24">
        <v>31345.75</v>
      </c>
      <c r="AX5" s="24">
        <v>31810.25</v>
      </c>
      <c r="AY5" s="24">
        <v>32127.75</v>
      </c>
      <c r="AZ5" s="24">
        <v>32506.75</v>
      </c>
      <c r="BA5" s="24">
        <v>32923</v>
      </c>
      <c r="BB5" s="24">
        <v>32558.75</v>
      </c>
      <c r="BC5" s="24">
        <v>32555</v>
      </c>
      <c r="BD5" s="24">
        <v>32957.25</v>
      </c>
      <c r="BE5" s="24">
        <v>33351</v>
      </c>
      <c r="BF5" s="24">
        <v>33615.5</v>
      </c>
      <c r="BG5" s="24">
        <v>34170.35</v>
      </c>
      <c r="BH5" s="25">
        <v>34316.22</v>
      </c>
      <c r="BI5" s="25">
        <v>34577.910000000003</v>
      </c>
      <c r="BJ5" s="25">
        <v>34880.04</v>
      </c>
      <c r="BK5" s="25">
        <v>35157.74</v>
      </c>
      <c r="BL5" s="25">
        <v>35411.58</v>
      </c>
      <c r="BM5" s="25">
        <v>35676.31</v>
      </c>
      <c r="BN5" s="25">
        <v>35917.629999999997</v>
      </c>
      <c r="BO5" s="25">
        <v>36130.949999999997</v>
      </c>
      <c r="BP5" s="25">
        <v>36327.620000000003</v>
      </c>
      <c r="BQ5" s="25">
        <v>36509.370000000003</v>
      </c>
      <c r="BR5" s="25">
        <v>36689.879999999997</v>
      </c>
      <c r="BS5" s="25">
        <v>36870.39</v>
      </c>
      <c r="BT5" s="25">
        <v>37050.910000000003</v>
      </c>
      <c r="BU5" s="25">
        <v>37231.42</v>
      </c>
      <c r="BV5" s="25">
        <v>37411.93</v>
      </c>
      <c r="BW5" s="25">
        <v>37604.94</v>
      </c>
      <c r="BX5" s="25">
        <v>37803.730000000003</v>
      </c>
      <c r="BY5" s="25">
        <v>37980.720000000001</v>
      </c>
      <c r="BZ5" s="25">
        <v>38118.6</v>
      </c>
      <c r="CA5" s="25">
        <v>38222.800000000003</v>
      </c>
      <c r="CB5" s="25">
        <v>38314.22</v>
      </c>
      <c r="CC5" s="25">
        <v>38408.25</v>
      </c>
      <c r="CD5" s="25">
        <v>38491.5</v>
      </c>
      <c r="CE5" s="25">
        <v>38566.080000000002</v>
      </c>
      <c r="CF5" s="25">
        <v>38625.230000000003</v>
      </c>
      <c r="CG5" s="25">
        <v>38677.050000000003</v>
      </c>
      <c r="CH5" s="25">
        <v>38718.06</v>
      </c>
      <c r="CI5" s="25">
        <v>38744.480000000003</v>
      </c>
      <c r="CJ5" s="25">
        <v>38768.019999999997</v>
      </c>
      <c r="CK5" s="25">
        <v>38784.15</v>
      </c>
      <c r="CL5" s="25">
        <v>38794.04</v>
      </c>
      <c r="CM5" s="25">
        <v>38804.18</v>
      </c>
      <c r="CN5" s="25">
        <v>38817.58</v>
      </c>
      <c r="CO5" s="25">
        <v>38828.639999999999</v>
      </c>
      <c r="CP5" s="25">
        <v>38843.18</v>
      </c>
      <c r="CQ5" t="s">
        <v>241</v>
      </c>
      <c r="CR5" t="b">
        <v>1</v>
      </c>
      <c r="CS5" t="s">
        <v>230</v>
      </c>
      <c r="CT5" t="s">
        <v>230</v>
      </c>
      <c r="CU5">
        <v>2025</v>
      </c>
      <c r="CV5">
        <v>3</v>
      </c>
      <c r="CW5" s="23">
        <v>46057</v>
      </c>
      <c r="CX5" t="s">
        <v>252</v>
      </c>
      <c r="CY5" s="22" t="s">
        <v>253</v>
      </c>
      <c r="CZ5" t="s">
        <v>235</v>
      </c>
      <c r="DA5" t="s">
        <v>254</v>
      </c>
      <c r="DB5" t="s">
        <v>237</v>
      </c>
    </row>
    <row r="6" spans="1:106">
      <c r="A6" t="s">
        <v>227</v>
      </c>
      <c r="B6" t="s">
        <v>255</v>
      </c>
      <c r="C6" s="22" t="s">
        <v>498</v>
      </c>
      <c r="D6" t="s">
        <v>239</v>
      </c>
      <c r="E6" t="s">
        <v>256</v>
      </c>
      <c r="F6" t="s">
        <v>231</v>
      </c>
      <c r="G6" s="24">
        <v>81809</v>
      </c>
      <c r="H6" s="24">
        <v>92686</v>
      </c>
      <c r="I6" s="24">
        <v>115095</v>
      </c>
      <c r="J6" s="24">
        <v>136995</v>
      </c>
      <c r="K6" s="24">
        <v>159775</v>
      </c>
      <c r="L6" s="24">
        <v>186141</v>
      </c>
      <c r="M6" s="24">
        <v>220966</v>
      </c>
      <c r="N6" s="24">
        <v>259956</v>
      </c>
      <c r="O6" s="24">
        <v>290550</v>
      </c>
      <c r="P6" s="24">
        <v>320013</v>
      </c>
      <c r="Q6" s="24">
        <v>351900</v>
      </c>
      <c r="R6" s="24">
        <v>378608</v>
      </c>
      <c r="S6" s="24">
        <v>415455</v>
      </c>
      <c r="T6" s="24">
        <v>447561</v>
      </c>
      <c r="U6" s="24">
        <v>498040</v>
      </c>
      <c r="V6" s="24">
        <v>557277</v>
      </c>
      <c r="W6" s="24">
        <v>616595</v>
      </c>
      <c r="X6" s="24">
        <v>672977</v>
      </c>
      <c r="Y6" s="24">
        <v>708072</v>
      </c>
      <c r="Z6" s="24">
        <v>733221</v>
      </c>
      <c r="AA6" s="24">
        <v>772390</v>
      </c>
      <c r="AB6" s="24">
        <v>813527</v>
      </c>
      <c r="AC6" s="24">
        <v>854921</v>
      </c>
      <c r="AD6" s="24">
        <v>913609</v>
      </c>
      <c r="AE6" s="24">
        <v>958539</v>
      </c>
      <c r="AF6" s="24">
        <v>1002804</v>
      </c>
      <c r="AG6" s="24">
        <v>1046727</v>
      </c>
      <c r="AH6" s="24">
        <v>1104759</v>
      </c>
      <c r="AI6" s="24">
        <v>1150542</v>
      </c>
      <c r="AJ6" s="24">
        <v>1194646</v>
      </c>
      <c r="AK6" s="24">
        <v>1262502</v>
      </c>
      <c r="AL6" s="24">
        <v>1327143</v>
      </c>
      <c r="AM6" s="24">
        <v>1403249</v>
      </c>
      <c r="AN6" s="24">
        <v>1478080</v>
      </c>
      <c r="AO6" s="24">
        <v>1551729</v>
      </c>
      <c r="AP6" s="24">
        <v>1602217</v>
      </c>
      <c r="AQ6" s="24">
        <v>1559405</v>
      </c>
      <c r="AR6" s="24">
        <v>1615839</v>
      </c>
      <c r="AS6" s="24">
        <v>1669945</v>
      </c>
      <c r="AT6" s="24">
        <v>1721708</v>
      </c>
      <c r="AU6" s="24">
        <v>1789072</v>
      </c>
      <c r="AV6" s="24">
        <v>1875066</v>
      </c>
      <c r="AW6" s="24">
        <v>1928016</v>
      </c>
      <c r="AX6" s="24">
        <v>2004755</v>
      </c>
      <c r="AY6" s="24">
        <v>2097222</v>
      </c>
      <c r="AZ6" s="24">
        <v>2171559</v>
      </c>
      <c r="BA6" s="24">
        <v>2252961</v>
      </c>
      <c r="BB6" s="24">
        <v>2124720</v>
      </c>
      <c r="BC6" s="24">
        <v>2322652</v>
      </c>
      <c r="BD6" s="24">
        <v>2580949</v>
      </c>
      <c r="BE6" s="24">
        <v>2752164</v>
      </c>
      <c r="BF6" s="24">
        <v>2890664</v>
      </c>
      <c r="BG6" s="24">
        <v>3036810</v>
      </c>
      <c r="BH6" s="25">
        <v>3135849</v>
      </c>
      <c r="BI6" s="25">
        <v>3258126</v>
      </c>
      <c r="BJ6" s="25">
        <v>3379536</v>
      </c>
      <c r="BK6" s="25">
        <v>3498528</v>
      </c>
      <c r="BL6" s="25">
        <v>3622229</v>
      </c>
      <c r="BM6" s="25">
        <v>3755902</v>
      </c>
      <c r="BN6" s="25">
        <v>3894588</v>
      </c>
      <c r="BO6" s="25">
        <v>4036918</v>
      </c>
      <c r="BP6" s="25">
        <v>4185062</v>
      </c>
      <c r="BQ6" s="25">
        <v>4338592</v>
      </c>
      <c r="BR6" s="25">
        <v>4497976</v>
      </c>
      <c r="BS6" s="25">
        <v>4663265</v>
      </c>
      <c r="BT6" s="25">
        <v>4834916</v>
      </c>
      <c r="BU6" s="25">
        <v>5013925</v>
      </c>
      <c r="BV6" s="25">
        <v>5201316</v>
      </c>
      <c r="BW6" s="25">
        <v>5397826</v>
      </c>
      <c r="BX6" s="25">
        <v>5602767</v>
      </c>
      <c r="BY6" s="25">
        <v>5813881</v>
      </c>
      <c r="BZ6" s="25">
        <v>6029272</v>
      </c>
      <c r="CA6" s="25">
        <v>6248932</v>
      </c>
      <c r="CB6" s="25">
        <v>6474800</v>
      </c>
      <c r="CC6" s="25">
        <v>6708702</v>
      </c>
      <c r="CD6" s="25">
        <v>6949354</v>
      </c>
      <c r="CE6" s="25">
        <v>7197288</v>
      </c>
      <c r="CF6" s="25">
        <v>7451668</v>
      </c>
      <c r="CG6" s="25">
        <v>7713513</v>
      </c>
      <c r="CH6" s="25">
        <v>7982503</v>
      </c>
      <c r="CI6" s="25">
        <v>8258062</v>
      </c>
      <c r="CJ6" s="25">
        <v>8541962</v>
      </c>
      <c r="CK6" s="25">
        <v>8833706</v>
      </c>
      <c r="CL6" s="25">
        <v>9133532</v>
      </c>
      <c r="CM6" s="25">
        <v>9442621</v>
      </c>
      <c r="CN6" s="25">
        <v>9761924</v>
      </c>
      <c r="CO6" s="25">
        <v>10090850</v>
      </c>
      <c r="CP6" s="25">
        <v>10430610</v>
      </c>
      <c r="CQ6" t="s">
        <v>241</v>
      </c>
      <c r="CR6" t="b">
        <v>1</v>
      </c>
      <c r="CS6" t="s">
        <v>230</v>
      </c>
      <c r="CT6" t="s">
        <v>230</v>
      </c>
      <c r="CU6">
        <v>2025</v>
      </c>
      <c r="CV6">
        <v>3</v>
      </c>
      <c r="CW6" s="23">
        <v>46057</v>
      </c>
      <c r="CX6" t="s">
        <v>257</v>
      </c>
      <c r="CY6" t="s">
        <v>258</v>
      </c>
      <c r="CZ6" t="s">
        <v>235</v>
      </c>
      <c r="DA6" t="s">
        <v>259</v>
      </c>
      <c r="DB6" t="s">
        <v>237</v>
      </c>
    </row>
    <row r="7" spans="1:106">
      <c r="A7" t="s">
        <v>227</v>
      </c>
      <c r="B7" t="s">
        <v>260</v>
      </c>
      <c r="C7" s="22" t="s">
        <v>498</v>
      </c>
      <c r="D7" t="s">
        <v>239</v>
      </c>
      <c r="E7" s="22" t="s">
        <v>240</v>
      </c>
      <c r="F7" t="s">
        <v>231</v>
      </c>
      <c r="G7" s="24">
        <v>1063550</v>
      </c>
      <c r="H7" s="24">
        <v>1036973</v>
      </c>
      <c r="I7" s="24">
        <v>1021204</v>
      </c>
      <c r="J7" s="24">
        <v>1051973</v>
      </c>
      <c r="K7" s="24">
        <v>1077816</v>
      </c>
      <c r="L7" s="24">
        <v>1122953</v>
      </c>
      <c r="M7" s="24">
        <v>1164860</v>
      </c>
      <c r="N7" s="24">
        <v>1140989</v>
      </c>
      <c r="O7" s="24">
        <v>1134663</v>
      </c>
      <c r="P7" s="24">
        <v>1157191</v>
      </c>
      <c r="Q7" s="24">
        <v>1205632</v>
      </c>
      <c r="R7" s="24">
        <v>1232675</v>
      </c>
      <c r="S7" s="24">
        <v>1283200</v>
      </c>
      <c r="T7" s="24">
        <v>1323173</v>
      </c>
      <c r="U7" s="24">
        <v>1395353</v>
      </c>
      <c r="V7" s="24">
        <v>1471002</v>
      </c>
      <c r="W7" s="24">
        <v>1506644</v>
      </c>
      <c r="X7" s="24">
        <v>1515202</v>
      </c>
      <c r="Y7" s="24">
        <v>1493903</v>
      </c>
      <c r="Z7" s="24">
        <v>1498023</v>
      </c>
      <c r="AA7" s="24">
        <v>1532082</v>
      </c>
      <c r="AB7" s="24">
        <v>1584459</v>
      </c>
      <c r="AC7" s="24">
        <v>1622576</v>
      </c>
      <c r="AD7" s="24">
        <v>1665005</v>
      </c>
      <c r="AE7" s="24">
        <v>1746257</v>
      </c>
      <c r="AF7" s="24">
        <v>1802946</v>
      </c>
      <c r="AG7" s="24">
        <v>1856033</v>
      </c>
      <c r="AH7" s="24">
        <v>1940007</v>
      </c>
      <c r="AI7" s="24">
        <v>1986393</v>
      </c>
      <c r="AJ7" s="24">
        <v>2020341</v>
      </c>
      <c r="AK7" s="24">
        <v>2085366</v>
      </c>
      <c r="AL7" s="24">
        <v>2133872</v>
      </c>
      <c r="AM7" s="24">
        <v>2193421</v>
      </c>
      <c r="AN7" s="24">
        <v>2241453</v>
      </c>
      <c r="AO7" s="24">
        <v>2307148</v>
      </c>
      <c r="AP7" s="24">
        <v>2306008</v>
      </c>
      <c r="AQ7" s="24">
        <v>2200222</v>
      </c>
      <c r="AR7" s="24">
        <v>2249959</v>
      </c>
      <c r="AS7" s="24">
        <v>2269116</v>
      </c>
      <c r="AT7" s="24">
        <v>2303794</v>
      </c>
      <c r="AU7" s="24">
        <v>2343384</v>
      </c>
      <c r="AV7" s="24">
        <v>2417439</v>
      </c>
      <c r="AW7" s="24">
        <v>2469182</v>
      </c>
      <c r="AX7" s="24">
        <v>2523665</v>
      </c>
      <c r="AY7" s="24">
        <v>2599961</v>
      </c>
      <c r="AZ7" s="24">
        <v>2640295</v>
      </c>
      <c r="BA7" s="24">
        <v>2673465</v>
      </c>
      <c r="BB7" s="24">
        <v>2404838</v>
      </c>
      <c r="BC7" s="24">
        <v>2610286</v>
      </c>
      <c r="BD7" s="24">
        <v>2744708</v>
      </c>
      <c r="BE7" s="24">
        <v>2752164</v>
      </c>
      <c r="BF7" s="24">
        <v>2782111</v>
      </c>
      <c r="BG7" s="24">
        <v>2820536</v>
      </c>
      <c r="BH7" s="25">
        <v>2845122</v>
      </c>
      <c r="BI7" s="25">
        <v>2883162</v>
      </c>
      <c r="BJ7" s="25">
        <v>2924704</v>
      </c>
      <c r="BK7" s="25">
        <v>2967061</v>
      </c>
      <c r="BL7" s="25">
        <v>3010770</v>
      </c>
      <c r="BM7" s="25">
        <v>3056529</v>
      </c>
      <c r="BN7" s="25">
        <v>3101862</v>
      </c>
      <c r="BO7" s="25">
        <v>3146720</v>
      </c>
      <c r="BP7" s="25">
        <v>3193113</v>
      </c>
      <c r="BQ7" s="25">
        <v>3240626</v>
      </c>
      <c r="BR7" s="25">
        <v>3289377</v>
      </c>
      <c r="BS7" s="25">
        <v>3339125</v>
      </c>
      <c r="BT7" s="25">
        <v>3389847</v>
      </c>
      <c r="BU7" s="25">
        <v>3441535</v>
      </c>
      <c r="BV7" s="25">
        <v>3494880</v>
      </c>
      <c r="BW7" s="25">
        <v>3550360</v>
      </c>
      <c r="BX7" s="25">
        <v>3607231</v>
      </c>
      <c r="BY7" s="25">
        <v>3663765</v>
      </c>
      <c r="BZ7" s="25">
        <v>3718710</v>
      </c>
      <c r="CA7" s="25">
        <v>3772181</v>
      </c>
      <c r="CB7" s="25">
        <v>3825357</v>
      </c>
      <c r="CC7" s="25">
        <v>3879212</v>
      </c>
      <c r="CD7" s="25">
        <v>3932862</v>
      </c>
      <c r="CE7" s="25">
        <v>3986408</v>
      </c>
      <c r="CF7" s="25">
        <v>4039316</v>
      </c>
      <c r="CG7" s="25">
        <v>4092014</v>
      </c>
      <c r="CH7" s="25">
        <v>4144268</v>
      </c>
      <c r="CI7" s="25">
        <v>4195761</v>
      </c>
      <c r="CJ7" s="25">
        <v>4247258</v>
      </c>
      <c r="CK7" s="25">
        <v>4298423</v>
      </c>
      <c r="CL7" s="25">
        <v>4349305</v>
      </c>
      <c r="CM7" s="25">
        <v>4400366</v>
      </c>
      <c r="CN7" s="25">
        <v>4451856</v>
      </c>
      <c r="CO7" s="25">
        <v>4503392</v>
      </c>
      <c r="CP7" s="25">
        <v>4555422</v>
      </c>
      <c r="CQ7" t="s">
        <v>241</v>
      </c>
      <c r="CR7" t="b">
        <v>1</v>
      </c>
      <c r="CS7" s="22" t="s">
        <v>242</v>
      </c>
      <c r="CT7" t="s">
        <v>230</v>
      </c>
      <c r="CU7">
        <v>2025</v>
      </c>
      <c r="CV7">
        <v>3</v>
      </c>
      <c r="CW7" s="23">
        <v>46057</v>
      </c>
      <c r="CX7" t="s">
        <v>261</v>
      </c>
      <c r="CY7" s="22" t="s">
        <v>262</v>
      </c>
      <c r="CZ7" t="s">
        <v>235</v>
      </c>
      <c r="DA7" t="s">
        <v>263</v>
      </c>
      <c r="DB7" t="s">
        <v>237</v>
      </c>
    </row>
    <row r="8" spans="1:106">
      <c r="A8" t="s">
        <v>227</v>
      </c>
      <c r="B8" t="s">
        <v>264</v>
      </c>
      <c r="C8" s="22" t="s">
        <v>498</v>
      </c>
      <c r="D8" t="s">
        <v>239</v>
      </c>
      <c r="E8" t="s">
        <v>256</v>
      </c>
      <c r="F8" t="s">
        <v>231</v>
      </c>
      <c r="G8" s="24">
        <v>31563.38</v>
      </c>
      <c r="H8" s="24">
        <v>37800.67</v>
      </c>
      <c r="I8" s="24">
        <v>46452.6</v>
      </c>
      <c r="J8" s="24">
        <v>53375.519999999997</v>
      </c>
      <c r="K8" s="24">
        <v>58825.45</v>
      </c>
      <c r="L8" s="24">
        <v>64877.93</v>
      </c>
      <c r="M8" s="24">
        <v>72490.47</v>
      </c>
      <c r="N8" s="24">
        <v>84954.26</v>
      </c>
      <c r="O8" s="24">
        <v>95587.21</v>
      </c>
      <c r="P8" s="24">
        <v>103194.7</v>
      </c>
      <c r="Q8" s="24">
        <v>105693.5</v>
      </c>
      <c r="R8" s="24">
        <v>95829.01</v>
      </c>
      <c r="S8" s="24">
        <v>108612.9</v>
      </c>
      <c r="T8" s="24">
        <v>116453.6</v>
      </c>
      <c r="U8" s="24">
        <v>115805.7</v>
      </c>
      <c r="V8" s="24">
        <v>102356.9</v>
      </c>
      <c r="W8" s="24">
        <v>94653.84</v>
      </c>
      <c r="X8" s="24">
        <v>101559.6</v>
      </c>
      <c r="Y8" s="24">
        <v>119147.9</v>
      </c>
      <c r="Z8" s="24">
        <v>172439.8</v>
      </c>
      <c r="AA8" s="24">
        <v>234900</v>
      </c>
      <c r="AB8" s="24">
        <v>278400</v>
      </c>
      <c r="AC8" s="24">
        <v>313600</v>
      </c>
      <c r="AD8" s="24">
        <v>341900</v>
      </c>
      <c r="AE8" s="24">
        <v>365000</v>
      </c>
      <c r="AF8" s="24">
        <v>364300</v>
      </c>
      <c r="AG8" s="24">
        <v>368300</v>
      </c>
      <c r="AH8" s="24">
        <v>333300</v>
      </c>
      <c r="AI8" s="24">
        <v>335500</v>
      </c>
      <c r="AJ8" s="24">
        <v>368700</v>
      </c>
      <c r="AK8" s="24">
        <v>404600</v>
      </c>
      <c r="AL8" s="24">
        <v>463800</v>
      </c>
      <c r="AM8" s="24">
        <v>503500</v>
      </c>
      <c r="AN8" s="24">
        <v>539000</v>
      </c>
      <c r="AO8" s="24">
        <v>574700</v>
      </c>
      <c r="AP8" s="24">
        <v>749900</v>
      </c>
      <c r="AQ8" s="24">
        <v>958600</v>
      </c>
      <c r="AR8" s="24">
        <v>1152500</v>
      </c>
      <c r="AS8" s="24">
        <v>1250600</v>
      </c>
      <c r="AT8" s="24">
        <v>1354300</v>
      </c>
      <c r="AU8" s="24">
        <v>1452600</v>
      </c>
      <c r="AV8" s="24">
        <v>1550800</v>
      </c>
      <c r="AW8" s="24">
        <v>1602900</v>
      </c>
      <c r="AX8" s="24">
        <v>1690600</v>
      </c>
      <c r="AY8" s="24">
        <v>1744600</v>
      </c>
      <c r="AZ8" s="24">
        <v>1798600</v>
      </c>
      <c r="BA8" s="24">
        <v>1837500</v>
      </c>
      <c r="BB8" s="24">
        <v>2152500</v>
      </c>
      <c r="BC8" s="24">
        <v>2364800</v>
      </c>
      <c r="BD8" s="24">
        <v>2501300</v>
      </c>
      <c r="BE8" s="24">
        <v>2695600</v>
      </c>
      <c r="BF8" s="24">
        <v>2815200</v>
      </c>
      <c r="BG8" s="24">
        <v>2935800</v>
      </c>
      <c r="BH8" s="25">
        <v>3062897</v>
      </c>
      <c r="BI8" s="25">
        <v>3207597</v>
      </c>
      <c r="BJ8" s="25">
        <v>3345910</v>
      </c>
      <c r="BK8" s="25">
        <v>3481869</v>
      </c>
      <c r="BL8" s="25">
        <v>3600212</v>
      </c>
      <c r="BM8" s="25">
        <v>3720058</v>
      </c>
      <c r="BN8" s="25">
        <v>3851374</v>
      </c>
      <c r="BO8" s="25">
        <v>3982372</v>
      </c>
      <c r="BP8" s="25">
        <v>4122138</v>
      </c>
      <c r="BQ8" s="25">
        <v>4275630</v>
      </c>
      <c r="BR8" s="25">
        <v>4441028</v>
      </c>
      <c r="BS8" s="25">
        <v>4619026</v>
      </c>
      <c r="BT8" s="25">
        <v>4810366</v>
      </c>
      <c r="BU8" s="25">
        <v>5015858</v>
      </c>
      <c r="BV8" s="25">
        <v>5236382</v>
      </c>
      <c r="BW8" s="25">
        <v>5464936</v>
      </c>
      <c r="BX8" s="25">
        <v>5701732</v>
      </c>
      <c r="BY8" s="25">
        <v>5947058</v>
      </c>
      <c r="BZ8" s="25">
        <v>6201096</v>
      </c>
      <c r="CA8" s="25">
        <v>6464012</v>
      </c>
      <c r="CB8" s="25">
        <v>6736048</v>
      </c>
      <c r="CC8" s="25">
        <v>7017528</v>
      </c>
      <c r="CD8" s="25">
        <v>7308728</v>
      </c>
      <c r="CE8" s="25">
        <v>7609944</v>
      </c>
      <c r="CF8" s="25">
        <v>7921438</v>
      </c>
      <c r="CG8" s="25">
        <v>8243509</v>
      </c>
      <c r="CH8" s="25">
        <v>8576451</v>
      </c>
      <c r="CI8" s="25">
        <v>8920527</v>
      </c>
      <c r="CJ8" s="25">
        <v>9276071</v>
      </c>
      <c r="CK8" s="25">
        <v>9643402</v>
      </c>
      <c r="CL8" s="25">
        <v>10022840</v>
      </c>
      <c r="CM8" s="25">
        <v>10414770</v>
      </c>
      <c r="CN8" s="25">
        <v>10819590</v>
      </c>
      <c r="CO8" s="25">
        <v>11237690</v>
      </c>
      <c r="CP8" s="25">
        <v>11669510</v>
      </c>
      <c r="CQ8" t="s">
        <v>241</v>
      </c>
      <c r="CR8" t="b">
        <v>0</v>
      </c>
      <c r="CS8" t="s">
        <v>230</v>
      </c>
      <c r="CT8" t="s">
        <v>230</v>
      </c>
      <c r="CU8">
        <v>2025</v>
      </c>
      <c r="CV8">
        <v>4</v>
      </c>
      <c r="CW8" s="23">
        <v>46057</v>
      </c>
      <c r="CX8" s="22" t="s">
        <v>265</v>
      </c>
      <c r="CY8" s="22" t="s">
        <v>266</v>
      </c>
      <c r="CZ8" t="s">
        <v>235</v>
      </c>
      <c r="DA8" t="s">
        <v>267</v>
      </c>
      <c r="DB8" t="s">
        <v>237</v>
      </c>
    </row>
    <row r="9" spans="1:106">
      <c r="A9" t="s">
        <v>227</v>
      </c>
      <c r="B9" t="s">
        <v>268</v>
      </c>
      <c r="C9" s="22" t="s">
        <v>498</v>
      </c>
      <c r="D9" t="s">
        <v>269</v>
      </c>
      <c r="E9" t="s">
        <v>230</v>
      </c>
      <c r="F9" t="s">
        <v>231</v>
      </c>
      <c r="G9" s="24">
        <v>4</v>
      </c>
      <c r="H9" s="24">
        <v>4</v>
      </c>
      <c r="I9" s="24">
        <v>4.5</v>
      </c>
      <c r="J9" s="24">
        <v>5.15</v>
      </c>
      <c r="K9" s="24">
        <v>5.625</v>
      </c>
      <c r="L9" s="24">
        <v>6.4</v>
      </c>
      <c r="M9" s="24">
        <v>7.2</v>
      </c>
      <c r="N9" s="24">
        <v>8</v>
      </c>
      <c r="O9" s="24">
        <v>8.8000000000000007</v>
      </c>
      <c r="P9" s="24">
        <v>9.4250000000000007</v>
      </c>
      <c r="Q9" s="24">
        <v>9.5</v>
      </c>
      <c r="R9" s="24">
        <v>9.5</v>
      </c>
      <c r="S9" s="24">
        <v>9.5</v>
      </c>
      <c r="T9" s="24">
        <v>9.5</v>
      </c>
      <c r="U9" s="24">
        <v>9.5</v>
      </c>
      <c r="V9" s="24">
        <v>9.5</v>
      </c>
      <c r="W9" s="24">
        <v>9.5</v>
      </c>
      <c r="X9" s="24">
        <v>9.5</v>
      </c>
      <c r="Y9" s="24">
        <v>9.5</v>
      </c>
      <c r="Z9" s="24">
        <v>9.5</v>
      </c>
      <c r="AA9" s="24">
        <v>9.4250000000000007</v>
      </c>
      <c r="AB9" s="24">
        <v>9.0499989999999997</v>
      </c>
      <c r="AC9" s="24">
        <v>8.65</v>
      </c>
      <c r="AD9" s="24">
        <v>8</v>
      </c>
      <c r="AE9" s="24">
        <v>7.2</v>
      </c>
      <c r="AF9" s="24">
        <v>6.4</v>
      </c>
      <c r="AG9" s="24">
        <v>5.75</v>
      </c>
      <c r="AH9" s="24">
        <v>5.35</v>
      </c>
      <c r="AI9" s="24">
        <v>5.0250000000000004</v>
      </c>
      <c r="AJ9" s="24">
        <v>5</v>
      </c>
      <c r="AK9" s="24">
        <v>5</v>
      </c>
      <c r="AL9" s="24">
        <v>5</v>
      </c>
      <c r="AM9" s="24">
        <v>5</v>
      </c>
      <c r="AN9" s="24">
        <v>5</v>
      </c>
      <c r="AO9" s="24">
        <v>5</v>
      </c>
      <c r="AP9" s="24">
        <v>5</v>
      </c>
      <c r="AQ9" s="24">
        <v>5</v>
      </c>
      <c r="AR9" s="24">
        <v>5.125</v>
      </c>
      <c r="AS9" s="24">
        <v>5.2874999999999996</v>
      </c>
      <c r="AT9" s="24">
        <v>5.3</v>
      </c>
      <c r="AU9" s="24">
        <v>5.3</v>
      </c>
      <c r="AV9" s="24">
        <v>5.2625000000000002</v>
      </c>
      <c r="AW9" s="24">
        <v>4.9874999999999998</v>
      </c>
      <c r="AX9" s="24">
        <v>4.7750000000000004</v>
      </c>
      <c r="AY9" s="24">
        <v>4.5750000000000002</v>
      </c>
      <c r="AZ9" s="24">
        <v>4.3937499999999998</v>
      </c>
      <c r="BA9" s="24">
        <v>4.2874999999999996</v>
      </c>
      <c r="BB9" s="24">
        <v>4.25</v>
      </c>
      <c r="BC9" s="24">
        <v>4.1749999999999998</v>
      </c>
      <c r="BD9" s="24">
        <v>4.0999999999999996</v>
      </c>
      <c r="BE9" s="24">
        <v>4.0999999999999996</v>
      </c>
      <c r="BF9" s="24">
        <v>4.0999999999999996</v>
      </c>
      <c r="BG9" s="25">
        <v>4.0999999999999996</v>
      </c>
      <c r="BH9" s="25">
        <v>4.0999999999999996</v>
      </c>
      <c r="BI9" s="25">
        <v>4.0999999999999996</v>
      </c>
      <c r="BJ9" s="25">
        <v>4.0999999999999996</v>
      </c>
      <c r="BK9" s="25">
        <v>4.0925000000000002</v>
      </c>
      <c r="BL9" s="25">
        <v>4.0549999999999997</v>
      </c>
      <c r="BM9" s="25">
        <v>4.0149999999999997</v>
      </c>
      <c r="BN9" s="25">
        <v>4</v>
      </c>
      <c r="BO9" s="25">
        <v>4</v>
      </c>
      <c r="BP9" s="25">
        <v>4</v>
      </c>
      <c r="BQ9" s="25">
        <v>4</v>
      </c>
      <c r="BR9" s="25">
        <v>4</v>
      </c>
      <c r="BS9" s="25">
        <v>4</v>
      </c>
      <c r="BT9" s="25">
        <v>4</v>
      </c>
      <c r="BU9" s="25">
        <v>4</v>
      </c>
      <c r="BV9" s="25">
        <v>4</v>
      </c>
      <c r="BW9" s="25">
        <v>4</v>
      </c>
      <c r="BX9" s="25">
        <v>4</v>
      </c>
      <c r="BY9" s="25">
        <v>4</v>
      </c>
      <c r="BZ9" s="25">
        <v>4</v>
      </c>
      <c r="CA9" s="25">
        <v>4</v>
      </c>
      <c r="CB9" s="25">
        <v>4</v>
      </c>
      <c r="CC9" s="25">
        <v>4</v>
      </c>
      <c r="CD9" s="25">
        <v>4</v>
      </c>
      <c r="CE9" s="25">
        <v>4</v>
      </c>
      <c r="CF9" s="25">
        <v>4</v>
      </c>
      <c r="CG9" s="25">
        <v>4</v>
      </c>
      <c r="CH9" s="25">
        <v>4</v>
      </c>
      <c r="CI9" s="25">
        <v>4</v>
      </c>
      <c r="CJ9" s="25">
        <v>4</v>
      </c>
      <c r="CK9" s="25">
        <v>4</v>
      </c>
      <c r="CL9" s="25">
        <v>4</v>
      </c>
      <c r="CM9" s="25">
        <v>4</v>
      </c>
      <c r="CN9" s="25">
        <v>4</v>
      </c>
      <c r="CO9" s="25">
        <v>4</v>
      </c>
      <c r="CP9" s="25">
        <v>4</v>
      </c>
      <c r="CQ9" t="s">
        <v>249</v>
      </c>
      <c r="CR9" t="b">
        <v>0</v>
      </c>
      <c r="CS9" t="s">
        <v>230</v>
      </c>
      <c r="CT9" t="s">
        <v>230</v>
      </c>
      <c r="CU9">
        <v>2024</v>
      </c>
      <c r="CV9">
        <v>4</v>
      </c>
      <c r="CW9" s="23">
        <v>46057</v>
      </c>
      <c r="CX9" t="s">
        <v>249</v>
      </c>
      <c r="CY9" t="s">
        <v>270</v>
      </c>
      <c r="CZ9" t="s">
        <v>235</v>
      </c>
      <c r="DA9" t="s">
        <v>271</v>
      </c>
      <c r="DB9" t="s">
        <v>237</v>
      </c>
    </row>
    <row r="10" spans="1:106">
      <c r="A10" t="s">
        <v>227</v>
      </c>
      <c r="B10" t="s">
        <v>272</v>
      </c>
      <c r="C10" s="22" t="s">
        <v>498</v>
      </c>
      <c r="D10" t="s">
        <v>269</v>
      </c>
      <c r="E10" t="s">
        <v>230</v>
      </c>
      <c r="F10" t="s">
        <v>231</v>
      </c>
      <c r="G10" s="24">
        <v>-0.86350439999999995</v>
      </c>
      <c r="H10" s="24">
        <v>-4.5127389999999998</v>
      </c>
      <c r="I10" s="24">
        <v>-6.779242</v>
      </c>
      <c r="J10" s="24">
        <v>-4.2365550000000001</v>
      </c>
      <c r="K10" s="24">
        <v>-2.098274</v>
      </c>
      <c r="L10" s="24">
        <v>1.0055780000000001</v>
      </c>
      <c r="M10" s="24">
        <v>2.3581029999999998</v>
      </c>
      <c r="N10" s="24">
        <v>-2.0584579999999999</v>
      </c>
      <c r="O10" s="24">
        <v>-4.09863</v>
      </c>
      <c r="P10" s="24">
        <v>-2.7517800000000001</v>
      </c>
      <c r="Q10" s="24">
        <v>-0.30829909999999999</v>
      </c>
      <c r="R10" s="24">
        <v>-1.554108</v>
      </c>
      <c r="S10" s="24">
        <v>-0.30179020000000001</v>
      </c>
      <c r="T10" s="24">
        <v>0.21622179999999999</v>
      </c>
      <c r="U10" s="24">
        <v>2.7468680000000001</v>
      </c>
      <c r="V10" s="24">
        <v>4.5277599999999998</v>
      </c>
      <c r="W10" s="24">
        <v>3.3700700000000001</v>
      </c>
      <c r="X10" s="24">
        <v>1.270151</v>
      </c>
      <c r="Y10" s="24">
        <v>-1.534724</v>
      </c>
      <c r="Z10" s="24">
        <v>-2.6522160000000001</v>
      </c>
      <c r="AA10" s="24">
        <v>-2.0372629999999998</v>
      </c>
      <c r="AB10" s="24">
        <v>-1.257992</v>
      </c>
      <c r="AC10" s="24">
        <v>-1.4350890000000001</v>
      </c>
      <c r="AD10" s="24">
        <v>-1.5219689999999999</v>
      </c>
      <c r="AE10" s="24">
        <v>0.44488909999999998</v>
      </c>
      <c r="AF10" s="24">
        <v>1.3468500000000001</v>
      </c>
      <c r="AG10" s="24">
        <v>1.5545610000000001</v>
      </c>
      <c r="AH10" s="24">
        <v>3.848004</v>
      </c>
      <c r="AI10" s="24">
        <v>3.1981950000000001</v>
      </c>
      <c r="AJ10" s="24">
        <v>2.5597810000000001</v>
      </c>
      <c r="AK10" s="24">
        <v>3.259182</v>
      </c>
      <c r="AL10" s="24">
        <v>3.0693769999999998</v>
      </c>
      <c r="AM10" s="24">
        <v>2.902269</v>
      </c>
      <c r="AN10" s="24">
        <v>2.3751500000000001</v>
      </c>
      <c r="AO10" s="24">
        <v>3.1183719999999999</v>
      </c>
      <c r="AP10" s="24">
        <v>1.0327820000000001</v>
      </c>
      <c r="AQ10" s="24">
        <v>-4.144692</v>
      </c>
      <c r="AR10" s="24">
        <v>-3.0554060000000001</v>
      </c>
      <c r="AS10" s="24">
        <v>-3.105092</v>
      </c>
      <c r="AT10" s="24">
        <v>-3.3466580000000001</v>
      </c>
      <c r="AU10" s="24">
        <v>-3.2654519999999998</v>
      </c>
      <c r="AV10" s="24">
        <v>-1.664901</v>
      </c>
      <c r="AW10" s="24">
        <v>-1.00441</v>
      </c>
      <c r="AX10" s="24">
        <v>-0.50282479999999996</v>
      </c>
      <c r="AY10" s="24">
        <v>0.84130760000000004</v>
      </c>
      <c r="AZ10" s="24">
        <v>0.91323849999999995</v>
      </c>
      <c r="BA10" s="24">
        <v>0.49982070000000001</v>
      </c>
      <c r="BB10" s="24">
        <v>-3.5658120000000002</v>
      </c>
      <c r="BC10" s="24">
        <v>5.7744980000000001E-2</v>
      </c>
      <c r="BD10" s="24">
        <v>2.3683070000000002</v>
      </c>
      <c r="BE10" s="24">
        <v>1.090384</v>
      </c>
      <c r="BF10" s="24">
        <v>-0.1038313</v>
      </c>
      <c r="BG10" s="25">
        <v>-0.66289900000000002</v>
      </c>
      <c r="BH10" s="25">
        <v>-1.2567280000000001</v>
      </c>
      <c r="BI10" s="25">
        <v>-1.147556</v>
      </c>
      <c r="BJ10" s="25">
        <v>-0.84388260000000004</v>
      </c>
      <c r="BK10" s="25">
        <v>-0.57330130000000001</v>
      </c>
      <c r="BL10" s="25">
        <v>-0.34649370000000002</v>
      </c>
      <c r="BM10" s="25">
        <v>-0.1391888</v>
      </c>
      <c r="BN10" s="25">
        <v>-2.0623209999999999E-2</v>
      </c>
      <c r="BO10" s="25">
        <v>-2.384186E-5</v>
      </c>
      <c r="BP10" s="25">
        <v>4.768372E-5</v>
      </c>
      <c r="BQ10" s="25">
        <v>4.768372E-5</v>
      </c>
      <c r="BR10" s="25">
        <v>7.1525570000000003E-5</v>
      </c>
      <c r="BS10" s="25">
        <v>4.768372E-5</v>
      </c>
      <c r="BT10" s="25">
        <v>7.1525570000000003E-5</v>
      </c>
      <c r="BU10" s="25">
        <v>7.1525570000000003E-5</v>
      </c>
      <c r="BV10" s="25">
        <v>9.536743E-5</v>
      </c>
      <c r="BW10" s="25">
        <v>4.768372E-5</v>
      </c>
      <c r="BX10" s="25">
        <v>7.1525570000000003E-5</v>
      </c>
      <c r="BY10" s="25">
        <v>7.1525570000000003E-5</v>
      </c>
      <c r="BZ10" s="25">
        <v>1.6689299999999999E-4</v>
      </c>
      <c r="CA10" s="25">
        <v>1.192093E-4</v>
      </c>
      <c r="CB10" s="25">
        <v>1.192093E-4</v>
      </c>
      <c r="CC10" s="25">
        <v>1.430511E-4</v>
      </c>
      <c r="CD10" s="25">
        <v>7.1525570000000003E-5</v>
      </c>
      <c r="CE10" s="25">
        <v>7.1525570000000003E-5</v>
      </c>
      <c r="CF10" s="25">
        <v>9.536743E-5</v>
      </c>
      <c r="CG10" s="25">
        <v>1.192093E-4</v>
      </c>
      <c r="CH10" s="25">
        <v>7.1525570000000003E-5</v>
      </c>
      <c r="CI10" s="25">
        <v>9.536743E-5</v>
      </c>
      <c r="CJ10" s="25">
        <v>2.384186E-5</v>
      </c>
      <c r="CK10" s="25">
        <v>7.1525570000000003E-5</v>
      </c>
      <c r="CL10" s="25">
        <v>2.384186E-5</v>
      </c>
      <c r="CM10" s="25">
        <v>1.192093E-4</v>
      </c>
      <c r="CN10" s="25">
        <v>4.768372E-5</v>
      </c>
      <c r="CO10" s="25">
        <v>7.1525570000000003E-5</v>
      </c>
      <c r="CP10" s="25">
        <v>1.6689299999999999E-4</v>
      </c>
      <c r="CQ10" t="s">
        <v>273</v>
      </c>
      <c r="CR10" t="b">
        <v>0</v>
      </c>
      <c r="CS10" t="s">
        <v>230</v>
      </c>
      <c r="CT10" t="s">
        <v>230</v>
      </c>
      <c r="CU10">
        <v>2024</v>
      </c>
      <c r="CV10">
        <v>4</v>
      </c>
      <c r="CW10" s="23">
        <v>46057</v>
      </c>
      <c r="CX10" t="s">
        <v>273</v>
      </c>
      <c r="CY10" t="s">
        <v>230</v>
      </c>
      <c r="CZ10" t="s">
        <v>235</v>
      </c>
      <c r="DA10" t="s">
        <v>274</v>
      </c>
      <c r="DB10" t="s">
        <v>237</v>
      </c>
    </row>
    <row r="11" spans="1:106">
      <c r="A11" t="s">
        <v>227</v>
      </c>
      <c r="B11" t="s">
        <v>275</v>
      </c>
      <c r="C11" s="22" t="s">
        <v>498</v>
      </c>
      <c r="D11" t="s">
        <v>247</v>
      </c>
      <c r="E11" t="s">
        <v>248</v>
      </c>
      <c r="F11" t="s">
        <v>231</v>
      </c>
      <c r="G11" s="24">
        <v>32757.89</v>
      </c>
      <c r="H11" s="24">
        <v>32767.07</v>
      </c>
      <c r="I11" s="24">
        <v>32762.080000000002</v>
      </c>
      <c r="J11" s="24">
        <v>32795.71</v>
      </c>
      <c r="K11" s="24">
        <v>32987.17</v>
      </c>
      <c r="L11" s="24">
        <v>33191.79</v>
      </c>
      <c r="M11" s="24">
        <v>33396.400000000001</v>
      </c>
      <c r="N11" s="24">
        <v>33601.01</v>
      </c>
      <c r="O11" s="24">
        <v>33792.79</v>
      </c>
      <c r="P11" s="24">
        <v>33953.4</v>
      </c>
      <c r="Q11" s="24">
        <v>34192.699999999997</v>
      </c>
      <c r="R11" s="24">
        <v>34431.35</v>
      </c>
      <c r="S11" s="24">
        <v>34601.24</v>
      </c>
      <c r="T11" s="24">
        <v>34744.76</v>
      </c>
      <c r="U11" s="24">
        <v>34886.879999999997</v>
      </c>
      <c r="V11" s="24">
        <v>34994.559999999998</v>
      </c>
      <c r="W11" s="24">
        <v>35085.879999999997</v>
      </c>
      <c r="X11" s="24">
        <v>35152.129999999997</v>
      </c>
      <c r="Y11" s="24">
        <v>35195.33</v>
      </c>
      <c r="Z11" s="24">
        <v>35205.660000000003</v>
      </c>
      <c r="AA11" s="24">
        <v>35216.769999999997</v>
      </c>
      <c r="AB11" s="24">
        <v>35273.269999999997</v>
      </c>
      <c r="AC11" s="24">
        <v>35383.339999999997</v>
      </c>
      <c r="AD11" s="24">
        <v>35513.120000000003</v>
      </c>
      <c r="AE11" s="24">
        <v>35638.800000000003</v>
      </c>
      <c r="AF11" s="24">
        <v>35772.379999999997</v>
      </c>
      <c r="AG11" s="24">
        <v>35956.089999999997</v>
      </c>
      <c r="AH11" s="24">
        <v>36175.06</v>
      </c>
      <c r="AI11" s="24">
        <v>36435.72</v>
      </c>
      <c r="AJ11" s="24">
        <v>36685.300000000003</v>
      </c>
      <c r="AK11" s="24">
        <v>36916.480000000003</v>
      </c>
      <c r="AL11" s="24">
        <v>37197</v>
      </c>
      <c r="AM11" s="24">
        <v>37558.839999999997</v>
      </c>
      <c r="AN11" s="24">
        <v>37877.599999999999</v>
      </c>
      <c r="AO11" s="24">
        <v>38141.879999999997</v>
      </c>
      <c r="AP11" s="24">
        <v>38372.89</v>
      </c>
      <c r="AQ11" s="24">
        <v>38572.07</v>
      </c>
      <c r="AR11" s="24">
        <v>38889.22</v>
      </c>
      <c r="AS11" s="24">
        <v>39318.54</v>
      </c>
      <c r="AT11" s="24">
        <v>39577.57</v>
      </c>
      <c r="AU11" s="24">
        <v>39885.01</v>
      </c>
      <c r="AV11" s="24">
        <v>40230.699999999997</v>
      </c>
      <c r="AW11" s="24">
        <v>40619.86</v>
      </c>
      <c r="AX11" s="24">
        <v>41036.28</v>
      </c>
      <c r="AY11" s="24">
        <v>41408.97</v>
      </c>
      <c r="AZ11" s="24">
        <v>41800.04</v>
      </c>
      <c r="BA11" s="24">
        <v>42268.43</v>
      </c>
      <c r="BB11" s="24">
        <v>42633.5</v>
      </c>
      <c r="BC11" s="24">
        <v>42900.68</v>
      </c>
      <c r="BD11" s="24">
        <v>43306</v>
      </c>
      <c r="BE11" s="24">
        <v>43867.71</v>
      </c>
      <c r="BF11" s="24">
        <v>44324.94</v>
      </c>
      <c r="BG11" s="25">
        <v>44442.19</v>
      </c>
      <c r="BH11" s="25">
        <v>44368.3</v>
      </c>
      <c r="BI11" s="25">
        <v>44564.99</v>
      </c>
      <c r="BJ11" s="25">
        <v>44983.96</v>
      </c>
      <c r="BK11" s="25">
        <v>45297.95</v>
      </c>
      <c r="BL11" s="25">
        <v>45373.88</v>
      </c>
      <c r="BM11" s="25">
        <v>45421.33</v>
      </c>
      <c r="BN11" s="25">
        <v>45472.34</v>
      </c>
      <c r="BO11" s="25">
        <v>45535.95</v>
      </c>
      <c r="BP11" s="25">
        <v>45589.85</v>
      </c>
      <c r="BQ11" s="25">
        <v>45632.65</v>
      </c>
      <c r="BR11" s="25">
        <v>45674.43</v>
      </c>
      <c r="BS11" s="25">
        <v>45709.22</v>
      </c>
      <c r="BT11" s="25">
        <v>45743.41</v>
      </c>
      <c r="BU11" s="25">
        <v>45769.57</v>
      </c>
      <c r="BV11" s="25">
        <v>45799.7</v>
      </c>
      <c r="BW11" s="25">
        <v>45858.47</v>
      </c>
      <c r="BX11" s="25">
        <v>45946.53</v>
      </c>
      <c r="BY11" s="25">
        <v>46048.25</v>
      </c>
      <c r="BZ11" s="25">
        <v>46185.2</v>
      </c>
      <c r="CA11" s="25">
        <v>46464.62</v>
      </c>
      <c r="CB11" s="25">
        <v>46914.97</v>
      </c>
      <c r="CC11" s="25">
        <v>47238.559999999998</v>
      </c>
      <c r="CD11" s="25">
        <v>47310.73</v>
      </c>
      <c r="CE11" s="25">
        <v>47337.16</v>
      </c>
      <c r="CF11" s="25">
        <v>47362.54</v>
      </c>
      <c r="CG11" s="25">
        <v>47391.39</v>
      </c>
      <c r="CH11" s="25">
        <v>47415.06</v>
      </c>
      <c r="CI11" s="25">
        <v>47431.08</v>
      </c>
      <c r="CJ11" s="25">
        <v>47423.87</v>
      </c>
      <c r="CK11" s="25">
        <v>47407.54</v>
      </c>
      <c r="CL11" s="25">
        <v>47378.16</v>
      </c>
      <c r="CM11" s="25">
        <v>47329.91</v>
      </c>
      <c r="CN11" s="25">
        <v>47280.800000000003</v>
      </c>
      <c r="CO11" s="25">
        <v>47220.39</v>
      </c>
      <c r="CP11" s="25">
        <v>47150.05</v>
      </c>
      <c r="CQ11" t="s">
        <v>276</v>
      </c>
      <c r="CR11" t="b">
        <v>0</v>
      </c>
      <c r="CS11" t="s">
        <v>230</v>
      </c>
      <c r="CT11" t="s">
        <v>230</v>
      </c>
      <c r="CU11">
        <v>2024</v>
      </c>
      <c r="CV11">
        <v>2</v>
      </c>
      <c r="CW11" s="23">
        <v>46057</v>
      </c>
      <c r="CX11" s="22" t="s">
        <v>277</v>
      </c>
      <c r="CY11" t="s">
        <v>230</v>
      </c>
      <c r="CZ11" t="s">
        <v>235</v>
      </c>
      <c r="DA11" t="s">
        <v>278</v>
      </c>
      <c r="DB11" t="s">
        <v>237</v>
      </c>
    </row>
    <row r="12" spans="1:106">
      <c r="A12" t="s">
        <v>227</v>
      </c>
      <c r="B12" s="22" t="s">
        <v>279</v>
      </c>
      <c r="C12" s="22" t="s">
        <v>498</v>
      </c>
      <c r="D12" t="s">
        <v>247</v>
      </c>
      <c r="E12" t="s">
        <v>248</v>
      </c>
      <c r="F12" t="s">
        <v>231</v>
      </c>
      <c r="G12" s="24">
        <v>35322.81</v>
      </c>
      <c r="H12" s="24">
        <v>35332.71</v>
      </c>
      <c r="I12" s="24">
        <v>35327.33</v>
      </c>
      <c r="J12" s="24">
        <v>35352.080000000002</v>
      </c>
      <c r="K12" s="24">
        <v>35501.050000000003</v>
      </c>
      <c r="L12" s="24">
        <v>35670.839999999997</v>
      </c>
      <c r="M12" s="24">
        <v>35882.959999999999</v>
      </c>
      <c r="N12" s="24">
        <v>36102.32</v>
      </c>
      <c r="O12" s="24">
        <v>36300.18</v>
      </c>
      <c r="P12" s="24">
        <v>36500.68</v>
      </c>
      <c r="Q12" s="24">
        <v>36776.19</v>
      </c>
      <c r="R12" s="24">
        <v>37029.129999999997</v>
      </c>
      <c r="S12" s="24">
        <v>37116.959999999999</v>
      </c>
      <c r="T12" s="24">
        <v>37205.480000000003</v>
      </c>
      <c r="U12" s="24">
        <v>37265.83</v>
      </c>
      <c r="V12" s="24">
        <v>37299.199999999997</v>
      </c>
      <c r="W12" s="24">
        <v>37327.730000000003</v>
      </c>
      <c r="X12" s="24">
        <v>37358.559999999998</v>
      </c>
      <c r="Y12" s="24">
        <v>37364.49</v>
      </c>
      <c r="Z12" s="24">
        <v>37339.07</v>
      </c>
      <c r="AA12" s="24">
        <v>37349.410000000003</v>
      </c>
      <c r="AB12" s="24">
        <v>37433.699999999997</v>
      </c>
      <c r="AC12" s="24">
        <v>37553</v>
      </c>
      <c r="AD12" s="24">
        <v>37673.279999999999</v>
      </c>
      <c r="AE12" s="24">
        <v>37794.410000000003</v>
      </c>
      <c r="AF12" s="24">
        <v>37944.26</v>
      </c>
      <c r="AG12" s="24">
        <v>38156.28</v>
      </c>
      <c r="AH12" s="24">
        <v>38407.35</v>
      </c>
      <c r="AI12" s="24">
        <v>38667.29</v>
      </c>
      <c r="AJ12" s="24">
        <v>38934.07</v>
      </c>
      <c r="AK12" s="24">
        <v>39208.639999999999</v>
      </c>
      <c r="AL12" s="24">
        <v>39524.449999999997</v>
      </c>
      <c r="AM12" s="24">
        <v>39942.1</v>
      </c>
      <c r="AN12" s="24">
        <v>40350.639999999999</v>
      </c>
      <c r="AO12" s="24">
        <v>40723.550000000003</v>
      </c>
      <c r="AP12" s="24">
        <v>41014.32</v>
      </c>
      <c r="AQ12" s="24">
        <v>41237.870000000003</v>
      </c>
      <c r="AR12" s="24">
        <v>41479.08</v>
      </c>
      <c r="AS12" s="24">
        <v>41689.11</v>
      </c>
      <c r="AT12" s="24">
        <v>41698.6</v>
      </c>
      <c r="AU12" s="24">
        <v>41772.11</v>
      </c>
      <c r="AV12" s="24">
        <v>41914.35</v>
      </c>
      <c r="AW12" s="24">
        <v>42102.28</v>
      </c>
      <c r="AX12" s="24">
        <v>42299.06</v>
      </c>
      <c r="AY12" s="24">
        <v>42426.66</v>
      </c>
      <c r="AZ12" s="24">
        <v>42565.27</v>
      </c>
      <c r="BA12" s="24">
        <v>42702.21</v>
      </c>
      <c r="BB12" s="24">
        <v>42780.800000000003</v>
      </c>
      <c r="BC12" s="24">
        <v>42964.73</v>
      </c>
      <c r="BD12" s="24">
        <v>43370.1</v>
      </c>
      <c r="BE12" s="24">
        <v>43941.599999999999</v>
      </c>
      <c r="BF12" s="24">
        <v>44390.12</v>
      </c>
      <c r="BG12" s="25">
        <v>44533.42</v>
      </c>
      <c r="BH12" s="25">
        <v>44547.9</v>
      </c>
      <c r="BI12" s="25">
        <v>44573.84</v>
      </c>
      <c r="BJ12" s="25">
        <v>44596.25</v>
      </c>
      <c r="BK12" s="25">
        <v>44613.64</v>
      </c>
      <c r="BL12" s="25">
        <v>44624.91</v>
      </c>
      <c r="BM12" s="25">
        <v>44651.040000000001</v>
      </c>
      <c r="BN12" s="25">
        <v>44704.37</v>
      </c>
      <c r="BO12" s="25">
        <v>44757.55</v>
      </c>
      <c r="BP12" s="25">
        <v>44805.02</v>
      </c>
      <c r="BQ12" s="25">
        <v>44850.61</v>
      </c>
      <c r="BR12" s="25">
        <v>44896.95</v>
      </c>
      <c r="BS12" s="25">
        <v>44923.39</v>
      </c>
      <c r="BT12" s="25">
        <v>44977.55</v>
      </c>
      <c r="BU12" s="25">
        <v>45037.79</v>
      </c>
      <c r="BV12" s="25">
        <v>45122.38</v>
      </c>
      <c r="BW12" s="25">
        <v>45221.64</v>
      </c>
      <c r="BX12" s="25">
        <v>45336.43</v>
      </c>
      <c r="BY12" s="25">
        <v>45461.84</v>
      </c>
      <c r="BZ12" s="25">
        <v>45566.51</v>
      </c>
      <c r="CA12" s="25">
        <v>45620.89</v>
      </c>
      <c r="CB12" s="25">
        <v>45645.4</v>
      </c>
      <c r="CC12" s="25">
        <v>45668.5</v>
      </c>
      <c r="CD12" s="25">
        <v>45694.41</v>
      </c>
      <c r="CE12" s="25">
        <v>45714.5</v>
      </c>
      <c r="CF12" s="25">
        <v>45726.45</v>
      </c>
      <c r="CG12" s="25">
        <v>45714.27</v>
      </c>
      <c r="CH12" s="25">
        <v>45692.26</v>
      </c>
      <c r="CI12" s="25">
        <v>45656.63</v>
      </c>
      <c r="CJ12" s="25">
        <v>45601.84</v>
      </c>
      <c r="CK12" s="25">
        <v>45546.53</v>
      </c>
      <c r="CL12" s="25">
        <v>45480.28</v>
      </c>
      <c r="CM12" s="25">
        <v>45404.92</v>
      </c>
      <c r="CN12" s="25">
        <v>45333.13</v>
      </c>
      <c r="CO12" s="25">
        <v>45270.12</v>
      </c>
      <c r="CP12" s="25">
        <v>45201.8</v>
      </c>
      <c r="CQ12" s="22" t="s">
        <v>280</v>
      </c>
      <c r="CR12" t="b">
        <v>0</v>
      </c>
      <c r="CS12" t="s">
        <v>230</v>
      </c>
      <c r="CT12" t="s">
        <v>230</v>
      </c>
      <c r="CU12">
        <v>2024</v>
      </c>
      <c r="CV12">
        <v>2</v>
      </c>
      <c r="CW12" s="23">
        <v>46057</v>
      </c>
      <c r="CX12" s="22" t="s">
        <v>281</v>
      </c>
      <c r="CY12" t="s">
        <v>230</v>
      </c>
      <c r="CZ12" t="s">
        <v>235</v>
      </c>
      <c r="DA12" s="22" t="s">
        <v>282</v>
      </c>
      <c r="DB12" t="s">
        <v>237</v>
      </c>
    </row>
    <row r="13" spans="1:106">
      <c r="A13" t="s">
        <v>227</v>
      </c>
      <c r="B13" t="s">
        <v>283</v>
      </c>
      <c r="C13" s="22" t="s">
        <v>498</v>
      </c>
      <c r="D13" t="s">
        <v>247</v>
      </c>
      <c r="E13" t="s">
        <v>248</v>
      </c>
      <c r="F13" t="s">
        <v>231</v>
      </c>
      <c r="G13" s="24">
        <v>56217.56</v>
      </c>
      <c r="H13" s="24">
        <v>56233.31</v>
      </c>
      <c r="I13" s="24">
        <v>56224.75</v>
      </c>
      <c r="J13" s="24">
        <v>56211.75</v>
      </c>
      <c r="K13" s="24">
        <v>56189.38</v>
      </c>
      <c r="L13" s="24">
        <v>56190.38</v>
      </c>
      <c r="M13" s="24">
        <v>56253</v>
      </c>
      <c r="N13" s="24">
        <v>56329.63</v>
      </c>
      <c r="O13" s="24">
        <v>56343.69</v>
      </c>
      <c r="P13" s="24">
        <v>56299.88</v>
      </c>
      <c r="Q13" s="24">
        <v>56331.88</v>
      </c>
      <c r="R13" s="24">
        <v>56430.38</v>
      </c>
      <c r="S13" s="24">
        <v>56569.31</v>
      </c>
      <c r="T13" s="24">
        <v>56698.38</v>
      </c>
      <c r="U13" s="24">
        <v>56817.5</v>
      </c>
      <c r="V13" s="24">
        <v>56939.19</v>
      </c>
      <c r="W13" s="24">
        <v>57097.120000000003</v>
      </c>
      <c r="X13" s="24">
        <v>57265.62</v>
      </c>
      <c r="Y13" s="24">
        <v>57453.81</v>
      </c>
      <c r="Z13" s="24">
        <v>57600.06</v>
      </c>
      <c r="AA13" s="24">
        <v>57733.69</v>
      </c>
      <c r="AB13" s="24">
        <v>57883.31</v>
      </c>
      <c r="AC13" s="24">
        <v>58040.88</v>
      </c>
      <c r="AD13" s="24">
        <v>58183.44</v>
      </c>
      <c r="AE13" s="24">
        <v>58334.81</v>
      </c>
      <c r="AF13" s="24">
        <v>58504.12</v>
      </c>
      <c r="AG13" s="24">
        <v>58708.81</v>
      </c>
      <c r="AH13" s="24">
        <v>58915.94</v>
      </c>
      <c r="AI13" s="24">
        <v>59146.25</v>
      </c>
      <c r="AJ13" s="24">
        <v>59401</v>
      </c>
      <c r="AK13" s="24">
        <v>59678.75</v>
      </c>
      <c r="AL13" s="24">
        <v>60017.25</v>
      </c>
      <c r="AM13" s="24">
        <v>60461.69</v>
      </c>
      <c r="AN13" s="24">
        <v>60893.38</v>
      </c>
      <c r="AO13" s="24">
        <v>61382.94</v>
      </c>
      <c r="AP13" s="24">
        <v>61874.38</v>
      </c>
      <c r="AQ13" s="24">
        <v>62327.25</v>
      </c>
      <c r="AR13" s="24">
        <v>62827.25</v>
      </c>
      <c r="AS13" s="24">
        <v>63332.06</v>
      </c>
      <c r="AT13" s="24">
        <v>63764.44</v>
      </c>
      <c r="AU13" s="24">
        <v>64201.5</v>
      </c>
      <c r="AV13" s="24">
        <v>64676.69</v>
      </c>
      <c r="AW13" s="24">
        <v>65155.06</v>
      </c>
      <c r="AX13" s="24">
        <v>65640.69</v>
      </c>
      <c r="AY13" s="24">
        <v>66002.19</v>
      </c>
      <c r="AZ13" s="24">
        <v>66330.75</v>
      </c>
      <c r="BA13" s="24">
        <v>66627.69</v>
      </c>
      <c r="BB13" s="24">
        <v>66777.62</v>
      </c>
      <c r="BC13" s="24">
        <v>67086.5</v>
      </c>
      <c r="BD13" s="24">
        <v>67761.75</v>
      </c>
      <c r="BE13" s="24">
        <v>68611.94</v>
      </c>
      <c r="BF13" s="24">
        <v>69272.44</v>
      </c>
      <c r="BG13" s="24">
        <v>69493.98</v>
      </c>
      <c r="BH13" s="25">
        <v>69614.42</v>
      </c>
      <c r="BI13" s="25">
        <v>69767.960000000006</v>
      </c>
      <c r="BJ13" s="25">
        <v>69953.27</v>
      </c>
      <c r="BK13" s="25">
        <v>70158.98</v>
      </c>
      <c r="BL13" s="25">
        <v>70381.77</v>
      </c>
      <c r="BM13" s="25">
        <v>70618.570000000007</v>
      </c>
      <c r="BN13" s="25">
        <v>70864.850000000006</v>
      </c>
      <c r="BO13" s="25">
        <v>71104.800000000003</v>
      </c>
      <c r="BP13" s="25">
        <v>71337.5</v>
      </c>
      <c r="BQ13" s="25">
        <v>71563.23</v>
      </c>
      <c r="BR13" s="25">
        <v>71782.41</v>
      </c>
      <c r="BS13" s="25">
        <v>71995.59</v>
      </c>
      <c r="BT13" s="25">
        <v>72203.38</v>
      </c>
      <c r="BU13" s="25">
        <v>72406.2</v>
      </c>
      <c r="BV13" s="25">
        <v>72604.399999999994</v>
      </c>
      <c r="BW13" s="25">
        <v>72798.289999999994</v>
      </c>
      <c r="BX13" s="25">
        <v>72988.03</v>
      </c>
      <c r="BY13" s="25">
        <v>73173.42</v>
      </c>
      <c r="BZ13" s="25">
        <v>73354.02</v>
      </c>
      <c r="CA13" s="25">
        <v>73529.48</v>
      </c>
      <c r="CB13" s="25">
        <v>73699.509999999995</v>
      </c>
      <c r="CC13" s="25">
        <v>73863.570000000007</v>
      </c>
      <c r="CD13" s="25">
        <v>74020.27</v>
      </c>
      <c r="CE13" s="25">
        <v>74168.23</v>
      </c>
      <c r="CF13" s="25">
        <v>74306.820000000007</v>
      </c>
      <c r="CG13" s="25">
        <v>74435.73</v>
      </c>
      <c r="CH13" s="25">
        <v>74554.91</v>
      </c>
      <c r="CI13" s="25">
        <v>74664.36</v>
      </c>
      <c r="CJ13" s="25">
        <v>74764.41</v>
      </c>
      <c r="CK13" s="25">
        <v>74855.8</v>
      </c>
      <c r="CL13" s="25">
        <v>74939.66</v>
      </c>
      <c r="CM13" s="25">
        <v>75017.17</v>
      </c>
      <c r="CN13" s="25">
        <v>75089.39</v>
      </c>
      <c r="CO13" s="25">
        <v>75157.48</v>
      </c>
      <c r="CP13" s="25">
        <v>75222.94</v>
      </c>
      <c r="CQ13" t="s">
        <v>241</v>
      </c>
      <c r="CR13" t="b">
        <v>0</v>
      </c>
      <c r="CS13" t="s">
        <v>230</v>
      </c>
      <c r="CT13" t="s">
        <v>230</v>
      </c>
      <c r="CU13">
        <v>2025</v>
      </c>
      <c r="CV13">
        <v>2</v>
      </c>
      <c r="CW13" s="23">
        <v>46057</v>
      </c>
      <c r="CX13" t="s">
        <v>284</v>
      </c>
      <c r="CY13" t="s">
        <v>285</v>
      </c>
      <c r="CZ13" t="s">
        <v>235</v>
      </c>
      <c r="DA13" t="s">
        <v>286</v>
      </c>
      <c r="DB13" t="s">
        <v>237</v>
      </c>
    </row>
    <row r="14" spans="1:106">
      <c r="A14" t="s">
        <v>227</v>
      </c>
      <c r="B14" t="s">
        <v>287</v>
      </c>
      <c r="C14" s="22" t="s">
        <v>498</v>
      </c>
      <c r="D14" t="s">
        <v>239</v>
      </c>
      <c r="E14" s="22" t="s">
        <v>240</v>
      </c>
      <c r="F14" t="s">
        <v>231</v>
      </c>
      <c r="G14" s="24">
        <v>1072428</v>
      </c>
      <c r="H14" s="24">
        <v>1085376</v>
      </c>
      <c r="I14" s="24">
        <v>1094012</v>
      </c>
      <c r="J14" s="24">
        <v>1099141</v>
      </c>
      <c r="K14" s="24">
        <v>1102761</v>
      </c>
      <c r="L14" s="24">
        <v>1111856</v>
      </c>
      <c r="M14" s="24">
        <v>1135923</v>
      </c>
      <c r="N14" s="24">
        <v>1164663</v>
      </c>
      <c r="O14" s="24">
        <v>1182108</v>
      </c>
      <c r="P14" s="24">
        <v>1189451</v>
      </c>
      <c r="Q14" s="24">
        <v>1209350</v>
      </c>
      <c r="R14" s="24">
        <v>1251974</v>
      </c>
      <c r="S14" s="24">
        <v>1287060</v>
      </c>
      <c r="T14" s="24">
        <v>1320242</v>
      </c>
      <c r="U14" s="24">
        <v>1357335</v>
      </c>
      <c r="V14" s="24">
        <v>1405883</v>
      </c>
      <c r="W14" s="24">
        <v>1456761</v>
      </c>
      <c r="X14" s="24">
        <v>1496084</v>
      </c>
      <c r="Y14" s="24">
        <v>1517014</v>
      </c>
      <c r="Z14" s="24">
        <v>1538270</v>
      </c>
      <c r="AA14" s="24">
        <v>1563590</v>
      </c>
      <c r="AB14" s="24">
        <v>1604512</v>
      </c>
      <c r="AC14" s="24">
        <v>1646030</v>
      </c>
      <c r="AD14" s="24">
        <v>1690512</v>
      </c>
      <c r="AE14" s="24">
        <v>1738403</v>
      </c>
      <c r="AF14" s="24">
        <v>1778836</v>
      </c>
      <c r="AG14" s="24">
        <v>1827270</v>
      </c>
      <c r="AH14" s="24">
        <v>1866820</v>
      </c>
      <c r="AI14" s="24">
        <v>1923900</v>
      </c>
      <c r="AJ14" s="24">
        <v>1969294</v>
      </c>
      <c r="AK14" s="24">
        <v>2018424</v>
      </c>
      <c r="AL14" s="24">
        <v>2069413</v>
      </c>
      <c r="AM14" s="24">
        <v>2130628</v>
      </c>
      <c r="AN14" s="24">
        <v>2188892</v>
      </c>
      <c r="AO14" s="24">
        <v>2236227</v>
      </c>
      <c r="AP14" s="24">
        <v>2282011</v>
      </c>
      <c r="AQ14" s="24">
        <v>2293332</v>
      </c>
      <c r="AR14" s="24">
        <v>2319739</v>
      </c>
      <c r="AS14" s="24">
        <v>2340697</v>
      </c>
      <c r="AT14" s="24">
        <v>2382224</v>
      </c>
      <c r="AU14" s="24">
        <v>2421124</v>
      </c>
      <c r="AV14" s="24">
        <v>2457942</v>
      </c>
      <c r="AW14" s="24">
        <v>2494130</v>
      </c>
      <c r="AX14" s="24">
        <v>2536360</v>
      </c>
      <c r="AY14" s="24">
        <v>2578098</v>
      </c>
      <c r="AZ14" s="24">
        <v>2616327</v>
      </c>
      <c r="BA14" s="24">
        <v>2660121</v>
      </c>
      <c r="BB14" s="24">
        <v>2486749</v>
      </c>
      <c r="BC14" s="24">
        <v>2607600</v>
      </c>
      <c r="BD14" s="24">
        <v>2680477</v>
      </c>
      <c r="BE14" s="24">
        <v>2722320</v>
      </c>
      <c r="BF14" s="24">
        <v>2785026</v>
      </c>
      <c r="BG14" s="25">
        <v>2839341</v>
      </c>
      <c r="BH14" s="25">
        <v>2881111</v>
      </c>
      <c r="BI14" s="25">
        <v>2916429</v>
      </c>
      <c r="BJ14" s="25">
        <v>2949480</v>
      </c>
      <c r="BK14" s="25">
        <v>2984114</v>
      </c>
      <c r="BL14" s="25">
        <v>3021213</v>
      </c>
      <c r="BM14" s="25">
        <v>3060781</v>
      </c>
      <c r="BN14" s="25">
        <v>3102499</v>
      </c>
      <c r="BO14" s="25">
        <v>3146720</v>
      </c>
      <c r="BP14" s="25">
        <v>3193112</v>
      </c>
      <c r="BQ14" s="25">
        <v>3240625</v>
      </c>
      <c r="BR14" s="25">
        <v>3289375</v>
      </c>
      <c r="BS14" s="25">
        <v>3339124</v>
      </c>
      <c r="BT14" s="25">
        <v>3389844</v>
      </c>
      <c r="BU14" s="25">
        <v>3441533</v>
      </c>
      <c r="BV14" s="25">
        <v>3494877</v>
      </c>
      <c r="BW14" s="25">
        <v>3550358</v>
      </c>
      <c r="BX14" s="25">
        <v>3607228</v>
      </c>
      <c r="BY14" s="25">
        <v>3663762</v>
      </c>
      <c r="BZ14" s="25">
        <v>3718705</v>
      </c>
      <c r="CA14" s="25">
        <v>3772176</v>
      </c>
      <c r="CB14" s="25">
        <v>3825352</v>
      </c>
      <c r="CC14" s="25">
        <v>3879208</v>
      </c>
      <c r="CD14" s="25">
        <v>3932860</v>
      </c>
      <c r="CE14" s="25">
        <v>3986404</v>
      </c>
      <c r="CF14" s="25">
        <v>4039312</v>
      </c>
      <c r="CG14" s="25">
        <v>4092009</v>
      </c>
      <c r="CH14" s="25">
        <v>4144264</v>
      </c>
      <c r="CI14" s="25">
        <v>4195756</v>
      </c>
      <c r="CJ14" s="25">
        <v>4247256</v>
      </c>
      <c r="CK14" s="25">
        <v>4298419</v>
      </c>
      <c r="CL14" s="25">
        <v>4349304</v>
      </c>
      <c r="CM14" s="25">
        <v>4400360</v>
      </c>
      <c r="CN14" s="25">
        <v>4451854</v>
      </c>
      <c r="CO14" s="25">
        <v>4503388</v>
      </c>
      <c r="CP14" s="25">
        <v>4555414</v>
      </c>
      <c r="CQ14" t="s">
        <v>249</v>
      </c>
      <c r="CR14" t="b">
        <v>0</v>
      </c>
      <c r="CS14" s="22" t="s">
        <v>242</v>
      </c>
      <c r="CT14" t="s">
        <v>230</v>
      </c>
      <c r="CU14">
        <v>2024</v>
      </c>
      <c r="CV14">
        <v>2</v>
      </c>
      <c r="CW14" s="23">
        <v>46057</v>
      </c>
      <c r="CX14" t="s">
        <v>288</v>
      </c>
      <c r="CY14" t="s">
        <v>230</v>
      </c>
      <c r="CZ14" t="s">
        <v>235</v>
      </c>
      <c r="DA14" t="s">
        <v>289</v>
      </c>
      <c r="DB14" t="s">
        <v>237</v>
      </c>
    </row>
    <row r="15" spans="1:106">
      <c r="A15" t="s">
        <v>227</v>
      </c>
      <c r="B15" t="s">
        <v>305</v>
      </c>
      <c r="C15" s="22" t="s">
        <v>498</v>
      </c>
      <c r="D15" t="s">
        <v>239</v>
      </c>
      <c r="E15" t="s">
        <v>256</v>
      </c>
      <c r="F15" t="s">
        <v>231</v>
      </c>
      <c r="G15" s="24">
        <v>2740</v>
      </c>
      <c r="H15" s="24">
        <v>4310</v>
      </c>
      <c r="I15" s="24">
        <v>7211</v>
      </c>
      <c r="J15" s="24">
        <v>7961</v>
      </c>
      <c r="K15" s="24">
        <v>5836</v>
      </c>
      <c r="L15" s="24">
        <v>8334</v>
      </c>
      <c r="M15" s="24">
        <v>9364</v>
      </c>
      <c r="N15" s="24">
        <v>10041</v>
      </c>
      <c r="O15" s="24">
        <v>8825</v>
      </c>
      <c r="P15" s="24">
        <v>7359</v>
      </c>
      <c r="Q15" s="24">
        <v>10582</v>
      </c>
      <c r="R15" s="24">
        <v>12423</v>
      </c>
      <c r="S15" s="24">
        <v>10563</v>
      </c>
      <c r="T15" s="24">
        <v>8957</v>
      </c>
      <c r="U15" s="24">
        <v>6930</v>
      </c>
      <c r="V15" s="24">
        <v>-3133</v>
      </c>
      <c r="W15" s="24">
        <v>-3117</v>
      </c>
      <c r="X15" s="24">
        <v>5268</v>
      </c>
      <c r="Y15" s="24">
        <v>19190</v>
      </c>
      <c r="Z15" s="24">
        <v>40168</v>
      </c>
      <c r="AA15" s="24">
        <v>51391</v>
      </c>
      <c r="AB15" s="24">
        <v>46482</v>
      </c>
      <c r="AC15" s="24">
        <v>39160</v>
      </c>
      <c r="AD15" s="24">
        <v>29840</v>
      </c>
      <c r="AE15" s="24">
        <v>19381</v>
      </c>
      <c r="AF15" s="24">
        <v>3875</v>
      </c>
      <c r="AG15" s="24">
        <v>-7654</v>
      </c>
      <c r="AH15" s="24">
        <v>-16426</v>
      </c>
      <c r="AI15" s="24">
        <v>-3107</v>
      </c>
      <c r="AJ15" s="24">
        <v>26201</v>
      </c>
      <c r="AK15" s="24">
        <v>46394</v>
      </c>
      <c r="AL15" s="24">
        <v>48574</v>
      </c>
      <c r="AM15" s="24">
        <v>48446</v>
      </c>
      <c r="AN15" s="24">
        <v>43613</v>
      </c>
      <c r="AO15" s="24">
        <v>41813</v>
      </c>
      <c r="AP15" s="24">
        <v>87979</v>
      </c>
      <c r="AQ15" s="24">
        <v>161020</v>
      </c>
      <c r="AR15" s="24">
        <v>148622</v>
      </c>
      <c r="AS15" s="24">
        <v>122164</v>
      </c>
      <c r="AT15" s="24">
        <v>130503</v>
      </c>
      <c r="AU15" s="24">
        <v>103611</v>
      </c>
      <c r="AV15" s="24">
        <v>104006</v>
      </c>
      <c r="AW15" s="24">
        <v>85620</v>
      </c>
      <c r="AX15" s="24">
        <v>67813</v>
      </c>
      <c r="AY15" s="24">
        <v>54621</v>
      </c>
      <c r="AZ15" s="24">
        <v>51027</v>
      </c>
      <c r="BA15" s="24">
        <v>49621</v>
      </c>
      <c r="BB15" s="24">
        <v>269956</v>
      </c>
      <c r="BC15" s="24">
        <v>161177</v>
      </c>
      <c r="BD15" s="24">
        <v>107926</v>
      </c>
      <c r="BE15" s="24">
        <v>143180</v>
      </c>
      <c r="BF15" s="24">
        <v>152010</v>
      </c>
      <c r="BG15" s="24">
        <v>151924</v>
      </c>
      <c r="BH15" s="25">
        <v>122088.6</v>
      </c>
      <c r="BI15" s="25">
        <v>108248.7</v>
      </c>
      <c r="BJ15" s="25">
        <v>95428.07</v>
      </c>
      <c r="BK15" s="25">
        <v>92911.29</v>
      </c>
      <c r="BL15" s="25">
        <v>87069.52</v>
      </c>
      <c r="BM15" s="25">
        <v>92512.24</v>
      </c>
      <c r="BN15" s="25">
        <v>103983.7</v>
      </c>
      <c r="BO15" s="25">
        <v>116128.1</v>
      </c>
      <c r="BP15" s="25">
        <v>129051.8</v>
      </c>
      <c r="BQ15" s="25">
        <v>142776.4</v>
      </c>
      <c r="BR15" s="25">
        <v>154683.70000000001</v>
      </c>
      <c r="BS15" s="25">
        <v>167285.29999999999</v>
      </c>
      <c r="BT15" s="25">
        <v>180625.9</v>
      </c>
      <c r="BU15" s="25">
        <v>194777.2</v>
      </c>
      <c r="BV15" s="25">
        <v>209809.7</v>
      </c>
      <c r="BW15" s="25">
        <v>217839.8</v>
      </c>
      <c r="BX15" s="25">
        <v>226081.5</v>
      </c>
      <c r="BY15" s="25">
        <v>234613.2</v>
      </c>
      <c r="BZ15" s="25">
        <v>243323.2</v>
      </c>
      <c r="CA15" s="25">
        <v>252202.2</v>
      </c>
      <c r="CB15" s="25">
        <v>261321.60000000001</v>
      </c>
      <c r="CC15" s="25">
        <v>270765.90000000002</v>
      </c>
      <c r="CD15" s="25">
        <v>280486.5</v>
      </c>
      <c r="CE15" s="25">
        <v>290503</v>
      </c>
      <c r="CF15" s="25">
        <v>300779.7</v>
      </c>
      <c r="CG15" s="25">
        <v>311357.2</v>
      </c>
      <c r="CH15" s="25">
        <v>322227.20000000001</v>
      </c>
      <c r="CI15" s="25">
        <v>333360.8</v>
      </c>
      <c r="CJ15" s="25">
        <v>344828.3</v>
      </c>
      <c r="CK15" s="25">
        <v>356615.2</v>
      </c>
      <c r="CL15" s="25">
        <v>368726.9</v>
      </c>
      <c r="CM15" s="25">
        <v>381207.8</v>
      </c>
      <c r="CN15" s="25">
        <v>394102.6</v>
      </c>
      <c r="CO15" s="25">
        <v>407385</v>
      </c>
      <c r="CP15" s="25">
        <v>421105.1</v>
      </c>
      <c r="CQ15" t="s">
        <v>241</v>
      </c>
      <c r="CR15" t="b">
        <v>0</v>
      </c>
      <c r="CS15" t="s">
        <v>230</v>
      </c>
      <c r="CT15" t="s">
        <v>230</v>
      </c>
      <c r="CU15">
        <v>2025</v>
      </c>
      <c r="CV15">
        <v>4</v>
      </c>
      <c r="CW15" s="23">
        <v>46057</v>
      </c>
      <c r="CX15" s="22" t="s">
        <v>290</v>
      </c>
      <c r="CY15" t="s">
        <v>291</v>
      </c>
      <c r="CZ15" t="s">
        <v>235</v>
      </c>
      <c r="DA15" t="s">
        <v>306</v>
      </c>
      <c r="DB15" t="s">
        <v>237</v>
      </c>
    </row>
    <row r="16" spans="1:106">
      <c r="A16" t="s">
        <v>227</v>
      </c>
      <c r="B16" t="s">
        <v>292</v>
      </c>
      <c r="C16" s="22" t="s">
        <v>498</v>
      </c>
      <c r="D16" t="s">
        <v>293</v>
      </c>
      <c r="E16" t="s">
        <v>230</v>
      </c>
      <c r="F16" t="s">
        <v>231</v>
      </c>
      <c r="G16" s="24">
        <v>-1.838973</v>
      </c>
      <c r="H16" s="24">
        <v>-1.8429709999999999</v>
      </c>
      <c r="I16" s="24">
        <v>-1.8469770000000001</v>
      </c>
      <c r="J16" s="24">
        <v>-1.850992</v>
      </c>
      <c r="K16" s="24">
        <v>-1.8550150000000001</v>
      </c>
      <c r="L16" s="24">
        <v>-1.8527149999999999</v>
      </c>
      <c r="M16" s="24">
        <v>-1.839917</v>
      </c>
      <c r="N16" s="24">
        <v>-1.827207</v>
      </c>
      <c r="O16" s="24">
        <v>-1.8145849999999999</v>
      </c>
      <c r="P16" s="24">
        <v>-1.8020510000000001</v>
      </c>
      <c r="Q16" s="24">
        <v>-1.7896030000000001</v>
      </c>
      <c r="R16" s="24">
        <v>-1.7772410000000001</v>
      </c>
      <c r="S16" s="24">
        <v>-1.764964</v>
      </c>
      <c r="T16" s="24">
        <v>-1.7529060000000001</v>
      </c>
      <c r="U16" s="24">
        <v>-1.7414620000000001</v>
      </c>
      <c r="V16" s="24">
        <v>-1.730137</v>
      </c>
      <c r="W16" s="24">
        <v>-1.718885</v>
      </c>
      <c r="X16" s="24">
        <v>-1.7077070000000001</v>
      </c>
      <c r="Y16" s="24">
        <v>-1.696601</v>
      </c>
      <c r="Z16" s="24">
        <v>-1.685568</v>
      </c>
      <c r="AA16" s="24">
        <v>-1.674606</v>
      </c>
      <c r="AB16" s="24">
        <v>-1.663716</v>
      </c>
      <c r="AC16" s="24">
        <v>-1.6528959999999999</v>
      </c>
      <c r="AD16" s="24">
        <v>-1.642147</v>
      </c>
      <c r="AE16" s="24">
        <v>-1.6323510000000001</v>
      </c>
      <c r="AF16" s="24">
        <v>-1.6261380000000001</v>
      </c>
      <c r="AG16" s="24">
        <v>-1.620242</v>
      </c>
      <c r="AH16" s="24">
        <v>-1.6143670000000001</v>
      </c>
      <c r="AI16" s="24">
        <v>-1.6085130000000001</v>
      </c>
      <c r="AJ16" s="24">
        <v>-1.602681</v>
      </c>
      <c r="AK16" s="24">
        <v>-1.59687</v>
      </c>
      <c r="AL16" s="24">
        <v>-1.59108</v>
      </c>
      <c r="AM16" s="24">
        <v>-1.5853109999999999</v>
      </c>
      <c r="AN16" s="24">
        <v>-1.5795630000000001</v>
      </c>
      <c r="AO16" s="24">
        <v>-1.5770169999999999</v>
      </c>
      <c r="AP16" s="24">
        <v>-1.5771360000000001</v>
      </c>
      <c r="AQ16" s="24">
        <v>-1.577942</v>
      </c>
      <c r="AR16" s="24">
        <v>-1.578457</v>
      </c>
      <c r="AS16" s="24">
        <v>-1.579189</v>
      </c>
      <c r="AT16" s="24">
        <v>-1.579922</v>
      </c>
      <c r="AU16" s="24">
        <v>-1.5806549999999999</v>
      </c>
      <c r="AV16" s="24">
        <v>-1.581388</v>
      </c>
      <c r="AW16" s="24">
        <v>-1.5821210000000001</v>
      </c>
      <c r="AX16" s="24">
        <v>-1.5828549999999999</v>
      </c>
      <c r="AY16" s="24">
        <v>-1.5835900000000001</v>
      </c>
      <c r="AZ16" s="24">
        <v>-1.5843240000000001</v>
      </c>
      <c r="BA16" s="24">
        <v>-1.585059</v>
      </c>
      <c r="BB16" s="24">
        <v>-1.589898</v>
      </c>
      <c r="BC16" s="24">
        <v>-1.5941719999999999</v>
      </c>
      <c r="BD16" s="24">
        <v>-1.594949</v>
      </c>
      <c r="BE16" s="24">
        <v>-1.5955269999999999</v>
      </c>
      <c r="BF16" s="24">
        <v>-1.5958669999999999</v>
      </c>
      <c r="BG16" s="25">
        <v>-1.5961860000000001</v>
      </c>
      <c r="BH16" s="25">
        <v>-1.596306</v>
      </c>
      <c r="BI16" s="25">
        <v>-1.5960460000000001</v>
      </c>
      <c r="BJ16" s="25">
        <v>-1.595229</v>
      </c>
      <c r="BK16" s="25">
        <v>-1.5940129999999999</v>
      </c>
      <c r="BL16" s="25">
        <v>-1.5921799999999999</v>
      </c>
      <c r="BM16" s="25">
        <v>-1.5897140000000001</v>
      </c>
      <c r="BN16" s="25">
        <v>-1.5865929999999999</v>
      </c>
      <c r="BO16" s="25">
        <v>-1.582805</v>
      </c>
      <c r="BP16" s="25">
        <v>-1.578516</v>
      </c>
      <c r="BQ16" s="25">
        <v>-1.573904</v>
      </c>
      <c r="BR16" s="25">
        <v>-1.569188</v>
      </c>
      <c r="BS16" s="25">
        <v>-1.564486</v>
      </c>
      <c r="BT16" s="25">
        <v>-1.5597970000000001</v>
      </c>
      <c r="BU16" s="25">
        <v>-1.555124</v>
      </c>
      <c r="BV16" s="25">
        <v>-1.5502689999999999</v>
      </c>
      <c r="BW16" s="25">
        <v>-1.5453140000000001</v>
      </c>
      <c r="BX16" s="25">
        <v>-1.540375</v>
      </c>
      <c r="BY16" s="25">
        <v>-1.535452</v>
      </c>
      <c r="BZ16" s="25">
        <v>-1.530545</v>
      </c>
      <c r="CA16" s="25">
        <v>-1.5256529999999999</v>
      </c>
      <c r="CB16" s="25">
        <v>-1.5207759999999999</v>
      </c>
      <c r="CC16" s="25">
        <v>-1.515916</v>
      </c>
      <c r="CD16" s="25">
        <v>-1.5110710000000001</v>
      </c>
      <c r="CE16" s="25">
        <v>-1.5062409999999999</v>
      </c>
      <c r="CF16" s="25">
        <v>-1.5014270000000001</v>
      </c>
      <c r="CG16" s="25">
        <v>-1.4966280000000001</v>
      </c>
      <c r="CH16" s="25">
        <v>-1.4918450000000001</v>
      </c>
      <c r="CI16" s="25">
        <v>-1.4870760000000001</v>
      </c>
      <c r="CJ16" s="25">
        <v>-1.4823230000000001</v>
      </c>
      <c r="CK16" s="25">
        <v>-1.4775860000000001</v>
      </c>
      <c r="CL16" s="25">
        <v>-1.472863</v>
      </c>
      <c r="CM16" s="25">
        <v>-1.468156</v>
      </c>
      <c r="CN16" s="25">
        <v>-1.463463</v>
      </c>
      <c r="CO16" s="25">
        <v>-1.4587859999999999</v>
      </c>
      <c r="CP16" s="25">
        <v>-1.4541230000000001</v>
      </c>
      <c r="CQ16" t="s">
        <v>273</v>
      </c>
      <c r="CR16" t="b">
        <v>0</v>
      </c>
      <c r="CS16" t="s">
        <v>230</v>
      </c>
      <c r="CT16" t="s">
        <v>230</v>
      </c>
      <c r="CU16">
        <v>2024</v>
      </c>
      <c r="CV16">
        <v>2</v>
      </c>
      <c r="CW16" s="23">
        <v>46057</v>
      </c>
      <c r="CX16" s="22" t="s">
        <v>294</v>
      </c>
      <c r="CY16" t="s">
        <v>230</v>
      </c>
      <c r="CZ16" t="s">
        <v>235</v>
      </c>
      <c r="DA16" t="s">
        <v>295</v>
      </c>
      <c r="DB16" t="s">
        <v>237</v>
      </c>
    </row>
    <row r="17" spans="1:106">
      <c r="A17" t="s">
        <v>227</v>
      </c>
      <c r="B17" t="s">
        <v>296</v>
      </c>
      <c r="C17" s="22" t="s">
        <v>498</v>
      </c>
      <c r="D17" t="s">
        <v>269</v>
      </c>
      <c r="E17" t="s">
        <v>230</v>
      </c>
      <c r="F17" t="s">
        <v>231</v>
      </c>
      <c r="G17" s="24">
        <v>3.65</v>
      </c>
      <c r="H17" s="24">
        <v>3.65</v>
      </c>
      <c r="I17" s="24">
        <v>4.5</v>
      </c>
      <c r="J17" s="24">
        <v>5.4249999999999998</v>
      </c>
      <c r="K17" s="24">
        <v>5.6</v>
      </c>
      <c r="L17" s="24">
        <v>5.5250000000000004</v>
      </c>
      <c r="M17" s="24">
        <v>5.4</v>
      </c>
      <c r="N17" s="24">
        <v>6.8</v>
      </c>
      <c r="O17" s="24">
        <v>9.65</v>
      </c>
      <c r="P17" s="24">
        <v>10.725</v>
      </c>
      <c r="Q17" s="24">
        <v>11.475</v>
      </c>
      <c r="R17" s="24">
        <v>11.75</v>
      </c>
      <c r="S17" s="24">
        <v>11.375</v>
      </c>
      <c r="T17" s="24">
        <v>11.324999999999999</v>
      </c>
      <c r="U17" s="24">
        <v>10.425000000000001</v>
      </c>
      <c r="V17" s="24">
        <v>8.5749999999999993</v>
      </c>
      <c r="W17" s="24">
        <v>7.2249999999999996</v>
      </c>
      <c r="X17" s="24">
        <v>7.1</v>
      </c>
      <c r="Y17" s="24">
        <v>8.85</v>
      </c>
      <c r="Z17" s="24">
        <v>9.9499999999999993</v>
      </c>
      <c r="AA17" s="24">
        <v>10.375</v>
      </c>
      <c r="AB17" s="24">
        <v>9.5</v>
      </c>
      <c r="AC17" s="24">
        <v>8.625</v>
      </c>
      <c r="AD17" s="24">
        <v>8.1</v>
      </c>
      <c r="AE17" s="24">
        <v>6.95</v>
      </c>
      <c r="AF17" s="24">
        <v>6.25</v>
      </c>
      <c r="AG17" s="24">
        <v>5.9749999999999996</v>
      </c>
      <c r="AH17" s="24">
        <v>5.45</v>
      </c>
      <c r="AI17" s="24">
        <v>5.0999999999999996</v>
      </c>
      <c r="AJ17" s="24">
        <v>5.2</v>
      </c>
      <c r="AK17" s="24">
        <v>5</v>
      </c>
      <c r="AL17" s="24">
        <v>4.75</v>
      </c>
      <c r="AM17" s="24">
        <v>4.8250000000000002</v>
      </c>
      <c r="AN17" s="24">
        <v>5.4249999999999998</v>
      </c>
      <c r="AO17" s="24">
        <v>5.35</v>
      </c>
      <c r="AP17" s="24">
        <v>5.7249999999999996</v>
      </c>
      <c r="AQ17" s="24">
        <v>7.625</v>
      </c>
      <c r="AR17" s="24">
        <v>7.9</v>
      </c>
      <c r="AS17" s="24">
        <v>8.1</v>
      </c>
      <c r="AT17" s="24">
        <v>7.95</v>
      </c>
      <c r="AU17" s="24">
        <v>7.5750000000000002</v>
      </c>
      <c r="AV17" s="24">
        <v>6.1749999999999998</v>
      </c>
      <c r="AW17" s="24">
        <v>5.375</v>
      </c>
      <c r="AX17" s="24">
        <v>4.875</v>
      </c>
      <c r="AY17" s="24">
        <v>4.4249999999999998</v>
      </c>
      <c r="AZ17" s="24">
        <v>4.0750000000000002</v>
      </c>
      <c r="BA17" s="24">
        <v>3.8250000000000002</v>
      </c>
      <c r="BB17" s="24">
        <v>4.625</v>
      </c>
      <c r="BC17" s="24">
        <v>4.55</v>
      </c>
      <c r="BD17" s="24">
        <v>3.8</v>
      </c>
      <c r="BE17" s="24">
        <v>4.05</v>
      </c>
      <c r="BF17" s="24">
        <v>4.3</v>
      </c>
      <c r="BG17" s="24">
        <v>4.8223479999999999</v>
      </c>
      <c r="BH17" s="25">
        <v>5.1673280000000004</v>
      </c>
      <c r="BI17" s="25">
        <v>4.9704269999999999</v>
      </c>
      <c r="BJ17" s="25">
        <v>4.6821590000000004</v>
      </c>
      <c r="BK17" s="25">
        <v>4.471292</v>
      </c>
      <c r="BL17" s="25">
        <v>4.318524</v>
      </c>
      <c r="BM17" s="25">
        <v>4.1411490000000004</v>
      </c>
      <c r="BN17" s="25">
        <v>4.0312780000000004</v>
      </c>
      <c r="BO17" s="25">
        <v>4.0000020000000003</v>
      </c>
      <c r="BP17" s="25">
        <v>3.9999910000000001</v>
      </c>
      <c r="BQ17" s="25">
        <v>4.0000099999999996</v>
      </c>
      <c r="BR17" s="25">
        <v>4.0000049999999998</v>
      </c>
      <c r="BS17" s="25">
        <v>4.0000099999999996</v>
      </c>
      <c r="BT17" s="25">
        <v>4.000006</v>
      </c>
      <c r="BU17" s="25">
        <v>4.0000010000000001</v>
      </c>
      <c r="BV17" s="25">
        <v>4.0000010000000001</v>
      </c>
      <c r="BW17" s="25">
        <v>3.999997</v>
      </c>
      <c r="BX17" s="25">
        <v>4.0000109999999998</v>
      </c>
      <c r="BY17" s="25">
        <v>4.0000010000000001</v>
      </c>
      <c r="BZ17" s="25">
        <v>4.0000010000000001</v>
      </c>
      <c r="CA17" s="25">
        <v>4.0000010000000001</v>
      </c>
      <c r="CB17" s="25">
        <v>4.0000020000000003</v>
      </c>
      <c r="CC17" s="25">
        <v>3.9999950000000002</v>
      </c>
      <c r="CD17" s="25">
        <v>4.0000039999999997</v>
      </c>
      <c r="CE17" s="25">
        <v>4.0000020000000003</v>
      </c>
      <c r="CF17" s="25">
        <v>4</v>
      </c>
      <c r="CG17" s="25">
        <v>3.999994</v>
      </c>
      <c r="CH17" s="25">
        <v>3.9999889999999998</v>
      </c>
      <c r="CI17" s="25">
        <v>3.9999980000000002</v>
      </c>
      <c r="CJ17" s="25">
        <v>3.999997</v>
      </c>
      <c r="CK17" s="25">
        <v>3.9999950000000002</v>
      </c>
      <c r="CL17" s="25">
        <v>4.0000039999999997</v>
      </c>
      <c r="CM17" s="25">
        <v>4.0000109999999998</v>
      </c>
      <c r="CN17" s="25">
        <v>4.0000030000000004</v>
      </c>
      <c r="CO17" s="25">
        <v>3.9999989999999999</v>
      </c>
      <c r="CP17" s="25">
        <v>3.9999980000000002</v>
      </c>
      <c r="CQ17" t="s">
        <v>241</v>
      </c>
      <c r="CR17" t="b">
        <v>1</v>
      </c>
      <c r="CS17" t="s">
        <v>230</v>
      </c>
      <c r="CT17" t="s">
        <v>230</v>
      </c>
      <c r="CU17">
        <v>2025</v>
      </c>
      <c r="CV17">
        <v>3</v>
      </c>
      <c r="CW17" s="23">
        <v>46057</v>
      </c>
      <c r="CX17" t="s">
        <v>297</v>
      </c>
      <c r="CY17" s="22" t="s">
        <v>298</v>
      </c>
      <c r="CZ17" t="s">
        <v>235</v>
      </c>
      <c r="DA17" t="s">
        <v>299</v>
      </c>
      <c r="DB17" t="s">
        <v>237</v>
      </c>
    </row>
    <row r="18" spans="1:106">
      <c r="A18" t="s">
        <v>227</v>
      </c>
      <c r="B18" t="s">
        <v>300</v>
      </c>
      <c r="C18" s="22" t="s">
        <v>498</v>
      </c>
      <c r="D18" t="s">
        <v>301</v>
      </c>
      <c r="E18" t="s">
        <v>230</v>
      </c>
      <c r="F18" t="s">
        <v>231</v>
      </c>
      <c r="G18" s="24">
        <v>286021.40000000002</v>
      </c>
      <c r="H18" s="24">
        <v>288869</v>
      </c>
      <c r="I18" s="24">
        <v>291532.5</v>
      </c>
      <c r="J18" s="24">
        <v>293842.90000000002</v>
      </c>
      <c r="K18" s="24">
        <v>295875.20000000001</v>
      </c>
      <c r="L18" s="24">
        <v>297883.09999999998</v>
      </c>
      <c r="M18" s="24">
        <v>300120.3</v>
      </c>
      <c r="N18" s="24">
        <v>306731.3</v>
      </c>
      <c r="O18" s="24">
        <v>309382.7</v>
      </c>
      <c r="P18" s="24">
        <v>311708.90000000002</v>
      </c>
      <c r="Q18" s="24">
        <v>314668.79999999999</v>
      </c>
      <c r="R18" s="24">
        <v>318382.59999999998</v>
      </c>
      <c r="S18" s="24">
        <v>322872.09999999998</v>
      </c>
      <c r="T18" s="24">
        <v>327826.40000000002</v>
      </c>
      <c r="U18" s="24">
        <v>332272.40000000002</v>
      </c>
      <c r="V18" s="24">
        <v>336945.5</v>
      </c>
      <c r="W18" s="24">
        <v>341767.8</v>
      </c>
      <c r="X18" s="24">
        <v>346213.4</v>
      </c>
      <c r="Y18" s="24">
        <v>350307.5</v>
      </c>
      <c r="Z18" s="24">
        <v>353919.6</v>
      </c>
      <c r="AA18" s="24">
        <v>357272.1</v>
      </c>
      <c r="AB18" s="24">
        <v>360583.8</v>
      </c>
      <c r="AC18" s="24">
        <v>363847.5</v>
      </c>
      <c r="AD18" s="24">
        <v>366199.2</v>
      </c>
      <c r="AE18" s="24">
        <v>368101.4</v>
      </c>
      <c r="AF18" s="24">
        <v>370531.5</v>
      </c>
      <c r="AG18" s="24">
        <v>375183.3</v>
      </c>
      <c r="AH18" s="24">
        <v>383089.9</v>
      </c>
      <c r="AI18" s="24">
        <v>395262.5</v>
      </c>
      <c r="AJ18" s="24">
        <v>410903.6</v>
      </c>
      <c r="AK18" s="24">
        <v>428210.7</v>
      </c>
      <c r="AL18" s="24">
        <v>445699.5</v>
      </c>
      <c r="AM18" s="24">
        <v>462180.4</v>
      </c>
      <c r="AN18" s="24">
        <v>476476.1</v>
      </c>
      <c r="AO18" s="24">
        <v>489499.2</v>
      </c>
      <c r="AP18" s="24">
        <v>500453.1</v>
      </c>
      <c r="AQ18" s="24">
        <v>509276.2</v>
      </c>
      <c r="AR18" s="24">
        <v>516794.4</v>
      </c>
      <c r="AS18" s="25">
        <v>523986.6</v>
      </c>
      <c r="AT18" s="25">
        <v>528582.9</v>
      </c>
      <c r="AU18" s="25">
        <v>533883.19999999995</v>
      </c>
      <c r="AV18" s="25">
        <v>539979</v>
      </c>
      <c r="AW18" s="25">
        <v>546596.80000000005</v>
      </c>
      <c r="AX18" s="25">
        <v>553279.6</v>
      </c>
      <c r="AY18" s="25">
        <v>559022.5</v>
      </c>
      <c r="AZ18" s="25">
        <v>564875.5</v>
      </c>
      <c r="BA18" s="25">
        <v>570674.4</v>
      </c>
      <c r="BB18" s="25">
        <v>575664.80000000005</v>
      </c>
      <c r="BC18" s="25">
        <v>582053.80000000005</v>
      </c>
      <c r="BD18" s="25">
        <v>591449.80000000005</v>
      </c>
      <c r="BE18" s="25">
        <v>603143.5</v>
      </c>
      <c r="BF18" s="25">
        <v>613184.9</v>
      </c>
      <c r="BG18" s="25">
        <v>619001.5</v>
      </c>
      <c r="BH18" s="25">
        <v>622970.9</v>
      </c>
      <c r="BI18" s="25">
        <v>627020.9</v>
      </c>
      <c r="BJ18" s="25">
        <v>630937.1</v>
      </c>
      <c r="BK18" s="25">
        <v>634689</v>
      </c>
      <c r="BL18" s="25">
        <v>638252.19999999995</v>
      </c>
      <c r="BM18" s="25">
        <v>641890.80000000005</v>
      </c>
      <c r="BN18" s="25">
        <v>645735.19999999995</v>
      </c>
      <c r="BO18" s="25">
        <v>649382.6</v>
      </c>
      <c r="BP18" s="25">
        <v>652741.4</v>
      </c>
      <c r="BQ18" s="25">
        <v>655856.6</v>
      </c>
      <c r="BR18" s="25">
        <v>658802.4</v>
      </c>
      <c r="BS18" s="25">
        <v>661344.30000000005</v>
      </c>
      <c r="BT18" s="25">
        <v>664192.19999999995</v>
      </c>
      <c r="BU18" s="25">
        <v>667045.80000000005</v>
      </c>
      <c r="BV18" s="25">
        <v>670206.30000000005</v>
      </c>
      <c r="BW18" s="25">
        <v>673555.8</v>
      </c>
      <c r="BX18" s="25">
        <v>677117.5</v>
      </c>
      <c r="BY18" s="25">
        <v>680823.2</v>
      </c>
      <c r="BZ18" s="25">
        <v>684201.1</v>
      </c>
      <c r="CA18" s="25">
        <v>686790.8</v>
      </c>
      <c r="CB18" s="25">
        <v>688888.8</v>
      </c>
      <c r="CC18" s="25">
        <v>690924</v>
      </c>
      <c r="CD18" s="25">
        <v>692966.1</v>
      </c>
      <c r="CE18" s="25">
        <v>694890.4</v>
      </c>
      <c r="CF18" s="25">
        <v>696661.2</v>
      </c>
      <c r="CG18" s="25">
        <v>698040.1</v>
      </c>
      <c r="CH18" s="25">
        <v>699264.5</v>
      </c>
      <c r="CI18" s="25">
        <v>700274.5</v>
      </c>
      <c r="CJ18" s="25">
        <v>700972.5</v>
      </c>
      <c r="CK18" s="25">
        <v>701641.6</v>
      </c>
      <c r="CL18" s="25">
        <v>702116.8</v>
      </c>
      <c r="CM18" s="25">
        <v>702420.5</v>
      </c>
      <c r="CN18" s="25">
        <v>702752.2</v>
      </c>
      <c r="CO18" s="25">
        <v>703197.1</v>
      </c>
      <c r="CP18" s="25">
        <v>703536.3</v>
      </c>
      <c r="CQ18" s="22" t="s">
        <v>302</v>
      </c>
      <c r="CR18" t="b">
        <v>0</v>
      </c>
      <c r="CS18" t="s">
        <v>230</v>
      </c>
      <c r="CT18" t="s">
        <v>230</v>
      </c>
      <c r="CU18">
        <v>2010</v>
      </c>
      <c r="CV18">
        <v>4</v>
      </c>
      <c r="CW18" s="23">
        <v>46057</v>
      </c>
      <c r="CX18" s="22" t="s">
        <v>303</v>
      </c>
      <c r="CY18" t="s">
        <v>230</v>
      </c>
      <c r="CZ18" t="s">
        <v>235</v>
      </c>
      <c r="DA18" t="s">
        <v>304</v>
      </c>
      <c r="DB18" t="s">
        <v>237</v>
      </c>
    </row>
  </sheetData>
  <pageMargins left="0.7" right="0.7" top="0.75" bottom="0.75" header="0.3" footer="0.3"/>
  <customProperties>
    <customPr name="Commands" r:id="rId1"/>
    <customPr name="PostPullCommands" r:id="rId2"/>
    <customPr name="WorksheetId" r:id="rId3"/>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EB417-8246-4DA1-A595-4FAFD542CA16}">
  <dimension ref="A1:CY57"/>
  <sheetViews>
    <sheetView topLeftCell="AM1" workbookViewId="0">
      <selection activeCell="AU27" sqref="AU27"/>
    </sheetView>
  </sheetViews>
  <sheetFormatPr defaultColWidth="9.5703125" defaultRowHeight="12.75"/>
  <cols>
    <col min="1" max="1" width="40.28515625" style="57" customWidth="1"/>
    <col min="2" max="2" width="15.28515625" style="57" customWidth="1"/>
    <col min="3" max="3" width="15" style="57" customWidth="1"/>
    <col min="4" max="102" width="12.140625" style="57" customWidth="1"/>
    <col min="103" max="103" width="9.5703125" style="57" customWidth="1"/>
    <col min="104" max="16384" width="9.5703125" style="57"/>
  </cols>
  <sheetData>
    <row r="1" spans="1:103" s="39" customFormat="1" ht="28.7" customHeight="1">
      <c r="A1" s="38" t="s">
        <v>331</v>
      </c>
    </row>
    <row r="2" spans="1:103" s="39" customFormat="1" ht="15.6" customHeight="1">
      <c r="A2" s="40" t="s">
        <v>332</v>
      </c>
    </row>
    <row r="3" spans="1:103" s="39" customFormat="1" ht="15.6" customHeight="1">
      <c r="A3" s="40" t="s">
        <v>333</v>
      </c>
    </row>
    <row r="4" spans="1:103" s="39" customFormat="1" ht="13.7" customHeight="1">
      <c r="A4" s="41" t="s">
        <v>334</v>
      </c>
    </row>
    <row r="5" spans="1:103" s="39" customFormat="1" ht="13.7" customHeight="1">
      <c r="A5" s="41" t="s">
        <v>335</v>
      </c>
    </row>
    <row r="6" spans="1:103" s="39" customFormat="1" ht="28.7" customHeight="1">
      <c r="A6" s="42" t="s">
        <v>336</v>
      </c>
    </row>
    <row r="7" spans="1:103" s="45" customFormat="1" ht="15.6" customHeight="1">
      <c r="A7" s="43" t="s">
        <v>337</v>
      </c>
      <c r="B7" s="44" t="s">
        <v>338</v>
      </c>
      <c r="C7" s="44" t="s">
        <v>177</v>
      </c>
      <c r="D7" s="44" t="s">
        <v>178</v>
      </c>
      <c r="E7" s="44" t="s">
        <v>179</v>
      </c>
      <c r="F7" s="44" t="s">
        <v>180</v>
      </c>
      <c r="G7" s="44" t="s">
        <v>181</v>
      </c>
      <c r="H7" s="44" t="s">
        <v>182</v>
      </c>
      <c r="I7" s="44" t="s">
        <v>183</v>
      </c>
      <c r="J7" s="44" t="s">
        <v>184</v>
      </c>
      <c r="K7" s="44" t="s">
        <v>185</v>
      </c>
      <c r="L7" s="44" t="s">
        <v>186</v>
      </c>
      <c r="M7" s="44" t="s">
        <v>187</v>
      </c>
      <c r="N7" s="44" t="s">
        <v>188</v>
      </c>
      <c r="O7" s="44" t="s">
        <v>189</v>
      </c>
      <c r="P7" s="44" t="s">
        <v>190</v>
      </c>
      <c r="Q7" s="44" t="s">
        <v>191</v>
      </c>
      <c r="R7" s="44" t="s">
        <v>192</v>
      </c>
      <c r="S7" s="44" t="s">
        <v>193</v>
      </c>
      <c r="T7" s="44" t="s">
        <v>194</v>
      </c>
      <c r="U7" s="44" t="s">
        <v>195</v>
      </c>
      <c r="V7" s="44" t="s">
        <v>196</v>
      </c>
      <c r="W7" s="44" t="s">
        <v>197</v>
      </c>
      <c r="X7" s="44" t="s">
        <v>198</v>
      </c>
      <c r="Y7" s="44" t="s">
        <v>199</v>
      </c>
      <c r="Z7" s="44" t="s">
        <v>200</v>
      </c>
      <c r="AA7" s="44" t="s">
        <v>201</v>
      </c>
      <c r="AB7" s="44" t="s">
        <v>202</v>
      </c>
      <c r="AC7" s="44" t="s">
        <v>203</v>
      </c>
      <c r="AD7" s="44" t="s">
        <v>204</v>
      </c>
      <c r="AE7" s="44" t="s">
        <v>205</v>
      </c>
      <c r="AF7" s="44" t="s">
        <v>206</v>
      </c>
      <c r="AG7" s="44" t="s">
        <v>207</v>
      </c>
      <c r="AH7" s="44" t="s">
        <v>208</v>
      </c>
      <c r="AI7" s="44" t="s">
        <v>209</v>
      </c>
      <c r="AJ7" s="44" t="s">
        <v>210</v>
      </c>
      <c r="AK7" s="44" t="s">
        <v>211</v>
      </c>
      <c r="AL7" s="44" t="s">
        <v>212</v>
      </c>
      <c r="AM7" s="44" t="s">
        <v>213</v>
      </c>
      <c r="AN7" s="44" t="s">
        <v>214</v>
      </c>
      <c r="AO7" s="44" t="s">
        <v>339</v>
      </c>
      <c r="AP7" s="44" t="s">
        <v>340</v>
      </c>
      <c r="AQ7" s="44" t="s">
        <v>341</v>
      </c>
      <c r="AR7" s="44" t="s">
        <v>342</v>
      </c>
      <c r="AS7" s="44" t="s">
        <v>343</v>
      </c>
      <c r="AT7" s="44" t="s">
        <v>344</v>
      </c>
      <c r="AU7" s="44" t="s">
        <v>345</v>
      </c>
      <c r="AV7" s="44" t="s">
        <v>346</v>
      </c>
      <c r="AW7" s="44" t="s">
        <v>347</v>
      </c>
      <c r="AX7" s="44" t="s">
        <v>348</v>
      </c>
      <c r="AY7" s="44" t="s">
        <v>349</v>
      </c>
      <c r="AZ7" s="44" t="s">
        <v>350</v>
      </c>
      <c r="BA7" s="44" t="s">
        <v>351</v>
      </c>
      <c r="BB7" s="44" t="s">
        <v>352</v>
      </c>
      <c r="BC7" s="44" t="s">
        <v>353</v>
      </c>
      <c r="BD7" s="44" t="s">
        <v>354</v>
      </c>
      <c r="BE7" s="44" t="s">
        <v>355</v>
      </c>
      <c r="BF7" s="44" t="s">
        <v>356</v>
      </c>
      <c r="BG7" s="44" t="s">
        <v>357</v>
      </c>
      <c r="BH7" s="44" t="s">
        <v>358</v>
      </c>
      <c r="BI7" s="44" t="s">
        <v>359</v>
      </c>
      <c r="BJ7" s="44" t="s">
        <v>360</v>
      </c>
      <c r="BK7" s="44" t="s">
        <v>361</v>
      </c>
      <c r="BL7" s="44" t="s">
        <v>362</v>
      </c>
      <c r="BM7" s="44" t="s">
        <v>363</v>
      </c>
      <c r="BN7" s="44" t="s">
        <v>364</v>
      </c>
      <c r="BO7" s="44" t="s">
        <v>365</v>
      </c>
      <c r="BP7" s="44" t="s">
        <v>366</v>
      </c>
      <c r="BQ7" s="44" t="s">
        <v>367</v>
      </c>
      <c r="BR7" s="44" t="s">
        <v>368</v>
      </c>
      <c r="BS7" s="44" t="s">
        <v>369</v>
      </c>
      <c r="BT7" s="44" t="s">
        <v>370</v>
      </c>
      <c r="BU7" s="44" t="s">
        <v>371</v>
      </c>
      <c r="BV7" s="44" t="s">
        <v>372</v>
      </c>
      <c r="BW7" s="44" t="s">
        <v>373</v>
      </c>
      <c r="BX7" s="44" t="s">
        <v>374</v>
      </c>
      <c r="BY7" s="44" t="s">
        <v>375</v>
      </c>
      <c r="BZ7" s="44" t="s">
        <v>376</v>
      </c>
      <c r="CA7" s="44" t="s">
        <v>377</v>
      </c>
      <c r="CB7" s="44" t="s">
        <v>378</v>
      </c>
      <c r="CC7" s="44" t="s">
        <v>379</v>
      </c>
      <c r="CD7" s="44" t="s">
        <v>380</v>
      </c>
      <c r="CE7" s="44" t="s">
        <v>381</v>
      </c>
      <c r="CF7" s="44" t="s">
        <v>382</v>
      </c>
      <c r="CG7" s="44" t="s">
        <v>383</v>
      </c>
      <c r="CH7" s="44" t="s">
        <v>384</v>
      </c>
      <c r="CI7" s="44" t="s">
        <v>385</v>
      </c>
      <c r="CJ7" s="44" t="s">
        <v>386</v>
      </c>
      <c r="CK7" s="44" t="s">
        <v>387</v>
      </c>
      <c r="CL7" s="44" t="s">
        <v>388</v>
      </c>
      <c r="CM7" s="44" t="s">
        <v>389</v>
      </c>
      <c r="CN7" s="44" t="s">
        <v>390</v>
      </c>
      <c r="CO7" s="44" t="s">
        <v>391</v>
      </c>
      <c r="CP7" s="44" t="s">
        <v>392</v>
      </c>
      <c r="CQ7" s="44" t="s">
        <v>393</v>
      </c>
      <c r="CR7" s="44" t="s">
        <v>394</v>
      </c>
      <c r="CS7" s="44" t="s">
        <v>395</v>
      </c>
      <c r="CT7" s="44" t="s">
        <v>396</v>
      </c>
      <c r="CU7" s="44" t="s">
        <v>397</v>
      </c>
      <c r="CV7" s="44" t="s">
        <v>398</v>
      </c>
      <c r="CW7" s="44" t="s">
        <v>399</v>
      </c>
      <c r="CX7" s="44" t="s">
        <v>400</v>
      </c>
    </row>
    <row r="8" spans="1:103" s="39" customFormat="1" ht="15" customHeight="1">
      <c r="A8" s="46" t="s">
        <v>401</v>
      </c>
      <c r="B8" s="47" t="s">
        <v>402</v>
      </c>
      <c r="C8" s="48">
        <v>67602.760999999999</v>
      </c>
      <c r="D8" s="48">
        <v>68492.494999999995</v>
      </c>
      <c r="E8" s="48">
        <v>69226.231</v>
      </c>
      <c r="F8" s="48">
        <v>69867.979000000007</v>
      </c>
      <c r="G8" s="48">
        <v>70414.3</v>
      </c>
      <c r="H8" s="48">
        <v>70861.913</v>
      </c>
      <c r="I8" s="48">
        <v>71208.100999999995</v>
      </c>
      <c r="J8" s="48">
        <v>71547.661999999997</v>
      </c>
      <c r="K8" s="48">
        <v>71879.987999999998</v>
      </c>
      <c r="L8" s="48">
        <v>72204.573999999993</v>
      </c>
      <c r="M8" s="48">
        <v>72521.172999999995</v>
      </c>
      <c r="N8" s="48">
        <v>72830.020999999993</v>
      </c>
      <c r="O8" s="48">
        <v>73131.596999999994</v>
      </c>
      <c r="P8" s="48">
        <v>73426.168000000005</v>
      </c>
      <c r="Q8" s="48">
        <v>73714.089000000007</v>
      </c>
      <c r="R8" s="48">
        <v>73995.941000000006</v>
      </c>
      <c r="S8" s="48">
        <v>74272.334000000003</v>
      </c>
      <c r="T8" s="48">
        <v>74543.737999999998</v>
      </c>
      <c r="U8" s="48">
        <v>74810.478000000003</v>
      </c>
      <c r="V8" s="48">
        <v>75072.892000000007</v>
      </c>
      <c r="W8" s="48">
        <v>75331.209000000003</v>
      </c>
      <c r="X8" s="48">
        <v>75585.236000000004</v>
      </c>
      <c r="Y8" s="48">
        <v>75834.506999999998</v>
      </c>
      <c r="Z8" s="48">
        <v>76078.686000000002</v>
      </c>
      <c r="AA8" s="48">
        <v>76317.48</v>
      </c>
      <c r="AB8" s="48">
        <v>76550.535000000003</v>
      </c>
      <c r="AC8" s="48">
        <v>76776.460000000006</v>
      </c>
      <c r="AD8" s="48">
        <v>76993.637000000002</v>
      </c>
      <c r="AE8" s="48">
        <v>77201.482999999993</v>
      </c>
      <c r="AF8" s="48">
        <v>77399.645000000004</v>
      </c>
      <c r="AG8" s="48">
        <v>77588.048999999999</v>
      </c>
      <c r="AH8" s="48">
        <v>77766.710000000006</v>
      </c>
      <c r="AI8" s="48">
        <v>77935.834000000003</v>
      </c>
      <c r="AJ8" s="48">
        <v>78096.133000000002</v>
      </c>
      <c r="AK8" s="48">
        <v>78248.758000000002</v>
      </c>
      <c r="AL8" s="48">
        <v>78394.895999999993</v>
      </c>
      <c r="AM8" s="48">
        <v>78535.61</v>
      </c>
      <c r="AN8" s="48">
        <v>78672.035999999993</v>
      </c>
      <c r="AO8" s="48">
        <v>78805.316999999995</v>
      </c>
      <c r="AP8" s="48">
        <v>78936.486999999994</v>
      </c>
      <c r="AQ8" s="48">
        <v>79066.48</v>
      </c>
      <c r="AR8" s="48">
        <v>79195.862999999998</v>
      </c>
      <c r="AS8" s="48">
        <v>79325.004000000001</v>
      </c>
      <c r="AT8" s="48">
        <v>79454.27</v>
      </c>
      <c r="AU8" s="48">
        <v>79583.857000000004</v>
      </c>
      <c r="AV8" s="48">
        <v>79713.62</v>
      </c>
      <c r="AW8" s="48">
        <v>79843.214000000007</v>
      </c>
      <c r="AX8" s="48">
        <v>79972.100000000006</v>
      </c>
      <c r="AY8" s="48">
        <v>80099.543999999994</v>
      </c>
      <c r="AZ8" s="48">
        <v>80224.705000000002</v>
      </c>
      <c r="BA8" s="48">
        <v>80346.626000000004</v>
      </c>
      <c r="BB8" s="48">
        <v>80464.327999999994</v>
      </c>
      <c r="BC8" s="48">
        <v>80576.957999999999</v>
      </c>
      <c r="BD8" s="48">
        <v>80683.665999999997</v>
      </c>
      <c r="BE8" s="48">
        <v>80783.804999999993</v>
      </c>
      <c r="BF8" s="48">
        <v>80876.875</v>
      </c>
      <c r="BG8" s="48">
        <v>80962.573999999993</v>
      </c>
      <c r="BH8" s="48">
        <v>81040.744000000006</v>
      </c>
      <c r="BI8" s="48">
        <v>81111.28</v>
      </c>
      <c r="BJ8" s="48">
        <v>81174.269</v>
      </c>
      <c r="BK8" s="48">
        <v>81229.881999999998</v>
      </c>
      <c r="BL8" s="48">
        <v>81278.373000000007</v>
      </c>
      <c r="BM8" s="48">
        <v>81320.103000000003</v>
      </c>
      <c r="BN8" s="48">
        <v>81355.441999999995</v>
      </c>
      <c r="BO8" s="48">
        <v>81384.875</v>
      </c>
      <c r="BP8" s="48">
        <v>81408.956999999995</v>
      </c>
      <c r="BQ8" s="48">
        <v>81428.186000000002</v>
      </c>
      <c r="BR8" s="48">
        <v>81443.111000000004</v>
      </c>
      <c r="BS8" s="48">
        <v>81454.243000000002</v>
      </c>
      <c r="BT8" s="48">
        <v>81462.067999999999</v>
      </c>
      <c r="BU8" s="48">
        <v>81467.091</v>
      </c>
      <c r="BV8" s="48">
        <v>81469.703999999998</v>
      </c>
      <c r="BW8" s="48">
        <v>81470.320000000007</v>
      </c>
      <c r="BX8" s="48">
        <v>81469.232000000004</v>
      </c>
      <c r="BY8" s="48">
        <v>81466.731</v>
      </c>
      <c r="BZ8" s="48">
        <v>81463.092999999993</v>
      </c>
      <c r="CA8" s="48">
        <v>81458.489000000001</v>
      </c>
      <c r="CB8" s="48">
        <v>81453.119999999995</v>
      </c>
      <c r="CC8" s="48">
        <v>81447.095000000001</v>
      </c>
      <c r="CD8" s="48">
        <v>81440.607999999993</v>
      </c>
      <c r="CE8" s="48">
        <v>81433.781000000003</v>
      </c>
      <c r="CF8" s="48">
        <v>81426.782999999996</v>
      </c>
      <c r="CG8" s="48">
        <v>81419.828999999998</v>
      </c>
      <c r="CH8" s="48">
        <v>81413.183000000005</v>
      </c>
      <c r="CI8" s="48">
        <v>81407.199999999997</v>
      </c>
      <c r="CJ8" s="48">
        <v>81402.25</v>
      </c>
      <c r="CK8" s="48">
        <v>81398.709000000003</v>
      </c>
      <c r="CL8" s="48">
        <v>81396.967000000004</v>
      </c>
      <c r="CM8" s="48">
        <v>81397.436000000002</v>
      </c>
      <c r="CN8" s="48">
        <v>81400.459000000003</v>
      </c>
      <c r="CO8" s="48">
        <v>81406.275999999998</v>
      </c>
      <c r="CP8" s="48">
        <v>81415.084000000003</v>
      </c>
      <c r="CQ8" s="48">
        <v>81426.995999999999</v>
      </c>
      <c r="CR8" s="48">
        <v>81442.03</v>
      </c>
      <c r="CS8" s="48">
        <v>81460.095000000001</v>
      </c>
      <c r="CT8" s="48">
        <v>81480.985000000001</v>
      </c>
      <c r="CU8" s="48">
        <v>81504.456000000006</v>
      </c>
      <c r="CV8" s="48">
        <v>81530.145000000004</v>
      </c>
      <c r="CW8" s="48">
        <v>81557.638999999996</v>
      </c>
      <c r="CX8" s="48">
        <v>81586.535000000003</v>
      </c>
    </row>
    <row r="9" spans="1:103" s="39" customFormat="1" ht="15" customHeight="1">
      <c r="A9" s="49" t="s">
        <v>403</v>
      </c>
      <c r="B9" s="47" t="s">
        <v>402</v>
      </c>
      <c r="C9" s="48">
        <v>664.46400000000006</v>
      </c>
      <c r="D9" s="48">
        <v>667.90899999999999</v>
      </c>
      <c r="E9" s="48">
        <v>674.82100000000003</v>
      </c>
      <c r="F9" s="48">
        <v>679.53599999999994</v>
      </c>
      <c r="G9" s="48">
        <v>682.03300000000002</v>
      </c>
      <c r="H9" s="48">
        <v>683.07799999999997</v>
      </c>
      <c r="I9" s="48">
        <v>683.71199999999999</v>
      </c>
      <c r="J9" s="48">
        <v>684.29600000000005</v>
      </c>
      <c r="K9" s="48">
        <v>684.84199999999998</v>
      </c>
      <c r="L9" s="48">
        <v>685.38800000000003</v>
      </c>
      <c r="M9" s="48">
        <v>686.34100000000001</v>
      </c>
      <c r="N9" s="48">
        <v>687.82399999999996</v>
      </c>
      <c r="O9" s="48">
        <v>689.48900000000003</v>
      </c>
      <c r="P9" s="48">
        <v>691.36300000000006</v>
      </c>
      <c r="Q9" s="48">
        <v>693.54100000000005</v>
      </c>
      <c r="R9" s="48">
        <v>696.05700000000002</v>
      </c>
      <c r="S9" s="48">
        <v>698.697</v>
      </c>
      <c r="T9" s="48">
        <v>701.18</v>
      </c>
      <c r="U9" s="48">
        <v>703.42899999999997</v>
      </c>
      <c r="V9" s="48">
        <v>705.44299999999998</v>
      </c>
      <c r="W9" s="48">
        <v>706.76599999999996</v>
      </c>
      <c r="X9" s="48">
        <v>707.18700000000001</v>
      </c>
      <c r="Y9" s="48">
        <v>707.05200000000002</v>
      </c>
      <c r="Z9" s="48">
        <v>706.476</v>
      </c>
      <c r="AA9" s="48">
        <v>705.56100000000004</v>
      </c>
      <c r="AB9" s="48">
        <v>703.39200000000005</v>
      </c>
      <c r="AC9" s="48">
        <v>699.81500000000005</v>
      </c>
      <c r="AD9" s="48">
        <v>695.82100000000003</v>
      </c>
      <c r="AE9" s="48">
        <v>691.57600000000002</v>
      </c>
      <c r="AF9" s="48">
        <v>687.29100000000005</v>
      </c>
      <c r="AG9" s="48">
        <v>682.88599999999997</v>
      </c>
      <c r="AH9" s="48">
        <v>678.41200000000003</v>
      </c>
      <c r="AI9" s="48">
        <v>674.27599999999995</v>
      </c>
      <c r="AJ9" s="48">
        <v>670.71100000000001</v>
      </c>
      <c r="AK9" s="48">
        <v>667.75800000000004</v>
      </c>
      <c r="AL9" s="48">
        <v>665.23400000000004</v>
      </c>
      <c r="AM9" s="48">
        <v>663.16499999999996</v>
      </c>
      <c r="AN9" s="48">
        <v>661.61699999999996</v>
      </c>
      <c r="AO9" s="48">
        <v>660.58199999999999</v>
      </c>
      <c r="AP9" s="48">
        <v>660.03</v>
      </c>
      <c r="AQ9" s="48">
        <v>659.74400000000003</v>
      </c>
      <c r="AR9" s="48">
        <v>659.66</v>
      </c>
      <c r="AS9" s="48">
        <v>659.95299999999997</v>
      </c>
      <c r="AT9" s="48">
        <v>660.53499999999997</v>
      </c>
      <c r="AU9" s="48">
        <v>661.28200000000004</v>
      </c>
      <c r="AV9" s="48">
        <v>662.13400000000001</v>
      </c>
      <c r="AW9" s="48">
        <v>662.99900000000002</v>
      </c>
      <c r="AX9" s="48">
        <v>663.83299999999997</v>
      </c>
      <c r="AY9" s="48">
        <v>664.673</v>
      </c>
      <c r="AZ9" s="48">
        <v>665.41800000000001</v>
      </c>
      <c r="BA9" s="48">
        <v>666.02700000000004</v>
      </c>
      <c r="BB9" s="48">
        <v>666.46900000000005</v>
      </c>
      <c r="BC9" s="48">
        <v>666.71500000000003</v>
      </c>
      <c r="BD9" s="48">
        <v>666.75800000000004</v>
      </c>
      <c r="BE9" s="48">
        <v>666.55399999999997</v>
      </c>
      <c r="BF9" s="48">
        <v>666.11500000000001</v>
      </c>
      <c r="BG9" s="48">
        <v>665.43499999999995</v>
      </c>
      <c r="BH9" s="48">
        <v>664.49800000000005</v>
      </c>
      <c r="BI9" s="48">
        <v>663.33600000000001</v>
      </c>
      <c r="BJ9" s="48">
        <v>661.95699999999999</v>
      </c>
      <c r="BK9" s="48">
        <v>660.42100000000005</v>
      </c>
      <c r="BL9" s="48">
        <v>658.74300000000005</v>
      </c>
      <c r="BM9" s="48">
        <v>656.976</v>
      </c>
      <c r="BN9" s="48">
        <v>655.18200000000002</v>
      </c>
      <c r="BO9" s="48">
        <v>653.38699999999994</v>
      </c>
      <c r="BP9" s="48">
        <v>651.67100000000005</v>
      </c>
      <c r="BQ9" s="48">
        <v>650.03099999999995</v>
      </c>
      <c r="BR9" s="48">
        <v>648.51400000000001</v>
      </c>
      <c r="BS9" s="48">
        <v>647.13800000000003</v>
      </c>
      <c r="BT9" s="48">
        <v>645.94399999999996</v>
      </c>
      <c r="BU9" s="48">
        <v>644.94100000000003</v>
      </c>
      <c r="BV9" s="48">
        <v>644.11699999999996</v>
      </c>
      <c r="BW9" s="48">
        <v>643.47199999999998</v>
      </c>
      <c r="BX9" s="48">
        <v>642.99900000000002</v>
      </c>
      <c r="BY9" s="48">
        <v>642.68399999999997</v>
      </c>
      <c r="BZ9" s="48">
        <v>642.51300000000003</v>
      </c>
      <c r="CA9" s="48">
        <v>642.452</v>
      </c>
      <c r="CB9" s="48">
        <v>642.49099999999999</v>
      </c>
      <c r="CC9" s="48">
        <v>642.58900000000006</v>
      </c>
      <c r="CD9" s="48">
        <v>642.72299999999996</v>
      </c>
      <c r="CE9" s="48">
        <v>642.87800000000004</v>
      </c>
      <c r="CF9" s="48">
        <v>643.02800000000002</v>
      </c>
      <c r="CG9" s="48">
        <v>643.13800000000003</v>
      </c>
      <c r="CH9" s="48">
        <v>643.20799999999997</v>
      </c>
      <c r="CI9" s="48">
        <v>643.20899999999995</v>
      </c>
      <c r="CJ9" s="48">
        <v>643.12800000000004</v>
      </c>
      <c r="CK9" s="48">
        <v>642.96400000000006</v>
      </c>
      <c r="CL9" s="48">
        <v>642.70699999999999</v>
      </c>
      <c r="CM9" s="48">
        <v>642.34799999999996</v>
      </c>
      <c r="CN9" s="48">
        <v>641.90099999999995</v>
      </c>
      <c r="CO9" s="48">
        <v>641.35900000000004</v>
      </c>
      <c r="CP9" s="48">
        <v>640.73400000000004</v>
      </c>
      <c r="CQ9" s="48">
        <v>640.03399999999999</v>
      </c>
      <c r="CR9" s="48">
        <v>639.26900000000001</v>
      </c>
      <c r="CS9" s="48">
        <v>638.46400000000006</v>
      </c>
      <c r="CT9" s="48">
        <v>637.62800000000004</v>
      </c>
      <c r="CU9" s="48">
        <v>636.77099999999996</v>
      </c>
      <c r="CV9" s="48">
        <v>635.91600000000005</v>
      </c>
      <c r="CW9" s="48">
        <v>635.07399999999996</v>
      </c>
      <c r="CX9" s="48">
        <v>634.26700000000005</v>
      </c>
    </row>
    <row r="10" spans="1:103" s="39" customFormat="1" ht="15" customHeight="1">
      <c r="A10" s="50" t="s">
        <v>404</v>
      </c>
      <c r="B10" s="47" t="s">
        <v>402</v>
      </c>
      <c r="C10" s="48">
        <v>680.72699999999998</v>
      </c>
      <c r="D10" s="48">
        <v>662.16499999999996</v>
      </c>
      <c r="E10" s="48">
        <v>663.97199999999998</v>
      </c>
      <c r="F10" s="48">
        <v>667.01700000000005</v>
      </c>
      <c r="G10" s="48">
        <v>671.14099999999996</v>
      </c>
      <c r="H10" s="48">
        <v>676.89300000000003</v>
      </c>
      <c r="I10" s="48">
        <v>684.14599999999996</v>
      </c>
      <c r="J10" s="48">
        <v>691.96600000000001</v>
      </c>
      <c r="K10" s="48">
        <v>700.25099999999998</v>
      </c>
      <c r="L10" s="48">
        <v>708.77499999999998</v>
      </c>
      <c r="M10" s="48">
        <v>717.48</v>
      </c>
      <c r="N10" s="48">
        <v>726.23800000000006</v>
      </c>
      <c r="O10" s="48">
        <v>734.928</v>
      </c>
      <c r="P10" s="48">
        <v>743.43</v>
      </c>
      <c r="Q10" s="48">
        <v>751.673</v>
      </c>
      <c r="R10" s="48">
        <v>759.66</v>
      </c>
      <c r="S10" s="48">
        <v>767.30100000000004</v>
      </c>
      <c r="T10" s="48">
        <v>774.428</v>
      </c>
      <c r="U10" s="48">
        <v>781.00800000000004</v>
      </c>
      <c r="V10" s="48">
        <v>787.12300000000005</v>
      </c>
      <c r="W10" s="48">
        <v>792.72400000000005</v>
      </c>
      <c r="X10" s="48">
        <v>797.92200000000003</v>
      </c>
      <c r="Y10" s="48">
        <v>802.87199999999996</v>
      </c>
      <c r="Z10" s="48">
        <v>807.66099999999994</v>
      </c>
      <c r="AA10" s="48">
        <v>812.50900000000001</v>
      </c>
      <c r="AB10" s="48">
        <v>817.471</v>
      </c>
      <c r="AC10" s="48">
        <v>822.64200000000005</v>
      </c>
      <c r="AD10" s="48">
        <v>827.971</v>
      </c>
      <c r="AE10" s="48">
        <v>833.423</v>
      </c>
      <c r="AF10" s="48">
        <v>838.875</v>
      </c>
      <c r="AG10" s="48">
        <v>844.22299999999996</v>
      </c>
      <c r="AH10" s="48">
        <v>849.28200000000004</v>
      </c>
      <c r="AI10" s="48">
        <v>853.96699999999998</v>
      </c>
      <c r="AJ10" s="48">
        <v>858.09199999999998</v>
      </c>
      <c r="AK10" s="48">
        <v>861.61900000000003</v>
      </c>
      <c r="AL10" s="48">
        <v>864.52499999999998</v>
      </c>
      <c r="AM10" s="48">
        <v>866.72900000000004</v>
      </c>
      <c r="AN10" s="48">
        <v>868.33399999999995</v>
      </c>
      <c r="AO10" s="48">
        <v>869.39300000000003</v>
      </c>
      <c r="AP10" s="48">
        <v>870.02499999999998</v>
      </c>
      <c r="AQ10" s="48">
        <v>870.35799999999995</v>
      </c>
      <c r="AR10" s="48">
        <v>870.51499999999999</v>
      </c>
      <c r="AS10" s="48">
        <v>870.67200000000003</v>
      </c>
      <c r="AT10" s="48">
        <v>870.94399999999996</v>
      </c>
      <c r="AU10" s="48">
        <v>871.51900000000001</v>
      </c>
      <c r="AV10" s="48">
        <v>872.53300000000002</v>
      </c>
      <c r="AW10" s="48">
        <v>874.10699999999997</v>
      </c>
      <c r="AX10" s="48">
        <v>876.37900000000002</v>
      </c>
      <c r="AY10" s="48">
        <v>879.50900000000001</v>
      </c>
      <c r="AZ10" s="48">
        <v>883.49</v>
      </c>
      <c r="BA10" s="48">
        <v>888.31200000000001</v>
      </c>
      <c r="BB10" s="48">
        <v>893.84199999999998</v>
      </c>
      <c r="BC10" s="48">
        <v>900.00099999999998</v>
      </c>
      <c r="BD10" s="48">
        <v>906.60199999999998</v>
      </c>
      <c r="BE10" s="48">
        <v>913.48</v>
      </c>
      <c r="BF10" s="48">
        <v>920.42100000000005</v>
      </c>
      <c r="BG10" s="48">
        <v>927.26700000000005</v>
      </c>
      <c r="BH10" s="48">
        <v>933.95899999999995</v>
      </c>
      <c r="BI10" s="48">
        <v>940.34199999999998</v>
      </c>
      <c r="BJ10" s="48">
        <v>946.35</v>
      </c>
      <c r="BK10" s="48">
        <v>951.92700000000002</v>
      </c>
      <c r="BL10" s="48">
        <v>957.03</v>
      </c>
      <c r="BM10" s="48">
        <v>961.62699999999995</v>
      </c>
      <c r="BN10" s="48">
        <v>965.73699999999997</v>
      </c>
      <c r="BO10" s="48">
        <v>969.31200000000001</v>
      </c>
      <c r="BP10" s="48">
        <v>972.44100000000003</v>
      </c>
      <c r="BQ10" s="48">
        <v>975.09699999999998</v>
      </c>
      <c r="BR10" s="48">
        <v>977.36800000000005</v>
      </c>
      <c r="BS10" s="48">
        <v>979.31700000000001</v>
      </c>
      <c r="BT10" s="48">
        <v>980.928</v>
      </c>
      <c r="BU10" s="48">
        <v>982.32299999999998</v>
      </c>
      <c r="BV10" s="48">
        <v>983.49900000000002</v>
      </c>
      <c r="BW10" s="48">
        <v>984.56399999999996</v>
      </c>
      <c r="BX10" s="48">
        <v>985.49800000000005</v>
      </c>
      <c r="BY10" s="48">
        <v>986.32399999999996</v>
      </c>
      <c r="BZ10" s="48">
        <v>987.10900000000004</v>
      </c>
      <c r="CA10" s="48">
        <v>987.82399999999996</v>
      </c>
      <c r="CB10" s="48">
        <v>988.49900000000002</v>
      </c>
      <c r="CC10" s="48">
        <v>989.07299999999998</v>
      </c>
      <c r="CD10" s="48">
        <v>989.55200000000002</v>
      </c>
      <c r="CE10" s="48">
        <v>989.875</v>
      </c>
      <c r="CF10" s="48">
        <v>989.98500000000001</v>
      </c>
      <c r="CG10" s="48">
        <v>989.77800000000002</v>
      </c>
      <c r="CH10" s="48">
        <v>989.18299999999999</v>
      </c>
      <c r="CI10" s="48">
        <v>988.15800000000002</v>
      </c>
      <c r="CJ10" s="48">
        <v>986.67200000000003</v>
      </c>
      <c r="CK10" s="48">
        <v>984.70600000000002</v>
      </c>
      <c r="CL10" s="48">
        <v>982.24099999999999</v>
      </c>
      <c r="CM10" s="48">
        <v>979.32899999999995</v>
      </c>
      <c r="CN10" s="48">
        <v>976.06899999999996</v>
      </c>
      <c r="CO10" s="48">
        <v>972.54499999999996</v>
      </c>
      <c r="CP10" s="48">
        <v>968.82</v>
      </c>
      <c r="CQ10" s="48">
        <v>964.99199999999996</v>
      </c>
      <c r="CR10" s="48">
        <v>961.21199999999999</v>
      </c>
      <c r="CS10" s="48">
        <v>957.56399999999996</v>
      </c>
      <c r="CT10" s="48">
        <v>954.15599999999995</v>
      </c>
      <c r="CU10" s="48">
        <v>951.08299999999997</v>
      </c>
      <c r="CV10" s="48">
        <v>948.41</v>
      </c>
      <c r="CW10" s="48">
        <v>946.16300000000001</v>
      </c>
      <c r="CX10" s="48">
        <v>944.42899999999997</v>
      </c>
    </row>
    <row r="11" spans="1:103" s="39" customFormat="1" ht="15" customHeight="1">
      <c r="A11" s="49" t="s">
        <v>405</v>
      </c>
      <c r="B11" s="47" t="s">
        <v>402</v>
      </c>
      <c r="C11" s="48">
        <v>-16.263000000000002</v>
      </c>
      <c r="D11" s="48">
        <v>5.7439999999999998</v>
      </c>
      <c r="E11" s="48">
        <v>10.849</v>
      </c>
      <c r="F11" s="48">
        <v>12.519</v>
      </c>
      <c r="G11" s="48">
        <v>10.891999999999999</v>
      </c>
      <c r="H11" s="48">
        <v>6.1849999999999996</v>
      </c>
      <c r="I11" s="48">
        <v>-0.434</v>
      </c>
      <c r="J11" s="48">
        <v>-7.67</v>
      </c>
      <c r="K11" s="48">
        <v>-15.409000000000001</v>
      </c>
      <c r="L11" s="48">
        <v>-23.387</v>
      </c>
      <c r="M11" s="48">
        <v>-31.138999999999999</v>
      </c>
      <c r="N11" s="48">
        <v>-38.414000000000001</v>
      </c>
      <c r="O11" s="48">
        <v>-45.439</v>
      </c>
      <c r="P11" s="48">
        <v>-52.067</v>
      </c>
      <c r="Q11" s="48">
        <v>-58.131999999999998</v>
      </c>
      <c r="R11" s="48">
        <v>-63.603000000000002</v>
      </c>
      <c r="S11" s="48">
        <v>-68.603999999999999</v>
      </c>
      <c r="T11" s="48">
        <v>-73.248000000000005</v>
      </c>
      <c r="U11" s="48">
        <v>-77.578999999999994</v>
      </c>
      <c r="V11" s="48">
        <v>-81.680000000000007</v>
      </c>
      <c r="W11" s="48">
        <v>-85.957999999999998</v>
      </c>
      <c r="X11" s="48">
        <v>-90.734999999999999</v>
      </c>
      <c r="Y11" s="48">
        <v>-95.82</v>
      </c>
      <c r="Z11" s="48">
        <v>-101.185</v>
      </c>
      <c r="AA11" s="48">
        <v>-106.94799999999999</v>
      </c>
      <c r="AB11" s="48">
        <v>-114.07899999999999</v>
      </c>
      <c r="AC11" s="48">
        <v>-122.827</v>
      </c>
      <c r="AD11" s="48">
        <v>-132.15</v>
      </c>
      <c r="AE11" s="48">
        <v>-141.84700000000001</v>
      </c>
      <c r="AF11" s="48">
        <v>-151.584</v>
      </c>
      <c r="AG11" s="48">
        <v>-161.33699999999999</v>
      </c>
      <c r="AH11" s="48">
        <v>-170.87</v>
      </c>
      <c r="AI11" s="48">
        <v>-179.691</v>
      </c>
      <c r="AJ11" s="48">
        <v>-187.381</v>
      </c>
      <c r="AK11" s="48">
        <v>-193.86099999999999</v>
      </c>
      <c r="AL11" s="48">
        <v>-199.291</v>
      </c>
      <c r="AM11" s="48">
        <v>-203.56399999999999</v>
      </c>
      <c r="AN11" s="48">
        <v>-206.71700000000001</v>
      </c>
      <c r="AO11" s="48">
        <v>-208.81100000000001</v>
      </c>
      <c r="AP11" s="48">
        <v>-209.995</v>
      </c>
      <c r="AQ11" s="48">
        <v>-210.614</v>
      </c>
      <c r="AR11" s="48">
        <v>-210.85499999999999</v>
      </c>
      <c r="AS11" s="48">
        <v>-210.71899999999999</v>
      </c>
      <c r="AT11" s="48">
        <v>-210.40899999999999</v>
      </c>
      <c r="AU11" s="48">
        <v>-210.23699999999999</v>
      </c>
      <c r="AV11" s="48">
        <v>-210.399</v>
      </c>
      <c r="AW11" s="48">
        <v>-211.108</v>
      </c>
      <c r="AX11" s="48">
        <v>-212.54599999999999</v>
      </c>
      <c r="AY11" s="48">
        <v>-214.83600000000001</v>
      </c>
      <c r="AZ11" s="48">
        <v>-218.072</v>
      </c>
      <c r="BA11" s="48">
        <v>-222.285</v>
      </c>
      <c r="BB11" s="48">
        <v>-227.37299999999999</v>
      </c>
      <c r="BC11" s="48">
        <v>-233.286</v>
      </c>
      <c r="BD11" s="48">
        <v>-239.84399999999999</v>
      </c>
      <c r="BE11" s="48">
        <v>-246.92599999999999</v>
      </c>
      <c r="BF11" s="48">
        <v>-254.30600000000001</v>
      </c>
      <c r="BG11" s="48">
        <v>-261.83199999999999</v>
      </c>
      <c r="BH11" s="48">
        <v>-269.46100000000001</v>
      </c>
      <c r="BI11" s="48">
        <v>-277.00599999999997</v>
      </c>
      <c r="BJ11" s="48">
        <v>-284.39299999999997</v>
      </c>
      <c r="BK11" s="48">
        <v>-291.50599999999997</v>
      </c>
      <c r="BL11" s="48">
        <v>-298.28699999999998</v>
      </c>
      <c r="BM11" s="48">
        <v>-304.65100000000001</v>
      </c>
      <c r="BN11" s="48">
        <v>-310.55500000000001</v>
      </c>
      <c r="BO11" s="48">
        <v>-315.92500000000001</v>
      </c>
      <c r="BP11" s="48">
        <v>-320.77</v>
      </c>
      <c r="BQ11" s="48">
        <v>-325.06599999999997</v>
      </c>
      <c r="BR11" s="48">
        <v>-328.85399999999998</v>
      </c>
      <c r="BS11" s="48">
        <v>-332.17899999999997</v>
      </c>
      <c r="BT11" s="48">
        <v>-334.98399999999998</v>
      </c>
      <c r="BU11" s="48">
        <v>-337.38200000000001</v>
      </c>
      <c r="BV11" s="48">
        <v>-339.38200000000001</v>
      </c>
      <c r="BW11" s="48">
        <v>-341.09199999999998</v>
      </c>
      <c r="BX11" s="48">
        <v>-342.49900000000002</v>
      </c>
      <c r="BY11" s="48">
        <v>-343.64</v>
      </c>
      <c r="BZ11" s="48">
        <v>-344.596</v>
      </c>
      <c r="CA11" s="48">
        <v>-345.37200000000001</v>
      </c>
      <c r="CB11" s="48">
        <v>-346.00799999999998</v>
      </c>
      <c r="CC11" s="48">
        <v>-346.48399999999998</v>
      </c>
      <c r="CD11" s="48">
        <v>-346.82900000000001</v>
      </c>
      <c r="CE11" s="48">
        <v>-346.99700000000001</v>
      </c>
      <c r="CF11" s="48">
        <v>-346.95699999999999</v>
      </c>
      <c r="CG11" s="48">
        <v>-346.64</v>
      </c>
      <c r="CH11" s="48">
        <v>-345.97500000000002</v>
      </c>
      <c r="CI11" s="48">
        <v>-344.94900000000001</v>
      </c>
      <c r="CJ11" s="48">
        <v>-343.54399999999998</v>
      </c>
      <c r="CK11" s="48">
        <v>-341.74200000000002</v>
      </c>
      <c r="CL11" s="48">
        <v>-339.53399999999999</v>
      </c>
      <c r="CM11" s="48">
        <v>-336.98099999999999</v>
      </c>
      <c r="CN11" s="48">
        <v>-334.16800000000001</v>
      </c>
      <c r="CO11" s="48">
        <v>-331.18599999999998</v>
      </c>
      <c r="CP11" s="48">
        <v>-328.08600000000001</v>
      </c>
      <c r="CQ11" s="48">
        <v>-324.95800000000003</v>
      </c>
      <c r="CR11" s="48">
        <v>-321.94299999999998</v>
      </c>
      <c r="CS11" s="48">
        <v>-319.10000000000002</v>
      </c>
      <c r="CT11" s="48">
        <v>-316.52800000000002</v>
      </c>
      <c r="CU11" s="48">
        <v>-314.31200000000001</v>
      </c>
      <c r="CV11" s="48">
        <v>-312.49400000000003</v>
      </c>
      <c r="CW11" s="48">
        <v>-311.089</v>
      </c>
      <c r="CX11" s="48">
        <v>-310.16199999999998</v>
      </c>
    </row>
    <row r="12" spans="1:103" s="39" customFormat="1" ht="15" customHeight="1">
      <c r="A12" s="46" t="s">
        <v>406</v>
      </c>
      <c r="B12" s="47" t="s">
        <v>402</v>
      </c>
      <c r="C12" s="48">
        <v>1319.5</v>
      </c>
      <c r="D12" s="48">
        <v>1207</v>
      </c>
      <c r="E12" s="48">
        <v>1119.7</v>
      </c>
      <c r="F12" s="48">
        <v>1032.4000000000001</v>
      </c>
      <c r="G12" s="48">
        <v>945.1</v>
      </c>
      <c r="H12" s="48">
        <v>858</v>
      </c>
      <c r="I12" s="48">
        <v>858</v>
      </c>
      <c r="J12" s="48">
        <v>858</v>
      </c>
      <c r="K12" s="48">
        <v>858</v>
      </c>
      <c r="L12" s="48">
        <v>858</v>
      </c>
      <c r="M12" s="48">
        <v>858</v>
      </c>
      <c r="N12" s="48">
        <v>858</v>
      </c>
      <c r="O12" s="48">
        <v>858</v>
      </c>
      <c r="P12" s="48">
        <v>858</v>
      </c>
      <c r="Q12" s="48">
        <v>858</v>
      </c>
      <c r="R12" s="48">
        <v>858</v>
      </c>
      <c r="S12" s="48">
        <v>858</v>
      </c>
      <c r="T12" s="48">
        <v>858</v>
      </c>
      <c r="U12" s="48">
        <v>858</v>
      </c>
      <c r="V12" s="48">
        <v>858</v>
      </c>
      <c r="W12" s="48">
        <v>858</v>
      </c>
      <c r="X12" s="48">
        <v>858</v>
      </c>
      <c r="Y12" s="48">
        <v>858</v>
      </c>
      <c r="Z12" s="48">
        <v>858</v>
      </c>
      <c r="AA12" s="48">
        <v>858</v>
      </c>
      <c r="AB12" s="48">
        <v>858</v>
      </c>
      <c r="AC12" s="48">
        <v>858</v>
      </c>
      <c r="AD12" s="48">
        <v>858</v>
      </c>
      <c r="AE12" s="48">
        <v>858</v>
      </c>
      <c r="AF12" s="48">
        <v>858</v>
      </c>
      <c r="AG12" s="48">
        <v>858</v>
      </c>
      <c r="AH12" s="48">
        <v>858</v>
      </c>
      <c r="AI12" s="48">
        <v>858</v>
      </c>
      <c r="AJ12" s="48">
        <v>858</v>
      </c>
      <c r="AK12" s="48">
        <v>858</v>
      </c>
      <c r="AL12" s="48">
        <v>858</v>
      </c>
      <c r="AM12" s="48">
        <v>858</v>
      </c>
      <c r="AN12" s="48">
        <v>858</v>
      </c>
      <c r="AO12" s="48">
        <v>858</v>
      </c>
      <c r="AP12" s="48">
        <v>858</v>
      </c>
      <c r="AQ12" s="48">
        <v>858</v>
      </c>
      <c r="AR12" s="48">
        <v>858</v>
      </c>
      <c r="AS12" s="48">
        <v>858</v>
      </c>
      <c r="AT12" s="48">
        <v>858</v>
      </c>
      <c r="AU12" s="48">
        <v>858</v>
      </c>
      <c r="AV12" s="48">
        <v>858</v>
      </c>
      <c r="AW12" s="48">
        <v>858</v>
      </c>
      <c r="AX12" s="48">
        <v>858</v>
      </c>
      <c r="AY12" s="48">
        <v>858</v>
      </c>
      <c r="AZ12" s="48">
        <v>858</v>
      </c>
      <c r="BA12" s="48">
        <v>858</v>
      </c>
      <c r="BB12" s="48">
        <v>858</v>
      </c>
      <c r="BC12" s="48">
        <v>858</v>
      </c>
      <c r="BD12" s="48">
        <v>858</v>
      </c>
      <c r="BE12" s="48">
        <v>858</v>
      </c>
      <c r="BF12" s="48">
        <v>858</v>
      </c>
      <c r="BG12" s="48">
        <v>858</v>
      </c>
      <c r="BH12" s="48">
        <v>858</v>
      </c>
      <c r="BI12" s="48">
        <v>858</v>
      </c>
      <c r="BJ12" s="48">
        <v>858</v>
      </c>
      <c r="BK12" s="48">
        <v>858</v>
      </c>
      <c r="BL12" s="48">
        <v>858</v>
      </c>
      <c r="BM12" s="48">
        <v>858</v>
      </c>
      <c r="BN12" s="48">
        <v>858</v>
      </c>
      <c r="BO12" s="48">
        <v>858</v>
      </c>
      <c r="BP12" s="48">
        <v>858</v>
      </c>
      <c r="BQ12" s="48">
        <v>858</v>
      </c>
      <c r="BR12" s="48">
        <v>858</v>
      </c>
      <c r="BS12" s="48">
        <v>858</v>
      </c>
      <c r="BT12" s="48">
        <v>858</v>
      </c>
      <c r="BU12" s="48">
        <v>858</v>
      </c>
      <c r="BV12" s="48">
        <v>858</v>
      </c>
      <c r="BW12" s="48">
        <v>858</v>
      </c>
      <c r="BX12" s="48">
        <v>858</v>
      </c>
      <c r="BY12" s="48">
        <v>858</v>
      </c>
      <c r="BZ12" s="48">
        <v>858</v>
      </c>
      <c r="CA12" s="48">
        <v>858</v>
      </c>
      <c r="CB12" s="48">
        <v>858</v>
      </c>
      <c r="CC12" s="48">
        <v>858</v>
      </c>
      <c r="CD12" s="48">
        <v>858</v>
      </c>
      <c r="CE12" s="48">
        <v>858</v>
      </c>
      <c r="CF12" s="48">
        <v>858</v>
      </c>
      <c r="CG12" s="48">
        <v>858</v>
      </c>
      <c r="CH12" s="48">
        <v>858</v>
      </c>
      <c r="CI12" s="48">
        <v>858</v>
      </c>
      <c r="CJ12" s="48">
        <v>858</v>
      </c>
      <c r="CK12" s="48">
        <v>858</v>
      </c>
      <c r="CL12" s="48">
        <v>858</v>
      </c>
      <c r="CM12" s="48">
        <v>858</v>
      </c>
      <c r="CN12" s="48">
        <v>858</v>
      </c>
      <c r="CO12" s="48">
        <v>858</v>
      </c>
      <c r="CP12" s="48">
        <v>858</v>
      </c>
      <c r="CQ12" s="48">
        <v>858</v>
      </c>
      <c r="CR12" s="48">
        <v>858</v>
      </c>
      <c r="CS12" s="48">
        <v>858</v>
      </c>
      <c r="CT12" s="48">
        <v>858</v>
      </c>
      <c r="CU12" s="48">
        <v>858</v>
      </c>
      <c r="CV12" s="48">
        <v>858</v>
      </c>
      <c r="CW12" s="48">
        <v>858</v>
      </c>
      <c r="CX12" s="48">
        <v>858</v>
      </c>
    </row>
    <row r="13" spans="1:103" s="39" customFormat="1" ht="15" customHeight="1">
      <c r="A13" s="51" t="s">
        <v>407</v>
      </c>
      <c r="B13" s="47" t="s">
        <v>402</v>
      </c>
      <c r="C13" s="48" t="s">
        <v>402</v>
      </c>
      <c r="D13" s="48" t="s">
        <v>402</v>
      </c>
      <c r="E13" s="48" t="s">
        <v>402</v>
      </c>
      <c r="F13" s="48" t="s">
        <v>402</v>
      </c>
      <c r="G13" s="48" t="s">
        <v>402</v>
      </c>
      <c r="H13" s="48" t="s">
        <v>402</v>
      </c>
      <c r="I13" s="48" t="s">
        <v>402</v>
      </c>
      <c r="J13" s="48" t="s">
        <v>402</v>
      </c>
      <c r="K13" s="48" t="s">
        <v>402</v>
      </c>
      <c r="L13" s="48" t="s">
        <v>402</v>
      </c>
      <c r="M13" s="48" t="s">
        <v>402</v>
      </c>
      <c r="N13" s="48" t="s">
        <v>402</v>
      </c>
      <c r="O13" s="48" t="s">
        <v>402</v>
      </c>
      <c r="P13" s="48" t="s">
        <v>402</v>
      </c>
      <c r="Q13" s="48" t="s">
        <v>402</v>
      </c>
      <c r="R13" s="48" t="s">
        <v>402</v>
      </c>
      <c r="S13" s="48" t="s">
        <v>402</v>
      </c>
      <c r="T13" s="48" t="s">
        <v>402</v>
      </c>
      <c r="U13" s="48" t="s">
        <v>402</v>
      </c>
      <c r="V13" s="48" t="s">
        <v>402</v>
      </c>
      <c r="W13" s="48" t="s">
        <v>402</v>
      </c>
      <c r="X13" s="48" t="s">
        <v>402</v>
      </c>
      <c r="Y13" s="48" t="s">
        <v>402</v>
      </c>
      <c r="Z13" s="48" t="s">
        <v>402</v>
      </c>
      <c r="AA13" s="48" t="s">
        <v>402</v>
      </c>
      <c r="AB13" s="48" t="s">
        <v>402</v>
      </c>
      <c r="AC13" s="48" t="s">
        <v>402</v>
      </c>
      <c r="AD13" s="48" t="s">
        <v>402</v>
      </c>
      <c r="AE13" s="48" t="s">
        <v>402</v>
      </c>
      <c r="AF13" s="48" t="s">
        <v>402</v>
      </c>
      <c r="AG13" s="48" t="s">
        <v>402</v>
      </c>
      <c r="AH13" s="48" t="s">
        <v>402</v>
      </c>
      <c r="AI13" s="48" t="s">
        <v>402</v>
      </c>
      <c r="AJ13" s="48" t="s">
        <v>402</v>
      </c>
      <c r="AK13" s="48" t="s">
        <v>402</v>
      </c>
      <c r="AL13" s="48" t="s">
        <v>402</v>
      </c>
      <c r="AM13" s="48" t="s">
        <v>402</v>
      </c>
      <c r="AN13" s="48" t="s">
        <v>402</v>
      </c>
      <c r="AO13" s="48" t="s">
        <v>402</v>
      </c>
      <c r="AP13" s="48" t="s">
        <v>402</v>
      </c>
      <c r="AQ13" s="48" t="s">
        <v>402</v>
      </c>
      <c r="AR13" s="48" t="s">
        <v>402</v>
      </c>
      <c r="AS13" s="48" t="s">
        <v>402</v>
      </c>
      <c r="AT13" s="48" t="s">
        <v>402</v>
      </c>
      <c r="AU13" s="48" t="s">
        <v>402</v>
      </c>
      <c r="AV13" s="48" t="s">
        <v>402</v>
      </c>
      <c r="AW13" s="48" t="s">
        <v>402</v>
      </c>
      <c r="AX13" s="48" t="s">
        <v>402</v>
      </c>
      <c r="AY13" s="48" t="s">
        <v>402</v>
      </c>
      <c r="AZ13" s="48" t="s">
        <v>402</v>
      </c>
      <c r="BA13" s="48" t="s">
        <v>402</v>
      </c>
      <c r="BB13" s="48" t="s">
        <v>402</v>
      </c>
      <c r="BC13" s="48" t="s">
        <v>402</v>
      </c>
      <c r="BD13" s="48" t="s">
        <v>402</v>
      </c>
      <c r="BE13" s="48" t="s">
        <v>402</v>
      </c>
      <c r="BF13" s="48" t="s">
        <v>402</v>
      </c>
      <c r="BG13" s="48" t="s">
        <v>402</v>
      </c>
      <c r="BH13" s="48" t="s">
        <v>402</v>
      </c>
      <c r="BI13" s="48" t="s">
        <v>402</v>
      </c>
      <c r="BJ13" s="48" t="s">
        <v>402</v>
      </c>
      <c r="BK13" s="48" t="s">
        <v>402</v>
      </c>
      <c r="BL13" s="48" t="s">
        <v>402</v>
      </c>
      <c r="BM13" s="48" t="s">
        <v>402</v>
      </c>
      <c r="BN13" s="48" t="s">
        <v>402</v>
      </c>
      <c r="BO13" s="48" t="s">
        <v>402</v>
      </c>
      <c r="BP13" s="48" t="s">
        <v>402</v>
      </c>
      <c r="BQ13" s="48" t="s">
        <v>402</v>
      </c>
      <c r="BR13" s="48" t="s">
        <v>402</v>
      </c>
      <c r="BS13" s="48" t="s">
        <v>402</v>
      </c>
      <c r="BT13" s="48" t="s">
        <v>402</v>
      </c>
      <c r="BU13" s="48" t="s">
        <v>402</v>
      </c>
      <c r="BV13" s="48" t="s">
        <v>402</v>
      </c>
      <c r="BW13" s="48" t="s">
        <v>402</v>
      </c>
      <c r="BX13" s="48" t="s">
        <v>402</v>
      </c>
      <c r="BY13" s="48" t="s">
        <v>402</v>
      </c>
      <c r="BZ13" s="48" t="s">
        <v>402</v>
      </c>
      <c r="CA13" s="48" t="s">
        <v>402</v>
      </c>
      <c r="CB13" s="48" t="s">
        <v>402</v>
      </c>
      <c r="CC13" s="48" t="s">
        <v>402</v>
      </c>
      <c r="CD13" s="48" t="s">
        <v>402</v>
      </c>
      <c r="CE13" s="48" t="s">
        <v>402</v>
      </c>
      <c r="CF13" s="48" t="s">
        <v>402</v>
      </c>
      <c r="CG13" s="48" t="s">
        <v>402</v>
      </c>
      <c r="CH13" s="48" t="s">
        <v>402</v>
      </c>
      <c r="CI13" s="48" t="s">
        <v>402</v>
      </c>
      <c r="CJ13" s="48" t="s">
        <v>402</v>
      </c>
      <c r="CK13" s="48" t="s">
        <v>402</v>
      </c>
      <c r="CL13" s="48" t="s">
        <v>402</v>
      </c>
      <c r="CM13" s="48" t="s">
        <v>402</v>
      </c>
      <c r="CN13" s="48" t="s">
        <v>402</v>
      </c>
      <c r="CO13" s="48" t="s">
        <v>402</v>
      </c>
      <c r="CP13" s="48" t="s">
        <v>402</v>
      </c>
      <c r="CQ13" s="48" t="s">
        <v>402</v>
      </c>
      <c r="CR13" s="48" t="s">
        <v>402</v>
      </c>
      <c r="CS13" s="48" t="s">
        <v>402</v>
      </c>
      <c r="CT13" s="48" t="s">
        <v>402</v>
      </c>
      <c r="CU13" s="48" t="s">
        <v>402</v>
      </c>
      <c r="CV13" s="48" t="s">
        <v>402</v>
      </c>
      <c r="CW13" s="48" t="s">
        <v>402</v>
      </c>
      <c r="CX13" s="48" t="s">
        <v>402</v>
      </c>
      <c r="CY13" s="52"/>
    </row>
    <row r="14" spans="1:103" s="39" customFormat="1" ht="15" customHeight="1">
      <c r="A14" s="46" t="s">
        <v>408</v>
      </c>
      <c r="B14" s="47" t="s">
        <v>402</v>
      </c>
      <c r="C14" s="48">
        <v>413.5</v>
      </c>
      <c r="D14" s="48">
        <v>479</v>
      </c>
      <c r="E14" s="48">
        <v>488.8</v>
      </c>
      <c r="F14" s="48">
        <v>498.6</v>
      </c>
      <c r="G14" s="48">
        <v>508.4</v>
      </c>
      <c r="H14" s="48">
        <v>518</v>
      </c>
      <c r="I14" s="48">
        <v>518</v>
      </c>
      <c r="J14" s="48">
        <v>518</v>
      </c>
      <c r="K14" s="48">
        <v>518</v>
      </c>
      <c r="L14" s="48">
        <v>518</v>
      </c>
      <c r="M14" s="48">
        <v>518</v>
      </c>
      <c r="N14" s="48">
        <v>518</v>
      </c>
      <c r="O14" s="48">
        <v>518</v>
      </c>
      <c r="P14" s="48">
        <v>518</v>
      </c>
      <c r="Q14" s="48">
        <v>518</v>
      </c>
      <c r="R14" s="48">
        <v>518</v>
      </c>
      <c r="S14" s="48">
        <v>518</v>
      </c>
      <c r="T14" s="48">
        <v>518</v>
      </c>
      <c r="U14" s="48">
        <v>518</v>
      </c>
      <c r="V14" s="48">
        <v>518</v>
      </c>
      <c r="W14" s="48">
        <v>518</v>
      </c>
      <c r="X14" s="48">
        <v>518</v>
      </c>
      <c r="Y14" s="48">
        <v>518</v>
      </c>
      <c r="Z14" s="48">
        <v>518</v>
      </c>
      <c r="AA14" s="48">
        <v>518</v>
      </c>
      <c r="AB14" s="48">
        <v>518</v>
      </c>
      <c r="AC14" s="48">
        <v>518</v>
      </c>
      <c r="AD14" s="48">
        <v>518</v>
      </c>
      <c r="AE14" s="48">
        <v>518</v>
      </c>
      <c r="AF14" s="48">
        <v>518</v>
      </c>
      <c r="AG14" s="48">
        <v>518</v>
      </c>
      <c r="AH14" s="48">
        <v>518</v>
      </c>
      <c r="AI14" s="48">
        <v>518</v>
      </c>
      <c r="AJ14" s="48">
        <v>518</v>
      </c>
      <c r="AK14" s="48">
        <v>518</v>
      </c>
      <c r="AL14" s="48">
        <v>518</v>
      </c>
      <c r="AM14" s="48">
        <v>518</v>
      </c>
      <c r="AN14" s="48">
        <v>518</v>
      </c>
      <c r="AO14" s="48">
        <v>518</v>
      </c>
      <c r="AP14" s="48">
        <v>518</v>
      </c>
      <c r="AQ14" s="48">
        <v>518</v>
      </c>
      <c r="AR14" s="48">
        <v>518</v>
      </c>
      <c r="AS14" s="48">
        <v>518</v>
      </c>
      <c r="AT14" s="48">
        <v>518</v>
      </c>
      <c r="AU14" s="48">
        <v>518</v>
      </c>
      <c r="AV14" s="48">
        <v>518</v>
      </c>
      <c r="AW14" s="48">
        <v>518</v>
      </c>
      <c r="AX14" s="48">
        <v>518</v>
      </c>
      <c r="AY14" s="48">
        <v>518</v>
      </c>
      <c r="AZ14" s="48">
        <v>518</v>
      </c>
      <c r="BA14" s="48">
        <v>518</v>
      </c>
      <c r="BB14" s="48">
        <v>518</v>
      </c>
      <c r="BC14" s="48">
        <v>518</v>
      </c>
      <c r="BD14" s="48">
        <v>518</v>
      </c>
      <c r="BE14" s="48">
        <v>518</v>
      </c>
      <c r="BF14" s="48">
        <v>518</v>
      </c>
      <c r="BG14" s="48">
        <v>518</v>
      </c>
      <c r="BH14" s="48">
        <v>518</v>
      </c>
      <c r="BI14" s="48">
        <v>518</v>
      </c>
      <c r="BJ14" s="48">
        <v>518</v>
      </c>
      <c r="BK14" s="48">
        <v>518</v>
      </c>
      <c r="BL14" s="48">
        <v>518</v>
      </c>
      <c r="BM14" s="48">
        <v>518</v>
      </c>
      <c r="BN14" s="48">
        <v>518</v>
      </c>
      <c r="BO14" s="48">
        <v>518</v>
      </c>
      <c r="BP14" s="48">
        <v>518</v>
      </c>
      <c r="BQ14" s="48">
        <v>518</v>
      </c>
      <c r="BR14" s="48">
        <v>518</v>
      </c>
      <c r="BS14" s="48">
        <v>518</v>
      </c>
      <c r="BT14" s="48">
        <v>518</v>
      </c>
      <c r="BU14" s="48">
        <v>518</v>
      </c>
      <c r="BV14" s="48">
        <v>518</v>
      </c>
      <c r="BW14" s="48">
        <v>518</v>
      </c>
      <c r="BX14" s="48">
        <v>518</v>
      </c>
      <c r="BY14" s="48">
        <v>518</v>
      </c>
      <c r="BZ14" s="48">
        <v>518</v>
      </c>
      <c r="CA14" s="48">
        <v>518</v>
      </c>
      <c r="CB14" s="48">
        <v>518</v>
      </c>
      <c r="CC14" s="48">
        <v>518</v>
      </c>
      <c r="CD14" s="48">
        <v>518</v>
      </c>
      <c r="CE14" s="48">
        <v>518</v>
      </c>
      <c r="CF14" s="48">
        <v>518</v>
      </c>
      <c r="CG14" s="48">
        <v>518</v>
      </c>
      <c r="CH14" s="48">
        <v>518</v>
      </c>
      <c r="CI14" s="48">
        <v>518</v>
      </c>
      <c r="CJ14" s="48">
        <v>518</v>
      </c>
      <c r="CK14" s="48">
        <v>518</v>
      </c>
      <c r="CL14" s="48">
        <v>518</v>
      </c>
      <c r="CM14" s="48">
        <v>518</v>
      </c>
      <c r="CN14" s="48">
        <v>518</v>
      </c>
      <c r="CO14" s="48">
        <v>518</v>
      </c>
      <c r="CP14" s="48">
        <v>518</v>
      </c>
      <c r="CQ14" s="48">
        <v>518</v>
      </c>
      <c r="CR14" s="48">
        <v>518</v>
      </c>
      <c r="CS14" s="48">
        <v>518</v>
      </c>
      <c r="CT14" s="48">
        <v>518</v>
      </c>
      <c r="CU14" s="48">
        <v>518</v>
      </c>
      <c r="CV14" s="48">
        <v>518</v>
      </c>
      <c r="CW14" s="48">
        <v>518</v>
      </c>
      <c r="CX14" s="48">
        <v>518</v>
      </c>
    </row>
    <row r="15" spans="1:103" s="39" customFormat="1" ht="15" customHeight="1">
      <c r="A15" s="51" t="s">
        <v>409</v>
      </c>
      <c r="B15" s="47" t="s">
        <v>402</v>
      </c>
      <c r="C15" s="48" t="s">
        <v>402</v>
      </c>
      <c r="D15" s="48" t="s">
        <v>402</v>
      </c>
      <c r="E15" s="48" t="s">
        <v>402</v>
      </c>
      <c r="F15" s="48" t="s">
        <v>402</v>
      </c>
      <c r="G15" s="48" t="s">
        <v>402</v>
      </c>
      <c r="H15" s="48" t="s">
        <v>402</v>
      </c>
      <c r="I15" s="48" t="s">
        <v>402</v>
      </c>
      <c r="J15" s="48" t="s">
        <v>402</v>
      </c>
      <c r="K15" s="48" t="s">
        <v>402</v>
      </c>
      <c r="L15" s="48" t="s">
        <v>402</v>
      </c>
      <c r="M15" s="48" t="s">
        <v>402</v>
      </c>
      <c r="N15" s="48" t="s">
        <v>402</v>
      </c>
      <c r="O15" s="48" t="s">
        <v>402</v>
      </c>
      <c r="P15" s="48" t="s">
        <v>402</v>
      </c>
      <c r="Q15" s="48" t="s">
        <v>402</v>
      </c>
      <c r="R15" s="48" t="s">
        <v>402</v>
      </c>
      <c r="S15" s="48" t="s">
        <v>402</v>
      </c>
      <c r="T15" s="48" t="s">
        <v>402</v>
      </c>
      <c r="U15" s="48" t="s">
        <v>402</v>
      </c>
      <c r="V15" s="48" t="s">
        <v>402</v>
      </c>
      <c r="W15" s="48" t="s">
        <v>402</v>
      </c>
      <c r="X15" s="48" t="s">
        <v>402</v>
      </c>
      <c r="Y15" s="48" t="s">
        <v>402</v>
      </c>
      <c r="Z15" s="48" t="s">
        <v>402</v>
      </c>
      <c r="AA15" s="48" t="s">
        <v>402</v>
      </c>
      <c r="AB15" s="48" t="s">
        <v>402</v>
      </c>
      <c r="AC15" s="48" t="s">
        <v>402</v>
      </c>
      <c r="AD15" s="48" t="s">
        <v>402</v>
      </c>
      <c r="AE15" s="48" t="s">
        <v>402</v>
      </c>
      <c r="AF15" s="48" t="s">
        <v>402</v>
      </c>
      <c r="AG15" s="48" t="s">
        <v>402</v>
      </c>
      <c r="AH15" s="48" t="s">
        <v>402</v>
      </c>
      <c r="AI15" s="48" t="s">
        <v>402</v>
      </c>
      <c r="AJ15" s="48" t="s">
        <v>402</v>
      </c>
      <c r="AK15" s="48" t="s">
        <v>402</v>
      </c>
      <c r="AL15" s="48" t="s">
        <v>402</v>
      </c>
      <c r="AM15" s="48" t="s">
        <v>402</v>
      </c>
      <c r="AN15" s="48" t="s">
        <v>402</v>
      </c>
      <c r="AO15" s="48" t="s">
        <v>402</v>
      </c>
      <c r="AP15" s="48" t="s">
        <v>402</v>
      </c>
      <c r="AQ15" s="48" t="s">
        <v>402</v>
      </c>
      <c r="AR15" s="48" t="s">
        <v>402</v>
      </c>
      <c r="AS15" s="48" t="s">
        <v>402</v>
      </c>
      <c r="AT15" s="48" t="s">
        <v>402</v>
      </c>
      <c r="AU15" s="48" t="s">
        <v>402</v>
      </c>
      <c r="AV15" s="48" t="s">
        <v>402</v>
      </c>
      <c r="AW15" s="48" t="s">
        <v>402</v>
      </c>
      <c r="AX15" s="48" t="s">
        <v>402</v>
      </c>
      <c r="AY15" s="48" t="s">
        <v>402</v>
      </c>
      <c r="AZ15" s="48" t="s">
        <v>402</v>
      </c>
      <c r="BA15" s="48" t="s">
        <v>402</v>
      </c>
      <c r="BB15" s="48" t="s">
        <v>402</v>
      </c>
      <c r="BC15" s="48" t="s">
        <v>402</v>
      </c>
      <c r="BD15" s="48" t="s">
        <v>402</v>
      </c>
      <c r="BE15" s="48" t="s">
        <v>402</v>
      </c>
      <c r="BF15" s="48" t="s">
        <v>402</v>
      </c>
      <c r="BG15" s="48" t="s">
        <v>402</v>
      </c>
      <c r="BH15" s="48" t="s">
        <v>402</v>
      </c>
      <c r="BI15" s="48" t="s">
        <v>402</v>
      </c>
      <c r="BJ15" s="48" t="s">
        <v>402</v>
      </c>
      <c r="BK15" s="48" t="s">
        <v>402</v>
      </c>
      <c r="BL15" s="48" t="s">
        <v>402</v>
      </c>
      <c r="BM15" s="48" t="s">
        <v>402</v>
      </c>
      <c r="BN15" s="48" t="s">
        <v>402</v>
      </c>
      <c r="BO15" s="48" t="s">
        <v>402</v>
      </c>
      <c r="BP15" s="48" t="s">
        <v>402</v>
      </c>
      <c r="BQ15" s="48" t="s">
        <v>402</v>
      </c>
      <c r="BR15" s="48" t="s">
        <v>402</v>
      </c>
      <c r="BS15" s="48" t="s">
        <v>402</v>
      </c>
      <c r="BT15" s="48" t="s">
        <v>402</v>
      </c>
      <c r="BU15" s="48" t="s">
        <v>402</v>
      </c>
      <c r="BV15" s="48" t="s">
        <v>402</v>
      </c>
      <c r="BW15" s="48" t="s">
        <v>402</v>
      </c>
      <c r="BX15" s="48" t="s">
        <v>402</v>
      </c>
      <c r="BY15" s="48" t="s">
        <v>402</v>
      </c>
      <c r="BZ15" s="48" t="s">
        <v>402</v>
      </c>
      <c r="CA15" s="48" t="s">
        <v>402</v>
      </c>
      <c r="CB15" s="48" t="s">
        <v>402</v>
      </c>
      <c r="CC15" s="48" t="s">
        <v>402</v>
      </c>
      <c r="CD15" s="48" t="s">
        <v>402</v>
      </c>
      <c r="CE15" s="48" t="s">
        <v>402</v>
      </c>
      <c r="CF15" s="48" t="s">
        <v>402</v>
      </c>
      <c r="CG15" s="48" t="s">
        <v>402</v>
      </c>
      <c r="CH15" s="48" t="s">
        <v>402</v>
      </c>
      <c r="CI15" s="48" t="s">
        <v>402</v>
      </c>
      <c r="CJ15" s="48" t="s">
        <v>402</v>
      </c>
      <c r="CK15" s="48" t="s">
        <v>402</v>
      </c>
      <c r="CL15" s="48" t="s">
        <v>402</v>
      </c>
      <c r="CM15" s="48" t="s">
        <v>402</v>
      </c>
      <c r="CN15" s="48" t="s">
        <v>402</v>
      </c>
      <c r="CO15" s="48" t="s">
        <v>402</v>
      </c>
      <c r="CP15" s="48" t="s">
        <v>402</v>
      </c>
      <c r="CQ15" s="48" t="s">
        <v>402</v>
      </c>
      <c r="CR15" s="48" t="s">
        <v>402</v>
      </c>
      <c r="CS15" s="48" t="s">
        <v>402</v>
      </c>
      <c r="CT15" s="48" t="s">
        <v>402</v>
      </c>
      <c r="CU15" s="48" t="s">
        <v>402</v>
      </c>
      <c r="CV15" s="48" t="s">
        <v>402</v>
      </c>
      <c r="CW15" s="48" t="s">
        <v>402</v>
      </c>
      <c r="CX15" s="48" t="s">
        <v>402</v>
      </c>
      <c r="CY15" s="52"/>
    </row>
    <row r="16" spans="1:103" s="39" customFormat="1" ht="15" customHeight="1">
      <c r="A16" s="46" t="s">
        <v>410</v>
      </c>
      <c r="B16" s="47" t="s">
        <v>402</v>
      </c>
      <c r="C16" s="48">
        <v>906</v>
      </c>
      <c r="D16" s="48">
        <v>728</v>
      </c>
      <c r="E16" s="48">
        <v>630.9</v>
      </c>
      <c r="F16" s="48">
        <v>533.79999999999995</v>
      </c>
      <c r="G16" s="48">
        <v>436.7</v>
      </c>
      <c r="H16" s="48">
        <v>340</v>
      </c>
      <c r="I16" s="48">
        <v>340</v>
      </c>
      <c r="J16" s="48">
        <v>340</v>
      </c>
      <c r="K16" s="48">
        <v>340</v>
      </c>
      <c r="L16" s="48">
        <v>340</v>
      </c>
      <c r="M16" s="48">
        <v>340</v>
      </c>
      <c r="N16" s="48">
        <v>340</v>
      </c>
      <c r="O16" s="48">
        <v>340</v>
      </c>
      <c r="P16" s="48">
        <v>340</v>
      </c>
      <c r="Q16" s="48">
        <v>340</v>
      </c>
      <c r="R16" s="48">
        <v>340</v>
      </c>
      <c r="S16" s="48">
        <v>340</v>
      </c>
      <c r="T16" s="48">
        <v>340</v>
      </c>
      <c r="U16" s="48">
        <v>340</v>
      </c>
      <c r="V16" s="48">
        <v>340</v>
      </c>
      <c r="W16" s="48">
        <v>340</v>
      </c>
      <c r="X16" s="48">
        <v>340</v>
      </c>
      <c r="Y16" s="48">
        <v>340</v>
      </c>
      <c r="Z16" s="48">
        <v>340</v>
      </c>
      <c r="AA16" s="48">
        <v>340</v>
      </c>
      <c r="AB16" s="48">
        <v>340</v>
      </c>
      <c r="AC16" s="48">
        <v>340</v>
      </c>
      <c r="AD16" s="48">
        <v>340</v>
      </c>
      <c r="AE16" s="48">
        <v>340</v>
      </c>
      <c r="AF16" s="48">
        <v>340</v>
      </c>
      <c r="AG16" s="48">
        <v>340</v>
      </c>
      <c r="AH16" s="48">
        <v>340</v>
      </c>
      <c r="AI16" s="48">
        <v>340</v>
      </c>
      <c r="AJ16" s="48">
        <v>340</v>
      </c>
      <c r="AK16" s="48">
        <v>340</v>
      </c>
      <c r="AL16" s="48">
        <v>340</v>
      </c>
      <c r="AM16" s="48">
        <v>340</v>
      </c>
      <c r="AN16" s="48">
        <v>340</v>
      </c>
      <c r="AO16" s="48">
        <v>340</v>
      </c>
      <c r="AP16" s="48">
        <v>340</v>
      </c>
      <c r="AQ16" s="48">
        <v>340</v>
      </c>
      <c r="AR16" s="48">
        <v>340</v>
      </c>
      <c r="AS16" s="48">
        <v>340</v>
      </c>
      <c r="AT16" s="48">
        <v>340</v>
      </c>
      <c r="AU16" s="48">
        <v>340</v>
      </c>
      <c r="AV16" s="48">
        <v>340</v>
      </c>
      <c r="AW16" s="48">
        <v>340</v>
      </c>
      <c r="AX16" s="48">
        <v>340</v>
      </c>
      <c r="AY16" s="48">
        <v>340</v>
      </c>
      <c r="AZ16" s="48">
        <v>340</v>
      </c>
      <c r="BA16" s="48">
        <v>340</v>
      </c>
      <c r="BB16" s="48">
        <v>340</v>
      </c>
      <c r="BC16" s="48">
        <v>340</v>
      </c>
      <c r="BD16" s="48">
        <v>340</v>
      </c>
      <c r="BE16" s="48">
        <v>340</v>
      </c>
      <c r="BF16" s="48">
        <v>340</v>
      </c>
      <c r="BG16" s="48">
        <v>340</v>
      </c>
      <c r="BH16" s="48">
        <v>340</v>
      </c>
      <c r="BI16" s="48">
        <v>340</v>
      </c>
      <c r="BJ16" s="48">
        <v>340</v>
      </c>
      <c r="BK16" s="48">
        <v>340</v>
      </c>
      <c r="BL16" s="48">
        <v>340</v>
      </c>
      <c r="BM16" s="48">
        <v>340</v>
      </c>
      <c r="BN16" s="48">
        <v>340</v>
      </c>
      <c r="BO16" s="48">
        <v>340</v>
      </c>
      <c r="BP16" s="48">
        <v>340</v>
      </c>
      <c r="BQ16" s="48">
        <v>340</v>
      </c>
      <c r="BR16" s="48">
        <v>340</v>
      </c>
      <c r="BS16" s="48">
        <v>340</v>
      </c>
      <c r="BT16" s="48">
        <v>340</v>
      </c>
      <c r="BU16" s="48">
        <v>340</v>
      </c>
      <c r="BV16" s="48">
        <v>340</v>
      </c>
      <c r="BW16" s="48">
        <v>340</v>
      </c>
      <c r="BX16" s="48">
        <v>340</v>
      </c>
      <c r="BY16" s="48">
        <v>340</v>
      </c>
      <c r="BZ16" s="48">
        <v>340</v>
      </c>
      <c r="CA16" s="48">
        <v>340</v>
      </c>
      <c r="CB16" s="48">
        <v>340</v>
      </c>
      <c r="CC16" s="48">
        <v>340</v>
      </c>
      <c r="CD16" s="48">
        <v>340</v>
      </c>
      <c r="CE16" s="48">
        <v>340</v>
      </c>
      <c r="CF16" s="48">
        <v>340</v>
      </c>
      <c r="CG16" s="48">
        <v>340</v>
      </c>
      <c r="CH16" s="48">
        <v>340</v>
      </c>
      <c r="CI16" s="48">
        <v>340</v>
      </c>
      <c r="CJ16" s="48">
        <v>340</v>
      </c>
      <c r="CK16" s="48">
        <v>340</v>
      </c>
      <c r="CL16" s="48">
        <v>340</v>
      </c>
      <c r="CM16" s="48">
        <v>340</v>
      </c>
      <c r="CN16" s="48">
        <v>340</v>
      </c>
      <c r="CO16" s="48">
        <v>340</v>
      </c>
      <c r="CP16" s="48">
        <v>340</v>
      </c>
      <c r="CQ16" s="48">
        <v>340</v>
      </c>
      <c r="CR16" s="48">
        <v>340</v>
      </c>
      <c r="CS16" s="48">
        <v>340</v>
      </c>
      <c r="CT16" s="48">
        <v>340</v>
      </c>
      <c r="CU16" s="48">
        <v>340</v>
      </c>
      <c r="CV16" s="48">
        <v>340</v>
      </c>
      <c r="CW16" s="48">
        <v>340</v>
      </c>
      <c r="CX16" s="48">
        <v>340</v>
      </c>
    </row>
    <row r="17" spans="1:103" s="39" customFormat="1" ht="15" customHeight="1">
      <c r="A17" s="51" t="s">
        <v>411</v>
      </c>
      <c r="B17" s="47" t="s">
        <v>402</v>
      </c>
      <c r="C17" s="48" t="s">
        <v>402</v>
      </c>
      <c r="D17" s="48" t="s">
        <v>402</v>
      </c>
      <c r="E17" s="48" t="s">
        <v>402</v>
      </c>
      <c r="F17" s="48" t="s">
        <v>402</v>
      </c>
      <c r="G17" s="48" t="s">
        <v>402</v>
      </c>
      <c r="H17" s="48" t="s">
        <v>402</v>
      </c>
      <c r="I17" s="48" t="s">
        <v>402</v>
      </c>
      <c r="J17" s="48" t="s">
        <v>402</v>
      </c>
      <c r="K17" s="48" t="s">
        <v>402</v>
      </c>
      <c r="L17" s="48" t="s">
        <v>402</v>
      </c>
      <c r="M17" s="48" t="s">
        <v>402</v>
      </c>
      <c r="N17" s="48" t="s">
        <v>402</v>
      </c>
      <c r="O17" s="48" t="s">
        <v>402</v>
      </c>
      <c r="P17" s="48" t="s">
        <v>402</v>
      </c>
      <c r="Q17" s="48" t="s">
        <v>402</v>
      </c>
      <c r="R17" s="48" t="s">
        <v>402</v>
      </c>
      <c r="S17" s="48" t="s">
        <v>402</v>
      </c>
      <c r="T17" s="48" t="s">
        <v>402</v>
      </c>
      <c r="U17" s="48" t="s">
        <v>402</v>
      </c>
      <c r="V17" s="48" t="s">
        <v>402</v>
      </c>
      <c r="W17" s="48" t="s">
        <v>402</v>
      </c>
      <c r="X17" s="48" t="s">
        <v>402</v>
      </c>
      <c r="Y17" s="48" t="s">
        <v>402</v>
      </c>
      <c r="Z17" s="48" t="s">
        <v>402</v>
      </c>
      <c r="AA17" s="48" t="s">
        <v>402</v>
      </c>
      <c r="AB17" s="48" t="s">
        <v>402</v>
      </c>
      <c r="AC17" s="48" t="s">
        <v>402</v>
      </c>
      <c r="AD17" s="48" t="s">
        <v>402</v>
      </c>
      <c r="AE17" s="48" t="s">
        <v>402</v>
      </c>
      <c r="AF17" s="48" t="s">
        <v>402</v>
      </c>
      <c r="AG17" s="48" t="s">
        <v>402</v>
      </c>
      <c r="AH17" s="48" t="s">
        <v>402</v>
      </c>
      <c r="AI17" s="48" t="s">
        <v>402</v>
      </c>
      <c r="AJ17" s="48" t="s">
        <v>402</v>
      </c>
      <c r="AK17" s="48" t="s">
        <v>402</v>
      </c>
      <c r="AL17" s="48" t="s">
        <v>402</v>
      </c>
      <c r="AM17" s="48" t="s">
        <v>402</v>
      </c>
      <c r="AN17" s="48" t="s">
        <v>402</v>
      </c>
      <c r="AO17" s="48" t="s">
        <v>402</v>
      </c>
      <c r="AP17" s="48" t="s">
        <v>402</v>
      </c>
      <c r="AQ17" s="48" t="s">
        <v>402</v>
      </c>
      <c r="AR17" s="48" t="s">
        <v>402</v>
      </c>
      <c r="AS17" s="48" t="s">
        <v>402</v>
      </c>
      <c r="AT17" s="48" t="s">
        <v>402</v>
      </c>
      <c r="AU17" s="48" t="s">
        <v>402</v>
      </c>
      <c r="AV17" s="48" t="s">
        <v>402</v>
      </c>
      <c r="AW17" s="48" t="s">
        <v>402</v>
      </c>
      <c r="AX17" s="48" t="s">
        <v>402</v>
      </c>
      <c r="AY17" s="48" t="s">
        <v>402</v>
      </c>
      <c r="AZ17" s="48" t="s">
        <v>402</v>
      </c>
      <c r="BA17" s="48" t="s">
        <v>402</v>
      </c>
      <c r="BB17" s="48" t="s">
        <v>402</v>
      </c>
      <c r="BC17" s="48" t="s">
        <v>402</v>
      </c>
      <c r="BD17" s="48" t="s">
        <v>402</v>
      </c>
      <c r="BE17" s="48" t="s">
        <v>402</v>
      </c>
      <c r="BF17" s="48" t="s">
        <v>402</v>
      </c>
      <c r="BG17" s="48" t="s">
        <v>402</v>
      </c>
      <c r="BH17" s="48" t="s">
        <v>402</v>
      </c>
      <c r="BI17" s="48" t="s">
        <v>402</v>
      </c>
      <c r="BJ17" s="48" t="s">
        <v>402</v>
      </c>
      <c r="BK17" s="48" t="s">
        <v>402</v>
      </c>
      <c r="BL17" s="48" t="s">
        <v>402</v>
      </c>
      <c r="BM17" s="48" t="s">
        <v>402</v>
      </c>
      <c r="BN17" s="48" t="s">
        <v>402</v>
      </c>
      <c r="BO17" s="48" t="s">
        <v>402</v>
      </c>
      <c r="BP17" s="48" t="s">
        <v>402</v>
      </c>
      <c r="BQ17" s="48" t="s">
        <v>402</v>
      </c>
      <c r="BR17" s="48" t="s">
        <v>402</v>
      </c>
      <c r="BS17" s="48" t="s">
        <v>402</v>
      </c>
      <c r="BT17" s="48" t="s">
        <v>402</v>
      </c>
      <c r="BU17" s="48" t="s">
        <v>402</v>
      </c>
      <c r="BV17" s="48" t="s">
        <v>402</v>
      </c>
      <c r="BW17" s="48" t="s">
        <v>402</v>
      </c>
      <c r="BX17" s="48" t="s">
        <v>402</v>
      </c>
      <c r="BY17" s="48" t="s">
        <v>402</v>
      </c>
      <c r="BZ17" s="48" t="s">
        <v>402</v>
      </c>
      <c r="CA17" s="48" t="s">
        <v>402</v>
      </c>
      <c r="CB17" s="48" t="s">
        <v>402</v>
      </c>
      <c r="CC17" s="48" t="s">
        <v>402</v>
      </c>
      <c r="CD17" s="48" t="s">
        <v>402</v>
      </c>
      <c r="CE17" s="48" t="s">
        <v>402</v>
      </c>
      <c r="CF17" s="48" t="s">
        <v>402</v>
      </c>
      <c r="CG17" s="48" t="s">
        <v>402</v>
      </c>
      <c r="CH17" s="48" t="s">
        <v>402</v>
      </c>
      <c r="CI17" s="48" t="s">
        <v>402</v>
      </c>
      <c r="CJ17" s="48" t="s">
        <v>402</v>
      </c>
      <c r="CK17" s="48" t="s">
        <v>402</v>
      </c>
      <c r="CL17" s="48" t="s">
        <v>402</v>
      </c>
      <c r="CM17" s="48" t="s">
        <v>402</v>
      </c>
      <c r="CN17" s="48" t="s">
        <v>402</v>
      </c>
      <c r="CO17" s="48" t="s">
        <v>402</v>
      </c>
      <c r="CP17" s="48" t="s">
        <v>402</v>
      </c>
      <c r="CQ17" s="48" t="s">
        <v>402</v>
      </c>
      <c r="CR17" s="48" t="s">
        <v>402</v>
      </c>
      <c r="CS17" s="48" t="s">
        <v>402</v>
      </c>
      <c r="CT17" s="48" t="s">
        <v>402</v>
      </c>
      <c r="CU17" s="48" t="s">
        <v>402</v>
      </c>
      <c r="CV17" s="48" t="s">
        <v>402</v>
      </c>
      <c r="CW17" s="48" t="s">
        <v>402</v>
      </c>
      <c r="CX17" s="48" t="s">
        <v>402</v>
      </c>
      <c r="CY17" s="52"/>
    </row>
    <row r="18" spans="1:103" s="39" customFormat="1" ht="15" customHeight="1">
      <c r="A18" s="46" t="s">
        <v>66</v>
      </c>
      <c r="B18" s="47" t="s">
        <v>402</v>
      </c>
      <c r="C18" s="48">
        <v>906</v>
      </c>
      <c r="D18" s="48">
        <v>728</v>
      </c>
      <c r="E18" s="48">
        <v>630.9</v>
      </c>
      <c r="F18" s="48">
        <v>533.79999999999995</v>
      </c>
      <c r="G18" s="48">
        <v>436.7</v>
      </c>
      <c r="H18" s="48">
        <v>340</v>
      </c>
      <c r="I18" s="48">
        <v>340</v>
      </c>
      <c r="J18" s="48">
        <v>340</v>
      </c>
      <c r="K18" s="48">
        <v>340</v>
      </c>
      <c r="L18" s="48">
        <v>340</v>
      </c>
      <c r="M18" s="48">
        <v>340</v>
      </c>
      <c r="N18" s="48">
        <v>340</v>
      </c>
      <c r="O18" s="48">
        <v>340</v>
      </c>
      <c r="P18" s="48">
        <v>340</v>
      </c>
      <c r="Q18" s="48">
        <v>340</v>
      </c>
      <c r="R18" s="48">
        <v>340</v>
      </c>
      <c r="S18" s="48">
        <v>340</v>
      </c>
      <c r="T18" s="48">
        <v>340</v>
      </c>
      <c r="U18" s="48">
        <v>340</v>
      </c>
      <c r="V18" s="48">
        <v>340</v>
      </c>
      <c r="W18" s="48">
        <v>340</v>
      </c>
      <c r="X18" s="48">
        <v>340</v>
      </c>
      <c r="Y18" s="48">
        <v>340</v>
      </c>
      <c r="Z18" s="48">
        <v>340</v>
      </c>
      <c r="AA18" s="48">
        <v>340</v>
      </c>
      <c r="AB18" s="48">
        <v>340</v>
      </c>
      <c r="AC18" s="48">
        <v>340</v>
      </c>
      <c r="AD18" s="48">
        <v>340</v>
      </c>
      <c r="AE18" s="48">
        <v>340</v>
      </c>
      <c r="AF18" s="48">
        <v>340</v>
      </c>
      <c r="AG18" s="48">
        <v>340</v>
      </c>
      <c r="AH18" s="48">
        <v>340</v>
      </c>
      <c r="AI18" s="48">
        <v>340</v>
      </c>
      <c r="AJ18" s="48">
        <v>340</v>
      </c>
      <c r="AK18" s="48">
        <v>340</v>
      </c>
      <c r="AL18" s="48">
        <v>340</v>
      </c>
      <c r="AM18" s="48">
        <v>340</v>
      </c>
      <c r="AN18" s="48">
        <v>340</v>
      </c>
      <c r="AO18" s="48">
        <v>340</v>
      </c>
      <c r="AP18" s="48">
        <v>340</v>
      </c>
      <c r="AQ18" s="48">
        <v>340</v>
      </c>
      <c r="AR18" s="48">
        <v>340</v>
      </c>
      <c r="AS18" s="48">
        <v>340</v>
      </c>
      <c r="AT18" s="48">
        <v>340</v>
      </c>
      <c r="AU18" s="48">
        <v>340</v>
      </c>
      <c r="AV18" s="48">
        <v>340</v>
      </c>
      <c r="AW18" s="48">
        <v>340</v>
      </c>
      <c r="AX18" s="48">
        <v>340</v>
      </c>
      <c r="AY18" s="48">
        <v>340</v>
      </c>
      <c r="AZ18" s="48">
        <v>340</v>
      </c>
      <c r="BA18" s="48">
        <v>340</v>
      </c>
      <c r="BB18" s="48">
        <v>340</v>
      </c>
      <c r="BC18" s="48">
        <v>340</v>
      </c>
      <c r="BD18" s="48">
        <v>340</v>
      </c>
      <c r="BE18" s="48">
        <v>340</v>
      </c>
      <c r="BF18" s="48">
        <v>340</v>
      </c>
      <c r="BG18" s="48">
        <v>340</v>
      </c>
      <c r="BH18" s="48">
        <v>340</v>
      </c>
      <c r="BI18" s="48">
        <v>340</v>
      </c>
      <c r="BJ18" s="48">
        <v>340</v>
      </c>
      <c r="BK18" s="48">
        <v>340</v>
      </c>
      <c r="BL18" s="48">
        <v>340</v>
      </c>
      <c r="BM18" s="48">
        <v>340</v>
      </c>
      <c r="BN18" s="48">
        <v>340</v>
      </c>
      <c r="BO18" s="48">
        <v>340</v>
      </c>
      <c r="BP18" s="48">
        <v>340</v>
      </c>
      <c r="BQ18" s="48">
        <v>340</v>
      </c>
      <c r="BR18" s="48">
        <v>340</v>
      </c>
      <c r="BS18" s="48">
        <v>340</v>
      </c>
      <c r="BT18" s="48">
        <v>340</v>
      </c>
      <c r="BU18" s="48">
        <v>340</v>
      </c>
      <c r="BV18" s="48">
        <v>340</v>
      </c>
      <c r="BW18" s="48">
        <v>340</v>
      </c>
      <c r="BX18" s="48">
        <v>340</v>
      </c>
      <c r="BY18" s="48">
        <v>340</v>
      </c>
      <c r="BZ18" s="48">
        <v>340</v>
      </c>
      <c r="CA18" s="48">
        <v>340</v>
      </c>
      <c r="CB18" s="48">
        <v>340</v>
      </c>
      <c r="CC18" s="48">
        <v>340</v>
      </c>
      <c r="CD18" s="48">
        <v>340</v>
      </c>
      <c r="CE18" s="48">
        <v>340</v>
      </c>
      <c r="CF18" s="48">
        <v>340</v>
      </c>
      <c r="CG18" s="48">
        <v>340</v>
      </c>
      <c r="CH18" s="48">
        <v>340</v>
      </c>
      <c r="CI18" s="48">
        <v>340</v>
      </c>
      <c r="CJ18" s="48">
        <v>340</v>
      </c>
      <c r="CK18" s="48">
        <v>340</v>
      </c>
      <c r="CL18" s="48">
        <v>340</v>
      </c>
      <c r="CM18" s="48">
        <v>340</v>
      </c>
      <c r="CN18" s="48">
        <v>340</v>
      </c>
      <c r="CO18" s="48">
        <v>340</v>
      </c>
      <c r="CP18" s="48">
        <v>340</v>
      </c>
      <c r="CQ18" s="48">
        <v>340</v>
      </c>
      <c r="CR18" s="48">
        <v>340</v>
      </c>
      <c r="CS18" s="48">
        <v>340</v>
      </c>
      <c r="CT18" s="48">
        <v>340</v>
      </c>
      <c r="CU18" s="48">
        <v>340</v>
      </c>
      <c r="CV18" s="48">
        <v>340</v>
      </c>
      <c r="CW18" s="48">
        <v>340</v>
      </c>
      <c r="CX18" s="48">
        <v>340</v>
      </c>
    </row>
    <row r="19" spans="1:103" s="39" customFormat="1" ht="15" customHeight="1">
      <c r="A19" s="51" t="s">
        <v>412</v>
      </c>
      <c r="B19" s="47" t="s">
        <v>402</v>
      </c>
      <c r="C19" s="48">
        <v>889.73699999999997</v>
      </c>
      <c r="D19" s="48">
        <v>733.74400000000003</v>
      </c>
      <c r="E19" s="48">
        <v>641.74900000000002</v>
      </c>
      <c r="F19" s="48">
        <v>546.31899999999996</v>
      </c>
      <c r="G19" s="48">
        <v>447.59199999999998</v>
      </c>
      <c r="H19" s="48">
        <v>346.185</v>
      </c>
      <c r="I19" s="48">
        <v>339.56599999999997</v>
      </c>
      <c r="J19" s="48">
        <v>332.33</v>
      </c>
      <c r="K19" s="48">
        <v>324.59100000000001</v>
      </c>
      <c r="L19" s="48">
        <v>316.613</v>
      </c>
      <c r="M19" s="48">
        <v>308.86099999999999</v>
      </c>
      <c r="N19" s="48">
        <v>301.58600000000001</v>
      </c>
      <c r="O19" s="48">
        <v>294.56099999999998</v>
      </c>
      <c r="P19" s="48">
        <v>287.93299999999999</v>
      </c>
      <c r="Q19" s="48">
        <v>281.86799999999999</v>
      </c>
      <c r="R19" s="48">
        <v>276.39699999999999</v>
      </c>
      <c r="S19" s="48">
        <v>271.39600000000002</v>
      </c>
      <c r="T19" s="48">
        <v>266.75200000000001</v>
      </c>
      <c r="U19" s="48">
        <v>262.42099999999999</v>
      </c>
      <c r="V19" s="48">
        <v>258.32</v>
      </c>
      <c r="W19" s="48">
        <v>254.042</v>
      </c>
      <c r="X19" s="48">
        <v>249.26499999999999</v>
      </c>
      <c r="Y19" s="48">
        <v>244.18</v>
      </c>
      <c r="Z19" s="48">
        <v>238.815</v>
      </c>
      <c r="AA19" s="48">
        <v>233.05199999999999</v>
      </c>
      <c r="AB19" s="48">
        <v>225.92099999999999</v>
      </c>
      <c r="AC19" s="48">
        <v>217.173</v>
      </c>
      <c r="AD19" s="48">
        <v>207.85</v>
      </c>
      <c r="AE19" s="48">
        <v>198.15299999999999</v>
      </c>
      <c r="AF19" s="48">
        <v>188.416</v>
      </c>
      <c r="AG19" s="48">
        <v>178.66300000000001</v>
      </c>
      <c r="AH19" s="48">
        <v>169.13</v>
      </c>
      <c r="AI19" s="48">
        <v>160.309</v>
      </c>
      <c r="AJ19" s="48">
        <v>152.619</v>
      </c>
      <c r="AK19" s="48">
        <v>146.13900000000001</v>
      </c>
      <c r="AL19" s="48">
        <v>140.709</v>
      </c>
      <c r="AM19" s="48">
        <v>136.43600000000001</v>
      </c>
      <c r="AN19" s="48">
        <v>133.28299999999999</v>
      </c>
      <c r="AO19" s="48">
        <v>131.18899999999999</v>
      </c>
      <c r="AP19" s="48">
        <v>130.005</v>
      </c>
      <c r="AQ19" s="48">
        <v>129.386</v>
      </c>
      <c r="AR19" s="48">
        <v>129.14500000000001</v>
      </c>
      <c r="AS19" s="48">
        <v>129.28100000000001</v>
      </c>
      <c r="AT19" s="48">
        <v>129.59100000000001</v>
      </c>
      <c r="AU19" s="48">
        <v>129.76300000000001</v>
      </c>
      <c r="AV19" s="48">
        <v>129.601</v>
      </c>
      <c r="AW19" s="48">
        <v>128.892</v>
      </c>
      <c r="AX19" s="48">
        <v>127.45399999999999</v>
      </c>
      <c r="AY19" s="48">
        <v>125.164</v>
      </c>
      <c r="AZ19" s="48">
        <v>121.928</v>
      </c>
      <c r="BA19" s="48">
        <v>117.715</v>
      </c>
      <c r="BB19" s="48">
        <v>112.627</v>
      </c>
      <c r="BC19" s="48">
        <v>106.714</v>
      </c>
      <c r="BD19" s="48">
        <v>100.15600000000001</v>
      </c>
      <c r="BE19" s="48">
        <v>93.074000000000012</v>
      </c>
      <c r="BF19" s="48">
        <v>85.693999999999988</v>
      </c>
      <c r="BG19" s="48">
        <v>78.168000000000006</v>
      </c>
      <c r="BH19" s="48">
        <v>70.538999999999987</v>
      </c>
      <c r="BI19" s="48">
        <v>62.994000000000028</v>
      </c>
      <c r="BJ19" s="48">
        <v>55.607000000000028</v>
      </c>
      <c r="BK19" s="48">
        <v>48.494000000000028</v>
      </c>
      <c r="BL19" s="48">
        <v>41.713000000000022</v>
      </c>
      <c r="BM19" s="48">
        <v>35.34899999999999</v>
      </c>
      <c r="BN19" s="48">
        <v>29.44499999999999</v>
      </c>
      <c r="BO19" s="48">
        <v>24.074999999999989</v>
      </c>
      <c r="BP19" s="48">
        <v>19.230000000000022</v>
      </c>
      <c r="BQ19" s="48">
        <v>14.934000000000029</v>
      </c>
      <c r="BR19" s="48">
        <v>11.14600000000002</v>
      </c>
      <c r="BS19" s="48">
        <v>7.8210000000000264</v>
      </c>
      <c r="BT19" s="48">
        <v>5.0160000000000204</v>
      </c>
      <c r="BU19" s="48">
        <v>2.617999999999995</v>
      </c>
      <c r="BV19" s="48">
        <v>0.617999999999995</v>
      </c>
      <c r="BW19" s="48">
        <v>-1.091999999999985</v>
      </c>
      <c r="BX19" s="48">
        <v>-2.4990000000000241</v>
      </c>
      <c r="BY19" s="48">
        <v>-3.6399999999999859</v>
      </c>
      <c r="BZ19" s="48">
        <v>-4.5960000000000036</v>
      </c>
      <c r="CA19" s="48">
        <v>-5.3720000000000141</v>
      </c>
      <c r="CB19" s="48">
        <v>-6.0079999999999814</v>
      </c>
      <c r="CC19" s="48">
        <v>-6.4839999999999796</v>
      </c>
      <c r="CD19" s="48">
        <v>-6.8290000000000077</v>
      </c>
      <c r="CE19" s="48">
        <v>-6.9970000000000141</v>
      </c>
      <c r="CF19" s="48">
        <v>-6.9569999999999936</v>
      </c>
      <c r="CG19" s="48">
        <v>-6.6399999999999864</v>
      </c>
      <c r="CH19" s="48">
        <v>-5.9750000000000227</v>
      </c>
      <c r="CI19" s="48">
        <v>-4.9490000000000123</v>
      </c>
      <c r="CJ19" s="48">
        <v>-3.5439999999999832</v>
      </c>
      <c r="CK19" s="48">
        <v>-1.7420000000000191</v>
      </c>
      <c r="CL19" s="48">
        <v>0.46600000000000819</v>
      </c>
      <c r="CM19" s="48">
        <v>3.019000000000005</v>
      </c>
      <c r="CN19" s="48">
        <v>5.8319999999999936</v>
      </c>
      <c r="CO19" s="48">
        <v>8.8140000000000214</v>
      </c>
      <c r="CP19" s="48">
        <v>11.913999999999991</v>
      </c>
      <c r="CQ19" s="48">
        <v>15.04199999999997</v>
      </c>
      <c r="CR19" s="48">
        <v>18.05700000000002</v>
      </c>
      <c r="CS19" s="48">
        <v>20.899999999999981</v>
      </c>
      <c r="CT19" s="48">
        <v>23.47199999999998</v>
      </c>
      <c r="CU19" s="48">
        <v>25.687999999999992</v>
      </c>
      <c r="CV19" s="48">
        <v>27.505999999999968</v>
      </c>
      <c r="CW19" s="48">
        <v>28.911000000000001</v>
      </c>
      <c r="CX19" s="48">
        <v>29.838000000000019</v>
      </c>
    </row>
    <row r="20" spans="1:103" s="39" customFormat="1" ht="15" customHeight="1">
      <c r="A20" s="46" t="s">
        <v>413</v>
      </c>
      <c r="B20" s="47" t="s">
        <v>402</v>
      </c>
      <c r="C20" s="48">
        <v>68492.494999999995</v>
      </c>
      <c r="D20" s="48">
        <v>69226.231</v>
      </c>
      <c r="E20" s="48">
        <v>69867.979000000007</v>
      </c>
      <c r="F20" s="48">
        <v>70414.3</v>
      </c>
      <c r="G20" s="48">
        <v>70861.913</v>
      </c>
      <c r="H20" s="48">
        <v>71208.100999999995</v>
      </c>
      <c r="I20" s="48">
        <v>71547.661999999997</v>
      </c>
      <c r="J20" s="48">
        <v>71879.987999999998</v>
      </c>
      <c r="K20" s="48">
        <v>72204.573999999993</v>
      </c>
      <c r="L20" s="48">
        <v>72521.172999999995</v>
      </c>
      <c r="M20" s="48">
        <v>72830.020999999993</v>
      </c>
      <c r="N20" s="48">
        <v>73131.596999999994</v>
      </c>
      <c r="O20" s="48">
        <v>73426.168000000005</v>
      </c>
      <c r="P20" s="48">
        <v>73714.089000000007</v>
      </c>
      <c r="Q20" s="48">
        <v>73995.941000000006</v>
      </c>
      <c r="R20" s="48">
        <v>74272.334000000003</v>
      </c>
      <c r="S20" s="48">
        <v>74543.737999999998</v>
      </c>
      <c r="T20" s="48">
        <v>74810.478000000003</v>
      </c>
      <c r="U20" s="48">
        <v>75072.892000000007</v>
      </c>
      <c r="V20" s="48">
        <v>75331.209000000003</v>
      </c>
      <c r="W20" s="48">
        <v>75585.236000000004</v>
      </c>
      <c r="X20" s="48">
        <v>75834.506999999998</v>
      </c>
      <c r="Y20" s="48">
        <v>76078.686000000002</v>
      </c>
      <c r="Z20" s="48">
        <v>76317.48</v>
      </c>
      <c r="AA20" s="48">
        <v>76550.535000000003</v>
      </c>
      <c r="AB20" s="48">
        <v>76776.460000000006</v>
      </c>
      <c r="AC20" s="48">
        <v>76993.637000000002</v>
      </c>
      <c r="AD20" s="48">
        <v>77201.482999999993</v>
      </c>
      <c r="AE20" s="48">
        <v>77399.645000000004</v>
      </c>
      <c r="AF20" s="48">
        <v>77588.048999999999</v>
      </c>
      <c r="AG20" s="48">
        <v>77766.710000000006</v>
      </c>
      <c r="AH20" s="48">
        <v>77935.834000000003</v>
      </c>
      <c r="AI20" s="48">
        <v>78096.133000000002</v>
      </c>
      <c r="AJ20" s="48">
        <v>78248.758000000002</v>
      </c>
      <c r="AK20" s="48">
        <v>78394.895999999993</v>
      </c>
      <c r="AL20" s="48">
        <v>78535.61</v>
      </c>
      <c r="AM20" s="48">
        <v>78672.035999999993</v>
      </c>
      <c r="AN20" s="48">
        <v>78805.316999999995</v>
      </c>
      <c r="AO20" s="48">
        <v>78936.486999999994</v>
      </c>
      <c r="AP20" s="48">
        <v>79066.48</v>
      </c>
      <c r="AQ20" s="48">
        <v>79195.862999999998</v>
      </c>
      <c r="AR20" s="48">
        <v>79325.004000000001</v>
      </c>
      <c r="AS20" s="48">
        <v>79454.27</v>
      </c>
      <c r="AT20" s="48">
        <v>79583.857000000004</v>
      </c>
      <c r="AU20" s="48">
        <v>79713.62</v>
      </c>
      <c r="AV20" s="48">
        <v>79843.214000000007</v>
      </c>
      <c r="AW20" s="48">
        <v>79972.100000000006</v>
      </c>
      <c r="AX20" s="48">
        <v>80099.543999999994</v>
      </c>
      <c r="AY20" s="48">
        <v>80224.705000000002</v>
      </c>
      <c r="AZ20" s="48">
        <v>80346.626000000004</v>
      </c>
      <c r="BA20" s="48">
        <v>80464.327999999994</v>
      </c>
      <c r="BB20" s="48">
        <v>80576.957999999999</v>
      </c>
      <c r="BC20" s="48">
        <v>80683.665999999997</v>
      </c>
      <c r="BD20" s="48">
        <v>80783.804999999993</v>
      </c>
      <c r="BE20" s="48">
        <v>80876.875</v>
      </c>
      <c r="BF20" s="48">
        <v>80962.573999999993</v>
      </c>
      <c r="BG20" s="48">
        <v>81040.744000000006</v>
      </c>
      <c r="BH20" s="48">
        <v>81111.28</v>
      </c>
      <c r="BI20" s="48">
        <v>81174.269</v>
      </c>
      <c r="BJ20" s="48">
        <v>81229.881999999998</v>
      </c>
      <c r="BK20" s="48">
        <v>81278.373000000007</v>
      </c>
      <c r="BL20" s="48">
        <v>81320.103000000003</v>
      </c>
      <c r="BM20" s="48">
        <v>81355.441999999995</v>
      </c>
      <c r="BN20" s="48">
        <v>81384.875</v>
      </c>
      <c r="BO20" s="48">
        <v>81408.956999999995</v>
      </c>
      <c r="BP20" s="48">
        <v>81428.186000000002</v>
      </c>
      <c r="BQ20" s="48">
        <v>81443.111000000004</v>
      </c>
      <c r="BR20" s="48">
        <v>81454.243000000002</v>
      </c>
      <c r="BS20" s="48">
        <v>81462.067999999999</v>
      </c>
      <c r="BT20" s="48">
        <v>81467.091</v>
      </c>
      <c r="BU20" s="48">
        <v>81469.703999999998</v>
      </c>
      <c r="BV20" s="48">
        <v>81470.320000000007</v>
      </c>
      <c r="BW20" s="48">
        <v>81469.232000000004</v>
      </c>
      <c r="BX20" s="48">
        <v>81466.731</v>
      </c>
      <c r="BY20" s="48">
        <v>81463.092999999993</v>
      </c>
      <c r="BZ20" s="48">
        <v>81458.489000000001</v>
      </c>
      <c r="CA20" s="48">
        <v>81453.119999999995</v>
      </c>
      <c r="CB20" s="48">
        <v>81447.095000000001</v>
      </c>
      <c r="CC20" s="48">
        <v>81440.607999999993</v>
      </c>
      <c r="CD20" s="48">
        <v>81433.781000000003</v>
      </c>
      <c r="CE20" s="48">
        <v>81426.782999999996</v>
      </c>
      <c r="CF20" s="48">
        <v>81419.828999999998</v>
      </c>
      <c r="CG20" s="48">
        <v>81413.183000000005</v>
      </c>
      <c r="CH20" s="48">
        <v>81407.199999999997</v>
      </c>
      <c r="CI20" s="48">
        <v>81402.25</v>
      </c>
      <c r="CJ20" s="48">
        <v>81398.709000000003</v>
      </c>
      <c r="CK20" s="48">
        <v>81396.967000000004</v>
      </c>
      <c r="CL20" s="48">
        <v>81397.436000000002</v>
      </c>
      <c r="CM20" s="48">
        <v>81400.459000000003</v>
      </c>
      <c r="CN20" s="48">
        <v>81406.275999999998</v>
      </c>
      <c r="CO20" s="48">
        <v>81415.084000000003</v>
      </c>
      <c r="CP20" s="48">
        <v>81426.995999999999</v>
      </c>
      <c r="CQ20" s="48">
        <v>81442.03</v>
      </c>
      <c r="CR20" s="48">
        <v>81460.095000000001</v>
      </c>
      <c r="CS20" s="48">
        <v>81480.985000000001</v>
      </c>
      <c r="CT20" s="48">
        <v>81504.456000000006</v>
      </c>
      <c r="CU20" s="48">
        <v>81530.145000000004</v>
      </c>
      <c r="CV20" s="48">
        <v>81557.638999999996</v>
      </c>
      <c r="CW20" s="48">
        <v>81586.535000000003</v>
      </c>
      <c r="CX20" s="48">
        <v>81616.369000000006</v>
      </c>
    </row>
    <row r="21" spans="1:103" s="39" customFormat="1" ht="15" customHeight="1">
      <c r="A21" s="51" t="s">
        <v>414</v>
      </c>
      <c r="B21" s="47" t="s">
        <v>402</v>
      </c>
      <c r="C21" s="53">
        <v>1.3161208016341181E-2</v>
      </c>
      <c r="D21" s="53">
        <v>1.071264815218083E-2</v>
      </c>
      <c r="E21" s="53">
        <v>9.2703010221661039E-3</v>
      </c>
      <c r="F21" s="53">
        <v>7.8193330881947548E-3</v>
      </c>
      <c r="G21" s="53">
        <v>6.3568479698015538E-3</v>
      </c>
      <c r="H21" s="53">
        <v>4.8853888547998221E-3</v>
      </c>
      <c r="I21" s="53">
        <v>4.768572609456353E-3</v>
      </c>
      <c r="J21" s="53">
        <v>4.6448198405141588E-3</v>
      </c>
      <c r="K21" s="53">
        <v>4.5156657510849289E-3</v>
      </c>
      <c r="L21" s="53">
        <v>4.3847499190287033E-3</v>
      </c>
      <c r="M21" s="53">
        <v>4.2587286887926946E-3</v>
      </c>
      <c r="N21" s="53">
        <v>4.1408198962348368E-3</v>
      </c>
      <c r="O21" s="53">
        <v>4.0279579837427977E-3</v>
      </c>
      <c r="P21" s="53">
        <v>3.9212314606967107E-3</v>
      </c>
      <c r="Q21" s="53">
        <v>3.823583847044476E-3</v>
      </c>
      <c r="R21" s="53">
        <v>3.7352454237996159E-3</v>
      </c>
      <c r="S21" s="53">
        <v>3.654173571548121E-3</v>
      </c>
      <c r="T21" s="53">
        <v>3.5783019091423251E-3</v>
      </c>
      <c r="U21" s="53">
        <v>3.5077171943748882E-3</v>
      </c>
      <c r="V21" s="53">
        <v>3.44088249590805E-3</v>
      </c>
      <c r="W21" s="53">
        <v>3.3721349142292649E-3</v>
      </c>
      <c r="X21" s="53">
        <v>3.2978794959374518E-3</v>
      </c>
      <c r="Y21" s="53">
        <v>3.2198930231062718E-3</v>
      </c>
      <c r="Z21" s="53">
        <v>3.138776608207907E-3</v>
      </c>
      <c r="AA21" s="53">
        <v>3.0537564919597389E-3</v>
      </c>
      <c r="AB21" s="53">
        <v>2.951318367663961E-3</v>
      </c>
      <c r="AC21" s="53">
        <v>2.8286925445637381E-3</v>
      </c>
      <c r="AD21" s="53">
        <v>2.699521779962031E-3</v>
      </c>
      <c r="AE21" s="53">
        <v>2.56681597683831E-3</v>
      </c>
      <c r="AF21" s="53">
        <v>2.434171371199377E-3</v>
      </c>
      <c r="AG21" s="53">
        <v>2.3026871058454811E-3</v>
      </c>
      <c r="AH21" s="53">
        <v>2.1747608970470291E-3</v>
      </c>
      <c r="AI21" s="53">
        <v>2.056807398763438E-3</v>
      </c>
      <c r="AJ21" s="53">
        <v>1.954322117331981E-3</v>
      </c>
      <c r="AK21" s="53">
        <v>1.8676079178150239E-3</v>
      </c>
      <c r="AL21" s="53">
        <v>1.7949382827168649E-3</v>
      </c>
      <c r="AM21" s="53">
        <v>1.7371228160065501E-3</v>
      </c>
      <c r="AN21" s="53">
        <v>1.6941343681508719E-3</v>
      </c>
      <c r="AO21" s="53">
        <v>1.6644815983672559E-3</v>
      </c>
      <c r="AP21" s="53">
        <v>1.6468049813263439E-3</v>
      </c>
      <c r="AQ21" s="53">
        <v>1.6363824467713959E-3</v>
      </c>
      <c r="AR21" s="53">
        <v>1.6306533587493489E-3</v>
      </c>
      <c r="AS21" s="53">
        <v>1.629574452968238E-3</v>
      </c>
      <c r="AT21" s="53">
        <v>1.630963320158873E-3</v>
      </c>
      <c r="AU21" s="53">
        <v>1.630519113945328E-3</v>
      </c>
      <c r="AV21" s="53">
        <v>1.6257447598040571E-3</v>
      </c>
      <c r="AW21" s="53">
        <v>1.614238625213642E-3</v>
      </c>
      <c r="AX21" s="53">
        <v>1.593605770012149E-3</v>
      </c>
      <c r="AY21" s="53">
        <v>1.5625681963933201E-3</v>
      </c>
      <c r="AZ21" s="53">
        <v>1.5197438245488359E-3</v>
      </c>
      <c r="BA21" s="53">
        <v>1.4649277245318329E-3</v>
      </c>
      <c r="BB21" s="53">
        <v>1.399750706922012E-3</v>
      </c>
      <c r="BC21" s="53">
        <v>1.324299187368165E-3</v>
      </c>
      <c r="BD21" s="53">
        <v>1.2411310115729691E-3</v>
      </c>
      <c r="BE21" s="53">
        <v>1.152087352161822E-3</v>
      </c>
      <c r="BF21" s="53">
        <v>1.059623038105679E-3</v>
      </c>
      <c r="BG21" s="53">
        <v>9.6550784069702144E-4</v>
      </c>
      <c r="BH21" s="53">
        <v>8.7037700443609914E-4</v>
      </c>
      <c r="BI21" s="53">
        <v>7.7657509535050359E-4</v>
      </c>
      <c r="BJ21" s="53">
        <v>6.8510626193624927E-4</v>
      </c>
      <c r="BK21" s="53">
        <v>5.9696011869140816E-4</v>
      </c>
      <c r="BL21" s="53">
        <v>5.1342071032839105E-4</v>
      </c>
      <c r="BM21" s="53">
        <v>4.3456659173184598E-4</v>
      </c>
      <c r="BN21" s="53">
        <v>3.6178280489219808E-4</v>
      </c>
      <c r="BO21" s="53">
        <v>2.9590264775850402E-4</v>
      </c>
      <c r="BP21" s="53">
        <v>2.3620251024720329E-4</v>
      </c>
      <c r="BQ21" s="53">
        <v>1.8329034125852821E-4</v>
      </c>
      <c r="BR21" s="53">
        <v>1.366843660969408E-4</v>
      </c>
      <c r="BS21" s="53">
        <v>9.6066204924365805E-5</v>
      </c>
      <c r="BT21" s="53">
        <v>6.1660600121286489E-5</v>
      </c>
      <c r="BU21" s="53">
        <v>3.2074301020488807E-5</v>
      </c>
      <c r="BV21" s="53">
        <v>7.5610928942258141E-6</v>
      </c>
      <c r="BW21" s="53">
        <v>-1.3354556604213361E-5</v>
      </c>
      <c r="BX21" s="53">
        <v>-3.0698705985148383E-5</v>
      </c>
      <c r="BY21" s="53">
        <v>-4.4656265881176533E-5</v>
      </c>
      <c r="BZ21" s="53">
        <v>-5.6516390802790708E-5</v>
      </c>
      <c r="CA21" s="53">
        <v>-6.5910871487022722E-5</v>
      </c>
      <c r="CB21" s="53">
        <v>-7.3968928384746704E-5</v>
      </c>
      <c r="CC21" s="53">
        <v>-7.9646794032473049E-5</v>
      </c>
      <c r="CD21" s="53">
        <v>-8.3827959633973043E-5</v>
      </c>
      <c r="CE21" s="53">
        <v>-8.5934853006602602E-5</v>
      </c>
      <c r="CF21" s="53">
        <v>-8.540187569485466E-5</v>
      </c>
      <c r="CG21" s="53">
        <v>-8.1626307517710021E-5</v>
      </c>
      <c r="CH21" s="53">
        <v>-7.3489326661106599E-5</v>
      </c>
      <c r="CI21" s="53">
        <v>-6.0805432443286222E-5</v>
      </c>
      <c r="CJ21" s="53">
        <v>-4.3500026104898069E-5</v>
      </c>
      <c r="CK21" s="53">
        <v>-2.1400830816596491E-5</v>
      </c>
      <c r="CL21" s="53">
        <v>5.7618854520380648E-6</v>
      </c>
      <c r="CM21" s="53">
        <v>3.7138761962981828E-5</v>
      </c>
      <c r="CN21" s="53">
        <v>7.1461513503203459E-5</v>
      </c>
      <c r="CO21" s="53">
        <v>1.0819804605734009E-4</v>
      </c>
      <c r="CP21" s="53">
        <v>1.4631195369148821E-4</v>
      </c>
      <c r="CQ21" s="53">
        <v>1.8463164231184031E-4</v>
      </c>
      <c r="CR21" s="53">
        <v>2.218142155838003E-4</v>
      </c>
      <c r="CS21" s="53">
        <v>2.564445818532303E-4</v>
      </c>
      <c r="CT21" s="53">
        <v>2.8805493698934803E-4</v>
      </c>
      <c r="CU21" s="53">
        <v>3.1518522128407911E-4</v>
      </c>
      <c r="CV21" s="53">
        <v>3.3722496139300992E-4</v>
      </c>
      <c r="CW21" s="53">
        <v>3.5430157560112688E-4</v>
      </c>
      <c r="CX21" s="53">
        <v>3.6567308563848882E-4</v>
      </c>
    </row>
    <row r="22" spans="1:103" s="39" customFormat="1" ht="15" customHeight="1">
      <c r="A22" s="46" t="s">
        <v>415</v>
      </c>
      <c r="B22" s="47" t="s">
        <v>402</v>
      </c>
      <c r="C22" s="54">
        <v>1.4474239373754281</v>
      </c>
      <c r="D22" s="54">
        <v>1.4281623940472381</v>
      </c>
      <c r="E22" s="54">
        <v>1.4233952402054151</v>
      </c>
      <c r="F22" s="54">
        <v>1.4188950579643249</v>
      </c>
      <c r="G22" s="54">
        <v>1.4146367294304061</v>
      </c>
      <c r="H22" s="54">
        <v>1.41213624318438</v>
      </c>
      <c r="I22" s="54">
        <v>1.411340584260566</v>
      </c>
      <c r="J22" s="54">
        <v>1.4107551315815789</v>
      </c>
      <c r="K22" s="54">
        <v>1.4103275999275899</v>
      </c>
      <c r="L22" s="54">
        <v>1.410049391250781</v>
      </c>
      <c r="M22" s="54">
        <v>1.4106370245301261</v>
      </c>
      <c r="N22" s="54">
        <v>1.412101544742407</v>
      </c>
      <c r="O22" s="54">
        <v>1.413744572363455</v>
      </c>
      <c r="P22" s="54">
        <v>1.415626657001021</v>
      </c>
      <c r="Q22" s="54">
        <v>1.4177247256814649</v>
      </c>
      <c r="R22" s="54">
        <v>1.420187399409792</v>
      </c>
      <c r="S22" s="54">
        <v>1.423039771315711</v>
      </c>
      <c r="T22" s="54">
        <v>1.426045532240475</v>
      </c>
      <c r="U22" s="54">
        <v>1.4291702099166561</v>
      </c>
      <c r="V22" s="54">
        <v>1.432468868336374</v>
      </c>
      <c r="W22" s="54">
        <v>1.4352697823801019</v>
      </c>
      <c r="X22" s="54">
        <v>1.4375888064156841</v>
      </c>
      <c r="Y22" s="54">
        <v>1.440093919759577</v>
      </c>
      <c r="Z22" s="54">
        <v>1.4427302255193111</v>
      </c>
      <c r="AA22" s="54">
        <v>1.4455258264006161</v>
      </c>
      <c r="AB22" s="54">
        <v>1.4469497638031881</v>
      </c>
      <c r="AC22" s="54">
        <v>1.4469342087306469</v>
      </c>
      <c r="AD22" s="54">
        <v>1.446935537206731</v>
      </c>
      <c r="AE22" s="54">
        <v>1.4469161883544099</v>
      </c>
      <c r="AF22" s="54">
        <v>1.446910723092687</v>
      </c>
      <c r="AG22" s="54">
        <v>1.4468911401731941</v>
      </c>
      <c r="AH22" s="54">
        <v>1.446881856262916</v>
      </c>
      <c r="AI22" s="54">
        <v>1.446873479639027</v>
      </c>
      <c r="AJ22" s="54">
        <v>1.4468476965053381</v>
      </c>
      <c r="AK22" s="54">
        <v>1.4468375783026779</v>
      </c>
      <c r="AL22" s="54">
        <v>1.4468120107932609</v>
      </c>
      <c r="AM22" s="54">
        <v>1.446824251487062</v>
      </c>
      <c r="AN22" s="54">
        <v>1.446795309201834</v>
      </c>
      <c r="AO22" s="54">
        <v>1.446807790159621</v>
      </c>
      <c r="AP22" s="54">
        <v>1.4467984560174709</v>
      </c>
      <c r="AQ22" s="54">
        <v>1.4467718867174419</v>
      </c>
      <c r="AR22" s="54">
        <v>1.4467642625562891</v>
      </c>
      <c r="AS22" s="54">
        <v>1.446758391959752</v>
      </c>
      <c r="AT22" s="54">
        <v>1.446750803677783</v>
      </c>
      <c r="AU22" s="54">
        <v>1.446762301641594</v>
      </c>
      <c r="AV22" s="54">
        <v>1.446758631185544</v>
      </c>
      <c r="AW22" s="54">
        <v>1.446780845921577</v>
      </c>
      <c r="AX22" s="54">
        <v>1.4467839429367491</v>
      </c>
      <c r="AY22" s="54">
        <v>1.4467965545374499</v>
      </c>
      <c r="AZ22" s="54">
        <v>1.4468148335148441</v>
      </c>
      <c r="BA22" s="54">
        <v>1.446834247072162</v>
      </c>
      <c r="BB22" s="54">
        <v>1.4468496355101199</v>
      </c>
      <c r="BC22" s="54">
        <v>1.4468570352126959</v>
      </c>
      <c r="BD22" s="54">
        <v>1.4468954050482219</v>
      </c>
      <c r="BE22" s="54">
        <v>1.446890253559014</v>
      </c>
      <c r="BF22" s="54">
        <v>1.4468991168003671</v>
      </c>
      <c r="BG22" s="54">
        <v>1.446923567005018</v>
      </c>
      <c r="BH22" s="54">
        <v>1.446929338963598</v>
      </c>
      <c r="BI22" s="54">
        <v>1.446948966362047</v>
      </c>
      <c r="BJ22" s="54">
        <v>1.4469323229718081</v>
      </c>
      <c r="BK22" s="54">
        <v>1.4469397261446071</v>
      </c>
      <c r="BL22" s="54">
        <v>1.4469295368661941</v>
      </c>
      <c r="BM22" s="54">
        <v>1.446918640851524</v>
      </c>
      <c r="BN22" s="54">
        <v>1.446934031808049</v>
      </c>
      <c r="BO22" s="54">
        <v>1.4469096127497989</v>
      </c>
      <c r="BP22" s="54">
        <v>1.446929461974777</v>
      </c>
      <c r="BQ22" s="54">
        <v>1.4469198010276609</v>
      </c>
      <c r="BR22" s="54">
        <v>1.4469163782176939</v>
      </c>
      <c r="BS22" s="54">
        <v>1.446891252580631</v>
      </c>
      <c r="BT22" s="54">
        <v>1.4468855627429329</v>
      </c>
      <c r="BU22" s="54">
        <v>1.4468903395109769</v>
      </c>
      <c r="BV22" s="54">
        <v>1.446885004125301</v>
      </c>
      <c r="BW22" s="54">
        <v>1.446882959068996</v>
      </c>
      <c r="BX22" s="54">
        <v>1.4468827053339799</v>
      </c>
      <c r="BY22" s="54">
        <v>1.446877462932888</v>
      </c>
      <c r="BZ22" s="54">
        <v>1.4468825581141349</v>
      </c>
      <c r="CA22" s="54">
        <v>1.446870036040407</v>
      </c>
      <c r="CB22" s="54">
        <v>1.446886107700069</v>
      </c>
      <c r="CC22" s="54">
        <v>1.446885362191048</v>
      </c>
      <c r="CD22" s="54">
        <v>1.446873270829105</v>
      </c>
      <c r="CE22" s="54">
        <v>1.4468764692104941</v>
      </c>
      <c r="CF22" s="54">
        <v>1.4468911398999109</v>
      </c>
      <c r="CG22" s="54">
        <v>1.446886050106976</v>
      </c>
      <c r="CH22" s="54">
        <v>1.446903378320322</v>
      </c>
      <c r="CI22" s="54">
        <v>1.446909104426559</v>
      </c>
      <c r="CJ22" s="54">
        <v>1.4469046099824041</v>
      </c>
      <c r="CK22" s="54">
        <v>1.4469093576338901</v>
      </c>
      <c r="CL22" s="54">
        <v>1.4469226120672349</v>
      </c>
      <c r="CM22" s="54">
        <v>1.446919192868771</v>
      </c>
      <c r="CN22" s="54">
        <v>1.4469320467219231</v>
      </c>
      <c r="CO22" s="54">
        <v>1.446934897104132</v>
      </c>
      <c r="CP22" s="54">
        <v>1.4469405438376439</v>
      </c>
      <c r="CQ22" s="54">
        <v>1.44694171872858</v>
      </c>
      <c r="CR22" s="54">
        <v>1.446932929689817</v>
      </c>
      <c r="CS22" s="54">
        <v>1.446941648214672</v>
      </c>
      <c r="CT22" s="54">
        <v>1.446951145415625</v>
      </c>
      <c r="CU22" s="54">
        <v>1.446945827550854</v>
      </c>
      <c r="CV22" s="54">
        <v>1.4469460871220261</v>
      </c>
      <c r="CW22" s="54">
        <v>1.44693643062712</v>
      </c>
      <c r="CX22" s="54">
        <v>1.4469420227761101</v>
      </c>
    </row>
    <row r="23" spans="1:103" s="39" customFormat="1" ht="15" customHeight="1">
      <c r="A23" s="51" t="s">
        <v>416</v>
      </c>
      <c r="B23" s="47" t="s">
        <v>402</v>
      </c>
      <c r="C23" s="55">
        <v>78.858002376783517</v>
      </c>
      <c r="D23" s="55">
        <v>79.31286512539215</v>
      </c>
      <c r="E23" s="55">
        <v>79.471534099265725</v>
      </c>
      <c r="F23" s="55">
        <v>79.62731388050986</v>
      </c>
      <c r="G23" s="55">
        <v>79.777205992556887</v>
      </c>
      <c r="H23" s="55">
        <v>79.912905859630001</v>
      </c>
      <c r="I23" s="55">
        <v>80.03294435241304</v>
      </c>
      <c r="J23" s="55">
        <v>80.149986068652126</v>
      </c>
      <c r="K23" s="55">
        <v>80.264583089724923</v>
      </c>
      <c r="L23" s="55">
        <v>80.379011145813493</v>
      </c>
      <c r="M23" s="55">
        <v>80.491726781711989</v>
      </c>
      <c r="N23" s="55">
        <v>80.603626553093861</v>
      </c>
      <c r="O23" s="55">
        <v>80.714519083839136</v>
      </c>
      <c r="P23" s="55">
        <v>80.824330169192152</v>
      </c>
      <c r="Q23" s="55">
        <v>80.934371779418399</v>
      </c>
      <c r="R23" s="55">
        <v>81.045187222790091</v>
      </c>
      <c r="S23" s="55">
        <v>81.154670242267969</v>
      </c>
      <c r="T23" s="55">
        <v>81.264620734958513</v>
      </c>
      <c r="U23" s="55">
        <v>81.374849253939942</v>
      </c>
      <c r="V23" s="55">
        <v>81.482364340534829</v>
      </c>
      <c r="W23" s="55">
        <v>81.592313153660356</v>
      </c>
      <c r="X23" s="55">
        <v>81.701573934100679</v>
      </c>
      <c r="Y23" s="55">
        <v>81.811314257543671</v>
      </c>
      <c r="Z23" s="55">
        <v>81.920329605403495</v>
      </c>
      <c r="AA23" s="55">
        <v>82.028585953416538</v>
      </c>
      <c r="AB23" s="55">
        <v>82.13731476868773</v>
      </c>
      <c r="AC23" s="55">
        <v>82.244999556879293</v>
      </c>
      <c r="AD23" s="55">
        <v>82.353638920362329</v>
      </c>
      <c r="AE23" s="55">
        <v>82.461620075618242</v>
      </c>
      <c r="AF23" s="55">
        <v>82.569387567616587</v>
      </c>
      <c r="AG23" s="55">
        <v>82.67620838883758</v>
      </c>
      <c r="AH23" s="55">
        <v>82.783549965542505</v>
      </c>
      <c r="AI23" s="55">
        <v>82.890229123943499</v>
      </c>
      <c r="AJ23" s="55">
        <v>82.997659948872979</v>
      </c>
      <c r="AK23" s="55">
        <v>83.104616812594074</v>
      </c>
      <c r="AL23" s="55">
        <v>83.210779685568212</v>
      </c>
      <c r="AM23" s="55">
        <v>83.317770360224571</v>
      </c>
      <c r="AN23" s="55">
        <v>83.422543874913771</v>
      </c>
      <c r="AO23" s="55">
        <v>83.527233715378856</v>
      </c>
      <c r="AP23" s="55">
        <v>83.631387935816008</v>
      </c>
      <c r="AQ23" s="55">
        <v>83.73707588842467</v>
      </c>
      <c r="AR23" s="55">
        <v>83.841858227199424</v>
      </c>
      <c r="AS23" s="55">
        <v>83.946323880232924</v>
      </c>
      <c r="AT23" s="55">
        <v>84.0498112191339</v>
      </c>
      <c r="AU23" s="55">
        <v>84.153711801941611</v>
      </c>
      <c r="AV23" s="55">
        <v>84.256903950087022</v>
      </c>
      <c r="AW23" s="55">
        <v>84.359515067506081</v>
      </c>
      <c r="AX23" s="55">
        <v>84.463273993116658</v>
      </c>
      <c r="AY23" s="55">
        <v>84.566312586662988</v>
      </c>
      <c r="AZ23" s="55">
        <v>84.668741138962616</v>
      </c>
      <c r="BA23" s="55">
        <v>84.771136213564304</v>
      </c>
      <c r="BB23" s="55">
        <v>84.873003317616124</v>
      </c>
      <c r="BC23" s="55">
        <v>84.974533552854865</v>
      </c>
      <c r="BD23" s="55">
        <v>85.075591646400582</v>
      </c>
      <c r="BE23" s="55">
        <v>85.17634192457075</v>
      </c>
      <c r="BF23" s="55">
        <v>85.276963924122455</v>
      </c>
      <c r="BG23" s="55">
        <v>85.379157966076434</v>
      </c>
      <c r="BH23" s="55">
        <v>85.47933970163642</v>
      </c>
      <c r="BI23" s="55">
        <v>85.578614741351316</v>
      </c>
      <c r="BJ23" s="55">
        <v>85.67793667718594</v>
      </c>
      <c r="BK23" s="55">
        <v>85.778113675140034</v>
      </c>
      <c r="BL23" s="55">
        <v>85.877118480219707</v>
      </c>
      <c r="BM23" s="55">
        <v>85.976696130032778</v>
      </c>
      <c r="BN23" s="55">
        <v>86.076475895051431</v>
      </c>
      <c r="BO23" s="55">
        <v>86.174529933557068</v>
      </c>
      <c r="BP23" s="55">
        <v>86.271701721698165</v>
      </c>
      <c r="BQ23" s="55">
        <v>86.369476090916166</v>
      </c>
      <c r="BR23" s="55">
        <v>86.468091572830204</v>
      </c>
      <c r="BS23" s="55">
        <v>86.564760122772014</v>
      </c>
      <c r="BT23" s="55">
        <v>86.661745719104843</v>
      </c>
      <c r="BU23" s="55">
        <v>86.756354482257919</v>
      </c>
      <c r="BV23" s="55">
        <v>86.853930301594758</v>
      </c>
      <c r="BW23" s="55">
        <v>86.951165935963829</v>
      </c>
      <c r="BX23" s="55">
        <v>87.047275122937407</v>
      </c>
      <c r="BY23" s="55">
        <v>87.142484458904136</v>
      </c>
      <c r="BZ23" s="55">
        <v>87.236115753652157</v>
      </c>
      <c r="CA23" s="55">
        <v>87.331323732134237</v>
      </c>
      <c r="CB23" s="55">
        <v>87.426186982442943</v>
      </c>
      <c r="CC23" s="55">
        <v>87.520851940956689</v>
      </c>
      <c r="CD23" s="55">
        <v>87.615268491167313</v>
      </c>
      <c r="CE23" s="55">
        <v>87.708970388668945</v>
      </c>
      <c r="CF23" s="55">
        <v>87.801615455912852</v>
      </c>
      <c r="CG23" s="55">
        <v>87.895512277052774</v>
      </c>
      <c r="CH23" s="55">
        <v>87.988796043807014</v>
      </c>
      <c r="CI23" s="55">
        <v>88.081606833610792</v>
      </c>
      <c r="CJ23" s="55">
        <v>88.174063984558344</v>
      </c>
      <c r="CK23" s="55">
        <v>88.26567091719113</v>
      </c>
      <c r="CL23" s="55">
        <v>88.356697867211111</v>
      </c>
      <c r="CM23" s="55">
        <v>88.449060827365798</v>
      </c>
      <c r="CN23" s="55">
        <v>88.539866163724369</v>
      </c>
      <c r="CO23" s="55">
        <v>88.62943105976052</v>
      </c>
      <c r="CP23" s="55">
        <v>88.720304506755511</v>
      </c>
      <c r="CQ23" s="55">
        <v>88.810319875064835</v>
      </c>
      <c r="CR23" s="55">
        <v>88.898948485645818</v>
      </c>
      <c r="CS23" s="55">
        <v>88.990103834516674</v>
      </c>
      <c r="CT23" s="55">
        <v>89.079770346551243</v>
      </c>
      <c r="CU23" s="55">
        <v>89.168413731862472</v>
      </c>
      <c r="CV23" s="55">
        <v>89.255989109507624</v>
      </c>
      <c r="CW23" s="55">
        <v>89.344199230916814</v>
      </c>
      <c r="CX23" s="55">
        <v>89.431847886427391</v>
      </c>
    </row>
    <row r="24" spans="1:103" s="39" customFormat="1" ht="15" customHeight="1">
      <c r="A24" s="56" t="s">
        <v>417</v>
      </c>
      <c r="B24" s="47" t="s">
        <v>402</v>
      </c>
      <c r="C24" s="55">
        <v>82.701026255098569</v>
      </c>
      <c r="D24" s="55">
        <v>83.088346692155653</v>
      </c>
      <c r="E24" s="55">
        <v>83.24323386635163</v>
      </c>
      <c r="F24" s="55">
        <v>83.391282215136101</v>
      </c>
      <c r="G24" s="55">
        <v>83.53783559810249</v>
      </c>
      <c r="H24" s="55">
        <v>83.669818281239216</v>
      </c>
      <c r="I24" s="55">
        <v>83.786408466022564</v>
      </c>
      <c r="J24" s="55">
        <v>83.902360844143033</v>
      </c>
      <c r="K24" s="55">
        <v>84.013845563035787</v>
      </c>
      <c r="L24" s="55">
        <v>84.123776230894578</v>
      </c>
      <c r="M24" s="55">
        <v>84.229323950691423</v>
      </c>
      <c r="N24" s="55">
        <v>84.335053635762733</v>
      </c>
      <c r="O24" s="55">
        <v>84.438379422024482</v>
      </c>
      <c r="P24" s="55">
        <v>84.540681076654238</v>
      </c>
      <c r="Q24" s="55">
        <v>84.642845849178684</v>
      </c>
      <c r="R24" s="55">
        <v>84.742750557680679</v>
      </c>
      <c r="S24" s="55">
        <v>84.84105308262879</v>
      </c>
      <c r="T24" s="55">
        <v>84.939735928398946</v>
      </c>
      <c r="U24" s="55">
        <v>85.037685585589529</v>
      </c>
      <c r="V24" s="55">
        <v>85.136512735788074</v>
      </c>
      <c r="W24" s="55">
        <v>85.23412443449152</v>
      </c>
      <c r="X24" s="55">
        <v>85.331772237213997</v>
      </c>
      <c r="Y24" s="55">
        <v>85.428661504140678</v>
      </c>
      <c r="Z24" s="55">
        <v>85.526718677936273</v>
      </c>
      <c r="AA24" s="55">
        <v>85.622874110055278</v>
      </c>
      <c r="AB24" s="55">
        <v>85.718785159003474</v>
      </c>
      <c r="AC24" s="55">
        <v>85.814684570992227</v>
      </c>
      <c r="AD24" s="55">
        <v>85.911333795393546</v>
      </c>
      <c r="AE24" s="55">
        <v>86.006833935437157</v>
      </c>
      <c r="AF24" s="55">
        <v>86.102160543704628</v>
      </c>
      <c r="AG24" s="55">
        <v>86.197345699568501</v>
      </c>
      <c r="AH24" s="55">
        <v>86.293392979563947</v>
      </c>
      <c r="AI24" s="55">
        <v>86.387537838625121</v>
      </c>
      <c r="AJ24" s="55">
        <v>86.482368884310603</v>
      </c>
      <c r="AK24" s="55">
        <v>86.576739154594392</v>
      </c>
      <c r="AL24" s="55">
        <v>86.670017465356182</v>
      </c>
      <c r="AM24" s="55">
        <v>86.76331385794613</v>
      </c>
      <c r="AN24" s="55">
        <v>86.856097853129313</v>
      </c>
      <c r="AO24" s="55">
        <v>86.94931572662432</v>
      </c>
      <c r="AP24" s="55">
        <v>87.042735799085079</v>
      </c>
      <c r="AQ24" s="55">
        <v>87.135472873690659</v>
      </c>
      <c r="AR24" s="55">
        <v>87.227529794953398</v>
      </c>
      <c r="AS24" s="55">
        <v>87.318049677196726</v>
      </c>
      <c r="AT24" s="55">
        <v>87.41036590055181</v>
      </c>
      <c r="AU24" s="55">
        <v>87.50259022708525</v>
      </c>
      <c r="AV24" s="55">
        <v>87.59305510887944</v>
      </c>
      <c r="AW24" s="55">
        <v>87.68308775589405</v>
      </c>
      <c r="AX24" s="55">
        <v>87.774054132449947</v>
      </c>
      <c r="AY24" s="55">
        <v>87.865148426557042</v>
      </c>
      <c r="AZ24" s="55">
        <v>87.95453398264047</v>
      </c>
      <c r="BA24" s="55">
        <v>88.04359634040172</v>
      </c>
      <c r="BB24" s="55">
        <v>88.132916681009817</v>
      </c>
      <c r="BC24" s="55">
        <v>88.221665304359107</v>
      </c>
      <c r="BD24" s="55">
        <v>88.310679146208145</v>
      </c>
      <c r="BE24" s="55">
        <v>88.39930268519818</v>
      </c>
      <c r="BF24" s="55">
        <v>88.488069680370216</v>
      </c>
      <c r="BG24" s="55">
        <v>88.575722481145931</v>
      </c>
      <c r="BH24" s="55">
        <v>88.663684293817724</v>
      </c>
      <c r="BI24" s="55">
        <v>88.750635027724201</v>
      </c>
      <c r="BJ24" s="55">
        <v>88.837148321072249</v>
      </c>
      <c r="BK24" s="55">
        <v>88.924064757414939</v>
      </c>
      <c r="BL24" s="55">
        <v>89.010478398279631</v>
      </c>
      <c r="BM24" s="55">
        <v>89.09657269520811</v>
      </c>
      <c r="BN24" s="55">
        <v>89.181677575236108</v>
      </c>
      <c r="BO24" s="55">
        <v>89.268362842213222</v>
      </c>
      <c r="BP24" s="55">
        <v>89.352257857434935</v>
      </c>
      <c r="BQ24" s="55">
        <v>89.438754912910056</v>
      </c>
      <c r="BR24" s="55">
        <v>89.523084126129177</v>
      </c>
      <c r="BS24" s="55">
        <v>89.606829415171831</v>
      </c>
      <c r="BT24" s="55">
        <v>89.69159123166547</v>
      </c>
      <c r="BU24" s="55">
        <v>89.775745360876243</v>
      </c>
      <c r="BV24" s="55">
        <v>89.860800257738774</v>
      </c>
      <c r="BW24" s="55">
        <v>89.942959772710807</v>
      </c>
      <c r="BX24" s="55">
        <v>90.026640793238045</v>
      </c>
      <c r="BY24" s="55">
        <v>90.110366596970735</v>
      </c>
      <c r="BZ24" s="55">
        <v>90.193248205047169</v>
      </c>
      <c r="CA24" s="55">
        <v>90.27483283881169</v>
      </c>
      <c r="CB24" s="55">
        <v>90.357488991802015</v>
      </c>
      <c r="CC24" s="55">
        <v>90.43846623688772</v>
      </c>
      <c r="CD24" s="55">
        <v>90.519585819018914</v>
      </c>
      <c r="CE24" s="55">
        <v>90.600823070083607</v>
      </c>
      <c r="CF24" s="55">
        <v>90.681885673910159</v>
      </c>
      <c r="CG24" s="55">
        <v>90.762653935056093</v>
      </c>
      <c r="CH24" s="55">
        <v>90.841558601645929</v>
      </c>
      <c r="CI24" s="55">
        <v>90.921970597909834</v>
      </c>
      <c r="CJ24" s="55">
        <v>91.001785426296792</v>
      </c>
      <c r="CK24" s="55">
        <v>91.080591557690923</v>
      </c>
      <c r="CL24" s="55">
        <v>91.159836424689132</v>
      </c>
      <c r="CM24" s="55">
        <v>91.239024472675823</v>
      </c>
      <c r="CN24" s="55">
        <v>91.316707345638008</v>
      </c>
      <c r="CO24" s="55">
        <v>91.394654087055315</v>
      </c>
      <c r="CP24" s="55">
        <v>91.471989526447032</v>
      </c>
      <c r="CQ24" s="55">
        <v>91.550131360167541</v>
      </c>
      <c r="CR24" s="55">
        <v>91.627467811346548</v>
      </c>
      <c r="CS24" s="55">
        <v>91.704167498196171</v>
      </c>
      <c r="CT24" s="55">
        <v>91.780237502927648</v>
      </c>
      <c r="CU24" s="55">
        <v>91.855835997096932</v>
      </c>
      <c r="CV24" s="55">
        <v>91.932061595699849</v>
      </c>
      <c r="CW24" s="55">
        <v>92.008030962215727</v>
      </c>
      <c r="CX24" s="55">
        <v>92.083126915509368</v>
      </c>
    </row>
    <row r="25" spans="1:103" ht="15" customHeight="1"/>
    <row r="26" spans="1:103" ht="28.7" customHeight="1">
      <c r="A26" s="42" t="s">
        <v>418</v>
      </c>
    </row>
    <row r="27" spans="1:103" s="60" customFormat="1" ht="15.6" customHeight="1">
      <c r="A27" s="58" t="s">
        <v>419</v>
      </c>
      <c r="B27" s="59" t="s">
        <v>176</v>
      </c>
      <c r="C27" s="59" t="s">
        <v>177</v>
      </c>
      <c r="D27" s="59" t="s">
        <v>178</v>
      </c>
      <c r="E27" s="59" t="s">
        <v>179</v>
      </c>
      <c r="F27" s="59" t="s">
        <v>180</v>
      </c>
      <c r="G27" s="59" t="s">
        <v>181</v>
      </c>
      <c r="H27" s="59" t="s">
        <v>182</v>
      </c>
      <c r="I27" s="59" t="s">
        <v>183</v>
      </c>
      <c r="J27" s="59" t="s">
        <v>184</v>
      </c>
      <c r="K27" s="59" t="s">
        <v>185</v>
      </c>
      <c r="L27" s="59" t="s">
        <v>186</v>
      </c>
      <c r="M27" s="59" t="s">
        <v>187</v>
      </c>
      <c r="N27" s="59" t="s">
        <v>188</v>
      </c>
      <c r="O27" s="59" t="s">
        <v>189</v>
      </c>
      <c r="P27" s="59" t="s">
        <v>190</v>
      </c>
      <c r="Q27" s="59" t="s">
        <v>191</v>
      </c>
      <c r="R27" s="59" t="s">
        <v>192</v>
      </c>
      <c r="S27" s="59" t="s">
        <v>193</v>
      </c>
      <c r="T27" s="59" t="s">
        <v>194</v>
      </c>
      <c r="U27" s="59" t="s">
        <v>195</v>
      </c>
      <c r="V27" s="59" t="s">
        <v>196</v>
      </c>
      <c r="W27" s="59" t="s">
        <v>197</v>
      </c>
      <c r="X27" s="59" t="s">
        <v>198</v>
      </c>
      <c r="Y27" s="59" t="s">
        <v>199</v>
      </c>
      <c r="Z27" s="59" t="s">
        <v>200</v>
      </c>
      <c r="AA27" s="59" t="s">
        <v>201</v>
      </c>
      <c r="AB27" s="59" t="s">
        <v>202</v>
      </c>
      <c r="AC27" s="59" t="s">
        <v>203</v>
      </c>
      <c r="AD27" s="59" t="s">
        <v>204</v>
      </c>
      <c r="AE27" s="59" t="s">
        <v>205</v>
      </c>
      <c r="AF27" s="59" t="s">
        <v>206</v>
      </c>
      <c r="AG27" s="59" t="s">
        <v>207</v>
      </c>
      <c r="AH27" s="59" t="s">
        <v>208</v>
      </c>
      <c r="AI27" s="59" t="s">
        <v>209</v>
      </c>
      <c r="AJ27" s="59" t="s">
        <v>210</v>
      </c>
      <c r="AK27" s="59" t="s">
        <v>211</v>
      </c>
      <c r="AL27" s="59" t="s">
        <v>212</v>
      </c>
      <c r="AM27" s="59" t="s">
        <v>213</v>
      </c>
      <c r="AN27" s="59" t="s">
        <v>214</v>
      </c>
      <c r="AO27" s="59" t="s">
        <v>339</v>
      </c>
      <c r="AP27" s="59" t="s">
        <v>340</v>
      </c>
      <c r="AQ27" s="59" t="s">
        <v>341</v>
      </c>
      <c r="AR27" s="59" t="s">
        <v>342</v>
      </c>
      <c r="AS27" s="59" t="s">
        <v>343</v>
      </c>
      <c r="AT27" s="59" t="s">
        <v>344</v>
      </c>
      <c r="AU27" s="59" t="s">
        <v>345</v>
      </c>
      <c r="AV27" s="59" t="s">
        <v>346</v>
      </c>
      <c r="AW27" s="59" t="s">
        <v>347</v>
      </c>
      <c r="AX27" s="59" t="s">
        <v>348</v>
      </c>
      <c r="AY27" s="59" t="s">
        <v>349</v>
      </c>
      <c r="AZ27" s="59" t="s">
        <v>350</v>
      </c>
      <c r="BA27" s="59" t="s">
        <v>351</v>
      </c>
      <c r="BB27" s="59" t="s">
        <v>352</v>
      </c>
      <c r="BC27" s="59" t="s">
        <v>353</v>
      </c>
      <c r="BD27" s="59" t="s">
        <v>354</v>
      </c>
      <c r="BE27" s="59" t="s">
        <v>355</v>
      </c>
      <c r="BF27" s="59" t="s">
        <v>356</v>
      </c>
      <c r="BG27" s="59" t="s">
        <v>357</v>
      </c>
      <c r="BH27" s="59" t="s">
        <v>358</v>
      </c>
      <c r="BI27" s="59" t="s">
        <v>359</v>
      </c>
      <c r="BJ27" s="59" t="s">
        <v>360</v>
      </c>
      <c r="BK27" s="59" t="s">
        <v>361</v>
      </c>
      <c r="BL27" s="59" t="s">
        <v>362</v>
      </c>
      <c r="BM27" s="59" t="s">
        <v>363</v>
      </c>
      <c r="BN27" s="59" t="s">
        <v>364</v>
      </c>
      <c r="BO27" s="59" t="s">
        <v>365</v>
      </c>
      <c r="BP27" s="59" t="s">
        <v>366</v>
      </c>
      <c r="BQ27" s="59" t="s">
        <v>367</v>
      </c>
      <c r="BR27" s="59" t="s">
        <v>368</v>
      </c>
      <c r="BS27" s="59" t="s">
        <v>369</v>
      </c>
      <c r="BT27" s="59" t="s">
        <v>370</v>
      </c>
      <c r="BU27" s="59" t="s">
        <v>371</v>
      </c>
      <c r="BV27" s="59" t="s">
        <v>372</v>
      </c>
      <c r="BW27" s="59" t="s">
        <v>373</v>
      </c>
      <c r="BX27" s="59" t="s">
        <v>374</v>
      </c>
      <c r="BY27" s="59" t="s">
        <v>375</v>
      </c>
      <c r="BZ27" s="59" t="s">
        <v>376</v>
      </c>
      <c r="CA27" s="59" t="s">
        <v>377</v>
      </c>
      <c r="CB27" s="59" t="s">
        <v>378</v>
      </c>
      <c r="CC27" s="59" t="s">
        <v>379</v>
      </c>
      <c r="CD27" s="59" t="s">
        <v>380</v>
      </c>
      <c r="CE27" s="59" t="s">
        <v>381</v>
      </c>
      <c r="CF27" s="59" t="s">
        <v>382</v>
      </c>
      <c r="CG27" s="59" t="s">
        <v>383</v>
      </c>
      <c r="CH27" s="59" t="s">
        <v>384</v>
      </c>
      <c r="CI27" s="59" t="s">
        <v>385</v>
      </c>
      <c r="CJ27" s="59" t="s">
        <v>386</v>
      </c>
      <c r="CK27" s="59" t="s">
        <v>387</v>
      </c>
      <c r="CL27" s="59" t="s">
        <v>388</v>
      </c>
      <c r="CM27" s="59" t="s">
        <v>389</v>
      </c>
      <c r="CN27" s="59" t="s">
        <v>390</v>
      </c>
      <c r="CO27" s="59" t="s">
        <v>391</v>
      </c>
      <c r="CP27" s="59" t="s">
        <v>392</v>
      </c>
      <c r="CQ27" s="59" t="s">
        <v>393</v>
      </c>
      <c r="CR27" s="59" t="s">
        <v>394</v>
      </c>
      <c r="CS27" s="59" t="s">
        <v>395</v>
      </c>
      <c r="CT27" s="59" t="s">
        <v>396</v>
      </c>
      <c r="CU27" s="59" t="s">
        <v>397</v>
      </c>
      <c r="CV27" s="59" t="s">
        <v>398</v>
      </c>
      <c r="CW27" s="59" t="s">
        <v>399</v>
      </c>
      <c r="CX27" s="59" t="s">
        <v>400</v>
      </c>
    </row>
    <row r="28" spans="1:103" s="62" customFormat="1" ht="15" customHeight="1">
      <c r="A28" s="39" t="s">
        <v>420</v>
      </c>
      <c r="B28" s="61">
        <v>11607.401</v>
      </c>
      <c r="C28" s="61">
        <v>11567.178</v>
      </c>
      <c r="D28" s="61">
        <v>11508.288</v>
      </c>
      <c r="E28" s="61">
        <v>11433.002</v>
      </c>
      <c r="F28" s="61">
        <v>11335.691999999999</v>
      </c>
      <c r="G28" s="61">
        <v>11226.353999999999</v>
      </c>
      <c r="H28" s="61">
        <v>11123.895</v>
      </c>
      <c r="I28" s="61">
        <v>11039.102999999999</v>
      </c>
      <c r="J28" s="61">
        <v>10956.434999999999</v>
      </c>
      <c r="K28" s="61">
        <v>10865.52</v>
      </c>
      <c r="L28" s="61">
        <v>10795.144</v>
      </c>
      <c r="M28" s="61">
        <v>10740.802</v>
      </c>
      <c r="N28" s="61">
        <v>10694.25</v>
      </c>
      <c r="O28" s="61">
        <v>10661.159</v>
      </c>
      <c r="P28" s="61">
        <v>10649.522000000001</v>
      </c>
      <c r="Q28" s="61">
        <v>10632.808000000001</v>
      </c>
      <c r="R28" s="61">
        <v>10653.025</v>
      </c>
      <c r="S28" s="61">
        <v>10677.084999999999</v>
      </c>
      <c r="T28" s="61">
        <v>10700.120999999999</v>
      </c>
      <c r="U28" s="61">
        <v>10723.018</v>
      </c>
      <c r="V28" s="61">
        <v>10746.576999999999</v>
      </c>
      <c r="W28" s="61">
        <v>10770.677</v>
      </c>
      <c r="X28" s="61">
        <v>10794.531999999999</v>
      </c>
      <c r="Y28" s="61">
        <v>10817.643</v>
      </c>
      <c r="Z28" s="61">
        <v>10839.607</v>
      </c>
      <c r="AA28" s="61">
        <v>10860.096</v>
      </c>
      <c r="AB28" s="61">
        <v>10877.454</v>
      </c>
      <c r="AC28" s="61">
        <v>10889.754999999999</v>
      </c>
      <c r="AD28" s="61">
        <v>10896.373</v>
      </c>
      <c r="AE28" s="61">
        <v>10896.891</v>
      </c>
      <c r="AF28" s="61">
        <v>10890.938</v>
      </c>
      <c r="AG28" s="61">
        <v>10878.063</v>
      </c>
      <c r="AH28" s="61">
        <v>10858.085999999999</v>
      </c>
      <c r="AI28" s="61">
        <v>10831.492</v>
      </c>
      <c r="AJ28" s="61">
        <v>10799.098</v>
      </c>
      <c r="AK28" s="61">
        <v>10761.75</v>
      </c>
      <c r="AL28" s="61">
        <v>10720.571</v>
      </c>
      <c r="AM28" s="61">
        <v>10676.875</v>
      </c>
      <c r="AN28" s="61">
        <v>10631.786</v>
      </c>
      <c r="AO28" s="61">
        <v>10586.223</v>
      </c>
      <c r="AP28" s="61">
        <v>10541.008</v>
      </c>
      <c r="AQ28" s="61">
        <v>10497.677</v>
      </c>
      <c r="AR28" s="61">
        <v>10457.834000000001</v>
      </c>
      <c r="AS28" s="61">
        <v>10422.258</v>
      </c>
      <c r="AT28" s="61">
        <v>10391.495999999999</v>
      </c>
      <c r="AU28" s="61">
        <v>10365.771000000001</v>
      </c>
      <c r="AV28" s="61">
        <v>10345.277</v>
      </c>
      <c r="AW28" s="61">
        <v>10330.099</v>
      </c>
      <c r="AX28" s="61">
        <v>10319.888000000001</v>
      </c>
      <c r="AY28" s="61">
        <v>10314.063</v>
      </c>
      <c r="AZ28" s="61">
        <v>10311.933999999999</v>
      </c>
      <c r="BA28" s="61">
        <v>10312.918</v>
      </c>
      <c r="BB28" s="61">
        <v>10316.424000000001</v>
      </c>
      <c r="BC28" s="61">
        <v>10321.714</v>
      </c>
      <c r="BD28" s="61">
        <v>10328.07</v>
      </c>
      <c r="BE28" s="61">
        <v>10334.777</v>
      </c>
      <c r="BF28" s="61">
        <v>10341.334000000001</v>
      </c>
      <c r="BG28" s="61">
        <v>10347.293</v>
      </c>
      <c r="BH28" s="61">
        <v>10352.025</v>
      </c>
      <c r="BI28" s="61">
        <v>10354.999</v>
      </c>
      <c r="BJ28" s="61">
        <v>10355.855</v>
      </c>
      <c r="BK28" s="61">
        <v>10354.317999999999</v>
      </c>
      <c r="BL28" s="61">
        <v>10350.252</v>
      </c>
      <c r="BM28" s="61">
        <v>10343.587</v>
      </c>
      <c r="BN28" s="61">
        <v>10334.278</v>
      </c>
      <c r="BO28" s="61">
        <v>10322.442999999999</v>
      </c>
      <c r="BP28" s="61">
        <v>10308.268</v>
      </c>
      <c r="BQ28" s="61">
        <v>10292.019</v>
      </c>
      <c r="BR28" s="61">
        <v>10274.005999999999</v>
      </c>
      <c r="BS28" s="61">
        <v>10254.578</v>
      </c>
      <c r="BT28" s="61">
        <v>10234.159</v>
      </c>
      <c r="BU28" s="61">
        <v>10213.161</v>
      </c>
      <c r="BV28" s="61">
        <v>10192.023999999999</v>
      </c>
      <c r="BW28" s="61">
        <v>10171.189</v>
      </c>
      <c r="BX28" s="61">
        <v>10151.036</v>
      </c>
      <c r="BY28" s="61">
        <v>10131.939</v>
      </c>
      <c r="BZ28" s="61">
        <v>10114.209999999999</v>
      </c>
      <c r="CA28" s="61">
        <v>10098.088</v>
      </c>
      <c r="CB28" s="61">
        <v>10083.764999999999</v>
      </c>
      <c r="CC28" s="61">
        <v>10071.329</v>
      </c>
      <c r="CD28" s="61">
        <v>10060.819</v>
      </c>
      <c r="CE28" s="61">
        <v>10052.191999999999</v>
      </c>
      <c r="CF28" s="61">
        <v>10045.342000000001</v>
      </c>
      <c r="CG28" s="61">
        <v>10040.111999999999</v>
      </c>
      <c r="CH28" s="61">
        <v>10036.316000000001</v>
      </c>
      <c r="CI28" s="61">
        <v>10033.709999999999</v>
      </c>
      <c r="CJ28" s="61">
        <v>10032.034</v>
      </c>
      <c r="CK28" s="61">
        <v>10031.014999999999</v>
      </c>
      <c r="CL28" s="61">
        <v>10030.379999999999</v>
      </c>
      <c r="CM28" s="61">
        <v>10029.853999999999</v>
      </c>
      <c r="CN28" s="61">
        <v>10029.192999999999</v>
      </c>
      <c r="CO28" s="61">
        <v>10028.162</v>
      </c>
      <c r="CP28" s="61">
        <v>10026.56</v>
      </c>
      <c r="CQ28" s="61">
        <v>10024.231</v>
      </c>
      <c r="CR28" s="61">
        <v>10021.037</v>
      </c>
      <c r="CS28" s="61">
        <v>10016.898999999999</v>
      </c>
      <c r="CT28" s="61">
        <v>10011.767</v>
      </c>
      <c r="CU28" s="61">
        <v>10005.629000000001</v>
      </c>
      <c r="CV28" s="61">
        <v>9998.5229999999992</v>
      </c>
      <c r="CW28" s="61">
        <v>9990.51</v>
      </c>
      <c r="CX28" s="61">
        <v>9981.6839999999993</v>
      </c>
    </row>
    <row r="29" spans="1:103" s="62" customFormat="1" ht="15" customHeight="1">
      <c r="A29" s="39" t="s">
        <v>421</v>
      </c>
      <c r="B29" s="61">
        <v>12333.328</v>
      </c>
      <c r="C29" s="61">
        <v>12709.81</v>
      </c>
      <c r="D29" s="61">
        <v>12973.174000000001</v>
      </c>
      <c r="E29" s="61">
        <v>13198.527</v>
      </c>
      <c r="F29" s="61">
        <v>13380.458000000001</v>
      </c>
      <c r="G29" s="61">
        <v>13485.653</v>
      </c>
      <c r="H29" s="61">
        <v>13530.284</v>
      </c>
      <c r="I29" s="61">
        <v>13550.369000000001</v>
      </c>
      <c r="J29" s="61">
        <v>13582.775</v>
      </c>
      <c r="K29" s="61">
        <v>13632.999</v>
      </c>
      <c r="L29" s="61">
        <v>13658.96</v>
      </c>
      <c r="M29" s="61">
        <v>13657.107</v>
      </c>
      <c r="N29" s="61">
        <v>13635.804</v>
      </c>
      <c r="O29" s="61">
        <v>13606.477999999999</v>
      </c>
      <c r="P29" s="61">
        <v>13559.618</v>
      </c>
      <c r="Q29" s="61">
        <v>13508.549000000001</v>
      </c>
      <c r="R29" s="61">
        <v>13393.097</v>
      </c>
      <c r="S29" s="61">
        <v>13283.865</v>
      </c>
      <c r="T29" s="61">
        <v>13171.289000000001</v>
      </c>
      <c r="U29" s="61">
        <v>13049.257</v>
      </c>
      <c r="V29" s="61">
        <v>12927.94</v>
      </c>
      <c r="W29" s="61">
        <v>12826.239</v>
      </c>
      <c r="X29" s="61">
        <v>12742.128000000001</v>
      </c>
      <c r="Y29" s="61">
        <v>12660.138000000001</v>
      </c>
      <c r="Z29" s="61">
        <v>12569.928</v>
      </c>
      <c r="AA29" s="61">
        <v>12500.165999999999</v>
      </c>
      <c r="AB29" s="61">
        <v>12446.374</v>
      </c>
      <c r="AC29" s="61">
        <v>12400.332</v>
      </c>
      <c r="AD29" s="61">
        <v>12367.7</v>
      </c>
      <c r="AE29" s="61">
        <v>12356.424999999999</v>
      </c>
      <c r="AF29" s="61">
        <v>12340.106</v>
      </c>
      <c r="AG29" s="61">
        <v>12360.564</v>
      </c>
      <c r="AH29" s="61">
        <v>12384.851000000001</v>
      </c>
      <c r="AI29" s="61">
        <v>12408.121999999999</v>
      </c>
      <c r="AJ29" s="61">
        <v>12431.254999999999</v>
      </c>
      <c r="AK29" s="61">
        <v>12455.039000000001</v>
      </c>
      <c r="AL29" s="61">
        <v>12479.348</v>
      </c>
      <c r="AM29" s="61">
        <v>12503.422</v>
      </c>
      <c r="AN29" s="61">
        <v>12526.746999999999</v>
      </c>
      <c r="AO29" s="61">
        <v>12548.92</v>
      </c>
      <c r="AP29" s="61">
        <v>12569.618</v>
      </c>
      <c r="AQ29" s="61">
        <v>12587.181</v>
      </c>
      <c r="AR29" s="61">
        <v>12599.684999999999</v>
      </c>
      <c r="AS29" s="61">
        <v>12606.519</v>
      </c>
      <c r="AT29" s="61">
        <v>12607.252</v>
      </c>
      <c r="AU29" s="61">
        <v>12601.513000000001</v>
      </c>
      <c r="AV29" s="61">
        <v>12588.870999999999</v>
      </c>
      <c r="AW29" s="61">
        <v>12569.14</v>
      </c>
      <c r="AX29" s="61">
        <v>12542.794</v>
      </c>
      <c r="AY29" s="61">
        <v>12510.661</v>
      </c>
      <c r="AZ29" s="61">
        <v>12473.575000000001</v>
      </c>
      <c r="BA29" s="61">
        <v>12432.67</v>
      </c>
      <c r="BB29" s="61">
        <v>12389.261</v>
      </c>
      <c r="BC29" s="61">
        <v>12344.445</v>
      </c>
      <c r="BD29" s="61">
        <v>12299.183000000001</v>
      </c>
      <c r="BE29" s="61">
        <v>12254.272000000001</v>
      </c>
      <c r="BF29" s="61">
        <v>12211.231</v>
      </c>
      <c r="BG29" s="61">
        <v>12171.684999999999</v>
      </c>
      <c r="BH29" s="61">
        <v>12136.391</v>
      </c>
      <c r="BI29" s="61">
        <v>12105.894</v>
      </c>
      <c r="BJ29" s="61">
        <v>12080.409</v>
      </c>
      <c r="BK29" s="61">
        <v>12060.156999999999</v>
      </c>
      <c r="BL29" s="61">
        <v>12045.205</v>
      </c>
      <c r="BM29" s="61">
        <v>12035.205</v>
      </c>
      <c r="BN29" s="61">
        <v>12029.59</v>
      </c>
      <c r="BO29" s="61">
        <v>12027.65</v>
      </c>
      <c r="BP29" s="61">
        <v>12028.815000000001</v>
      </c>
      <c r="BQ29" s="61">
        <v>12032.495000000001</v>
      </c>
      <c r="BR29" s="61">
        <v>12037.954</v>
      </c>
      <c r="BS29" s="61">
        <v>12044.484</v>
      </c>
      <c r="BT29" s="61">
        <v>12051.362999999999</v>
      </c>
      <c r="BU29" s="61">
        <v>12058.082</v>
      </c>
      <c r="BV29" s="61">
        <v>12064.203</v>
      </c>
      <c r="BW29" s="61">
        <v>12069.084999999999</v>
      </c>
      <c r="BX29" s="61">
        <v>12072.22</v>
      </c>
      <c r="BY29" s="61">
        <v>12073.236999999999</v>
      </c>
      <c r="BZ29" s="61">
        <v>12071.837</v>
      </c>
      <c r="CA29" s="61">
        <v>12067.919</v>
      </c>
      <c r="CB29" s="61">
        <v>12061.392</v>
      </c>
      <c r="CC29" s="61">
        <v>12052.244000000001</v>
      </c>
      <c r="CD29" s="61">
        <v>12040.566000000001</v>
      </c>
      <c r="CE29" s="61">
        <v>12026.557000000001</v>
      </c>
      <c r="CF29" s="61">
        <v>12010.472</v>
      </c>
      <c r="CG29" s="61">
        <v>11992.625</v>
      </c>
      <c r="CH29" s="61">
        <v>11973.371999999999</v>
      </c>
      <c r="CI29" s="61">
        <v>11953.124</v>
      </c>
      <c r="CJ29" s="61">
        <v>11932.299000000001</v>
      </c>
      <c r="CK29" s="61">
        <v>11911.328</v>
      </c>
      <c r="CL29" s="61">
        <v>11890.648999999999</v>
      </c>
      <c r="CM29" s="61">
        <v>11870.665999999999</v>
      </c>
      <c r="CN29" s="61">
        <v>11851.734</v>
      </c>
      <c r="CO29" s="61">
        <v>11834.162</v>
      </c>
      <c r="CP29" s="61">
        <v>11818.191000000001</v>
      </c>
      <c r="CQ29" s="61">
        <v>11804.009</v>
      </c>
      <c r="CR29" s="61">
        <v>11791.724</v>
      </c>
      <c r="CS29" s="61">
        <v>11781.361999999999</v>
      </c>
      <c r="CT29" s="61">
        <v>11772.866</v>
      </c>
      <c r="CU29" s="61">
        <v>11766.15</v>
      </c>
      <c r="CV29" s="61">
        <v>11761.053</v>
      </c>
      <c r="CW29" s="61">
        <v>11757.373</v>
      </c>
      <c r="CX29" s="61">
        <v>11754.897999999999</v>
      </c>
    </row>
    <row r="30" spans="1:103" s="62" customFormat="1" ht="15" customHeight="1">
      <c r="A30" s="39" t="s">
        <v>422</v>
      </c>
      <c r="B30" s="61">
        <v>13533.36</v>
      </c>
      <c r="C30" s="61">
        <v>13870.659</v>
      </c>
      <c r="D30" s="61">
        <v>14117.975</v>
      </c>
      <c r="E30" s="61">
        <v>14298.245000000001</v>
      </c>
      <c r="F30" s="61">
        <v>14458.553</v>
      </c>
      <c r="G30" s="61">
        <v>14627.361999999999</v>
      </c>
      <c r="H30" s="61">
        <v>14754.477999999999</v>
      </c>
      <c r="I30" s="61">
        <v>14885.36</v>
      </c>
      <c r="J30" s="61">
        <v>14968.74</v>
      </c>
      <c r="K30" s="61">
        <v>15033.2</v>
      </c>
      <c r="L30" s="61">
        <v>15088.272000000001</v>
      </c>
      <c r="M30" s="61">
        <v>15125.879000000001</v>
      </c>
      <c r="N30" s="61">
        <v>15178.993</v>
      </c>
      <c r="O30" s="61">
        <v>15213.009</v>
      </c>
      <c r="P30" s="61">
        <v>15230.072</v>
      </c>
      <c r="Q30" s="61">
        <v>15259.064</v>
      </c>
      <c r="R30" s="61">
        <v>15332.101000000001</v>
      </c>
      <c r="S30" s="61">
        <v>15386.19</v>
      </c>
      <c r="T30" s="61">
        <v>15456.846</v>
      </c>
      <c r="U30" s="61">
        <v>15537.847</v>
      </c>
      <c r="V30" s="61">
        <v>15594.346</v>
      </c>
      <c r="W30" s="61">
        <v>15639.674000000001</v>
      </c>
      <c r="X30" s="61">
        <v>15660.726000000001</v>
      </c>
      <c r="Y30" s="61">
        <v>15693.986000000001</v>
      </c>
      <c r="Z30" s="61">
        <v>15744.928</v>
      </c>
      <c r="AA30" s="61">
        <v>15771.752</v>
      </c>
      <c r="AB30" s="61">
        <v>15771.031000000001</v>
      </c>
      <c r="AC30" s="61">
        <v>15750.995000000001</v>
      </c>
      <c r="AD30" s="61">
        <v>15722.941999999999</v>
      </c>
      <c r="AE30" s="61">
        <v>15677.422</v>
      </c>
      <c r="AF30" s="61">
        <v>15627.771000000001</v>
      </c>
      <c r="AG30" s="61">
        <v>15514.239</v>
      </c>
      <c r="AH30" s="61">
        <v>15406.855</v>
      </c>
      <c r="AI30" s="61">
        <v>15296.201999999999</v>
      </c>
      <c r="AJ30" s="61">
        <v>15176.246999999999</v>
      </c>
      <c r="AK30" s="61">
        <v>15057.014999999999</v>
      </c>
      <c r="AL30" s="61">
        <v>14957.209000000001</v>
      </c>
      <c r="AM30" s="61">
        <v>14874.825000000001</v>
      </c>
      <c r="AN30" s="61">
        <v>14794.543</v>
      </c>
      <c r="AO30" s="61">
        <v>14706.165000000001</v>
      </c>
      <c r="AP30" s="61">
        <v>14638.028</v>
      </c>
      <c r="AQ30" s="61">
        <v>14585.716</v>
      </c>
      <c r="AR30" s="61">
        <v>14541.112999999999</v>
      </c>
      <c r="AS30" s="61">
        <v>14509.788</v>
      </c>
      <c r="AT30" s="61">
        <v>14499.626</v>
      </c>
      <c r="AU30" s="61">
        <v>14484.484</v>
      </c>
      <c r="AV30" s="61">
        <v>14505.759</v>
      </c>
      <c r="AW30" s="61">
        <v>14530.819</v>
      </c>
      <c r="AX30" s="61">
        <v>14554.871999999999</v>
      </c>
      <c r="AY30" s="61">
        <v>14578.78</v>
      </c>
      <c r="AZ30" s="61">
        <v>14603.337</v>
      </c>
      <c r="BA30" s="61">
        <v>14628.411</v>
      </c>
      <c r="BB30" s="61">
        <v>14653.243</v>
      </c>
      <c r="BC30" s="61">
        <v>14677.332</v>
      </c>
      <c r="BD30" s="61">
        <v>14700.241</v>
      </c>
      <c r="BE30" s="61">
        <v>14721.665000000001</v>
      </c>
      <c r="BF30" s="61">
        <v>14739.950999999999</v>
      </c>
      <c r="BG30" s="61">
        <v>14753.196</v>
      </c>
      <c r="BH30" s="61">
        <v>14760.796</v>
      </c>
      <c r="BI30" s="61">
        <v>14762.317999999999</v>
      </c>
      <c r="BJ30" s="61">
        <v>14757.398999999999</v>
      </c>
      <c r="BK30" s="61">
        <v>14745.593999999999</v>
      </c>
      <c r="BL30" s="61">
        <v>14726.73</v>
      </c>
      <c r="BM30" s="61">
        <v>14701.27</v>
      </c>
      <c r="BN30" s="61">
        <v>14670.039000000001</v>
      </c>
      <c r="BO30" s="61">
        <v>14633.893</v>
      </c>
      <c r="BP30" s="61">
        <v>14593.937</v>
      </c>
      <c r="BQ30" s="61">
        <v>14551.472</v>
      </c>
      <c r="BR30" s="61">
        <v>14507.63</v>
      </c>
      <c r="BS30" s="61">
        <v>14463.324000000001</v>
      </c>
      <c r="BT30" s="61">
        <v>14419.359</v>
      </c>
      <c r="BU30" s="61">
        <v>14377.243</v>
      </c>
      <c r="BV30" s="61">
        <v>14338.602000000001</v>
      </c>
      <c r="BW30" s="61">
        <v>14304.182000000001</v>
      </c>
      <c r="BX30" s="61">
        <v>14274.539000000001</v>
      </c>
      <c r="BY30" s="61">
        <v>14249.876</v>
      </c>
      <c r="BZ30" s="61">
        <v>14230.414000000001</v>
      </c>
      <c r="CA30" s="61">
        <v>14216.21</v>
      </c>
      <c r="CB30" s="61">
        <v>14206.934999999999</v>
      </c>
      <c r="CC30" s="61">
        <v>14201.991</v>
      </c>
      <c r="CD30" s="61">
        <v>14200.699000000001</v>
      </c>
      <c r="CE30" s="61">
        <v>14202.486999999999</v>
      </c>
      <c r="CF30" s="61">
        <v>14206.778</v>
      </c>
      <c r="CG30" s="61">
        <v>14212.835999999999</v>
      </c>
      <c r="CH30" s="61">
        <v>14219.945</v>
      </c>
      <c r="CI30" s="61">
        <v>14227.388000000001</v>
      </c>
      <c r="CJ30" s="61">
        <v>14234.671</v>
      </c>
      <c r="CK30" s="61">
        <v>14241.343999999999</v>
      </c>
      <c r="CL30" s="61">
        <v>14246.79</v>
      </c>
      <c r="CM30" s="61">
        <v>14250.471</v>
      </c>
      <c r="CN30" s="61">
        <v>14252.028</v>
      </c>
      <c r="CO30" s="61">
        <v>14251.191000000001</v>
      </c>
      <c r="CP30" s="61">
        <v>14247.839</v>
      </c>
      <c r="CQ30" s="61">
        <v>14241.886</v>
      </c>
      <c r="CR30" s="61">
        <v>14233.3</v>
      </c>
      <c r="CS30" s="61">
        <v>14222.186</v>
      </c>
      <c r="CT30" s="61">
        <v>14208.75</v>
      </c>
      <c r="CU30" s="61">
        <v>14193.236999999999</v>
      </c>
      <c r="CV30" s="61">
        <v>14175.954</v>
      </c>
      <c r="CW30" s="61">
        <v>14157.275</v>
      </c>
      <c r="CX30" s="61">
        <v>14137.592000000001</v>
      </c>
    </row>
    <row r="31" spans="1:103" s="62" customFormat="1" ht="15" customHeight="1">
      <c r="A31" s="39" t="s">
        <v>423</v>
      </c>
      <c r="B31" s="61">
        <v>13314.705</v>
      </c>
      <c r="C31" s="61">
        <v>13221.608</v>
      </c>
      <c r="D31" s="61">
        <v>13164.691999999999</v>
      </c>
      <c r="E31" s="61">
        <v>13132.775</v>
      </c>
      <c r="F31" s="61">
        <v>13105.031999999999</v>
      </c>
      <c r="G31" s="61">
        <v>13065.369000000001</v>
      </c>
      <c r="H31" s="61">
        <v>13036.768</v>
      </c>
      <c r="I31" s="61">
        <v>13013.37</v>
      </c>
      <c r="J31" s="61">
        <v>13047.085999999999</v>
      </c>
      <c r="K31" s="61">
        <v>13071.745999999999</v>
      </c>
      <c r="L31" s="61">
        <v>13145.043</v>
      </c>
      <c r="M31" s="61">
        <v>13281.620999999999</v>
      </c>
      <c r="N31" s="61">
        <v>13447.999</v>
      </c>
      <c r="O31" s="61">
        <v>13640.267</v>
      </c>
      <c r="P31" s="61">
        <v>13861.482</v>
      </c>
      <c r="Q31" s="61">
        <v>14098.594999999999</v>
      </c>
      <c r="R31" s="61">
        <v>14305.950999999999</v>
      </c>
      <c r="S31" s="61">
        <v>14465.111999999999</v>
      </c>
      <c r="T31" s="61">
        <v>14577.897999999999</v>
      </c>
      <c r="U31" s="61">
        <v>14691.49</v>
      </c>
      <c r="V31" s="61">
        <v>14835.804</v>
      </c>
      <c r="W31" s="61">
        <v>14963.923000000001</v>
      </c>
      <c r="X31" s="61">
        <v>15095.367</v>
      </c>
      <c r="Y31" s="61">
        <v>15180.494000000001</v>
      </c>
      <c r="Z31" s="61">
        <v>15246.862999999999</v>
      </c>
      <c r="AA31" s="61">
        <v>15303.991</v>
      </c>
      <c r="AB31" s="61">
        <v>15344.532999999999</v>
      </c>
      <c r="AC31" s="61">
        <v>15400.146000000001</v>
      </c>
      <c r="AD31" s="61">
        <v>15437.178</v>
      </c>
      <c r="AE31" s="61">
        <v>15457.833000000001</v>
      </c>
      <c r="AF31" s="61">
        <v>15490.147000000001</v>
      </c>
      <c r="AG31" s="61">
        <v>15565.462</v>
      </c>
      <c r="AH31" s="61">
        <v>15622.272999999999</v>
      </c>
      <c r="AI31" s="61">
        <v>15695.079</v>
      </c>
      <c r="AJ31" s="61">
        <v>15778.073</v>
      </c>
      <c r="AK31" s="61">
        <v>15837.466</v>
      </c>
      <c r="AL31" s="61">
        <v>15885.540999999999</v>
      </c>
      <c r="AM31" s="61">
        <v>15909.808000000001</v>
      </c>
      <c r="AN31" s="61">
        <v>15945.788</v>
      </c>
      <c r="AO31" s="61">
        <v>15998.86</v>
      </c>
      <c r="AP31" s="61">
        <v>16028.074000000001</v>
      </c>
      <c r="AQ31" s="61">
        <v>16030.346</v>
      </c>
      <c r="AR31" s="61">
        <v>16013.71</v>
      </c>
      <c r="AS31" s="61">
        <v>15988.955</v>
      </c>
      <c r="AT31" s="61">
        <v>15946.826999999999</v>
      </c>
      <c r="AU31" s="61">
        <v>15900.837</v>
      </c>
      <c r="AV31" s="61">
        <v>15792.333000000001</v>
      </c>
      <c r="AW31" s="61">
        <v>15689.808999999999</v>
      </c>
      <c r="AX31" s="61">
        <v>15584.281000000001</v>
      </c>
      <c r="AY31" s="61">
        <v>15469.931</v>
      </c>
      <c r="AZ31" s="61">
        <v>15356.413</v>
      </c>
      <c r="BA31" s="61">
        <v>15261.806</v>
      </c>
      <c r="BB31" s="61">
        <v>15184.166999999999</v>
      </c>
      <c r="BC31" s="61">
        <v>15108.648999999999</v>
      </c>
      <c r="BD31" s="61">
        <v>15025.416999999999</v>
      </c>
      <c r="BE31" s="61">
        <v>14961.88</v>
      </c>
      <c r="BF31" s="61">
        <v>14913.763000000001</v>
      </c>
      <c r="BG31" s="61">
        <v>14873.232</v>
      </c>
      <c r="BH31" s="61">
        <v>14845.620999999999</v>
      </c>
      <c r="BI31" s="61">
        <v>14838.6</v>
      </c>
      <c r="BJ31" s="61">
        <v>14826.807000000001</v>
      </c>
      <c r="BK31" s="61">
        <v>14850.404</v>
      </c>
      <c r="BL31" s="61">
        <v>14877.692999999999</v>
      </c>
      <c r="BM31" s="61">
        <v>14904.008</v>
      </c>
      <c r="BN31" s="61">
        <v>14930.165999999999</v>
      </c>
      <c r="BO31" s="61">
        <v>14956.97</v>
      </c>
      <c r="BP31" s="61">
        <v>14984.259</v>
      </c>
      <c r="BQ31" s="61">
        <v>15011.262000000001</v>
      </c>
      <c r="BR31" s="61">
        <v>15037.494000000001</v>
      </c>
      <c r="BS31" s="61">
        <v>15062.527</v>
      </c>
      <c r="BT31" s="61">
        <v>15086.058000000001</v>
      </c>
      <c r="BU31" s="61">
        <v>15106.459000000001</v>
      </c>
      <c r="BV31" s="61">
        <v>15121.823</v>
      </c>
      <c r="BW31" s="61">
        <v>15131.573</v>
      </c>
      <c r="BX31" s="61">
        <v>15135.286</v>
      </c>
      <c r="BY31" s="61">
        <v>15132.602000000001</v>
      </c>
      <c r="BZ31" s="61">
        <v>15123.091</v>
      </c>
      <c r="CA31" s="61">
        <v>15106.599</v>
      </c>
      <c r="CB31" s="61">
        <v>15083.585999999999</v>
      </c>
      <c r="CC31" s="61">
        <v>15054.887000000001</v>
      </c>
      <c r="CD31" s="61">
        <v>15021.314</v>
      </c>
      <c r="CE31" s="61">
        <v>14983.97</v>
      </c>
      <c r="CF31" s="61">
        <v>14944.148999999999</v>
      </c>
      <c r="CG31" s="61">
        <v>14902.968000000001</v>
      </c>
      <c r="CH31" s="61">
        <v>14861.331</v>
      </c>
      <c r="CI31" s="61">
        <v>14820.04</v>
      </c>
      <c r="CJ31" s="61">
        <v>14780.565000000001</v>
      </c>
      <c r="CK31" s="61">
        <v>14744.493</v>
      </c>
      <c r="CL31" s="61">
        <v>14712.566000000001</v>
      </c>
      <c r="CM31" s="61">
        <v>14685.341</v>
      </c>
      <c r="CN31" s="61">
        <v>14663.003000000001</v>
      </c>
      <c r="CO31" s="61">
        <v>14645.77</v>
      </c>
      <c r="CP31" s="61">
        <v>14633.708000000001</v>
      </c>
      <c r="CQ31" s="61">
        <v>14626.473</v>
      </c>
      <c r="CR31" s="61">
        <v>14623.494000000001</v>
      </c>
      <c r="CS31" s="61">
        <v>14624.099</v>
      </c>
      <c r="CT31" s="61">
        <v>14627.707</v>
      </c>
      <c r="CU31" s="61">
        <v>14633.755999999999</v>
      </c>
      <c r="CV31" s="61">
        <v>14641.526</v>
      </c>
      <c r="CW31" s="61">
        <v>14650.3</v>
      </c>
      <c r="CX31" s="61">
        <v>14659.380999999999</v>
      </c>
    </row>
    <row r="32" spans="1:103" s="62" customFormat="1" ht="15" customHeight="1">
      <c r="A32" s="39" t="s">
        <v>424</v>
      </c>
      <c r="B32" s="61">
        <v>10693.165000000001</v>
      </c>
      <c r="C32" s="61">
        <v>10803.975</v>
      </c>
      <c r="D32" s="61">
        <v>10974.592000000001</v>
      </c>
      <c r="E32" s="61">
        <v>11173.947</v>
      </c>
      <c r="F32" s="61">
        <v>11376.867</v>
      </c>
      <c r="G32" s="61">
        <v>11587.109</v>
      </c>
      <c r="H32" s="61">
        <v>11773.027</v>
      </c>
      <c r="I32" s="61">
        <v>11951.638000000001</v>
      </c>
      <c r="J32" s="61">
        <v>12109.967000000001</v>
      </c>
      <c r="K32" s="61">
        <v>12266.134</v>
      </c>
      <c r="L32" s="61">
        <v>12366.884</v>
      </c>
      <c r="M32" s="61">
        <v>12410.162</v>
      </c>
      <c r="N32" s="61">
        <v>12406.290999999999</v>
      </c>
      <c r="O32" s="61">
        <v>12377.459000000001</v>
      </c>
      <c r="P32" s="61">
        <v>12310.053</v>
      </c>
      <c r="Q32" s="61">
        <v>12203.486000000001</v>
      </c>
      <c r="R32" s="61">
        <v>12098.199000000001</v>
      </c>
      <c r="S32" s="61">
        <v>12039.071</v>
      </c>
      <c r="T32" s="61">
        <v>12010.561</v>
      </c>
      <c r="U32" s="61">
        <v>11991.067999999999</v>
      </c>
      <c r="V32" s="61">
        <v>11966.822</v>
      </c>
      <c r="W32" s="61">
        <v>11958.932000000001</v>
      </c>
      <c r="X32" s="61">
        <v>11956.585999999999</v>
      </c>
      <c r="Y32" s="61">
        <v>12006.617</v>
      </c>
      <c r="Z32" s="61">
        <v>12050.376</v>
      </c>
      <c r="AA32" s="61">
        <v>12137.127</v>
      </c>
      <c r="AB32" s="61">
        <v>12280.5</v>
      </c>
      <c r="AC32" s="61">
        <v>12448.184999999999</v>
      </c>
      <c r="AD32" s="61">
        <v>12638.487999999999</v>
      </c>
      <c r="AE32" s="61">
        <v>12853.736000000001</v>
      </c>
      <c r="AF32" s="61">
        <v>13081.005999999999</v>
      </c>
      <c r="AG32" s="61">
        <v>13279.718999999999</v>
      </c>
      <c r="AH32" s="61">
        <v>13437.013000000001</v>
      </c>
      <c r="AI32" s="61">
        <v>13552.446</v>
      </c>
      <c r="AJ32" s="61">
        <v>13667.851000000001</v>
      </c>
      <c r="AK32" s="61">
        <v>13811.366</v>
      </c>
      <c r="AL32" s="61">
        <v>13939.127</v>
      </c>
      <c r="AM32" s="61">
        <v>14069.441999999999</v>
      </c>
      <c r="AN32" s="61">
        <v>14157.404</v>
      </c>
      <c r="AO32" s="61">
        <v>14227.633</v>
      </c>
      <c r="AP32" s="61">
        <v>14289.51</v>
      </c>
      <c r="AQ32" s="61">
        <v>14337.63</v>
      </c>
      <c r="AR32" s="61">
        <v>14399.834000000001</v>
      </c>
      <c r="AS32" s="61">
        <v>14445.148999999999</v>
      </c>
      <c r="AT32" s="61">
        <v>14475.829</v>
      </c>
      <c r="AU32" s="61">
        <v>14517.529</v>
      </c>
      <c r="AV32" s="61">
        <v>14599.305</v>
      </c>
      <c r="AW32" s="61">
        <v>14663.861999999999</v>
      </c>
      <c r="AX32" s="61">
        <v>14742.797</v>
      </c>
      <c r="AY32" s="61">
        <v>14831.418</v>
      </c>
      <c r="AZ32" s="61">
        <v>14898.976000000001</v>
      </c>
      <c r="BA32" s="61">
        <v>14954.781000000001</v>
      </c>
      <c r="BB32" s="61">
        <v>14988.096</v>
      </c>
      <c r="BC32" s="61">
        <v>15031.553</v>
      </c>
      <c r="BD32" s="61">
        <v>15090.476000000001</v>
      </c>
      <c r="BE32" s="61">
        <v>15126.370999999999</v>
      </c>
      <c r="BF32" s="61">
        <v>15137.142</v>
      </c>
      <c r="BG32" s="61">
        <v>15130.332</v>
      </c>
      <c r="BH32" s="61">
        <v>15115.27</v>
      </c>
      <c r="BI32" s="61">
        <v>15083.089</v>
      </c>
      <c r="BJ32" s="61">
        <v>15047.913</v>
      </c>
      <c r="BK32" s="61">
        <v>14954.321</v>
      </c>
      <c r="BL32" s="61">
        <v>14866.258</v>
      </c>
      <c r="BM32" s="61">
        <v>14775.966</v>
      </c>
      <c r="BN32" s="61">
        <v>14678.281999999999</v>
      </c>
      <c r="BO32" s="61">
        <v>14581.805</v>
      </c>
      <c r="BP32" s="61">
        <v>14502.749</v>
      </c>
      <c r="BQ32" s="61">
        <v>14439.286</v>
      </c>
      <c r="BR32" s="61">
        <v>14378.028</v>
      </c>
      <c r="BS32" s="61">
        <v>14310.156999999999</v>
      </c>
      <c r="BT32" s="61">
        <v>14260.373</v>
      </c>
      <c r="BU32" s="61">
        <v>14224.796</v>
      </c>
      <c r="BV32" s="61">
        <v>14196.4</v>
      </c>
      <c r="BW32" s="61">
        <v>14179.907999999999</v>
      </c>
      <c r="BX32" s="61">
        <v>14182.291999999999</v>
      </c>
      <c r="BY32" s="61">
        <v>14180.51</v>
      </c>
      <c r="BZ32" s="61">
        <v>14211.041999999999</v>
      </c>
      <c r="CA32" s="61">
        <v>14244.948</v>
      </c>
      <c r="CB32" s="61">
        <v>14277.965</v>
      </c>
      <c r="CC32" s="61">
        <v>14310.857</v>
      </c>
      <c r="CD32" s="61">
        <v>14344.317999999999</v>
      </c>
      <c r="CE32" s="61">
        <v>14378.186</v>
      </c>
      <c r="CF32" s="61">
        <v>14411.679</v>
      </c>
      <c r="CG32" s="61">
        <v>14444.314</v>
      </c>
      <c r="CH32" s="61">
        <v>14475.665000000001</v>
      </c>
      <c r="CI32" s="61">
        <v>14505.446</v>
      </c>
      <c r="CJ32" s="61">
        <v>14532.096</v>
      </c>
      <c r="CK32" s="61">
        <v>14553.789000000001</v>
      </c>
      <c r="CL32" s="61">
        <v>14569.953</v>
      </c>
      <c r="CM32" s="61">
        <v>14580.222</v>
      </c>
      <c r="CN32" s="61">
        <v>14584.243</v>
      </c>
      <c r="CO32" s="61">
        <v>14581.66</v>
      </c>
      <c r="CP32" s="61">
        <v>14572.325000000001</v>
      </c>
      <c r="CQ32" s="61">
        <v>14556.686</v>
      </c>
      <c r="CR32" s="61">
        <v>14535.581</v>
      </c>
      <c r="CS32" s="61">
        <v>14509.795</v>
      </c>
      <c r="CT32" s="61">
        <v>14480.419</v>
      </c>
      <c r="CU32" s="61">
        <v>14448.655000000001</v>
      </c>
      <c r="CV32" s="61">
        <v>14415.571</v>
      </c>
      <c r="CW32" s="61">
        <v>14382.071</v>
      </c>
      <c r="CX32" s="61">
        <v>14348.902</v>
      </c>
    </row>
    <row r="33" spans="1:102" s="62" customFormat="1" ht="15" customHeight="1">
      <c r="A33" s="39" t="s">
        <v>425</v>
      </c>
      <c r="B33" s="61">
        <v>6120.8019999999997</v>
      </c>
      <c r="C33" s="61">
        <v>6319.2650000000003</v>
      </c>
      <c r="D33" s="61">
        <v>6487.51</v>
      </c>
      <c r="E33" s="61">
        <v>6631.4830000000002</v>
      </c>
      <c r="F33" s="61">
        <v>6757.6980000000003</v>
      </c>
      <c r="G33" s="61">
        <v>6870.0659999999998</v>
      </c>
      <c r="H33" s="61">
        <v>6989.6490000000003</v>
      </c>
      <c r="I33" s="61">
        <v>7107.8220000000001</v>
      </c>
      <c r="J33" s="61">
        <v>7214.9849999999997</v>
      </c>
      <c r="K33" s="61">
        <v>7334.9750000000004</v>
      </c>
      <c r="L33" s="61">
        <v>7466.87</v>
      </c>
      <c r="M33" s="61">
        <v>7614.45</v>
      </c>
      <c r="N33" s="61">
        <v>7768.26</v>
      </c>
      <c r="O33" s="61">
        <v>7927.7960000000003</v>
      </c>
      <c r="P33" s="61">
        <v>8103.3419999999996</v>
      </c>
      <c r="Q33" s="61">
        <v>8293.4390000000003</v>
      </c>
      <c r="R33" s="61">
        <v>8489.9609999999993</v>
      </c>
      <c r="S33" s="61">
        <v>8692.4150000000009</v>
      </c>
      <c r="T33" s="61">
        <v>8893.7630000000008</v>
      </c>
      <c r="U33" s="61">
        <v>9080.2119999999995</v>
      </c>
      <c r="V33" s="61">
        <v>9259.7199999999993</v>
      </c>
      <c r="W33" s="61">
        <v>9425.7909999999993</v>
      </c>
      <c r="X33" s="61">
        <v>9585.1679999999997</v>
      </c>
      <c r="Y33" s="61">
        <v>9719.8080000000009</v>
      </c>
      <c r="Z33" s="61">
        <v>9865.7780000000002</v>
      </c>
      <c r="AA33" s="61">
        <v>9977.4030000000002</v>
      </c>
      <c r="AB33" s="61">
        <v>10056.567999999999</v>
      </c>
      <c r="AC33" s="61">
        <v>10104.224</v>
      </c>
      <c r="AD33" s="61">
        <v>10138.802</v>
      </c>
      <c r="AE33" s="61">
        <v>10157.338</v>
      </c>
      <c r="AF33" s="61">
        <v>10158.081</v>
      </c>
      <c r="AG33" s="61">
        <v>10168.663</v>
      </c>
      <c r="AH33" s="61">
        <v>10226.755999999999</v>
      </c>
      <c r="AI33" s="61">
        <v>10312.791999999999</v>
      </c>
      <c r="AJ33" s="61">
        <v>10396.234</v>
      </c>
      <c r="AK33" s="61">
        <v>10472.26</v>
      </c>
      <c r="AL33" s="61">
        <v>10553.814</v>
      </c>
      <c r="AM33" s="61">
        <v>10637.664000000001</v>
      </c>
      <c r="AN33" s="61">
        <v>10749.049000000001</v>
      </c>
      <c r="AO33" s="61">
        <v>10868.686</v>
      </c>
      <c r="AP33" s="61">
        <v>11000.242</v>
      </c>
      <c r="AQ33" s="61">
        <v>11157.313</v>
      </c>
      <c r="AR33" s="61">
        <v>11312.828</v>
      </c>
      <c r="AS33" s="61">
        <v>11481.601000000001</v>
      </c>
      <c r="AT33" s="61">
        <v>11662.826999999999</v>
      </c>
      <c r="AU33" s="61">
        <v>11843.486000000001</v>
      </c>
      <c r="AV33" s="61">
        <v>12011.669</v>
      </c>
      <c r="AW33" s="61">
        <v>12188.370999999999</v>
      </c>
      <c r="AX33" s="61">
        <v>12354.912</v>
      </c>
      <c r="AY33" s="61">
        <v>12519.852000000001</v>
      </c>
      <c r="AZ33" s="61">
        <v>12702.391</v>
      </c>
      <c r="BA33" s="61">
        <v>12873.742</v>
      </c>
      <c r="BB33" s="61">
        <v>13045.767</v>
      </c>
      <c r="BC33" s="61">
        <v>13199.973</v>
      </c>
      <c r="BD33" s="61">
        <v>13340.418</v>
      </c>
      <c r="BE33" s="61">
        <v>13477.91</v>
      </c>
      <c r="BF33" s="61">
        <v>13619.153</v>
      </c>
      <c r="BG33" s="61">
        <v>13765.005999999999</v>
      </c>
      <c r="BH33" s="61">
        <v>13901.177</v>
      </c>
      <c r="BI33" s="61">
        <v>14029.369000000001</v>
      </c>
      <c r="BJ33" s="61">
        <v>14161.499</v>
      </c>
      <c r="BK33" s="61">
        <v>14313.579</v>
      </c>
      <c r="BL33" s="61">
        <v>14453.965</v>
      </c>
      <c r="BM33" s="61">
        <v>14595.406000000001</v>
      </c>
      <c r="BN33" s="61">
        <v>14742.52</v>
      </c>
      <c r="BO33" s="61">
        <v>14886.196</v>
      </c>
      <c r="BP33" s="61">
        <v>15010.157999999999</v>
      </c>
      <c r="BQ33" s="61">
        <v>15116.576999999999</v>
      </c>
      <c r="BR33" s="61">
        <v>15219.130999999999</v>
      </c>
      <c r="BS33" s="61">
        <v>15326.998</v>
      </c>
      <c r="BT33" s="61">
        <v>15415.779</v>
      </c>
      <c r="BU33" s="61">
        <v>15489.963</v>
      </c>
      <c r="BV33" s="61">
        <v>15557.268</v>
      </c>
      <c r="BW33" s="61">
        <v>15613.295</v>
      </c>
      <c r="BX33" s="61">
        <v>15651.358</v>
      </c>
      <c r="BY33" s="61">
        <v>15694.929</v>
      </c>
      <c r="BZ33" s="61">
        <v>15707.895</v>
      </c>
      <c r="CA33" s="61">
        <v>15719.356</v>
      </c>
      <c r="CB33" s="61">
        <v>15733.451999999999</v>
      </c>
      <c r="CC33" s="61">
        <v>15749.3</v>
      </c>
      <c r="CD33" s="61">
        <v>15766.065000000001</v>
      </c>
      <c r="CE33" s="61">
        <v>15783.391</v>
      </c>
      <c r="CF33" s="61">
        <v>15801.409</v>
      </c>
      <c r="CG33" s="61">
        <v>15820.328</v>
      </c>
      <c r="CH33" s="61">
        <v>15840.571</v>
      </c>
      <c r="CI33" s="61">
        <v>15862.541999999999</v>
      </c>
      <c r="CJ33" s="61">
        <v>15887.044</v>
      </c>
      <c r="CK33" s="61">
        <v>15914.998</v>
      </c>
      <c r="CL33" s="61">
        <v>15947.098</v>
      </c>
      <c r="CM33" s="61">
        <v>15983.905000000001</v>
      </c>
      <c r="CN33" s="61">
        <v>16026.075000000001</v>
      </c>
      <c r="CO33" s="61">
        <v>16074.138999999999</v>
      </c>
      <c r="CP33" s="61">
        <v>16128.373</v>
      </c>
      <c r="CQ33" s="61">
        <v>16188.745000000001</v>
      </c>
      <c r="CR33" s="61">
        <v>16254.959000000001</v>
      </c>
      <c r="CS33" s="61">
        <v>16326.644</v>
      </c>
      <c r="CT33" s="61">
        <v>16402.947</v>
      </c>
      <c r="CU33" s="61">
        <v>16482.718000000001</v>
      </c>
      <c r="CV33" s="61">
        <v>16565.011999999999</v>
      </c>
      <c r="CW33" s="61">
        <v>16649.006000000001</v>
      </c>
      <c r="CX33" s="61">
        <v>16733.912</v>
      </c>
    </row>
    <row r="34" spans="1:102" s="62" customFormat="1" ht="15" customHeight="1">
      <c r="A34" s="39" t="s">
        <v>426</v>
      </c>
      <c r="B34" s="61">
        <v>67602.760999999999</v>
      </c>
      <c r="C34" s="61">
        <v>68492.494999999995</v>
      </c>
      <c r="D34" s="61">
        <v>69226.231</v>
      </c>
      <c r="E34" s="61">
        <v>69867.979000000007</v>
      </c>
      <c r="F34" s="61">
        <v>70414.3</v>
      </c>
      <c r="G34" s="61">
        <v>70861.913</v>
      </c>
      <c r="H34" s="61">
        <v>71208.100999999995</v>
      </c>
      <c r="I34" s="61">
        <v>71547.661999999997</v>
      </c>
      <c r="J34" s="61">
        <v>71879.987999999998</v>
      </c>
      <c r="K34" s="61">
        <v>72204.573999999993</v>
      </c>
      <c r="L34" s="61">
        <v>72521.172999999995</v>
      </c>
      <c r="M34" s="61">
        <v>72830.020999999993</v>
      </c>
      <c r="N34" s="61">
        <v>73131.596999999994</v>
      </c>
      <c r="O34" s="61">
        <v>73426.168000000005</v>
      </c>
      <c r="P34" s="61">
        <v>73714.089000000007</v>
      </c>
      <c r="Q34" s="61">
        <v>73995.941000000006</v>
      </c>
      <c r="R34" s="61">
        <v>74272.334000000003</v>
      </c>
      <c r="S34" s="61">
        <v>74543.737999999998</v>
      </c>
      <c r="T34" s="61">
        <v>74810.478000000003</v>
      </c>
      <c r="U34" s="61">
        <v>75072.892000000007</v>
      </c>
      <c r="V34" s="61">
        <v>75331.209000000003</v>
      </c>
      <c r="W34" s="61">
        <v>75585.236000000004</v>
      </c>
      <c r="X34" s="61">
        <v>75834.506999999998</v>
      </c>
      <c r="Y34" s="61">
        <v>76078.686000000002</v>
      </c>
      <c r="Z34" s="61">
        <v>76317.48</v>
      </c>
      <c r="AA34" s="61">
        <v>76550.535000000003</v>
      </c>
      <c r="AB34" s="61">
        <v>76776.460000000006</v>
      </c>
      <c r="AC34" s="61">
        <v>76993.637000000002</v>
      </c>
      <c r="AD34" s="61">
        <v>77201.482999999993</v>
      </c>
      <c r="AE34" s="61">
        <v>77399.645000000004</v>
      </c>
      <c r="AF34" s="61">
        <v>77588.048999999999</v>
      </c>
      <c r="AG34" s="61">
        <v>77766.710000000006</v>
      </c>
      <c r="AH34" s="61">
        <v>77935.834000000003</v>
      </c>
      <c r="AI34" s="61">
        <v>78096.133000000002</v>
      </c>
      <c r="AJ34" s="61">
        <v>78248.758000000002</v>
      </c>
      <c r="AK34" s="61">
        <v>78394.895999999993</v>
      </c>
      <c r="AL34" s="61">
        <v>78535.61</v>
      </c>
      <c r="AM34" s="61">
        <v>78672.035999999993</v>
      </c>
      <c r="AN34" s="61">
        <v>78805.316999999995</v>
      </c>
      <c r="AO34" s="61">
        <v>78936.486999999994</v>
      </c>
      <c r="AP34" s="61">
        <v>79066.48</v>
      </c>
      <c r="AQ34" s="61">
        <v>79195.862999999998</v>
      </c>
      <c r="AR34" s="61">
        <v>79325.004000000001</v>
      </c>
      <c r="AS34" s="61">
        <v>79454.27</v>
      </c>
      <c r="AT34" s="61">
        <v>79583.857000000004</v>
      </c>
      <c r="AU34" s="61">
        <v>79713.62</v>
      </c>
      <c r="AV34" s="61">
        <v>79843.214000000007</v>
      </c>
      <c r="AW34" s="61">
        <v>79972.100000000006</v>
      </c>
      <c r="AX34" s="61">
        <v>80099.543999999994</v>
      </c>
      <c r="AY34" s="61">
        <v>80224.705000000002</v>
      </c>
      <c r="AZ34" s="61">
        <v>80346.626000000004</v>
      </c>
      <c r="BA34" s="61">
        <v>80464.327999999994</v>
      </c>
      <c r="BB34" s="61">
        <v>80576.957999999999</v>
      </c>
      <c r="BC34" s="61">
        <v>80683.665999999997</v>
      </c>
      <c r="BD34" s="61">
        <v>80783.804999999993</v>
      </c>
      <c r="BE34" s="61">
        <v>80876.875</v>
      </c>
      <c r="BF34" s="61">
        <v>80962.573999999993</v>
      </c>
      <c r="BG34" s="61">
        <v>81040.744000000006</v>
      </c>
      <c r="BH34" s="61">
        <v>81111.28</v>
      </c>
      <c r="BI34" s="61">
        <v>81174.269</v>
      </c>
      <c r="BJ34" s="61">
        <v>81229.881999999998</v>
      </c>
      <c r="BK34" s="61">
        <v>81278.373000000007</v>
      </c>
      <c r="BL34" s="61">
        <v>81320.103000000003</v>
      </c>
      <c r="BM34" s="61">
        <v>81355.441999999995</v>
      </c>
      <c r="BN34" s="61">
        <v>81384.875</v>
      </c>
      <c r="BO34" s="61">
        <v>81408.956999999995</v>
      </c>
      <c r="BP34" s="61">
        <v>81428.186000000002</v>
      </c>
      <c r="BQ34" s="61">
        <v>81443.111000000004</v>
      </c>
      <c r="BR34" s="61">
        <v>81454.243000000002</v>
      </c>
      <c r="BS34" s="61">
        <v>81462.067999999999</v>
      </c>
      <c r="BT34" s="61">
        <v>81467.091</v>
      </c>
      <c r="BU34" s="61">
        <v>81469.703999999998</v>
      </c>
      <c r="BV34" s="61">
        <v>81470.320000000007</v>
      </c>
      <c r="BW34" s="61">
        <v>81469.232000000004</v>
      </c>
      <c r="BX34" s="61">
        <v>81466.731</v>
      </c>
      <c r="BY34" s="61">
        <v>81463.092999999993</v>
      </c>
      <c r="BZ34" s="61">
        <v>81458.489000000001</v>
      </c>
      <c r="CA34" s="61">
        <v>81453.119999999995</v>
      </c>
      <c r="CB34" s="61">
        <v>81447.095000000001</v>
      </c>
      <c r="CC34" s="61">
        <v>81440.607999999993</v>
      </c>
      <c r="CD34" s="61">
        <v>81433.781000000003</v>
      </c>
      <c r="CE34" s="61">
        <v>81426.782999999996</v>
      </c>
      <c r="CF34" s="61">
        <v>81419.828999999998</v>
      </c>
      <c r="CG34" s="61">
        <v>81413.183000000005</v>
      </c>
      <c r="CH34" s="61">
        <v>81407.199999999997</v>
      </c>
      <c r="CI34" s="61">
        <v>81402.25</v>
      </c>
      <c r="CJ34" s="61">
        <v>81398.709000000003</v>
      </c>
      <c r="CK34" s="61">
        <v>81396.967000000004</v>
      </c>
      <c r="CL34" s="61">
        <v>81397.436000000002</v>
      </c>
      <c r="CM34" s="61">
        <v>81400.459000000003</v>
      </c>
      <c r="CN34" s="61">
        <v>81406.275999999998</v>
      </c>
      <c r="CO34" s="61">
        <v>81415.084000000003</v>
      </c>
      <c r="CP34" s="61">
        <v>81426.995999999999</v>
      </c>
      <c r="CQ34" s="61">
        <v>81442.03</v>
      </c>
      <c r="CR34" s="61">
        <v>81460.095000000001</v>
      </c>
      <c r="CS34" s="61">
        <v>81480.985000000001</v>
      </c>
      <c r="CT34" s="61">
        <v>81504.456000000006</v>
      </c>
      <c r="CU34" s="61">
        <v>81530.145000000004</v>
      </c>
      <c r="CV34" s="61">
        <v>81557.638999999996</v>
      </c>
      <c r="CW34" s="61">
        <v>81586.535000000003</v>
      </c>
      <c r="CX34" s="61">
        <v>81616.369000000006</v>
      </c>
    </row>
    <row r="35" spans="1:102" s="62" customFormat="1" ht="15" customHeight="1">
      <c r="A35" s="39" t="s">
        <v>420</v>
      </c>
      <c r="B35" s="63">
        <v>0.17170010260379751</v>
      </c>
      <c r="C35" s="63">
        <v>0.16888241551136371</v>
      </c>
      <c r="D35" s="63">
        <v>0.1662417241811128</v>
      </c>
      <c r="E35" s="63">
        <v>0.16363722213862811</v>
      </c>
      <c r="F35" s="63">
        <v>0.1609856520621521</v>
      </c>
      <c r="G35" s="63">
        <v>0.158425782267549</v>
      </c>
      <c r="H35" s="63">
        <v>0.15621670629862749</v>
      </c>
      <c r="I35" s="63">
        <v>0.15429019888867929</v>
      </c>
      <c r="J35" s="63">
        <v>0.1524267783684104</v>
      </c>
      <c r="K35" s="63">
        <v>0.15048243342589351</v>
      </c>
      <c r="L35" s="63">
        <v>0.1488550660922156</v>
      </c>
      <c r="M35" s="63">
        <v>0.14747767270312881</v>
      </c>
      <c r="N35" s="63">
        <v>0.14623296138329919</v>
      </c>
      <c r="O35" s="63">
        <v>0.14519563379638711</v>
      </c>
      <c r="P35" s="63">
        <v>0.14447064522495831</v>
      </c>
      <c r="Q35" s="63">
        <v>0.14369447643080849</v>
      </c>
      <c r="R35" s="63">
        <v>0.143431940620043</v>
      </c>
      <c r="S35" s="63">
        <v>0.143232487214419</v>
      </c>
      <c r="T35" s="63">
        <v>0.14302971035688339</v>
      </c>
      <c r="U35" s="63">
        <v>0.14283475318894071</v>
      </c>
      <c r="V35" s="63">
        <v>0.14265769981203941</v>
      </c>
      <c r="W35" s="63">
        <v>0.14249710088885609</v>
      </c>
      <c r="X35" s="63">
        <v>0.14234327388717641</v>
      </c>
      <c r="Y35" s="63">
        <v>0.14219019240158801</v>
      </c>
      <c r="Z35" s="63">
        <v>0.14203308337749099</v>
      </c>
      <c r="AA35" s="63">
        <v>0.14186832267076899</v>
      </c>
      <c r="AB35" s="63">
        <v>0.1416769410832435</v>
      </c>
      <c r="AC35" s="63">
        <v>0.14143707745615389</v>
      </c>
      <c r="AD35" s="63">
        <v>0.14114201666307369</v>
      </c>
      <c r="AE35" s="63">
        <v>0.14078735115645549</v>
      </c>
      <c r="AF35" s="63">
        <v>0.14036875704916871</v>
      </c>
      <c r="AG35" s="63">
        <v>0.13988071502574809</v>
      </c>
      <c r="AH35" s="63">
        <v>0.13932084180943</v>
      </c>
      <c r="AI35" s="63">
        <v>0.13869434482754739</v>
      </c>
      <c r="AJ35" s="63">
        <v>0.1380098326928077</v>
      </c>
      <c r="AK35" s="63">
        <v>0.1372761563456886</v>
      </c>
      <c r="AL35" s="63">
        <v>0.13650586020787259</v>
      </c>
      <c r="AM35" s="63">
        <v>0.1357137242513973</v>
      </c>
      <c r="AN35" s="63">
        <v>0.13491203899351109</v>
      </c>
      <c r="AO35" s="63">
        <v>0.13411064264869049</v>
      </c>
      <c r="AP35" s="63">
        <v>0.13331829113930449</v>
      </c>
      <c r="AQ35" s="63">
        <v>0.1325533506718653</v>
      </c>
      <c r="AR35" s="63">
        <v>0.13183527857118041</v>
      </c>
      <c r="AS35" s="63">
        <v>0.13117303827723789</v>
      </c>
      <c r="AT35" s="63">
        <v>0.13057291254431161</v>
      </c>
      <c r="AU35" s="63">
        <v>0.13003763974086241</v>
      </c>
      <c r="AV35" s="63">
        <v>0.12956989682304121</v>
      </c>
      <c r="AW35" s="63">
        <v>0.12917128598598759</v>
      </c>
      <c r="AX35" s="63">
        <v>0.12883828652008311</v>
      </c>
      <c r="AY35" s="63">
        <v>0.12856467343818839</v>
      </c>
      <c r="AZ35" s="63">
        <v>0.12834308686465559</v>
      </c>
      <c r="BA35" s="63">
        <v>0.12816757756306621</v>
      </c>
      <c r="BB35" s="63">
        <v>0.12803193687207701</v>
      </c>
      <c r="BC35" s="63">
        <v>0.12792817321909991</v>
      </c>
      <c r="BD35" s="63">
        <v>0.1278482735493828</v>
      </c>
      <c r="BE35" s="63">
        <v>0.1277840791944545</v>
      </c>
      <c r="BF35" s="63">
        <v>0.12772980760221389</v>
      </c>
      <c r="BG35" s="63">
        <v>0.12768013334132269</v>
      </c>
      <c r="BH35" s="63">
        <v>0.12762743973464599</v>
      </c>
      <c r="BI35" s="63">
        <v>0.1275650415773994</v>
      </c>
      <c r="BJ35" s="63">
        <v>0.12748824379678411</v>
      </c>
      <c r="BK35" s="63">
        <v>0.12739327348494039</v>
      </c>
      <c r="BL35" s="63">
        <v>0.12727790076704651</v>
      </c>
      <c r="BM35" s="63">
        <v>0.12714068961729691</v>
      </c>
      <c r="BN35" s="63">
        <v>0.12698032650415689</v>
      </c>
      <c r="BO35" s="63">
        <v>0.1267973866806818</v>
      </c>
      <c r="BP35" s="63">
        <v>0.12659336412087091</v>
      </c>
      <c r="BQ35" s="63">
        <v>0.12637065153368221</v>
      </c>
      <c r="BR35" s="63">
        <v>0.12613223843968449</v>
      </c>
      <c r="BS35" s="63">
        <v>0.12588163119060519</v>
      </c>
      <c r="BT35" s="63">
        <v>0.1256232286482403</v>
      </c>
      <c r="BU35" s="63">
        <v>0.12536145951874331</v>
      </c>
      <c r="BV35" s="63">
        <v>0.12510106748077091</v>
      </c>
      <c r="BW35" s="63">
        <v>0.1248469974529771</v>
      </c>
      <c r="BX35" s="63">
        <v>0.12460345315684759</v>
      </c>
      <c r="BY35" s="63">
        <v>0.1243745925532192</v>
      </c>
      <c r="BZ35" s="63">
        <v>0.124163977556716</v>
      </c>
      <c r="CA35" s="63">
        <v>0.1239742320490609</v>
      </c>
      <c r="CB35" s="63">
        <v>0.1238075464815534</v>
      </c>
      <c r="CC35" s="63">
        <v>0.1236647079059135</v>
      </c>
      <c r="CD35" s="63">
        <v>0.1235460134167171</v>
      </c>
      <c r="CE35" s="63">
        <v>0.123450683296674</v>
      </c>
      <c r="CF35" s="63">
        <v>0.1233770952773679</v>
      </c>
      <c r="CG35" s="63">
        <v>0.1233229267058628</v>
      </c>
      <c r="CH35" s="63">
        <v>0.1232853605086528</v>
      </c>
      <c r="CI35" s="63">
        <v>0.1232608435270524</v>
      </c>
      <c r="CJ35" s="63">
        <v>0.1232456156030681</v>
      </c>
      <c r="CK35" s="63">
        <v>0.1232357343241057</v>
      </c>
      <c r="CL35" s="63">
        <v>0.12322722302948209</v>
      </c>
      <c r="CM35" s="63">
        <v>0.1232161848129136</v>
      </c>
      <c r="CN35" s="63">
        <v>0.1231992604599675</v>
      </c>
      <c r="CO35" s="63">
        <v>0.1231732684817963</v>
      </c>
      <c r="CP35" s="63">
        <v>0.12313557533179779</v>
      </c>
      <c r="CQ35" s="63">
        <v>0.1230842477772226</v>
      </c>
      <c r="CR35" s="63">
        <v>0.12301774261373009</v>
      </c>
      <c r="CS35" s="63">
        <v>0.122935418613312</v>
      </c>
      <c r="CT35" s="63">
        <v>0.12283705077425459</v>
      </c>
      <c r="CU35" s="63">
        <v>0.1227230615130146</v>
      </c>
      <c r="CV35" s="63">
        <v>0.122594561620402</v>
      </c>
      <c r="CW35" s="63">
        <v>0.1224529268218095</v>
      </c>
      <c r="CX35" s="63">
        <v>0.1223000253784875</v>
      </c>
    </row>
    <row r="36" spans="1:102" s="62" customFormat="1" ht="15" customHeight="1">
      <c r="A36" s="39" t="s">
        <v>421</v>
      </c>
      <c r="B36" s="63">
        <v>0.1824382291131571</v>
      </c>
      <c r="C36" s="63">
        <v>0.18556500241376811</v>
      </c>
      <c r="D36" s="63">
        <v>0.18740257576640279</v>
      </c>
      <c r="E36" s="63">
        <v>0.1889066663857559</v>
      </c>
      <c r="F36" s="63">
        <v>0.19002472509135221</v>
      </c>
      <c r="G36" s="63">
        <v>0.19030890402295519</v>
      </c>
      <c r="H36" s="63">
        <v>0.19001045962453059</v>
      </c>
      <c r="I36" s="63">
        <v>0.18938940310865779</v>
      </c>
      <c r="J36" s="63">
        <v>0.1889646253140721</v>
      </c>
      <c r="K36" s="63">
        <v>0.1888107393307244</v>
      </c>
      <c r="L36" s="63">
        <v>0.18834444390467869</v>
      </c>
      <c r="M36" s="63">
        <v>0.18752029468726919</v>
      </c>
      <c r="N36" s="63">
        <v>0.18645571215954709</v>
      </c>
      <c r="O36" s="63">
        <v>0.1853082949936867</v>
      </c>
      <c r="P36" s="63">
        <v>0.18394879708816589</v>
      </c>
      <c r="Q36" s="63">
        <v>0.18255797301097909</v>
      </c>
      <c r="R36" s="63">
        <v>0.18032417023544731</v>
      </c>
      <c r="S36" s="63">
        <v>0.17820229245815389</v>
      </c>
      <c r="T36" s="63">
        <v>0.17606208852187791</v>
      </c>
      <c r="U36" s="63">
        <v>0.1738211577089637</v>
      </c>
      <c r="V36" s="63">
        <v>0.17161466239045761</v>
      </c>
      <c r="W36" s="63">
        <v>0.16969238542828649</v>
      </c>
      <c r="X36" s="63">
        <v>0.1680254610213264</v>
      </c>
      <c r="Y36" s="63">
        <v>0.1664084734586504</v>
      </c>
      <c r="Z36" s="63">
        <v>0.16470575286290901</v>
      </c>
      <c r="AA36" s="63">
        <v>0.16329299331480829</v>
      </c>
      <c r="AB36" s="63">
        <v>0.16211185042915499</v>
      </c>
      <c r="AC36" s="63">
        <v>0.1610565818575371</v>
      </c>
      <c r="AD36" s="63">
        <v>0.16020029045296971</v>
      </c>
      <c r="AE36" s="63">
        <v>0.15964446606957949</v>
      </c>
      <c r="AF36" s="63">
        <v>0.15904647892357751</v>
      </c>
      <c r="AG36" s="63">
        <v>0.15894415489609881</v>
      </c>
      <c r="AH36" s="63">
        <v>0.15891086762476939</v>
      </c>
      <c r="AI36" s="63">
        <v>0.15888266836464229</v>
      </c>
      <c r="AJ36" s="63">
        <v>0.1588684001859812</v>
      </c>
      <c r="AK36" s="63">
        <v>0.15887563649551881</v>
      </c>
      <c r="AL36" s="63">
        <v>0.15890050386060539</v>
      </c>
      <c r="AM36" s="63">
        <v>0.1589309573734688</v>
      </c>
      <c r="AN36" s="63">
        <v>0.15895814491806429</v>
      </c>
      <c r="AO36" s="63">
        <v>0.15897489838887821</v>
      </c>
      <c r="AP36" s="63">
        <v>0.15897530786750591</v>
      </c>
      <c r="AQ36" s="63">
        <v>0.1589373550989652</v>
      </c>
      <c r="AR36" s="63">
        <v>0.1588362352934769</v>
      </c>
      <c r="AS36" s="63">
        <v>0.1586638326675206</v>
      </c>
      <c r="AT36" s="63">
        <v>0.15841468955192761</v>
      </c>
      <c r="AU36" s="63">
        <v>0.1580848166223037</v>
      </c>
      <c r="AV36" s="63">
        <v>0.1576698928978485</v>
      </c>
      <c r="AW36" s="63">
        <v>0.15716906271062031</v>
      </c>
      <c r="AX36" s="63">
        <v>0.15659007996350141</v>
      </c>
      <c r="AY36" s="63">
        <v>0.1559452415562014</v>
      </c>
      <c r="AZ36" s="63">
        <v>0.1552470292903152</v>
      </c>
      <c r="BA36" s="63">
        <v>0.1545115743711922</v>
      </c>
      <c r="BB36" s="63">
        <v>0.1537568717846112</v>
      </c>
      <c r="BC36" s="63">
        <v>0.1529980677873512</v>
      </c>
      <c r="BD36" s="63">
        <v>0.15224812696059559</v>
      </c>
      <c r="BE36" s="63">
        <v>0.15151762478458769</v>
      </c>
      <c r="BF36" s="63">
        <v>0.15082562715953179</v>
      </c>
      <c r="BG36" s="63">
        <v>0.1501921675348884</v>
      </c>
      <c r="BH36" s="63">
        <v>0.14962642680524829</v>
      </c>
      <c r="BI36" s="63">
        <v>0.14913462294313981</v>
      </c>
      <c r="BJ36" s="63">
        <v>0.14871878060834801</v>
      </c>
      <c r="BK36" s="63">
        <v>0.1483808860199502</v>
      </c>
      <c r="BL36" s="63">
        <v>0.14812087731861329</v>
      </c>
      <c r="BM36" s="63">
        <v>0.14793361948669639</v>
      </c>
      <c r="BN36" s="63">
        <v>0.14781112583879991</v>
      </c>
      <c r="BO36" s="63">
        <v>0.14774357077194841</v>
      </c>
      <c r="BP36" s="63">
        <v>0.1477229886958307</v>
      </c>
      <c r="BQ36" s="63">
        <v>0.14774110237512911</v>
      </c>
      <c r="BR36" s="63">
        <v>0.1477879304580855</v>
      </c>
      <c r="BS36" s="63">
        <v>0.14785389440395741</v>
      </c>
      <c r="BT36" s="63">
        <v>0.14792921720992841</v>
      </c>
      <c r="BU36" s="63">
        <v>0.1480069450111173</v>
      </c>
      <c r="BV36" s="63">
        <v>0.1480809575806257</v>
      </c>
      <c r="BW36" s="63">
        <v>0.14814285962582779</v>
      </c>
      <c r="BX36" s="63">
        <v>0.1481858895258728</v>
      </c>
      <c r="BY36" s="63">
        <v>0.14820499143090479</v>
      </c>
      <c r="BZ36" s="63">
        <v>0.1481961812476045</v>
      </c>
      <c r="CA36" s="63">
        <v>0.14815784834270321</v>
      </c>
      <c r="CB36" s="63">
        <v>0.1480886703202858</v>
      </c>
      <c r="CC36" s="63">
        <v>0.14798813879189121</v>
      </c>
      <c r="CD36" s="63">
        <v>0.14785714051518739</v>
      </c>
      <c r="CE36" s="63">
        <v>0.14769780355930309</v>
      </c>
      <c r="CF36" s="63">
        <v>0.14751286200809879</v>
      </c>
      <c r="CG36" s="63">
        <v>0.1473056888096366</v>
      </c>
      <c r="CH36" s="63">
        <v>0.14708001257874001</v>
      </c>
      <c r="CI36" s="63">
        <v>0.14684021633308661</v>
      </c>
      <c r="CJ36" s="63">
        <v>0.1465907647257649</v>
      </c>
      <c r="CK36" s="63">
        <v>0.14633626336470251</v>
      </c>
      <c r="CL36" s="63">
        <v>0.14608137042547631</v>
      </c>
      <c r="CM36" s="63">
        <v>0.14583045532949629</v>
      </c>
      <c r="CN36" s="63">
        <v>0.14558747288722559</v>
      </c>
      <c r="CO36" s="63">
        <v>0.14535589007069011</v>
      </c>
      <c r="CP36" s="63">
        <v>0.14513848699514839</v>
      </c>
      <c r="CQ36" s="63">
        <v>0.14493755865368291</v>
      </c>
      <c r="CR36" s="63">
        <v>0.14475460653464739</v>
      </c>
      <c r="CS36" s="63">
        <v>0.14459032374240441</v>
      </c>
      <c r="CT36" s="63">
        <v>0.14444444608034679</v>
      </c>
      <c r="CU36" s="63">
        <v>0.14431655923094461</v>
      </c>
      <c r="CV36" s="63">
        <v>0.14420541281240379</v>
      </c>
      <c r="CW36" s="63">
        <v>0.1441092332208985</v>
      </c>
      <c r="CX36" s="63">
        <v>0.14402623081651669</v>
      </c>
    </row>
    <row r="37" spans="1:102" s="62" customFormat="1" ht="15" customHeight="1">
      <c r="A37" s="39" t="s">
        <v>422</v>
      </c>
      <c r="B37" s="63">
        <v>0.200189456759022</v>
      </c>
      <c r="C37" s="63">
        <v>0.2025135600623105</v>
      </c>
      <c r="D37" s="63">
        <v>0.20393967425440221</v>
      </c>
      <c r="E37" s="63">
        <v>0.2046466092857788</v>
      </c>
      <c r="F37" s="63">
        <v>0.20533546452922211</v>
      </c>
      <c r="G37" s="63">
        <v>0.2064206480002875</v>
      </c>
      <c r="H37" s="63">
        <v>0.20720223953170719</v>
      </c>
      <c r="I37" s="63">
        <v>0.20804816794712319</v>
      </c>
      <c r="J37" s="63">
        <v>0.20824627850522179</v>
      </c>
      <c r="K37" s="63">
        <v>0.20820287645489061</v>
      </c>
      <c r="L37" s="63">
        <v>0.20805333636840101</v>
      </c>
      <c r="M37" s="63">
        <v>0.20768741780261199</v>
      </c>
      <c r="N37" s="63">
        <v>0.20755724779263329</v>
      </c>
      <c r="O37" s="63">
        <v>0.2071878379925805</v>
      </c>
      <c r="P37" s="63">
        <v>0.20661005523652329</v>
      </c>
      <c r="Q37" s="63">
        <v>0.20621487873233479</v>
      </c>
      <c r="R37" s="63">
        <v>0.20643084947350651</v>
      </c>
      <c r="S37" s="63">
        <v>0.2064048626056289</v>
      </c>
      <c r="T37" s="63">
        <v>0.2066133837562166</v>
      </c>
      <c r="U37" s="63">
        <v>0.20697014043364681</v>
      </c>
      <c r="V37" s="63">
        <v>0.20701043043129699</v>
      </c>
      <c r="W37" s="63">
        <v>0.20691440323081081</v>
      </c>
      <c r="X37" s="63">
        <v>0.20651187196351131</v>
      </c>
      <c r="Y37" s="63">
        <v>0.20628623896054149</v>
      </c>
      <c r="Z37" s="63">
        <v>0.206308279571076</v>
      </c>
      <c r="AA37" s="63">
        <v>0.206030591425651</v>
      </c>
      <c r="AB37" s="63">
        <v>0.2054149279609922</v>
      </c>
      <c r="AC37" s="63">
        <v>0.20457528198076941</v>
      </c>
      <c r="AD37" s="63">
        <v>0.2036611395146386</v>
      </c>
      <c r="AE37" s="63">
        <v>0.20255160085036569</v>
      </c>
      <c r="AF37" s="63">
        <v>0.20141982175631201</v>
      </c>
      <c r="AG37" s="63">
        <v>0.19949717559094371</v>
      </c>
      <c r="AH37" s="63">
        <v>0.19768640699989171</v>
      </c>
      <c r="AI37" s="63">
        <v>0.1958637567880602</v>
      </c>
      <c r="AJ37" s="63">
        <v>0.19394872695615181</v>
      </c>
      <c r="AK37" s="63">
        <v>0.19206626666103371</v>
      </c>
      <c r="AL37" s="63">
        <v>0.19045129973524111</v>
      </c>
      <c r="AM37" s="63">
        <v>0.18907385338292251</v>
      </c>
      <c r="AN37" s="63">
        <v>0.18773534024360311</v>
      </c>
      <c r="AO37" s="63">
        <v>0.18630376849681701</v>
      </c>
      <c r="AP37" s="63">
        <v>0.18513569846539271</v>
      </c>
      <c r="AQ37" s="63">
        <v>0.18417270104121469</v>
      </c>
      <c r="AR37" s="63">
        <v>0.18331058640728209</v>
      </c>
      <c r="AS37" s="63">
        <v>0.18261810221149849</v>
      </c>
      <c r="AT37" s="63">
        <v>0.18219305455376461</v>
      </c>
      <c r="AU37" s="63">
        <v>0.18170651389310891</v>
      </c>
      <c r="AV37" s="63">
        <v>0.181678044673903</v>
      </c>
      <c r="AW37" s="63">
        <v>0.1816986048884548</v>
      </c>
      <c r="AX37" s="63">
        <v>0.18170979849772931</v>
      </c>
      <c r="AY37" s="63">
        <v>0.18172432045714601</v>
      </c>
      <c r="AZ37" s="63">
        <v>0.1817542033438965</v>
      </c>
      <c r="BA37" s="63">
        <v>0.1817999523962967</v>
      </c>
      <c r="BB37" s="63">
        <v>0.1818540109195981</v>
      </c>
      <c r="BC37" s="63">
        <v>0.1819120613582432</v>
      </c>
      <c r="BD37" s="63">
        <v>0.18197014859599639</v>
      </c>
      <c r="BE37" s="63">
        <v>0.1820256408274924</v>
      </c>
      <c r="BF37" s="63">
        <v>0.18205882387089131</v>
      </c>
      <c r="BG37" s="63">
        <v>0.1820466505095264</v>
      </c>
      <c r="BH37" s="63">
        <v>0.18198203751685341</v>
      </c>
      <c r="BI37" s="63">
        <v>0.18185957424513419</v>
      </c>
      <c r="BJ37" s="63">
        <v>0.18167450988048961</v>
      </c>
      <c r="BK37" s="63">
        <v>0.18142088055822669</v>
      </c>
      <c r="BL37" s="63">
        <v>0.18109581095833091</v>
      </c>
      <c r="BM37" s="63">
        <v>0.1807041992347605</v>
      </c>
      <c r="BN37" s="63">
        <v>0.1802551026833917</v>
      </c>
      <c r="BO37" s="63">
        <v>0.17975777530229259</v>
      </c>
      <c r="BP37" s="63">
        <v>0.17922463604924219</v>
      </c>
      <c r="BQ37" s="63">
        <v>0.17867038502495319</v>
      </c>
      <c r="BR37" s="63">
        <v>0.17810772607634451</v>
      </c>
      <c r="BS37" s="63">
        <v>0.1775467325479633</v>
      </c>
      <c r="BT37" s="63">
        <v>0.17699611981971961</v>
      </c>
      <c r="BU37" s="63">
        <v>0.17647349007184321</v>
      </c>
      <c r="BV37" s="63">
        <v>0.17599786032508519</v>
      </c>
      <c r="BW37" s="63">
        <v>0.175577719942174</v>
      </c>
      <c r="BX37" s="63">
        <v>0.17521924379167739</v>
      </c>
      <c r="BY37" s="63">
        <v>0.17492431818173171</v>
      </c>
      <c r="BZ37" s="63">
        <v>0.1746952855950962</v>
      </c>
      <c r="CA37" s="63">
        <v>0.17453241815660339</v>
      </c>
      <c r="CB37" s="63">
        <v>0.17443145148393571</v>
      </c>
      <c r="CC37" s="63">
        <v>0.17438463868049711</v>
      </c>
      <c r="CD37" s="63">
        <v>0.1743833925628481</v>
      </c>
      <c r="CE37" s="63">
        <v>0.17442033783896391</v>
      </c>
      <c r="CF37" s="63">
        <v>0.17448793708471191</v>
      </c>
      <c r="CG37" s="63">
        <v>0.1745765916067917</v>
      </c>
      <c r="CH37" s="63">
        <v>0.1746767484939907</v>
      </c>
      <c r="CI37" s="63">
        <v>0.17477880525415451</v>
      </c>
      <c r="CJ37" s="63">
        <v>0.1748758816309974</v>
      </c>
      <c r="CK37" s="63">
        <v>0.17496160514187209</v>
      </c>
      <c r="CL37" s="63">
        <v>0.1750275033233234</v>
      </c>
      <c r="CM37" s="63">
        <v>0.1750662241351735</v>
      </c>
      <c r="CN37" s="63">
        <v>0.1750728408212654</v>
      </c>
      <c r="CO37" s="63">
        <v>0.17504361968109011</v>
      </c>
      <c r="CP37" s="63">
        <v>0.17497684674502789</v>
      </c>
      <c r="CQ37" s="63">
        <v>0.17487145150974259</v>
      </c>
      <c r="CR37" s="63">
        <v>0.17472726983684461</v>
      </c>
      <c r="CS37" s="63">
        <v>0.17454607354096169</v>
      </c>
      <c r="CT37" s="63">
        <v>0.17433095927908529</v>
      </c>
      <c r="CU37" s="63">
        <v>0.1740857568694377</v>
      </c>
      <c r="CV37" s="63">
        <v>0.17381515911709999</v>
      </c>
      <c r="CW37" s="63">
        <v>0.1735246508507807</v>
      </c>
      <c r="CX37" s="63">
        <v>0.17322005589344461</v>
      </c>
    </row>
    <row r="38" spans="1:102" s="62" customFormat="1" ht="15" customHeight="1">
      <c r="A38" s="39" t="s">
        <v>423</v>
      </c>
      <c r="B38" s="63">
        <v>0.19695504744251499</v>
      </c>
      <c r="C38" s="63">
        <v>0.1930373247463098</v>
      </c>
      <c r="D38" s="63">
        <v>0.19016912823117579</v>
      </c>
      <c r="E38" s="63">
        <v>0.1879655771923788</v>
      </c>
      <c r="F38" s="63">
        <v>0.186113218479769</v>
      </c>
      <c r="G38" s="63">
        <v>0.18437787588376281</v>
      </c>
      <c r="H38" s="63">
        <v>0.1830798436823923</v>
      </c>
      <c r="I38" s="63">
        <v>0.18188393074255871</v>
      </c>
      <c r="J38" s="63">
        <v>0.1815120781600576</v>
      </c>
      <c r="K38" s="63">
        <v>0.1810376445126593</v>
      </c>
      <c r="L38" s="63">
        <v>0.18125800309379991</v>
      </c>
      <c r="M38" s="63">
        <v>0.18236464602969149</v>
      </c>
      <c r="N38" s="63">
        <v>0.18388767033215481</v>
      </c>
      <c r="O38" s="63">
        <v>0.18576847153456241</v>
      </c>
      <c r="P38" s="63">
        <v>0.18804386227984179</v>
      </c>
      <c r="Q38" s="63">
        <v>0.19053200499200351</v>
      </c>
      <c r="R38" s="63">
        <v>0.19261480324557989</v>
      </c>
      <c r="S38" s="63">
        <v>0.19404865369107191</v>
      </c>
      <c r="T38" s="63">
        <v>0.19486438784684679</v>
      </c>
      <c r="U38" s="63">
        <v>0.19569633736768791</v>
      </c>
      <c r="V38" s="63">
        <v>0.1969410048894874</v>
      </c>
      <c r="W38" s="63">
        <v>0.197974151989153</v>
      </c>
      <c r="X38" s="63">
        <v>0.1990567038300915</v>
      </c>
      <c r="Y38" s="63">
        <v>0.19953675330302101</v>
      </c>
      <c r="Z38" s="63">
        <v>0.1997820551726813</v>
      </c>
      <c r="AA38" s="63">
        <v>0.19992010506523569</v>
      </c>
      <c r="AB38" s="63">
        <v>0.19985986590160579</v>
      </c>
      <c r="AC38" s="63">
        <v>0.20001842489919011</v>
      </c>
      <c r="AD38" s="63">
        <v>0.1999596044029362</v>
      </c>
      <c r="AE38" s="63">
        <v>0.19971452065445519</v>
      </c>
      <c r="AF38" s="63">
        <v>0.19964604342609521</v>
      </c>
      <c r="AG38" s="63">
        <v>0.20015585074899009</v>
      </c>
      <c r="AH38" s="63">
        <v>0.2004504500458672</v>
      </c>
      <c r="AI38" s="63">
        <v>0.2009712696017868</v>
      </c>
      <c r="AJ38" s="63">
        <v>0.20163991612493071</v>
      </c>
      <c r="AK38" s="63">
        <v>0.2020216469194627</v>
      </c>
      <c r="AL38" s="63">
        <v>0.20227182293484439</v>
      </c>
      <c r="AM38" s="63">
        <v>0.202229519012321</v>
      </c>
      <c r="AN38" s="63">
        <v>0.202344062647448</v>
      </c>
      <c r="AO38" s="63">
        <v>0.20268016234368269</v>
      </c>
      <c r="AP38" s="63">
        <v>0.2027164229392785</v>
      </c>
      <c r="AQ38" s="63">
        <v>0.20241393164690941</v>
      </c>
      <c r="AR38" s="63">
        <v>0.2018746825401988</v>
      </c>
      <c r="AS38" s="63">
        <v>0.2012346850584619</v>
      </c>
      <c r="AT38" s="63">
        <v>0.20037765950448971</v>
      </c>
      <c r="AU38" s="63">
        <v>0.1994745314539724</v>
      </c>
      <c r="AV38" s="63">
        <v>0.19779179981407061</v>
      </c>
      <c r="AW38" s="63">
        <v>0.19619103412315039</v>
      </c>
      <c r="AX38" s="63">
        <v>0.1945614197254357</v>
      </c>
      <c r="AY38" s="63">
        <v>0.1928325071435289</v>
      </c>
      <c r="AZ38" s="63">
        <v>0.19112704247220039</v>
      </c>
      <c r="BA38" s="63">
        <v>0.18967170147745471</v>
      </c>
      <c r="BB38" s="63">
        <v>0.18844304099938841</v>
      </c>
      <c r="BC38" s="63">
        <v>0.18725783977143531</v>
      </c>
      <c r="BD38" s="63">
        <v>0.1859954108376054</v>
      </c>
      <c r="BE38" s="63">
        <v>0.1849957728955279</v>
      </c>
      <c r="BF38" s="63">
        <v>0.18420564296782371</v>
      </c>
      <c r="BG38" s="63">
        <v>0.18352783138318671</v>
      </c>
      <c r="BH38" s="63">
        <v>0.18302782301056031</v>
      </c>
      <c r="BI38" s="63">
        <v>0.18279930552870149</v>
      </c>
      <c r="BJ38" s="63">
        <v>0.18252897375869631</v>
      </c>
      <c r="BK38" s="63">
        <v>0.18271039948105261</v>
      </c>
      <c r="BL38" s="63">
        <v>0.18295221539500511</v>
      </c>
      <c r="BM38" s="63">
        <v>0.18319620216678309</v>
      </c>
      <c r="BN38" s="63">
        <v>0.18345135997321371</v>
      </c>
      <c r="BO38" s="63">
        <v>0.18372634352753101</v>
      </c>
      <c r="BP38" s="63">
        <v>0.18401808680841791</v>
      </c>
      <c r="BQ38" s="63">
        <v>0.18431592083951701</v>
      </c>
      <c r="BR38" s="63">
        <v>0.18461277701641651</v>
      </c>
      <c r="BS38" s="63">
        <v>0.18490234006826339</v>
      </c>
      <c r="BT38" s="63">
        <v>0.18517978013968861</v>
      </c>
      <c r="BU38" s="63">
        <v>0.18542425292228881</v>
      </c>
      <c r="BV38" s="63">
        <v>0.1856114349372876</v>
      </c>
      <c r="BW38" s="63">
        <v>0.18573359081131391</v>
      </c>
      <c r="BX38" s="63">
        <v>0.1857848696543378</v>
      </c>
      <c r="BY38" s="63">
        <v>0.18576021904790679</v>
      </c>
      <c r="BZ38" s="63">
        <v>0.18565395928225481</v>
      </c>
      <c r="CA38" s="63">
        <v>0.18546372440982001</v>
      </c>
      <c r="CB38" s="63">
        <v>0.1851948924636293</v>
      </c>
      <c r="CC38" s="63">
        <v>0.18485725204802009</v>
      </c>
      <c r="CD38" s="63">
        <v>0.18446047592951631</v>
      </c>
      <c r="CE38" s="63">
        <v>0.18401770827664901</v>
      </c>
      <c r="CF38" s="63">
        <v>0.18354434274235579</v>
      </c>
      <c r="CG38" s="63">
        <v>0.18305349884182759</v>
      </c>
      <c r="CH38" s="63">
        <v>0.18255548649259529</v>
      </c>
      <c r="CI38" s="63">
        <v>0.18205934111157859</v>
      </c>
      <c r="CJ38" s="63">
        <v>0.18158230249081711</v>
      </c>
      <c r="CK38" s="63">
        <v>0.1811430271105802</v>
      </c>
      <c r="CL38" s="63">
        <v>0.1807497474490474</v>
      </c>
      <c r="CM38" s="63">
        <v>0.18040857730298551</v>
      </c>
      <c r="CN38" s="63">
        <v>0.18012128450636899</v>
      </c>
      <c r="CO38" s="63">
        <v>0.17989012945070471</v>
      </c>
      <c r="CP38" s="63">
        <v>0.1797156805342543</v>
      </c>
      <c r="CQ38" s="63">
        <v>0.17959366926389239</v>
      </c>
      <c r="CR38" s="63">
        <v>0.17951727161624351</v>
      </c>
      <c r="CS38" s="63">
        <v>0.17947867223254599</v>
      </c>
      <c r="CT38" s="63">
        <v>0.17947125492132601</v>
      </c>
      <c r="CU38" s="63">
        <v>0.17948889947393079</v>
      </c>
      <c r="CV38" s="63">
        <v>0.17952366178721779</v>
      </c>
      <c r="CW38" s="63">
        <v>0.1795676210541359</v>
      </c>
      <c r="CX38" s="63">
        <v>0.17961324645549959</v>
      </c>
    </row>
    <row r="39" spans="1:102" s="62" customFormat="1" ht="15" customHeight="1">
      <c r="A39" s="39" t="s">
        <v>424</v>
      </c>
      <c r="B39" s="63">
        <v>0.1581764537693956</v>
      </c>
      <c r="C39" s="63">
        <v>0.1577395450406647</v>
      </c>
      <c r="D39" s="63">
        <v>0.15853227658746871</v>
      </c>
      <c r="E39" s="63">
        <v>0.15992944350086319</v>
      </c>
      <c r="F39" s="63">
        <v>0.16157040544321249</v>
      </c>
      <c r="G39" s="63">
        <v>0.16351673994463009</v>
      </c>
      <c r="H39" s="63">
        <v>0.1653326915711458</v>
      </c>
      <c r="I39" s="63">
        <v>0.16704442417699131</v>
      </c>
      <c r="J39" s="63">
        <v>0.16847480553280009</v>
      </c>
      <c r="K39" s="63">
        <v>0.16988029040930289</v>
      </c>
      <c r="L39" s="63">
        <v>0.17052790913903171</v>
      </c>
      <c r="M39" s="63">
        <v>0.17039898972430609</v>
      </c>
      <c r="N39" s="63">
        <v>0.16964337589947609</v>
      </c>
      <c r="O39" s="63">
        <v>0.16857013428781961</v>
      </c>
      <c r="P39" s="63">
        <v>0.1669972886729971</v>
      </c>
      <c r="Q39" s="63">
        <v>0.1649210191137376</v>
      </c>
      <c r="R39" s="63">
        <v>0.16288971072324179</v>
      </c>
      <c r="S39" s="63">
        <v>0.161503451839241</v>
      </c>
      <c r="T39" s="63">
        <v>0.1605465079370299</v>
      </c>
      <c r="U39" s="63">
        <v>0.15972567035248891</v>
      </c>
      <c r="V39" s="63">
        <v>0.15885609907043971</v>
      </c>
      <c r="W39" s="63">
        <v>0.1582178297359553</v>
      </c>
      <c r="X39" s="63">
        <v>0.15766682573673221</v>
      </c>
      <c r="Y39" s="63">
        <v>0.15781840659025051</v>
      </c>
      <c r="Z39" s="63">
        <v>0.15789798090817461</v>
      </c>
      <c r="AA39" s="63">
        <v>0.1585505182948754</v>
      </c>
      <c r="AB39" s="63">
        <v>0.1599513705112218</v>
      </c>
      <c r="AC39" s="63">
        <v>0.16167810075006589</v>
      </c>
      <c r="AD39" s="63">
        <v>0.16370783965380559</v>
      </c>
      <c r="AE39" s="63">
        <v>0.16606970225767831</v>
      </c>
      <c r="AF39" s="63">
        <v>0.16859562997904479</v>
      </c>
      <c r="AG39" s="63">
        <v>0.17076354393801671</v>
      </c>
      <c r="AH39" s="63">
        <v>0.17241122998696601</v>
      </c>
      <c r="AI39" s="63">
        <v>0.1735354297247983</v>
      </c>
      <c r="AJ39" s="63">
        <v>0.17467179479065981</v>
      </c>
      <c r="AK39" s="63">
        <v>0.17617685212567921</v>
      </c>
      <c r="AL39" s="63">
        <v>0.17748798283988629</v>
      </c>
      <c r="AM39" s="63">
        <v>0.17883663262509181</v>
      </c>
      <c r="AN39" s="63">
        <v>0.1796503654696294</v>
      </c>
      <c r="AO39" s="63">
        <v>0.18024152759673739</v>
      </c>
      <c r="AP39" s="63">
        <v>0.18072778755295549</v>
      </c>
      <c r="AQ39" s="63">
        <v>0.18104013842238201</v>
      </c>
      <c r="AR39" s="63">
        <v>0.18152957168461031</v>
      </c>
      <c r="AS39" s="63">
        <v>0.18180456506616949</v>
      </c>
      <c r="AT39" s="63">
        <v>0.18189403662604589</v>
      </c>
      <c r="AU39" s="63">
        <v>0.18212106036584469</v>
      </c>
      <c r="AV39" s="63">
        <v>0.1828496658463673</v>
      </c>
      <c r="AW39" s="63">
        <v>0.18336222257512311</v>
      </c>
      <c r="AX39" s="63">
        <v>0.18405594169175299</v>
      </c>
      <c r="AY39" s="63">
        <v>0.18487345014232209</v>
      </c>
      <c r="AZ39" s="63">
        <v>0.18543374802073209</v>
      </c>
      <c r="BA39" s="63">
        <v>0.18585603548444479</v>
      </c>
      <c r="BB39" s="63">
        <v>0.18600970267455369</v>
      </c>
      <c r="BC39" s="63">
        <v>0.18630230559925229</v>
      </c>
      <c r="BD39" s="63">
        <v>0.18680075789943301</v>
      </c>
      <c r="BE39" s="63">
        <v>0.18702961755137049</v>
      </c>
      <c r="BF39" s="63">
        <v>0.18696468321276449</v>
      </c>
      <c r="BG39" s="63">
        <v>0.1867003096615204</v>
      </c>
      <c r="BH39" s="63">
        <v>0.18635225581448109</v>
      </c>
      <c r="BI39" s="63">
        <v>0.18581120822905101</v>
      </c>
      <c r="BJ39" s="63">
        <v>0.18525095235273151</v>
      </c>
      <c r="BK39" s="63">
        <v>0.18398893147135209</v>
      </c>
      <c r="BL39" s="63">
        <v>0.18281159825879709</v>
      </c>
      <c r="BM39" s="63">
        <v>0.18162234310029321</v>
      </c>
      <c r="BN39" s="63">
        <v>0.1803563868593519</v>
      </c>
      <c r="BO39" s="63">
        <v>0.17911794398741651</v>
      </c>
      <c r="BP39" s="63">
        <v>0.1781047781170024</v>
      </c>
      <c r="BQ39" s="63">
        <v>0.17729290817488541</v>
      </c>
      <c r="BR39" s="63">
        <v>0.1765166241861704</v>
      </c>
      <c r="BS39" s="63">
        <v>0.17566650775425929</v>
      </c>
      <c r="BT39" s="63">
        <v>0.175044583339793</v>
      </c>
      <c r="BU39" s="63">
        <v>0.1746022791490687</v>
      </c>
      <c r="BV39" s="63">
        <v>0.17425241486715651</v>
      </c>
      <c r="BW39" s="63">
        <v>0.1740523097112294</v>
      </c>
      <c r="BX39" s="63">
        <v>0.17408691653529099</v>
      </c>
      <c r="BY39" s="63">
        <v>0.1740728160174326</v>
      </c>
      <c r="BZ39" s="63">
        <v>0.17445747121579919</v>
      </c>
      <c r="CA39" s="63">
        <v>0.17488523459874841</v>
      </c>
      <c r="CB39" s="63">
        <v>0.17530355134213199</v>
      </c>
      <c r="CC39" s="63">
        <v>0.17572139196210321</v>
      </c>
      <c r="CD39" s="63">
        <v>0.1761470218360609</v>
      </c>
      <c r="CE39" s="63">
        <v>0.17657809224760851</v>
      </c>
      <c r="CF39" s="63">
        <v>0.17700453534482369</v>
      </c>
      <c r="CG39" s="63">
        <v>0.17741984120679821</v>
      </c>
      <c r="CH39" s="63">
        <v>0.17781799398579001</v>
      </c>
      <c r="CI39" s="63">
        <v>0.17819465678160001</v>
      </c>
      <c r="CJ39" s="63">
        <v>0.1785298093609814</v>
      </c>
      <c r="CK39" s="63">
        <v>0.17880013883072571</v>
      </c>
      <c r="CL39" s="63">
        <v>0.17899768980438149</v>
      </c>
      <c r="CM39" s="63">
        <v>0.17911719637846271</v>
      </c>
      <c r="CN39" s="63">
        <v>0.17915379153322281</v>
      </c>
      <c r="CO39" s="63">
        <v>0.17910268323250761</v>
      </c>
      <c r="CP39" s="63">
        <v>0.17896183963362719</v>
      </c>
      <c r="CQ39" s="63">
        <v>0.17873677755822151</v>
      </c>
      <c r="CR39" s="63">
        <v>0.17843805608132421</v>
      </c>
      <c r="CS39" s="63">
        <v>0.1780758418666637</v>
      </c>
      <c r="CT39" s="63">
        <v>0.17766413900118541</v>
      </c>
      <c r="CU39" s="63">
        <v>0.17721856130637331</v>
      </c>
      <c r="CV39" s="63">
        <v>0.17675316716806869</v>
      </c>
      <c r="CW39" s="63">
        <v>0.17627995845147729</v>
      </c>
      <c r="CX39" s="63">
        <v>0.17580911985927719</v>
      </c>
    </row>
    <row r="40" spans="1:102" s="62" customFormat="1" ht="15" customHeight="1">
      <c r="A40" s="39" t="s">
        <v>425</v>
      </c>
      <c r="B40" s="63">
        <v>9.0540710312112846E-2</v>
      </c>
      <c r="C40" s="63">
        <v>9.226215222558326E-2</v>
      </c>
      <c r="D40" s="63">
        <v>9.3714620979437696E-2</v>
      </c>
      <c r="E40" s="63">
        <v>9.4914481496595163E-2</v>
      </c>
      <c r="F40" s="63">
        <v>9.5970534394292067E-2</v>
      </c>
      <c r="G40" s="63">
        <v>9.6950049880815375E-2</v>
      </c>
      <c r="H40" s="63">
        <v>9.8158059291596628E-2</v>
      </c>
      <c r="I40" s="63">
        <v>9.9343875135989773E-2</v>
      </c>
      <c r="J40" s="63">
        <v>0.1003754341194381</v>
      </c>
      <c r="K40" s="63">
        <v>0.1015860158665295</v>
      </c>
      <c r="L40" s="63">
        <v>0.1029612414018731</v>
      </c>
      <c r="M40" s="63">
        <v>0.1045509790529925</v>
      </c>
      <c r="N40" s="63">
        <v>0.1062230324328895</v>
      </c>
      <c r="O40" s="63">
        <v>0.1079696273949636</v>
      </c>
      <c r="P40" s="63">
        <v>0.10992935149751359</v>
      </c>
      <c r="Q40" s="63">
        <v>0.1120796477201364</v>
      </c>
      <c r="R40" s="63">
        <v>0.1143085257021814</v>
      </c>
      <c r="S40" s="63">
        <v>0.1166082521914852</v>
      </c>
      <c r="T40" s="63">
        <v>0.1188839215811454</v>
      </c>
      <c r="U40" s="63">
        <v>0.120951940948272</v>
      </c>
      <c r="V40" s="63">
        <v>0.12292010340627881</v>
      </c>
      <c r="W40" s="63">
        <v>0.1247041287269381</v>
      </c>
      <c r="X40" s="63">
        <v>0.1263958635611622</v>
      </c>
      <c r="Y40" s="63">
        <v>0.12775993528594859</v>
      </c>
      <c r="Z40" s="63">
        <v>0.12927284810766809</v>
      </c>
      <c r="AA40" s="63">
        <v>0.13033746922866049</v>
      </c>
      <c r="AB40" s="63">
        <v>0.1309850441137817</v>
      </c>
      <c r="AC40" s="63">
        <v>0.1312345330562836</v>
      </c>
      <c r="AD40" s="63">
        <v>0.1313291093125763</v>
      </c>
      <c r="AE40" s="63">
        <v>0.13123235901146571</v>
      </c>
      <c r="AF40" s="63">
        <v>0.13092326886580169</v>
      </c>
      <c r="AG40" s="63">
        <v>0.1307585598002024</v>
      </c>
      <c r="AH40" s="63">
        <v>0.1312202035330757</v>
      </c>
      <c r="AI40" s="63">
        <v>0.13205253069316511</v>
      </c>
      <c r="AJ40" s="63">
        <v>0.1328613292494687</v>
      </c>
      <c r="AK40" s="63">
        <v>0.133583441452617</v>
      </c>
      <c r="AL40" s="63">
        <v>0.13438253042155021</v>
      </c>
      <c r="AM40" s="63">
        <v>0.13521531335479869</v>
      </c>
      <c r="AN40" s="63">
        <v>0.13640004772774411</v>
      </c>
      <c r="AO40" s="63">
        <v>0.13768900052519439</v>
      </c>
      <c r="AP40" s="63">
        <v>0.13912649203556299</v>
      </c>
      <c r="AQ40" s="63">
        <v>0.14088252311866339</v>
      </c>
      <c r="AR40" s="63">
        <v>0.1426136455032514</v>
      </c>
      <c r="AS40" s="63">
        <v>0.1445057767191115</v>
      </c>
      <c r="AT40" s="63">
        <v>0.14654764721946059</v>
      </c>
      <c r="AU40" s="63">
        <v>0.14857543792390809</v>
      </c>
      <c r="AV40" s="63">
        <v>0.15044069994476919</v>
      </c>
      <c r="AW40" s="63">
        <v>0.15240778971666369</v>
      </c>
      <c r="AX40" s="63">
        <v>0.15424447360149771</v>
      </c>
      <c r="AY40" s="63">
        <v>0.1560598072626132</v>
      </c>
      <c r="AZ40" s="63">
        <v>0.15809489000820021</v>
      </c>
      <c r="BA40" s="63">
        <v>0.15999315870754549</v>
      </c>
      <c r="BB40" s="63">
        <v>0.16190443674977159</v>
      </c>
      <c r="BC40" s="63">
        <v>0.1636015522646182</v>
      </c>
      <c r="BD40" s="63">
        <v>0.16513728215698681</v>
      </c>
      <c r="BE40" s="63">
        <v>0.16664726474656691</v>
      </c>
      <c r="BF40" s="63">
        <v>0.1682154151867751</v>
      </c>
      <c r="BG40" s="63">
        <v>0.1698529075695554</v>
      </c>
      <c r="BH40" s="63">
        <v>0.17138401711821091</v>
      </c>
      <c r="BI40" s="63">
        <v>0.17283024747657411</v>
      </c>
      <c r="BJ40" s="63">
        <v>0.17433853960295059</v>
      </c>
      <c r="BK40" s="63">
        <v>0.17610562898447779</v>
      </c>
      <c r="BL40" s="63">
        <v>0.17774159730220709</v>
      </c>
      <c r="BM40" s="63">
        <v>0.1794029463941699</v>
      </c>
      <c r="BN40" s="63">
        <v>0.1811456981410858</v>
      </c>
      <c r="BO40" s="63">
        <v>0.18285697973012971</v>
      </c>
      <c r="BP40" s="63">
        <v>0.18433614620863589</v>
      </c>
      <c r="BQ40" s="63">
        <v>0.1856090320518331</v>
      </c>
      <c r="BR40" s="63">
        <v>0.18684270382329871</v>
      </c>
      <c r="BS40" s="63">
        <v>0.1881488940349513</v>
      </c>
      <c r="BT40" s="63">
        <v>0.18922707084263021</v>
      </c>
      <c r="BU40" s="63">
        <v>0.19013157332693881</v>
      </c>
      <c r="BV40" s="63">
        <v>0.19095626480907399</v>
      </c>
      <c r="BW40" s="63">
        <v>0.19164652245647781</v>
      </c>
      <c r="BX40" s="63">
        <v>0.19211962733597349</v>
      </c>
      <c r="BY40" s="63">
        <v>0.19266306276880499</v>
      </c>
      <c r="BZ40" s="63">
        <v>0.1928331251025292</v>
      </c>
      <c r="CA40" s="63">
        <v>0.19298654244306421</v>
      </c>
      <c r="CB40" s="63">
        <v>0.19317388790846379</v>
      </c>
      <c r="CC40" s="63">
        <v>0.193383870611575</v>
      </c>
      <c r="CD40" s="63">
        <v>0.19360595573967021</v>
      </c>
      <c r="CE40" s="63">
        <v>0.19383537478080151</v>
      </c>
      <c r="CF40" s="63">
        <v>0.194073227542642</v>
      </c>
      <c r="CG40" s="63">
        <v>0.19432145282908289</v>
      </c>
      <c r="CH40" s="63">
        <v>0.1945843979402313</v>
      </c>
      <c r="CI40" s="63">
        <v>0.19486613699252781</v>
      </c>
      <c r="CJ40" s="63">
        <v>0.19517562618837109</v>
      </c>
      <c r="CK40" s="63">
        <v>0.19552323122801371</v>
      </c>
      <c r="CL40" s="63">
        <v>0.19591646596828921</v>
      </c>
      <c r="CM40" s="63">
        <v>0.19636136204096841</v>
      </c>
      <c r="CN40" s="63">
        <v>0.1968653497919497</v>
      </c>
      <c r="CO40" s="63">
        <v>0.19743440908321111</v>
      </c>
      <c r="CP40" s="63">
        <v>0.19807157076014439</v>
      </c>
      <c r="CQ40" s="63">
        <v>0.19877629523723811</v>
      </c>
      <c r="CR40" s="63">
        <v>0.19954505331721009</v>
      </c>
      <c r="CS40" s="63">
        <v>0.20037367000411199</v>
      </c>
      <c r="CT40" s="63">
        <v>0.20125214994380181</v>
      </c>
      <c r="CU40" s="63">
        <v>0.20216716160629911</v>
      </c>
      <c r="CV40" s="63">
        <v>0.2031080374948078</v>
      </c>
      <c r="CW40" s="63">
        <v>0.20406560960089801</v>
      </c>
      <c r="CX40" s="63">
        <v>0.20503132159677431</v>
      </c>
    </row>
    <row r="41" spans="1:102" s="62" customFormat="1" ht="15" customHeight="1">
      <c r="A41" s="39" t="s">
        <v>426</v>
      </c>
      <c r="B41" s="63">
        <v>1</v>
      </c>
      <c r="C41" s="63">
        <v>1</v>
      </c>
      <c r="D41" s="63">
        <v>1</v>
      </c>
      <c r="E41" s="63">
        <v>1</v>
      </c>
      <c r="F41" s="63">
        <v>1</v>
      </c>
      <c r="G41" s="63">
        <v>1</v>
      </c>
      <c r="H41" s="63">
        <v>1</v>
      </c>
      <c r="I41" s="63">
        <v>1</v>
      </c>
      <c r="J41" s="63">
        <v>1</v>
      </c>
      <c r="K41" s="63">
        <v>1</v>
      </c>
      <c r="L41" s="63">
        <v>1</v>
      </c>
      <c r="M41" s="63">
        <v>1</v>
      </c>
      <c r="N41" s="63">
        <v>1</v>
      </c>
      <c r="O41" s="63">
        <v>1</v>
      </c>
      <c r="P41" s="63">
        <v>1</v>
      </c>
      <c r="Q41" s="63">
        <v>1</v>
      </c>
      <c r="R41" s="63">
        <v>1</v>
      </c>
      <c r="S41" s="63">
        <v>1</v>
      </c>
      <c r="T41" s="63">
        <v>1</v>
      </c>
      <c r="U41" s="63">
        <v>1</v>
      </c>
      <c r="V41" s="63">
        <v>1</v>
      </c>
      <c r="W41" s="63">
        <v>1</v>
      </c>
      <c r="X41" s="63">
        <v>1</v>
      </c>
      <c r="Y41" s="63">
        <v>1</v>
      </c>
      <c r="Z41" s="63">
        <v>1</v>
      </c>
      <c r="AA41" s="63">
        <v>1</v>
      </c>
      <c r="AB41" s="63">
        <v>1</v>
      </c>
      <c r="AC41" s="63">
        <v>1</v>
      </c>
      <c r="AD41" s="63">
        <v>1</v>
      </c>
      <c r="AE41" s="63">
        <v>1</v>
      </c>
      <c r="AF41" s="63">
        <v>1</v>
      </c>
      <c r="AG41" s="63">
        <v>1</v>
      </c>
      <c r="AH41" s="63">
        <v>1</v>
      </c>
      <c r="AI41" s="63">
        <v>1</v>
      </c>
      <c r="AJ41" s="63">
        <v>1</v>
      </c>
      <c r="AK41" s="63">
        <v>1</v>
      </c>
      <c r="AL41" s="63">
        <v>1</v>
      </c>
      <c r="AM41" s="63">
        <v>1</v>
      </c>
      <c r="AN41" s="63">
        <v>1</v>
      </c>
      <c r="AO41" s="63">
        <v>1</v>
      </c>
      <c r="AP41" s="63">
        <v>1</v>
      </c>
      <c r="AQ41" s="63">
        <v>1</v>
      </c>
      <c r="AR41" s="63">
        <v>1</v>
      </c>
      <c r="AS41" s="63">
        <v>1</v>
      </c>
      <c r="AT41" s="63">
        <v>1</v>
      </c>
      <c r="AU41" s="63">
        <v>1</v>
      </c>
      <c r="AV41" s="63">
        <v>1</v>
      </c>
      <c r="AW41" s="63">
        <v>1</v>
      </c>
      <c r="AX41" s="63">
        <v>1</v>
      </c>
      <c r="AY41" s="63">
        <v>1</v>
      </c>
      <c r="AZ41" s="63">
        <v>1</v>
      </c>
      <c r="BA41" s="63">
        <v>1</v>
      </c>
      <c r="BB41" s="63">
        <v>1</v>
      </c>
      <c r="BC41" s="63">
        <v>1</v>
      </c>
      <c r="BD41" s="63">
        <v>1</v>
      </c>
      <c r="BE41" s="63">
        <v>1</v>
      </c>
      <c r="BF41" s="63">
        <v>1</v>
      </c>
      <c r="BG41" s="63">
        <v>1</v>
      </c>
      <c r="BH41" s="63">
        <v>1</v>
      </c>
      <c r="BI41" s="63">
        <v>1</v>
      </c>
      <c r="BJ41" s="63">
        <v>1</v>
      </c>
      <c r="BK41" s="63">
        <v>1</v>
      </c>
      <c r="BL41" s="63">
        <v>1</v>
      </c>
      <c r="BM41" s="63">
        <v>1</v>
      </c>
      <c r="BN41" s="63">
        <v>1</v>
      </c>
      <c r="BO41" s="63">
        <v>1</v>
      </c>
      <c r="BP41" s="63">
        <v>1</v>
      </c>
      <c r="BQ41" s="63">
        <v>1</v>
      </c>
      <c r="BR41" s="63">
        <v>1</v>
      </c>
      <c r="BS41" s="63">
        <v>1</v>
      </c>
      <c r="BT41" s="63">
        <v>1</v>
      </c>
      <c r="BU41" s="63">
        <v>1</v>
      </c>
      <c r="BV41" s="63">
        <v>1</v>
      </c>
      <c r="BW41" s="63">
        <v>1</v>
      </c>
      <c r="BX41" s="63">
        <v>1</v>
      </c>
      <c r="BY41" s="63">
        <v>1</v>
      </c>
      <c r="BZ41" s="63">
        <v>1</v>
      </c>
      <c r="CA41" s="63">
        <v>1</v>
      </c>
      <c r="CB41" s="63">
        <v>1</v>
      </c>
      <c r="CC41" s="63">
        <v>1</v>
      </c>
      <c r="CD41" s="63">
        <v>1</v>
      </c>
      <c r="CE41" s="63">
        <v>1</v>
      </c>
      <c r="CF41" s="63">
        <v>1</v>
      </c>
      <c r="CG41" s="63">
        <v>1</v>
      </c>
      <c r="CH41" s="63">
        <v>1</v>
      </c>
      <c r="CI41" s="63">
        <v>1</v>
      </c>
      <c r="CJ41" s="63">
        <v>1</v>
      </c>
      <c r="CK41" s="63">
        <v>1</v>
      </c>
      <c r="CL41" s="63">
        <v>1</v>
      </c>
      <c r="CM41" s="63">
        <v>1</v>
      </c>
      <c r="CN41" s="63">
        <v>1</v>
      </c>
      <c r="CO41" s="63">
        <v>1</v>
      </c>
      <c r="CP41" s="63">
        <v>1</v>
      </c>
      <c r="CQ41" s="63">
        <v>1</v>
      </c>
      <c r="CR41" s="63">
        <v>1</v>
      </c>
      <c r="CS41" s="63">
        <v>1</v>
      </c>
      <c r="CT41" s="63">
        <v>1</v>
      </c>
      <c r="CU41" s="63">
        <v>1</v>
      </c>
      <c r="CV41" s="63">
        <v>1</v>
      </c>
      <c r="CW41" s="63">
        <v>1</v>
      </c>
      <c r="CX41" s="63">
        <v>1</v>
      </c>
    </row>
    <row r="42" spans="1:102" s="62" customFormat="1" ht="15" customHeight="1">
      <c r="A42" s="39" t="s">
        <v>427</v>
      </c>
      <c r="B42" s="64">
        <v>41.366685652084527</v>
      </c>
      <c r="C42" s="64">
        <v>41.399113837216767</v>
      </c>
      <c r="D42" s="64">
        <v>41.484200714321723</v>
      </c>
      <c r="E42" s="64">
        <v>41.590849715289458</v>
      </c>
      <c r="F42" s="64">
        <v>41.717916587965803</v>
      </c>
      <c r="G42" s="64">
        <v>41.864529235895738</v>
      </c>
      <c r="H42" s="64">
        <v>42.029179875194259</v>
      </c>
      <c r="I42" s="64">
        <v>42.191490519983731</v>
      </c>
      <c r="J42" s="64">
        <v>42.350999362993782</v>
      </c>
      <c r="K42" s="64">
        <v>42.507335698705177</v>
      </c>
      <c r="L42" s="64">
        <v>42.660213362792682</v>
      </c>
      <c r="M42" s="64">
        <v>42.80920694091246</v>
      </c>
      <c r="N42" s="64">
        <v>42.953866992676232</v>
      </c>
      <c r="O42" s="64">
        <v>43.094056304286497</v>
      </c>
      <c r="P42" s="64">
        <v>43.229708048077477</v>
      </c>
      <c r="Q42" s="64">
        <v>43.360728279676863</v>
      </c>
      <c r="R42" s="64">
        <v>43.487057145666107</v>
      </c>
      <c r="S42" s="64">
        <v>43.608824540030447</v>
      </c>
      <c r="T42" s="64">
        <v>43.726419325913142</v>
      </c>
      <c r="U42" s="64">
        <v>43.840326745371677</v>
      </c>
      <c r="V42" s="64">
        <v>43.95101044375911</v>
      </c>
      <c r="W42" s="64">
        <v>44.059202461179062</v>
      </c>
      <c r="X42" s="64">
        <v>44.165691886148878</v>
      </c>
      <c r="Y42" s="64">
        <v>44.270965747226498</v>
      </c>
      <c r="Z42" s="64">
        <v>44.375353156314908</v>
      </c>
      <c r="AA42" s="64">
        <v>44.478976998658467</v>
      </c>
      <c r="AB42" s="64">
        <v>44.582414701068529</v>
      </c>
      <c r="AC42" s="64">
        <v>44.686245026975413</v>
      </c>
      <c r="AD42" s="64">
        <v>44.790440521718992</v>
      </c>
      <c r="AE42" s="64">
        <v>44.894912896564321</v>
      </c>
      <c r="AF42" s="64">
        <v>44.999515447282349</v>
      </c>
      <c r="AG42" s="64">
        <v>45.104229573296848</v>
      </c>
      <c r="AH42" s="64">
        <v>45.209109778693069</v>
      </c>
      <c r="AI42" s="64">
        <v>45.314067810502223</v>
      </c>
      <c r="AJ42" s="64">
        <v>45.419002011507963</v>
      </c>
      <c r="AK42" s="64">
        <v>45.523858300673041</v>
      </c>
      <c r="AL42" s="64">
        <v>45.628733857163652</v>
      </c>
      <c r="AM42" s="64">
        <v>45.733785674493028</v>
      </c>
      <c r="AN42" s="64">
        <v>45.839096040943531</v>
      </c>
      <c r="AO42" s="64">
        <v>45.944747889527953</v>
      </c>
      <c r="AP42" s="64">
        <v>46.050780861877243</v>
      </c>
      <c r="AQ42" s="64">
        <v>46.157284522551393</v>
      </c>
      <c r="AR42" s="64">
        <v>46.26433578244761</v>
      </c>
      <c r="AS42" s="64">
        <v>46.371798683695673</v>
      </c>
      <c r="AT42" s="64">
        <v>46.479506233280453</v>
      </c>
      <c r="AU42" s="64">
        <v>46.58723391310042</v>
      </c>
      <c r="AV42" s="64">
        <v>46.694705751699829</v>
      </c>
      <c r="AW42" s="64">
        <v>46.801616426228648</v>
      </c>
      <c r="AX42" s="64">
        <v>46.90754853735497</v>
      </c>
      <c r="AY42" s="64">
        <v>47.0119651857866</v>
      </c>
      <c r="AZ42" s="64">
        <v>47.114368000966223</v>
      </c>
      <c r="BA42" s="64">
        <v>47.214253749810723</v>
      </c>
      <c r="BB42" s="64">
        <v>47.31118432145329</v>
      </c>
      <c r="BC42" s="64">
        <v>47.404785982332527</v>
      </c>
      <c r="BD42" s="64">
        <v>47.494769298128503</v>
      </c>
      <c r="BE42" s="64">
        <v>47.580966790569001</v>
      </c>
      <c r="BF42" s="64">
        <v>47.663333011126838</v>
      </c>
      <c r="BG42" s="64">
        <v>47.741920594904713</v>
      </c>
      <c r="BH42" s="64">
        <v>47.816852341622521</v>
      </c>
      <c r="BI42" s="64">
        <v>47.888331652238222</v>
      </c>
      <c r="BJ42" s="64">
        <v>47.956584142274153</v>
      </c>
      <c r="BK42" s="64">
        <v>48.021841708125727</v>
      </c>
      <c r="BL42" s="64">
        <v>48.084374382801762</v>
      </c>
      <c r="BM42" s="64">
        <v>48.144441720321552</v>
      </c>
      <c r="BN42" s="64">
        <v>48.202276411925432</v>
      </c>
      <c r="BO42" s="64">
        <v>48.258103804228817</v>
      </c>
      <c r="BP42" s="64">
        <v>48.312121431760737</v>
      </c>
      <c r="BQ42" s="64">
        <v>48.364490908261097</v>
      </c>
      <c r="BR42" s="64">
        <v>48.415325552776913</v>
      </c>
      <c r="BS42" s="64">
        <v>48.464716817648181</v>
      </c>
      <c r="BT42" s="64">
        <v>48.512715662082499</v>
      </c>
      <c r="BU42" s="64">
        <v>48.559327072061038</v>
      </c>
      <c r="BV42" s="64">
        <v>48.604527648841938</v>
      </c>
      <c r="BW42" s="64">
        <v>48.648260855091898</v>
      </c>
      <c r="BX42" s="64">
        <v>48.690476269386579</v>
      </c>
      <c r="BY42" s="64">
        <v>48.731116095726932</v>
      </c>
      <c r="BZ42" s="64">
        <v>48.770104654163177</v>
      </c>
      <c r="CA42" s="64">
        <v>48.807386518773008</v>
      </c>
      <c r="CB42" s="64">
        <v>48.842896293600162</v>
      </c>
      <c r="CC42" s="64">
        <v>48.876629825749831</v>
      </c>
      <c r="CD42" s="64">
        <v>48.908590852486633</v>
      </c>
      <c r="CE42" s="64">
        <v>48.938834689072763</v>
      </c>
      <c r="CF42" s="64">
        <v>48.967475889687748</v>
      </c>
      <c r="CG42" s="64">
        <v>48.994698874505367</v>
      </c>
      <c r="CH42" s="64">
        <v>49.020763581108312</v>
      </c>
      <c r="CI42" s="64">
        <v>49.045973360687213</v>
      </c>
      <c r="CJ42" s="64">
        <v>49.070665954910908</v>
      </c>
      <c r="CK42" s="64">
        <v>49.095228529829619</v>
      </c>
      <c r="CL42" s="64">
        <v>49.120070047415247</v>
      </c>
      <c r="CM42" s="64">
        <v>49.145572145975237</v>
      </c>
      <c r="CN42" s="64">
        <v>49.172090748875434</v>
      </c>
      <c r="CO42" s="64">
        <v>49.199922707197601</v>
      </c>
      <c r="CP42" s="64">
        <v>49.229326266684332</v>
      </c>
      <c r="CQ42" s="64">
        <v>49.260486925485523</v>
      </c>
      <c r="CR42" s="64">
        <v>49.293507606393042</v>
      </c>
      <c r="CS42" s="64">
        <v>49.328400994416057</v>
      </c>
      <c r="CT42" s="64">
        <v>49.365128588797653</v>
      </c>
      <c r="CU42" s="64">
        <v>49.403560958955737</v>
      </c>
      <c r="CV42" s="64">
        <v>49.443508197926128</v>
      </c>
      <c r="CW42" s="64">
        <v>49.48474636776767</v>
      </c>
      <c r="CX42" s="64">
        <v>49.526971513520778</v>
      </c>
    </row>
    <row r="43" spans="1:102" s="62" customFormat="1" ht="15" customHeight="1">
      <c r="A43" s="39" t="s">
        <v>428</v>
      </c>
      <c r="B43" s="64">
        <v>40.743447528722427</v>
      </c>
      <c r="C43" s="64">
        <v>40.618500867275152</v>
      </c>
      <c r="D43" s="64">
        <v>40.587109761148703</v>
      </c>
      <c r="E43" s="64">
        <v>40.610818941504178</v>
      </c>
      <c r="F43" s="64">
        <v>40.6945518545485</v>
      </c>
      <c r="G43" s="64">
        <v>40.822041634347201</v>
      </c>
      <c r="H43" s="64">
        <v>40.992853178393027</v>
      </c>
      <c r="I43" s="64">
        <v>41.184258201037068</v>
      </c>
      <c r="J43" s="64">
        <v>41.369873291597393</v>
      </c>
      <c r="K43" s="64">
        <v>41.557371946107871</v>
      </c>
      <c r="L43" s="64">
        <v>41.74960324586138</v>
      </c>
      <c r="M43" s="64">
        <v>41.945143146206618</v>
      </c>
      <c r="N43" s="64">
        <v>42.135120762220929</v>
      </c>
      <c r="O43" s="64">
        <v>42.310488801173157</v>
      </c>
      <c r="P43" s="64">
        <v>42.484688434046816</v>
      </c>
      <c r="Q43" s="64">
        <v>42.653949068138992</v>
      </c>
      <c r="R43" s="64">
        <v>42.813654925232818</v>
      </c>
      <c r="S43" s="64">
        <v>42.970001232629713</v>
      </c>
      <c r="T43" s="64">
        <v>43.141152216240982</v>
      </c>
      <c r="U43" s="64">
        <v>43.302883626316792</v>
      </c>
      <c r="V43" s="64">
        <v>43.463426726996992</v>
      </c>
      <c r="W43" s="64">
        <v>43.617723274113303</v>
      </c>
      <c r="X43" s="64">
        <v>43.761030297297538</v>
      </c>
      <c r="Y43" s="64">
        <v>43.897004605386449</v>
      </c>
      <c r="Z43" s="64">
        <v>44.034000795521791</v>
      </c>
      <c r="AA43" s="64">
        <v>44.178969162463673</v>
      </c>
      <c r="AB43" s="64">
        <v>44.331310439589039</v>
      </c>
      <c r="AC43" s="64">
        <v>44.483246394920037</v>
      </c>
      <c r="AD43" s="64">
        <v>44.632612425647181</v>
      </c>
      <c r="AE43" s="64">
        <v>44.782763859751448</v>
      </c>
      <c r="AF43" s="64">
        <v>44.940713102678373</v>
      </c>
      <c r="AG43" s="64">
        <v>45.119345583521053</v>
      </c>
      <c r="AH43" s="64">
        <v>45.29285781356154</v>
      </c>
      <c r="AI43" s="64">
        <v>45.468539511859603</v>
      </c>
      <c r="AJ43" s="64">
        <v>45.64943387759017</v>
      </c>
      <c r="AK43" s="64">
        <v>45.835020743436822</v>
      </c>
      <c r="AL43" s="64">
        <v>46.020704788880558</v>
      </c>
      <c r="AM43" s="64">
        <v>46.192646310105189</v>
      </c>
      <c r="AN43" s="64">
        <v>46.354200589546608</v>
      </c>
      <c r="AO43" s="64">
        <v>46.511979488290969</v>
      </c>
      <c r="AP43" s="64">
        <v>46.671806293927879</v>
      </c>
      <c r="AQ43" s="64">
        <v>46.83258282481782</v>
      </c>
      <c r="AR43" s="64">
        <v>46.980553974487137</v>
      </c>
      <c r="AS43" s="64">
        <v>47.116441605141347</v>
      </c>
      <c r="AT43" s="64">
        <v>47.247390973972259</v>
      </c>
      <c r="AU43" s="64">
        <v>47.369943034072577</v>
      </c>
      <c r="AV43" s="64">
        <v>47.479004818176513</v>
      </c>
      <c r="AW43" s="64">
        <v>47.582742828364701</v>
      </c>
      <c r="AX43" s="64">
        <v>47.677547266930738</v>
      </c>
      <c r="AY43" s="64">
        <v>47.749994653969253</v>
      </c>
      <c r="AZ43" s="64">
        <v>47.819855145539258</v>
      </c>
      <c r="BA43" s="64">
        <v>47.889861226075823</v>
      </c>
      <c r="BB43" s="64">
        <v>47.958856663652391</v>
      </c>
      <c r="BC43" s="64">
        <v>48.025814402165679</v>
      </c>
      <c r="BD43" s="64">
        <v>48.090116604689413</v>
      </c>
      <c r="BE43" s="64">
        <v>48.151637166580123</v>
      </c>
      <c r="BF43" s="64">
        <v>48.210399426138501</v>
      </c>
      <c r="BG43" s="64">
        <v>48.266561499904867</v>
      </c>
      <c r="BH43" s="64">
        <v>48.320337310469078</v>
      </c>
      <c r="BI43" s="64">
        <v>48.372259220333468</v>
      </c>
      <c r="BJ43" s="64">
        <v>48.423010099469948</v>
      </c>
      <c r="BK43" s="64">
        <v>48.473149453507048</v>
      </c>
      <c r="BL43" s="64">
        <v>48.523164987269617</v>
      </c>
      <c r="BM43" s="64">
        <v>48.573557120042111</v>
      </c>
      <c r="BN43" s="64">
        <v>48.624859063205307</v>
      </c>
      <c r="BO43" s="64">
        <v>48.677508864263729</v>
      </c>
      <c r="BP43" s="64">
        <v>48.731731027880627</v>
      </c>
      <c r="BQ43" s="64">
        <v>48.787540722557779</v>
      </c>
      <c r="BR43" s="64">
        <v>48.844860380791303</v>
      </c>
      <c r="BS43" s="64">
        <v>48.903557710929718</v>
      </c>
      <c r="BT43" s="64">
        <v>48.963124075829853</v>
      </c>
      <c r="BU43" s="64">
        <v>49.022871714474867</v>
      </c>
      <c r="BV43" s="64">
        <v>49.082279040528057</v>
      </c>
      <c r="BW43" s="64">
        <v>49.140976950446948</v>
      </c>
      <c r="BX43" s="64">
        <v>49.198681875169008</v>
      </c>
      <c r="BY43" s="64">
        <v>49.254443917918422</v>
      </c>
      <c r="BZ43" s="64">
        <v>49.307066350888917</v>
      </c>
      <c r="CA43" s="64">
        <v>49.355975268320073</v>
      </c>
      <c r="CB43" s="64">
        <v>49.400836797995112</v>
      </c>
      <c r="CC43" s="64">
        <v>49.44152924362907</v>
      </c>
      <c r="CD43" s="64">
        <v>49.477957422278287</v>
      </c>
      <c r="CE43" s="64">
        <v>49.510055975794252</v>
      </c>
      <c r="CF43" s="64">
        <v>49.538006387304783</v>
      </c>
      <c r="CG43" s="64">
        <v>49.562351218748951</v>
      </c>
      <c r="CH43" s="64">
        <v>49.583830453179708</v>
      </c>
      <c r="CI43" s="64">
        <v>49.603175948658659</v>
      </c>
      <c r="CJ43" s="64">
        <v>49.621055297464338</v>
      </c>
      <c r="CK43" s="64">
        <v>49.638207687341811</v>
      </c>
      <c r="CL43" s="64">
        <v>49.655446998709763</v>
      </c>
      <c r="CM43" s="64">
        <v>49.673522522180512</v>
      </c>
      <c r="CN43" s="64">
        <v>49.693061859468052</v>
      </c>
      <c r="CO43" s="64">
        <v>49.714491379504963</v>
      </c>
      <c r="CP43" s="64">
        <v>49.738174850967631</v>
      </c>
      <c r="CQ43" s="64">
        <v>49.764534418930722</v>
      </c>
      <c r="CR43" s="64">
        <v>49.793836016220197</v>
      </c>
      <c r="CS43" s="64">
        <v>49.826151025890468</v>
      </c>
      <c r="CT43" s="64">
        <v>49.861454001780217</v>
      </c>
      <c r="CU43" s="64">
        <v>49.899574778711369</v>
      </c>
      <c r="CV43" s="64">
        <v>49.940276974575987</v>
      </c>
      <c r="CW43" s="64">
        <v>49.98333808888119</v>
      </c>
      <c r="CX43" s="64">
        <v>50.028378456840237</v>
      </c>
    </row>
    <row r="44" spans="1:102" s="62" customFormat="1" ht="15" customHeight="1">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c r="AA44" s="39"/>
      <c r="AB44" s="39"/>
      <c r="AC44" s="39"/>
      <c r="AD44" s="39"/>
      <c r="AE44" s="39"/>
      <c r="AF44" s="39"/>
      <c r="AG44" s="39"/>
      <c r="AH44" s="39"/>
      <c r="AI44" s="39"/>
      <c r="AJ44" s="39"/>
      <c r="AK44" s="39"/>
      <c r="AL44" s="39"/>
      <c r="AM44" s="39"/>
      <c r="AN44" s="39"/>
      <c r="AO44" s="39"/>
      <c r="AP44" s="39"/>
      <c r="AQ44" s="39"/>
      <c r="AR44" s="39"/>
      <c r="AS44" s="39"/>
      <c r="AT44" s="39"/>
      <c r="AU44" s="39"/>
      <c r="AV44" s="39"/>
      <c r="AW44" s="39"/>
      <c r="AX44" s="39"/>
      <c r="AY44" s="39"/>
      <c r="AZ44" s="39"/>
      <c r="BA44" s="39"/>
      <c r="BB44" s="39"/>
      <c r="BC44" s="39"/>
      <c r="BD44" s="39"/>
      <c r="BE44" s="39"/>
      <c r="BF44" s="39"/>
      <c r="BG44" s="39"/>
      <c r="BH44" s="39"/>
      <c r="BI44" s="39"/>
      <c r="BJ44" s="39"/>
      <c r="BK44" s="39"/>
      <c r="BL44" s="39"/>
      <c r="BM44" s="39"/>
      <c r="BN44" s="39"/>
      <c r="BO44" s="39"/>
      <c r="BP44" s="39"/>
      <c r="BQ44" s="39"/>
      <c r="BR44" s="39"/>
      <c r="BS44" s="39"/>
      <c r="BT44" s="39"/>
      <c r="BU44" s="39"/>
      <c r="BV44" s="39"/>
      <c r="BW44" s="39"/>
      <c r="BX44" s="39"/>
      <c r="BY44" s="39"/>
      <c r="BZ44" s="39"/>
      <c r="CA44" s="39"/>
      <c r="CB44" s="39"/>
      <c r="CC44" s="39"/>
      <c r="CD44" s="39"/>
      <c r="CE44" s="39"/>
      <c r="CF44" s="39"/>
      <c r="CG44" s="39"/>
      <c r="CH44" s="39"/>
      <c r="CI44" s="39"/>
      <c r="CJ44" s="39"/>
      <c r="CK44" s="39"/>
      <c r="CL44" s="39"/>
      <c r="CM44" s="39"/>
      <c r="CN44" s="39"/>
      <c r="CO44" s="39"/>
      <c r="CP44" s="39"/>
      <c r="CQ44" s="39"/>
      <c r="CR44" s="39"/>
      <c r="CS44" s="39"/>
      <c r="CT44" s="39"/>
      <c r="CU44" s="39"/>
      <c r="CV44" s="39"/>
      <c r="CW44" s="39"/>
      <c r="CX44" s="39"/>
    </row>
    <row r="45" spans="1:102" s="39" customFormat="1" ht="28.7" customHeight="1">
      <c r="A45" s="42" t="s">
        <v>429</v>
      </c>
      <c r="B45" s="55"/>
      <c r="C45" s="55"/>
      <c r="D45" s="55"/>
      <c r="E45" s="55"/>
      <c r="F45" s="55"/>
      <c r="G45" s="55"/>
      <c r="H45" s="55"/>
      <c r="I45" s="55"/>
      <c r="J45" s="55"/>
      <c r="K45" s="55"/>
      <c r="L45" s="55"/>
      <c r="M45" s="55"/>
      <c r="N45" s="55"/>
      <c r="O45" s="55"/>
      <c r="P45" s="55"/>
      <c r="Q45" s="55"/>
      <c r="R45" s="55"/>
      <c r="S45" s="55"/>
      <c r="T45" s="55"/>
      <c r="U45" s="55"/>
      <c r="V45" s="55"/>
      <c r="W45" s="55"/>
      <c r="X45" s="55"/>
      <c r="Y45" s="55"/>
      <c r="Z45" s="55"/>
      <c r="AA45" s="55"/>
      <c r="AB45" s="55"/>
      <c r="AC45" s="55"/>
      <c r="AD45" s="55"/>
      <c r="AE45" s="55"/>
      <c r="AF45" s="55"/>
      <c r="AG45" s="55"/>
      <c r="AH45" s="55"/>
      <c r="AI45" s="55"/>
      <c r="AJ45" s="55"/>
      <c r="AK45" s="55"/>
      <c r="AL45" s="55"/>
      <c r="AM45" s="55"/>
      <c r="AN45" s="55"/>
      <c r="AO45" s="55"/>
      <c r="AP45" s="55"/>
      <c r="AQ45" s="55"/>
      <c r="AR45" s="55"/>
      <c r="AS45" s="55"/>
      <c r="AT45" s="55"/>
      <c r="AU45" s="55"/>
      <c r="AV45" s="55"/>
      <c r="AW45" s="55"/>
      <c r="AX45" s="55"/>
      <c r="AY45" s="55"/>
      <c r="AZ45" s="55"/>
      <c r="BA45" s="55"/>
      <c r="BB45" s="55"/>
      <c r="BC45" s="55"/>
      <c r="BD45" s="55"/>
      <c r="BE45" s="55"/>
      <c r="BF45" s="55"/>
      <c r="BG45" s="55"/>
      <c r="BH45" s="55"/>
      <c r="BI45" s="55"/>
      <c r="BJ45" s="55"/>
      <c r="BK45" s="55"/>
      <c r="BL45" s="55"/>
      <c r="BM45" s="55"/>
      <c r="BN45" s="55"/>
      <c r="BO45" s="55"/>
      <c r="BP45" s="55"/>
      <c r="BQ45" s="55"/>
      <c r="BR45" s="55"/>
      <c r="BS45" s="55"/>
      <c r="BT45" s="55"/>
      <c r="BU45" s="55"/>
      <c r="BV45" s="55"/>
      <c r="BW45" s="55"/>
      <c r="BX45" s="55"/>
      <c r="BY45" s="55"/>
      <c r="BZ45" s="55"/>
      <c r="CA45" s="55"/>
      <c r="CB45" s="55"/>
      <c r="CC45" s="55"/>
      <c r="CD45" s="55"/>
      <c r="CE45" s="55"/>
      <c r="CF45" s="55"/>
      <c r="CG45" s="55"/>
      <c r="CH45" s="55"/>
      <c r="CI45" s="55"/>
      <c r="CJ45" s="55"/>
      <c r="CK45" s="55"/>
      <c r="CL45" s="55"/>
      <c r="CM45" s="55"/>
      <c r="CN45" s="55"/>
      <c r="CO45" s="55"/>
      <c r="CP45" s="55"/>
      <c r="CQ45" s="55"/>
      <c r="CR45" s="55"/>
      <c r="CS45" s="55"/>
      <c r="CT45" s="55"/>
      <c r="CU45" s="55"/>
      <c r="CV45" s="55"/>
      <c r="CW45" s="55"/>
    </row>
    <row r="46" spans="1:102" s="65" customFormat="1" ht="15.6" customHeight="1">
      <c r="A46" s="58" t="s">
        <v>430</v>
      </c>
      <c r="B46" s="59" t="s">
        <v>176</v>
      </c>
      <c r="C46" s="59" t="s">
        <v>177</v>
      </c>
      <c r="D46" s="59" t="s">
        <v>178</v>
      </c>
      <c r="E46" s="59" t="s">
        <v>179</v>
      </c>
      <c r="F46" s="59" t="s">
        <v>180</v>
      </c>
      <c r="G46" s="59" t="s">
        <v>181</v>
      </c>
      <c r="H46" s="59" t="s">
        <v>182</v>
      </c>
      <c r="I46" s="59" t="s">
        <v>183</v>
      </c>
      <c r="J46" s="59" t="s">
        <v>184</v>
      </c>
      <c r="K46" s="59" t="s">
        <v>185</v>
      </c>
      <c r="L46" s="59" t="s">
        <v>186</v>
      </c>
      <c r="M46" s="59" t="s">
        <v>187</v>
      </c>
      <c r="N46" s="59" t="s">
        <v>188</v>
      </c>
      <c r="O46" s="59" t="s">
        <v>189</v>
      </c>
      <c r="P46" s="59" t="s">
        <v>190</v>
      </c>
      <c r="Q46" s="59" t="s">
        <v>191</v>
      </c>
      <c r="R46" s="59" t="s">
        <v>192</v>
      </c>
      <c r="S46" s="59" t="s">
        <v>193</v>
      </c>
      <c r="T46" s="59" t="s">
        <v>194</v>
      </c>
      <c r="U46" s="59" t="s">
        <v>195</v>
      </c>
      <c r="V46" s="59" t="s">
        <v>196</v>
      </c>
      <c r="W46" s="59" t="s">
        <v>197</v>
      </c>
      <c r="X46" s="59" t="s">
        <v>198</v>
      </c>
      <c r="Y46" s="59" t="s">
        <v>199</v>
      </c>
      <c r="Z46" s="59" t="s">
        <v>200</v>
      </c>
      <c r="AA46" s="59" t="s">
        <v>201</v>
      </c>
      <c r="AB46" s="59" t="s">
        <v>202</v>
      </c>
      <c r="AC46" s="59" t="s">
        <v>203</v>
      </c>
      <c r="AD46" s="59" t="s">
        <v>204</v>
      </c>
      <c r="AE46" s="59" t="s">
        <v>205</v>
      </c>
      <c r="AF46" s="59" t="s">
        <v>206</v>
      </c>
      <c r="AG46" s="59" t="s">
        <v>207</v>
      </c>
      <c r="AH46" s="59" t="s">
        <v>208</v>
      </c>
      <c r="AI46" s="59" t="s">
        <v>209</v>
      </c>
      <c r="AJ46" s="59" t="s">
        <v>210</v>
      </c>
      <c r="AK46" s="59" t="s">
        <v>211</v>
      </c>
      <c r="AL46" s="59" t="s">
        <v>212</v>
      </c>
      <c r="AM46" s="59" t="s">
        <v>213</v>
      </c>
      <c r="AN46" s="59" t="s">
        <v>214</v>
      </c>
      <c r="AO46" s="59" t="s">
        <v>339</v>
      </c>
      <c r="AP46" s="59" t="s">
        <v>340</v>
      </c>
      <c r="AQ46" s="59" t="s">
        <v>341</v>
      </c>
      <c r="AR46" s="59" t="s">
        <v>342</v>
      </c>
      <c r="AS46" s="59" t="s">
        <v>343</v>
      </c>
      <c r="AT46" s="59" t="s">
        <v>344</v>
      </c>
      <c r="AU46" s="59" t="s">
        <v>345</v>
      </c>
      <c r="AV46" s="59" t="s">
        <v>346</v>
      </c>
      <c r="AW46" s="59" t="s">
        <v>347</v>
      </c>
      <c r="AX46" s="59" t="s">
        <v>348</v>
      </c>
      <c r="AY46" s="59" t="s">
        <v>349</v>
      </c>
      <c r="AZ46" s="59" t="s">
        <v>350</v>
      </c>
      <c r="BA46" s="59" t="s">
        <v>351</v>
      </c>
      <c r="BB46" s="59" t="s">
        <v>352</v>
      </c>
      <c r="BC46" s="59" t="s">
        <v>353</v>
      </c>
      <c r="BD46" s="59" t="s">
        <v>354</v>
      </c>
      <c r="BE46" s="59" t="s">
        <v>355</v>
      </c>
      <c r="BF46" s="59" t="s">
        <v>356</v>
      </c>
      <c r="BG46" s="59" t="s">
        <v>357</v>
      </c>
      <c r="BH46" s="59" t="s">
        <v>358</v>
      </c>
      <c r="BI46" s="59" t="s">
        <v>359</v>
      </c>
      <c r="BJ46" s="59" t="s">
        <v>360</v>
      </c>
      <c r="BK46" s="59" t="s">
        <v>361</v>
      </c>
      <c r="BL46" s="59" t="s">
        <v>362</v>
      </c>
      <c r="BM46" s="59" t="s">
        <v>363</v>
      </c>
      <c r="BN46" s="59" t="s">
        <v>364</v>
      </c>
      <c r="BO46" s="59" t="s">
        <v>365</v>
      </c>
      <c r="BP46" s="59" t="s">
        <v>366</v>
      </c>
      <c r="BQ46" s="59" t="s">
        <v>367</v>
      </c>
      <c r="BR46" s="59" t="s">
        <v>368</v>
      </c>
      <c r="BS46" s="59" t="s">
        <v>369</v>
      </c>
      <c r="BT46" s="59" t="s">
        <v>370</v>
      </c>
      <c r="BU46" s="59" t="s">
        <v>371</v>
      </c>
      <c r="BV46" s="59" t="s">
        <v>372</v>
      </c>
      <c r="BW46" s="59" t="s">
        <v>373</v>
      </c>
      <c r="BX46" s="59" t="s">
        <v>374</v>
      </c>
      <c r="BY46" s="59" t="s">
        <v>375</v>
      </c>
      <c r="BZ46" s="59" t="s">
        <v>376</v>
      </c>
      <c r="CA46" s="59" t="s">
        <v>377</v>
      </c>
      <c r="CB46" s="59" t="s">
        <v>378</v>
      </c>
      <c r="CC46" s="59" t="s">
        <v>379</v>
      </c>
      <c r="CD46" s="59" t="s">
        <v>380</v>
      </c>
      <c r="CE46" s="59" t="s">
        <v>381</v>
      </c>
      <c r="CF46" s="59" t="s">
        <v>382</v>
      </c>
      <c r="CG46" s="59" t="s">
        <v>383</v>
      </c>
      <c r="CH46" s="59" t="s">
        <v>384</v>
      </c>
      <c r="CI46" s="59" t="s">
        <v>385</v>
      </c>
      <c r="CJ46" s="59" t="s">
        <v>386</v>
      </c>
      <c r="CK46" s="59" t="s">
        <v>387</v>
      </c>
      <c r="CL46" s="59" t="s">
        <v>388</v>
      </c>
      <c r="CM46" s="59" t="s">
        <v>389</v>
      </c>
      <c r="CN46" s="59" t="s">
        <v>390</v>
      </c>
      <c r="CO46" s="59" t="s">
        <v>391</v>
      </c>
      <c r="CP46" s="59" t="s">
        <v>392</v>
      </c>
      <c r="CQ46" s="59" t="s">
        <v>393</v>
      </c>
      <c r="CR46" s="59" t="s">
        <v>394</v>
      </c>
      <c r="CS46" s="59" t="s">
        <v>395</v>
      </c>
      <c r="CT46" s="59" t="s">
        <v>396</v>
      </c>
      <c r="CU46" s="59" t="s">
        <v>397</v>
      </c>
      <c r="CV46" s="59" t="s">
        <v>398</v>
      </c>
      <c r="CW46" s="59" t="s">
        <v>399</v>
      </c>
      <c r="CX46" s="59" t="s">
        <v>400</v>
      </c>
    </row>
    <row r="47" spans="1:102" s="62" customFormat="1" ht="15" customHeight="1">
      <c r="A47" s="49" t="s">
        <v>431</v>
      </c>
      <c r="B47" s="66">
        <v>12397.632</v>
      </c>
      <c r="C47" s="66">
        <v>12397.236000000001</v>
      </c>
      <c r="D47" s="66">
        <v>12336.986999999999</v>
      </c>
      <c r="E47" s="66">
        <v>12271.925999999999</v>
      </c>
      <c r="F47" s="66">
        <v>12188.266</v>
      </c>
      <c r="G47" s="66">
        <v>12080.358</v>
      </c>
      <c r="H47" s="66">
        <v>11959.025</v>
      </c>
      <c r="I47" s="66">
        <v>11857.263999999999</v>
      </c>
      <c r="J47" s="66">
        <v>11773.111999999999</v>
      </c>
      <c r="K47" s="66">
        <v>11691.046</v>
      </c>
      <c r="L47" s="66">
        <v>11600.736000000001</v>
      </c>
      <c r="M47" s="66">
        <v>11531.358</v>
      </c>
      <c r="N47" s="66">
        <v>11478.541999999999</v>
      </c>
      <c r="O47" s="66">
        <v>11433.705</v>
      </c>
      <c r="P47" s="66">
        <v>11402.519</v>
      </c>
      <c r="Q47" s="66">
        <v>11393.092000000001</v>
      </c>
      <c r="R47" s="66">
        <v>11378.925999999999</v>
      </c>
      <c r="S47" s="66">
        <v>11401.804</v>
      </c>
      <c r="T47" s="66">
        <v>11428.368</v>
      </c>
      <c r="U47" s="66">
        <v>11453.679</v>
      </c>
      <c r="V47" s="66">
        <v>11478.605</v>
      </c>
      <c r="W47" s="66">
        <v>11503.51</v>
      </c>
      <c r="X47" s="66">
        <v>11528.053</v>
      </c>
      <c r="Y47" s="66">
        <v>11551.785</v>
      </c>
      <c r="Z47" s="66">
        <v>11574.342000000001</v>
      </c>
      <c r="AA47" s="66">
        <v>11595.424999999999</v>
      </c>
      <c r="AB47" s="66">
        <v>11613.771000000001</v>
      </c>
      <c r="AC47" s="66">
        <v>11627.574000000001</v>
      </c>
      <c r="AD47" s="66">
        <v>11635.903</v>
      </c>
      <c r="AE47" s="66">
        <v>11638.316000000001</v>
      </c>
      <c r="AF47" s="66">
        <v>11634.567999999999</v>
      </c>
      <c r="AG47" s="66">
        <v>11624.236999999999</v>
      </c>
      <c r="AH47" s="66">
        <v>11606.916999999999</v>
      </c>
      <c r="AI47" s="66">
        <v>11582.828</v>
      </c>
      <c r="AJ47" s="66">
        <v>11552.703</v>
      </c>
      <c r="AK47" s="66">
        <v>11517.38</v>
      </c>
      <c r="AL47" s="66">
        <v>11477.54</v>
      </c>
      <c r="AM47" s="66">
        <v>11434.300999999999</v>
      </c>
      <c r="AN47" s="66">
        <v>11389.081</v>
      </c>
      <c r="AO47" s="66">
        <v>11342.968999999999</v>
      </c>
      <c r="AP47" s="66">
        <v>11296.878000000001</v>
      </c>
      <c r="AQ47" s="66">
        <v>11251.401</v>
      </c>
      <c r="AR47" s="66">
        <v>11208.004000000001</v>
      </c>
      <c r="AS47" s="66">
        <v>11168.468000000001</v>
      </c>
      <c r="AT47" s="66">
        <v>11133.493</v>
      </c>
      <c r="AU47" s="66">
        <v>11103.503000000001</v>
      </c>
      <c r="AV47" s="66">
        <v>11078.644</v>
      </c>
      <c r="AW47" s="66">
        <v>11059.026</v>
      </c>
      <c r="AX47" s="66">
        <v>11044.698</v>
      </c>
      <c r="AY47" s="66">
        <v>11035.343999999999</v>
      </c>
      <c r="AZ47" s="66">
        <v>11030.279</v>
      </c>
      <c r="BA47" s="66">
        <v>11028.772999999999</v>
      </c>
      <c r="BB47" s="66">
        <v>11030.210999999999</v>
      </c>
      <c r="BC47" s="66">
        <v>11033.977000000001</v>
      </c>
      <c r="BD47" s="66">
        <v>11039.314</v>
      </c>
      <c r="BE47" s="66">
        <v>11045.489</v>
      </c>
      <c r="BF47" s="66">
        <v>11051.777</v>
      </c>
      <c r="BG47" s="66">
        <v>11057.669</v>
      </c>
      <c r="BH47" s="66">
        <v>11062.708000000001</v>
      </c>
      <c r="BI47" s="66">
        <v>11066.286</v>
      </c>
      <c r="BJ47" s="66">
        <v>11067.903</v>
      </c>
      <c r="BK47" s="66">
        <v>11067.234</v>
      </c>
      <c r="BL47" s="66">
        <v>11064.043</v>
      </c>
      <c r="BM47" s="66">
        <v>11058.227000000001</v>
      </c>
      <c r="BN47" s="66">
        <v>11049.771000000001</v>
      </c>
      <c r="BO47" s="66">
        <v>11038.692999999999</v>
      </c>
      <c r="BP47" s="66">
        <v>11025.141</v>
      </c>
      <c r="BQ47" s="66">
        <v>11009.347</v>
      </c>
      <c r="BR47" s="66">
        <v>10991.593999999999</v>
      </c>
      <c r="BS47" s="66">
        <v>10972.22</v>
      </c>
      <c r="BT47" s="66">
        <v>10951.618</v>
      </c>
      <c r="BU47" s="66">
        <v>10930.200999999999</v>
      </c>
      <c r="BV47" s="66">
        <v>10908.393</v>
      </c>
      <c r="BW47" s="66">
        <v>10886.63</v>
      </c>
      <c r="BX47" s="66">
        <v>10865.33</v>
      </c>
      <c r="BY47" s="66">
        <v>10844.877</v>
      </c>
      <c r="BZ47" s="66">
        <v>10825.618</v>
      </c>
      <c r="CA47" s="66">
        <v>10807.843000000001</v>
      </c>
      <c r="CB47" s="66">
        <v>10791.761</v>
      </c>
      <c r="CC47" s="66">
        <v>10777.549000000001</v>
      </c>
      <c r="CD47" s="66">
        <v>10765.266</v>
      </c>
      <c r="CE47" s="66">
        <v>10754.924999999999</v>
      </c>
      <c r="CF47" s="66">
        <v>10746.453</v>
      </c>
      <c r="CG47" s="66">
        <v>10739.722</v>
      </c>
      <c r="CH47" s="66">
        <v>10734.571</v>
      </c>
      <c r="CI47" s="66">
        <v>10730.781999999999</v>
      </c>
      <c r="CJ47" s="66">
        <v>10728.115</v>
      </c>
      <c r="CK47" s="66">
        <v>10726.284</v>
      </c>
      <c r="CL47" s="66">
        <v>10725.013000000001</v>
      </c>
      <c r="CM47" s="66">
        <v>10724.03</v>
      </c>
      <c r="CN47" s="66">
        <v>10723.063</v>
      </c>
      <c r="CO47" s="66">
        <v>10721.869000000001</v>
      </c>
      <c r="CP47" s="66">
        <v>10720.22</v>
      </c>
      <c r="CQ47" s="66">
        <v>10717.93</v>
      </c>
      <c r="CR47" s="66">
        <v>10714.856</v>
      </c>
      <c r="CS47" s="66">
        <v>10710.866</v>
      </c>
      <c r="CT47" s="66">
        <v>10705.895</v>
      </c>
      <c r="CU47" s="66">
        <v>10699.916999999999</v>
      </c>
      <c r="CV47" s="66">
        <v>10692.931</v>
      </c>
      <c r="CW47" s="66">
        <v>10684.991</v>
      </c>
      <c r="CX47" s="66">
        <v>10676.18</v>
      </c>
    </row>
    <row r="48" spans="1:102" s="62" customFormat="1" ht="15" customHeight="1">
      <c r="A48" s="49" t="s">
        <v>432</v>
      </c>
      <c r="B48" s="66">
        <v>43198.555999999997</v>
      </c>
      <c r="C48" s="66">
        <v>43917.531000000003</v>
      </c>
      <c r="D48" s="66">
        <v>44500.02</v>
      </c>
      <c r="E48" s="66">
        <v>44981.953000000001</v>
      </c>
      <c r="F48" s="66">
        <v>45495.340207650283</v>
      </c>
      <c r="G48" s="66">
        <v>46199.298887671233</v>
      </c>
      <c r="H48" s="66">
        <v>46700.663</v>
      </c>
      <c r="I48" s="66">
        <v>46873.019</v>
      </c>
      <c r="J48" s="66">
        <v>47012.023000000001</v>
      </c>
      <c r="K48" s="66">
        <v>47133.953999999998</v>
      </c>
      <c r="L48" s="66">
        <v>47257.508000000002</v>
      </c>
      <c r="M48" s="66">
        <v>47370.116000000002</v>
      </c>
      <c r="N48" s="66">
        <v>47468.243000000002</v>
      </c>
      <c r="O48" s="66">
        <v>47568.750999999997</v>
      </c>
      <c r="P48" s="66">
        <v>47659.072999999997</v>
      </c>
      <c r="Q48" s="66">
        <v>47752.105000000003</v>
      </c>
      <c r="R48" s="66">
        <v>47834.514999999999</v>
      </c>
      <c r="S48" s="66">
        <v>47915.62</v>
      </c>
      <c r="T48" s="66">
        <v>48026.639000000003</v>
      </c>
      <c r="U48" s="66">
        <v>48171.252</v>
      </c>
      <c r="V48" s="66">
        <v>48327.74</v>
      </c>
      <c r="W48" s="66">
        <v>48498.330999999998</v>
      </c>
      <c r="X48" s="66">
        <v>48796.494358904107</v>
      </c>
      <c r="Y48" s="66">
        <v>49339.458687671227</v>
      </c>
      <c r="Z48" s="66">
        <v>49772.296999999999</v>
      </c>
      <c r="AA48" s="66">
        <v>49887.750999999997</v>
      </c>
      <c r="AB48" s="66">
        <v>49968.728000000003</v>
      </c>
      <c r="AC48" s="66">
        <v>50049.576999999997</v>
      </c>
      <c r="AD48" s="66">
        <v>50136.779000000002</v>
      </c>
      <c r="AE48" s="66">
        <v>50217.146000000001</v>
      </c>
      <c r="AF48" s="66">
        <v>50295.133000000002</v>
      </c>
      <c r="AG48" s="66">
        <v>50344.11</v>
      </c>
      <c r="AH48" s="66">
        <v>50385.970999999998</v>
      </c>
      <c r="AI48" s="66">
        <v>50417.360999999997</v>
      </c>
      <c r="AJ48" s="66">
        <v>50423.455999999998</v>
      </c>
      <c r="AK48" s="66">
        <v>50433.572</v>
      </c>
      <c r="AL48" s="66">
        <v>50431.39</v>
      </c>
      <c r="AM48" s="66">
        <v>50416.845000000001</v>
      </c>
      <c r="AN48" s="66">
        <v>50402.898000000001</v>
      </c>
      <c r="AO48" s="66">
        <v>50401.377</v>
      </c>
      <c r="AP48" s="66">
        <v>50388.550999999999</v>
      </c>
      <c r="AQ48" s="66">
        <v>50383.512999999999</v>
      </c>
      <c r="AR48" s="66">
        <v>50374.781999999999</v>
      </c>
      <c r="AS48" s="66">
        <v>50339.292999999998</v>
      </c>
      <c r="AT48" s="66">
        <v>50306.760999999999</v>
      </c>
      <c r="AU48" s="66">
        <v>50263.271000000001</v>
      </c>
      <c r="AV48" s="66">
        <v>50228.071000000004</v>
      </c>
      <c r="AW48" s="66">
        <v>50196.362000000001</v>
      </c>
      <c r="AX48" s="66">
        <v>50156.112999999998</v>
      </c>
      <c r="AY48" s="66">
        <v>50100.21</v>
      </c>
      <c r="AZ48" s="66">
        <v>50028.550999999999</v>
      </c>
      <c r="BA48" s="66">
        <v>49957.205000000002</v>
      </c>
      <c r="BB48" s="66">
        <v>49885.171999999999</v>
      </c>
      <c r="BC48" s="66">
        <v>49800.451000000001</v>
      </c>
      <c r="BD48" s="66">
        <v>49686.832999999999</v>
      </c>
      <c r="BE48" s="66">
        <v>49579.106</v>
      </c>
      <c r="BF48" s="66">
        <v>49464.688000000002</v>
      </c>
      <c r="BG48" s="66">
        <v>49339.362000000001</v>
      </c>
      <c r="BH48" s="66">
        <v>49213.587</v>
      </c>
      <c r="BI48" s="66">
        <v>49105.607000000004</v>
      </c>
      <c r="BJ48" s="66">
        <v>49013.932999999997</v>
      </c>
      <c r="BK48" s="66">
        <v>48924.574000000001</v>
      </c>
      <c r="BL48" s="66">
        <v>48828.188000000002</v>
      </c>
      <c r="BM48" s="66">
        <v>48751.089</v>
      </c>
      <c r="BN48" s="66">
        <v>48688.773999999998</v>
      </c>
      <c r="BO48" s="66">
        <v>48633.256000000001</v>
      </c>
      <c r="BP48" s="66">
        <v>48589.288999999997</v>
      </c>
      <c r="BQ48" s="66">
        <v>48563.947999999997</v>
      </c>
      <c r="BR48" s="66">
        <v>48532.358</v>
      </c>
      <c r="BS48" s="66">
        <v>48532.654999999999</v>
      </c>
      <c r="BT48" s="66">
        <v>48533.957999999999</v>
      </c>
      <c r="BU48" s="66">
        <v>48531.665000000001</v>
      </c>
      <c r="BV48" s="66">
        <v>48526.587</v>
      </c>
      <c r="BW48" s="66">
        <v>48519.447999999997</v>
      </c>
      <c r="BX48" s="66">
        <v>48510.529000000002</v>
      </c>
      <c r="BY48" s="66">
        <v>48499.701999999997</v>
      </c>
      <c r="BZ48" s="66">
        <v>48486.832000000002</v>
      </c>
      <c r="CA48" s="66">
        <v>48471.743000000002</v>
      </c>
      <c r="CB48" s="66">
        <v>48454.336000000003</v>
      </c>
      <c r="CC48" s="66">
        <v>48434.142999999996</v>
      </c>
      <c r="CD48" s="66">
        <v>48410.667999999998</v>
      </c>
      <c r="CE48" s="66">
        <v>48383.716999999997</v>
      </c>
      <c r="CF48" s="66">
        <v>48353.21</v>
      </c>
      <c r="CG48" s="66">
        <v>48318.932999999997</v>
      </c>
      <c r="CH48" s="66">
        <v>48280.697999999997</v>
      </c>
      <c r="CI48" s="66">
        <v>48238.586000000003</v>
      </c>
      <c r="CJ48" s="66">
        <v>48192.89</v>
      </c>
      <c r="CK48" s="66">
        <v>48144.050999999999</v>
      </c>
      <c r="CL48" s="66">
        <v>48092.480000000003</v>
      </c>
      <c r="CM48" s="66">
        <v>48039.014000000003</v>
      </c>
      <c r="CN48" s="66">
        <v>47984.656000000003</v>
      </c>
      <c r="CO48" s="66">
        <v>47930.144999999997</v>
      </c>
      <c r="CP48" s="66">
        <v>47876.01</v>
      </c>
      <c r="CQ48" s="66">
        <v>47822.669000000002</v>
      </c>
      <c r="CR48" s="66">
        <v>47771.39</v>
      </c>
      <c r="CS48" s="66">
        <v>47723.614000000001</v>
      </c>
      <c r="CT48" s="66">
        <v>47679.743999999999</v>
      </c>
      <c r="CU48" s="66">
        <v>47640.002999999997</v>
      </c>
      <c r="CV48" s="66">
        <v>47604.438999999998</v>
      </c>
      <c r="CW48" s="66">
        <v>47573.108</v>
      </c>
      <c r="CX48" s="66">
        <v>47546.038</v>
      </c>
    </row>
    <row r="49" spans="1:102" s="62" customFormat="1" ht="15" customHeight="1">
      <c r="A49" s="39" t="s">
        <v>433</v>
      </c>
      <c r="B49" s="66">
        <v>12006.573</v>
      </c>
      <c r="C49" s="66">
        <v>12177.727999999999</v>
      </c>
      <c r="D49" s="66">
        <v>12389.224</v>
      </c>
      <c r="E49" s="66">
        <v>12614.1</v>
      </c>
      <c r="F49" s="66">
        <v>12730.69379234973</v>
      </c>
      <c r="G49" s="66">
        <v>12582.256112328771</v>
      </c>
      <c r="H49" s="66">
        <v>12548.413</v>
      </c>
      <c r="I49" s="66">
        <v>12817.379000000001</v>
      </c>
      <c r="J49" s="66">
        <v>13094.852999999999</v>
      </c>
      <c r="K49" s="66">
        <v>13379.574000000001</v>
      </c>
      <c r="L49" s="66">
        <v>13662.929</v>
      </c>
      <c r="M49" s="66">
        <v>13928.547</v>
      </c>
      <c r="N49" s="66">
        <v>14184.812</v>
      </c>
      <c r="O49" s="66">
        <v>14423.712</v>
      </c>
      <c r="P49" s="66">
        <v>14652.496999999999</v>
      </c>
      <c r="Q49" s="66">
        <v>14850.744000000001</v>
      </c>
      <c r="R49" s="66">
        <v>15058.893</v>
      </c>
      <c r="S49" s="66">
        <v>15226.314</v>
      </c>
      <c r="T49" s="66">
        <v>15355.471</v>
      </c>
      <c r="U49" s="66">
        <v>15447.960999999999</v>
      </c>
      <c r="V49" s="66">
        <v>15524.864</v>
      </c>
      <c r="W49" s="66">
        <v>15583.395</v>
      </c>
      <c r="X49" s="66">
        <v>15509.959641095889</v>
      </c>
      <c r="Y49" s="66">
        <v>15187.442312328771</v>
      </c>
      <c r="Z49" s="66">
        <v>14970.841</v>
      </c>
      <c r="AA49" s="66">
        <v>15067.359</v>
      </c>
      <c r="AB49" s="66">
        <v>15193.960999999999</v>
      </c>
      <c r="AC49" s="66">
        <v>15316.486000000001</v>
      </c>
      <c r="AD49" s="66">
        <v>15428.800999999999</v>
      </c>
      <c r="AE49" s="66">
        <v>15544.183000000001</v>
      </c>
      <c r="AF49" s="66">
        <v>15658.348</v>
      </c>
      <c r="AG49" s="66">
        <v>15798.362999999999</v>
      </c>
      <c r="AH49" s="66">
        <v>15942.946</v>
      </c>
      <c r="AI49" s="66">
        <v>16095.944</v>
      </c>
      <c r="AJ49" s="66">
        <v>16272.599</v>
      </c>
      <c r="AK49" s="66">
        <v>16443.944</v>
      </c>
      <c r="AL49" s="66">
        <v>16626.68</v>
      </c>
      <c r="AM49" s="66">
        <v>16820.89</v>
      </c>
      <c r="AN49" s="66">
        <v>17013.338</v>
      </c>
      <c r="AO49" s="66">
        <v>17192.141</v>
      </c>
      <c r="AP49" s="66">
        <v>17381.050999999999</v>
      </c>
      <c r="AQ49" s="66">
        <v>17560.949000000001</v>
      </c>
      <c r="AR49" s="66">
        <v>17742.218000000001</v>
      </c>
      <c r="AS49" s="66">
        <v>17946.508999999998</v>
      </c>
      <c r="AT49" s="66">
        <v>18143.602999999999</v>
      </c>
      <c r="AU49" s="66">
        <v>18346.846000000001</v>
      </c>
      <c r="AV49" s="66">
        <v>18536.499</v>
      </c>
      <c r="AW49" s="66">
        <v>18716.712</v>
      </c>
      <c r="AX49" s="66">
        <v>18898.733</v>
      </c>
      <c r="AY49" s="66">
        <v>19089.151000000002</v>
      </c>
      <c r="AZ49" s="66">
        <v>19287.795999999998</v>
      </c>
      <c r="BA49" s="66">
        <v>19478.349999999999</v>
      </c>
      <c r="BB49" s="66">
        <v>19661.575000000001</v>
      </c>
      <c r="BC49" s="66">
        <v>19849.238000000001</v>
      </c>
      <c r="BD49" s="66">
        <v>20057.657999999999</v>
      </c>
      <c r="BE49" s="66">
        <v>20252.28</v>
      </c>
      <c r="BF49" s="66">
        <v>20446.109</v>
      </c>
      <c r="BG49" s="66">
        <v>20643.713</v>
      </c>
      <c r="BH49" s="66">
        <v>20834.985000000001</v>
      </c>
      <c r="BI49" s="66">
        <v>21002.376</v>
      </c>
      <c r="BJ49" s="66">
        <v>21148.045999999998</v>
      </c>
      <c r="BK49" s="66">
        <v>21286.564999999999</v>
      </c>
      <c r="BL49" s="66">
        <v>21427.871999999999</v>
      </c>
      <c r="BM49" s="66">
        <v>21546.126</v>
      </c>
      <c r="BN49" s="66">
        <v>21646.33</v>
      </c>
      <c r="BO49" s="66">
        <v>21737.008000000002</v>
      </c>
      <c r="BP49" s="66">
        <v>21813.756000000001</v>
      </c>
      <c r="BQ49" s="66">
        <v>21869.815999999999</v>
      </c>
      <c r="BR49" s="66">
        <v>21930.291000000001</v>
      </c>
      <c r="BS49" s="66">
        <v>21957.192999999999</v>
      </c>
      <c r="BT49" s="66">
        <v>21981.514999999999</v>
      </c>
      <c r="BU49" s="66">
        <v>22007.838</v>
      </c>
      <c r="BV49" s="66">
        <v>22035.34</v>
      </c>
      <c r="BW49" s="66">
        <v>22063.153999999999</v>
      </c>
      <c r="BX49" s="66">
        <v>22090.871999999999</v>
      </c>
      <c r="BY49" s="66">
        <v>22118.513999999999</v>
      </c>
      <c r="BZ49" s="66">
        <v>22146.039000000001</v>
      </c>
      <c r="CA49" s="66">
        <v>22173.534</v>
      </c>
      <c r="CB49" s="66">
        <v>22200.998</v>
      </c>
      <c r="CC49" s="66">
        <v>22228.916000000001</v>
      </c>
      <c r="CD49" s="66">
        <v>22257.847000000002</v>
      </c>
      <c r="CE49" s="66">
        <v>22288.141</v>
      </c>
      <c r="CF49" s="66">
        <v>22320.166000000001</v>
      </c>
      <c r="CG49" s="66">
        <v>22354.527999999998</v>
      </c>
      <c r="CH49" s="66">
        <v>22391.931</v>
      </c>
      <c r="CI49" s="66">
        <v>22432.882000000001</v>
      </c>
      <c r="CJ49" s="66">
        <v>22477.704000000002</v>
      </c>
      <c r="CK49" s="66">
        <v>22526.632000000001</v>
      </c>
      <c r="CL49" s="66">
        <v>22579.942999999999</v>
      </c>
      <c r="CM49" s="66">
        <v>22637.415000000001</v>
      </c>
      <c r="CN49" s="66">
        <v>22698.557000000001</v>
      </c>
      <c r="CO49" s="66">
        <v>22763.07</v>
      </c>
      <c r="CP49" s="66">
        <v>22830.766</v>
      </c>
      <c r="CQ49" s="66">
        <v>22901.431</v>
      </c>
      <c r="CR49" s="66">
        <v>22973.848999999998</v>
      </c>
      <c r="CS49" s="66">
        <v>23046.505000000001</v>
      </c>
      <c r="CT49" s="66">
        <v>23118.816999999999</v>
      </c>
      <c r="CU49" s="66">
        <v>23190.224999999999</v>
      </c>
      <c r="CV49" s="66">
        <v>23260.269</v>
      </c>
      <c r="CW49" s="66">
        <v>23328.436000000002</v>
      </c>
      <c r="CX49" s="66">
        <v>23394.151000000002</v>
      </c>
    </row>
    <row r="50" spans="1:102" s="62" customFormat="1" ht="15" customHeight="1">
      <c r="A50" s="39" t="s">
        <v>434</v>
      </c>
      <c r="B50" s="66">
        <v>42468.847999999998</v>
      </c>
      <c r="C50" s="66">
        <v>43160.303999999996</v>
      </c>
      <c r="D50" s="66">
        <v>43725.847000000002</v>
      </c>
      <c r="E50" s="66">
        <v>44191.288</v>
      </c>
      <c r="F50" s="66">
        <v>44556.445</v>
      </c>
      <c r="G50" s="66">
        <v>44826.637999999999</v>
      </c>
      <c r="H50" s="66">
        <v>44999.375999999997</v>
      </c>
      <c r="I50" s="66">
        <v>45137.247000000003</v>
      </c>
      <c r="J50" s="66">
        <v>45250.658000000003</v>
      </c>
      <c r="K50" s="66">
        <v>45371.618000000002</v>
      </c>
      <c r="L50" s="66">
        <v>45501.85</v>
      </c>
      <c r="M50" s="66">
        <v>45620.881999999998</v>
      </c>
      <c r="N50" s="66">
        <v>45726.447999999997</v>
      </c>
      <c r="O50" s="66">
        <v>45848.398999999998</v>
      </c>
      <c r="P50" s="66">
        <v>45940.339</v>
      </c>
      <c r="Q50" s="66">
        <v>46046.459000000003</v>
      </c>
      <c r="R50" s="66">
        <v>46191.637999999999</v>
      </c>
      <c r="S50" s="66">
        <v>46333.175999999999</v>
      </c>
      <c r="T50" s="66">
        <v>46483.345000000001</v>
      </c>
      <c r="U50" s="66">
        <v>46650.205999999998</v>
      </c>
      <c r="V50" s="66">
        <v>46834.796999999999</v>
      </c>
      <c r="W50" s="66">
        <v>47005.101999999999</v>
      </c>
      <c r="X50" s="66">
        <v>47118.123</v>
      </c>
      <c r="Y50" s="66">
        <v>47196.059000000001</v>
      </c>
      <c r="Z50" s="66">
        <v>47273.656000000003</v>
      </c>
      <c r="AA50" s="66">
        <v>47356.98</v>
      </c>
      <c r="AB50" s="66">
        <v>47432.338000000003</v>
      </c>
      <c r="AC50" s="66">
        <v>47504.47</v>
      </c>
      <c r="AD50" s="66">
        <v>47546.283000000003</v>
      </c>
      <c r="AE50" s="66">
        <v>47580.04</v>
      </c>
      <c r="AF50" s="66">
        <v>47602.402999999998</v>
      </c>
      <c r="AG50" s="66">
        <v>47598.567000000003</v>
      </c>
      <c r="AH50" s="66">
        <v>47599.141000000003</v>
      </c>
      <c r="AI50" s="66">
        <v>47587.794999999998</v>
      </c>
      <c r="AJ50" s="66">
        <v>47564.957999999999</v>
      </c>
      <c r="AK50" s="66">
        <v>47544.599000000002</v>
      </c>
      <c r="AL50" s="66">
        <v>47539.156999999999</v>
      </c>
      <c r="AM50" s="66">
        <v>47524.123</v>
      </c>
      <c r="AN50" s="66">
        <v>47518.436999999998</v>
      </c>
      <c r="AO50" s="66">
        <v>47511.069000000003</v>
      </c>
      <c r="AP50" s="66">
        <v>47479.489000000001</v>
      </c>
      <c r="AQ50" s="66">
        <v>47454.13</v>
      </c>
      <c r="AR50" s="66">
        <v>47419.735999999997</v>
      </c>
      <c r="AS50" s="66">
        <v>47394.614000000001</v>
      </c>
      <c r="AT50" s="66">
        <v>47373.627999999997</v>
      </c>
      <c r="AU50" s="66">
        <v>47344.267</v>
      </c>
      <c r="AV50" s="66">
        <v>47298.834999999999</v>
      </c>
      <c r="AW50" s="66">
        <v>47236.586000000003</v>
      </c>
      <c r="AX50" s="66">
        <v>47173.249000000003</v>
      </c>
      <c r="AY50" s="66">
        <v>47107.631000000001</v>
      </c>
      <c r="AZ50" s="66">
        <v>47027.680999999997</v>
      </c>
      <c r="BA50" s="66">
        <v>46916.862999999998</v>
      </c>
      <c r="BB50" s="66">
        <v>46810.582000000002</v>
      </c>
      <c r="BC50" s="66">
        <v>46695.892</v>
      </c>
      <c r="BD50" s="66">
        <v>46568.78</v>
      </c>
      <c r="BE50" s="66">
        <v>46440.211000000003</v>
      </c>
      <c r="BF50" s="66">
        <v>46328.881999999998</v>
      </c>
      <c r="BG50" s="66">
        <v>46233.241999999998</v>
      </c>
      <c r="BH50" s="66">
        <v>46139.065000000002</v>
      </c>
      <c r="BI50" s="66">
        <v>46037.1</v>
      </c>
      <c r="BJ50" s="66">
        <v>45954.461000000003</v>
      </c>
      <c r="BK50" s="66">
        <v>45886.743000000002</v>
      </c>
      <c r="BL50" s="66">
        <v>45825.9</v>
      </c>
      <c r="BM50" s="66">
        <v>45776.904999999999</v>
      </c>
      <c r="BN50" s="66">
        <v>45747.091</v>
      </c>
      <c r="BO50" s="66">
        <v>45711.319000000003</v>
      </c>
      <c r="BP50" s="66">
        <v>45708.461000000003</v>
      </c>
      <c r="BQ50" s="66">
        <v>45707.211000000003</v>
      </c>
      <c r="BR50" s="66">
        <v>45702.999000000003</v>
      </c>
      <c r="BS50" s="66">
        <v>45696.667999999998</v>
      </c>
      <c r="BT50" s="66">
        <v>45689.01</v>
      </c>
      <c r="BU50" s="66">
        <v>45680.32</v>
      </c>
      <c r="BV50" s="66">
        <v>45670.47</v>
      </c>
      <c r="BW50" s="66">
        <v>45659.288999999997</v>
      </c>
      <c r="BX50" s="66">
        <v>45646.514000000003</v>
      </c>
      <c r="BY50" s="66">
        <v>45631.942000000003</v>
      </c>
      <c r="BZ50" s="66">
        <v>45614.98</v>
      </c>
      <c r="CA50" s="66">
        <v>45594.983999999997</v>
      </c>
      <c r="CB50" s="66">
        <v>45571.631999999998</v>
      </c>
      <c r="CC50" s="66">
        <v>45544.667000000001</v>
      </c>
      <c r="CD50" s="66">
        <v>45513.758999999998</v>
      </c>
      <c r="CE50" s="66">
        <v>45478.6</v>
      </c>
      <c r="CF50" s="66">
        <v>45439.178999999996</v>
      </c>
      <c r="CG50" s="66">
        <v>45395.722999999998</v>
      </c>
      <c r="CH50" s="66">
        <v>45348.584000000003</v>
      </c>
      <c r="CI50" s="66">
        <v>45298.156000000003</v>
      </c>
      <c r="CJ50" s="66">
        <v>45245.256000000001</v>
      </c>
      <c r="CK50" s="66">
        <v>45190.932000000001</v>
      </c>
      <c r="CL50" s="66">
        <v>45135.945</v>
      </c>
      <c r="CM50" s="66">
        <v>45080.875999999997</v>
      </c>
      <c r="CN50" s="66">
        <v>45026.180999999997</v>
      </c>
      <c r="CO50" s="66">
        <v>44973.243000000002</v>
      </c>
      <c r="CP50" s="66">
        <v>44923.557999999997</v>
      </c>
      <c r="CQ50" s="66">
        <v>44877.618000000002</v>
      </c>
      <c r="CR50" s="66">
        <v>44835.728999999999</v>
      </c>
      <c r="CS50" s="66">
        <v>44798.034</v>
      </c>
      <c r="CT50" s="66">
        <v>44764.66</v>
      </c>
      <c r="CU50" s="66">
        <v>44735.682000000001</v>
      </c>
      <c r="CV50" s="66">
        <v>44710.762999999999</v>
      </c>
      <c r="CW50" s="66">
        <v>44689.315000000002</v>
      </c>
      <c r="CX50" s="66">
        <v>44670.726000000002</v>
      </c>
    </row>
    <row r="51" spans="1:102" s="62" customFormat="1" ht="15" customHeight="1">
      <c r="A51" s="39" t="s">
        <v>435</v>
      </c>
      <c r="B51" s="66">
        <v>12736.281000000001</v>
      </c>
      <c r="C51" s="66">
        <v>12934.955</v>
      </c>
      <c r="D51" s="66">
        <v>13163.397000000001</v>
      </c>
      <c r="E51" s="66">
        <v>13404.764999999999</v>
      </c>
      <c r="F51" s="66">
        <v>13669.589</v>
      </c>
      <c r="G51" s="66">
        <v>13954.916999999999</v>
      </c>
      <c r="H51" s="66">
        <v>14249.7</v>
      </c>
      <c r="I51" s="66">
        <v>14553.151</v>
      </c>
      <c r="J51" s="66">
        <v>14856.218000000001</v>
      </c>
      <c r="K51" s="66">
        <v>15141.91</v>
      </c>
      <c r="L51" s="66">
        <v>15418.587</v>
      </c>
      <c r="M51" s="66">
        <v>15677.781000000001</v>
      </c>
      <c r="N51" s="66">
        <v>15926.607</v>
      </c>
      <c r="O51" s="66">
        <v>16144.064</v>
      </c>
      <c r="P51" s="66">
        <v>16371.231</v>
      </c>
      <c r="Q51" s="66">
        <v>16556.39</v>
      </c>
      <c r="R51" s="66">
        <v>16701.77</v>
      </c>
      <c r="S51" s="66">
        <v>16808.758000000002</v>
      </c>
      <c r="T51" s="66">
        <v>16898.764999999999</v>
      </c>
      <c r="U51" s="66">
        <v>16969.007000000001</v>
      </c>
      <c r="V51" s="66">
        <v>17017.807000000001</v>
      </c>
      <c r="W51" s="66">
        <v>17076.624</v>
      </c>
      <c r="X51" s="66">
        <v>17188.330999999998</v>
      </c>
      <c r="Y51" s="66">
        <v>17330.842000000001</v>
      </c>
      <c r="Z51" s="66">
        <v>17469.482</v>
      </c>
      <c r="AA51" s="66">
        <v>17598.13</v>
      </c>
      <c r="AB51" s="66">
        <v>17730.350999999999</v>
      </c>
      <c r="AC51" s="66">
        <v>17861.593000000001</v>
      </c>
      <c r="AD51" s="66">
        <v>18019.296999999999</v>
      </c>
      <c r="AE51" s="66">
        <v>18181.289000000001</v>
      </c>
      <c r="AF51" s="66">
        <v>18351.078000000001</v>
      </c>
      <c r="AG51" s="66">
        <v>18543.905999999999</v>
      </c>
      <c r="AH51" s="66">
        <v>18729.776000000002</v>
      </c>
      <c r="AI51" s="66">
        <v>18925.509999999998</v>
      </c>
      <c r="AJ51" s="66">
        <v>19131.097000000002</v>
      </c>
      <c r="AK51" s="66">
        <v>19332.917000000001</v>
      </c>
      <c r="AL51" s="66">
        <v>19518.913</v>
      </c>
      <c r="AM51" s="66">
        <v>19713.612000000001</v>
      </c>
      <c r="AN51" s="66">
        <v>19897.798999999999</v>
      </c>
      <c r="AO51" s="66">
        <v>20082.449000000001</v>
      </c>
      <c r="AP51" s="66">
        <v>20290.113000000001</v>
      </c>
      <c r="AQ51" s="66">
        <v>20490.331999999999</v>
      </c>
      <c r="AR51" s="66">
        <v>20697.263999999999</v>
      </c>
      <c r="AS51" s="66">
        <v>20891.187999999998</v>
      </c>
      <c r="AT51" s="66">
        <v>21076.736000000001</v>
      </c>
      <c r="AU51" s="66">
        <v>21265.85</v>
      </c>
      <c r="AV51" s="66">
        <v>21465.735000000001</v>
      </c>
      <c r="AW51" s="66">
        <v>21676.488000000001</v>
      </c>
      <c r="AX51" s="66">
        <v>21881.597000000002</v>
      </c>
      <c r="AY51" s="66">
        <v>22081.73</v>
      </c>
      <c r="AZ51" s="66">
        <v>22288.666000000001</v>
      </c>
      <c r="BA51" s="66">
        <v>22518.691999999999</v>
      </c>
      <c r="BB51" s="66">
        <v>22736.165000000001</v>
      </c>
      <c r="BC51" s="66">
        <v>22953.796999999999</v>
      </c>
      <c r="BD51" s="66">
        <v>23175.710999999999</v>
      </c>
      <c r="BE51" s="66">
        <v>23391.174999999999</v>
      </c>
      <c r="BF51" s="66">
        <v>23581.915000000001</v>
      </c>
      <c r="BG51" s="66">
        <v>23749.832999999999</v>
      </c>
      <c r="BH51" s="66">
        <v>23909.507000000001</v>
      </c>
      <c r="BI51" s="66">
        <v>24070.883000000002</v>
      </c>
      <c r="BJ51" s="66">
        <v>24207.518</v>
      </c>
      <c r="BK51" s="66">
        <v>24324.396000000001</v>
      </c>
      <c r="BL51" s="66">
        <v>24430.16</v>
      </c>
      <c r="BM51" s="66">
        <v>24520.31</v>
      </c>
      <c r="BN51" s="66">
        <v>24588.012999999999</v>
      </c>
      <c r="BO51" s="66">
        <v>24658.945</v>
      </c>
      <c r="BP51" s="66">
        <v>24694.583999999999</v>
      </c>
      <c r="BQ51" s="66">
        <v>24726.553</v>
      </c>
      <c r="BR51" s="66">
        <v>24759.65</v>
      </c>
      <c r="BS51" s="66">
        <v>24793.18</v>
      </c>
      <c r="BT51" s="66">
        <v>24826.463</v>
      </c>
      <c r="BU51" s="66">
        <v>24859.183000000001</v>
      </c>
      <c r="BV51" s="66">
        <v>24891.456999999999</v>
      </c>
      <c r="BW51" s="66">
        <v>24923.312999999998</v>
      </c>
      <c r="BX51" s="66">
        <v>24954.886999999999</v>
      </c>
      <c r="BY51" s="66">
        <v>24986.274000000001</v>
      </c>
      <c r="BZ51" s="66">
        <v>25017.891</v>
      </c>
      <c r="CA51" s="66">
        <v>25050.293000000001</v>
      </c>
      <c r="CB51" s="66">
        <v>25083.702000000001</v>
      </c>
      <c r="CC51" s="66">
        <v>25118.392</v>
      </c>
      <c r="CD51" s="66">
        <v>25154.756000000001</v>
      </c>
      <c r="CE51" s="66">
        <v>25193.258000000002</v>
      </c>
      <c r="CF51" s="66">
        <v>25234.197</v>
      </c>
      <c r="CG51" s="66">
        <v>25277.738000000001</v>
      </c>
      <c r="CH51" s="66">
        <v>25324.044999999998</v>
      </c>
      <c r="CI51" s="66">
        <v>25373.312000000002</v>
      </c>
      <c r="CJ51" s="66">
        <v>25425.338</v>
      </c>
      <c r="CK51" s="66">
        <v>25479.751</v>
      </c>
      <c r="CL51" s="66">
        <v>25536.477999999999</v>
      </c>
      <c r="CM51" s="66">
        <v>25595.553</v>
      </c>
      <c r="CN51" s="66">
        <v>25657.031999999999</v>
      </c>
      <c r="CO51" s="66">
        <v>25719.972000000002</v>
      </c>
      <c r="CP51" s="66">
        <v>25783.218000000001</v>
      </c>
      <c r="CQ51" s="66">
        <v>25846.482</v>
      </c>
      <c r="CR51" s="66">
        <v>25909.51</v>
      </c>
      <c r="CS51" s="66">
        <v>25972.084999999999</v>
      </c>
      <c r="CT51" s="66">
        <v>26033.901000000002</v>
      </c>
      <c r="CU51" s="66">
        <v>26094.545999999998</v>
      </c>
      <c r="CV51" s="66">
        <v>26153.945</v>
      </c>
      <c r="CW51" s="66">
        <v>26212.228999999999</v>
      </c>
      <c r="CX51" s="66">
        <v>26269.463</v>
      </c>
    </row>
    <row r="52" spans="1:102" s="62" customFormat="1" ht="15" customHeight="1">
      <c r="A52" s="39" t="s">
        <v>431</v>
      </c>
      <c r="B52" s="63">
        <v>0.18338943286650669</v>
      </c>
      <c r="C52" s="63">
        <v>0.1810013783261947</v>
      </c>
      <c r="D52" s="63">
        <v>0.17821260556565621</v>
      </c>
      <c r="E52" s="63">
        <v>0.17564449660122561</v>
      </c>
      <c r="F52" s="63">
        <v>0.17309361876777871</v>
      </c>
      <c r="G52" s="63">
        <v>0.17047744674914439</v>
      </c>
      <c r="H52" s="63">
        <v>0.1679447258395502</v>
      </c>
      <c r="I52" s="63">
        <v>0.16572538736485901</v>
      </c>
      <c r="J52" s="63">
        <v>0.163788452496681</v>
      </c>
      <c r="K52" s="63">
        <v>0.16191558723135741</v>
      </c>
      <c r="L52" s="63">
        <v>0.15996343578171299</v>
      </c>
      <c r="M52" s="63">
        <v>0.15833248215045831</v>
      </c>
      <c r="N52" s="63">
        <v>0.15695735456180451</v>
      </c>
      <c r="O52" s="63">
        <v>0.15571703265244621</v>
      </c>
      <c r="P52" s="63">
        <v>0.1546857480664246</v>
      </c>
      <c r="Q52" s="63">
        <v>0.1539691481185434</v>
      </c>
      <c r="R52" s="63">
        <v>0.15320544524694751</v>
      </c>
      <c r="S52" s="63">
        <v>0.15295455132663191</v>
      </c>
      <c r="T52" s="63">
        <v>0.15276426919769179</v>
      </c>
      <c r="U52" s="63">
        <v>0.1525674407214791</v>
      </c>
      <c r="V52" s="63">
        <v>0.15237515967651599</v>
      </c>
      <c r="W52" s="63">
        <v>0.152192552524411</v>
      </c>
      <c r="X52" s="63">
        <v>0.15201592857984819</v>
      </c>
      <c r="Y52" s="63">
        <v>0.1518399647438706</v>
      </c>
      <c r="Z52" s="63">
        <v>0.15166043218408151</v>
      </c>
      <c r="AA52" s="63">
        <v>0.15147412098426219</v>
      </c>
      <c r="AB52" s="63">
        <v>0.15126734157839519</v>
      </c>
      <c r="AC52" s="63">
        <v>0.15101993428366031</v>
      </c>
      <c r="AD52" s="63">
        <v>0.15072123679282171</v>
      </c>
      <c r="AE52" s="63">
        <v>0.15036652945888829</v>
      </c>
      <c r="AF52" s="63">
        <v>0.14995309393589731</v>
      </c>
      <c r="AG52" s="63">
        <v>0.14947574611295761</v>
      </c>
      <c r="AH52" s="63">
        <v>0.148929143428426</v>
      </c>
      <c r="AI52" s="63">
        <v>0.1483150004367054</v>
      </c>
      <c r="AJ52" s="63">
        <v>0.14764072038050749</v>
      </c>
      <c r="AK52" s="63">
        <v>0.1469149216040799</v>
      </c>
      <c r="AL52" s="63">
        <v>0.14614440506669521</v>
      </c>
      <c r="AM52" s="63">
        <v>0.145341363734377</v>
      </c>
      <c r="AN52" s="63">
        <v>0.14452173322264539</v>
      </c>
      <c r="AO52" s="63">
        <v>0.1436974133394105</v>
      </c>
      <c r="AP52" s="63">
        <v>0.14287822096038669</v>
      </c>
      <c r="AQ52" s="63">
        <v>0.1420705649738295</v>
      </c>
      <c r="AR52" s="63">
        <v>0.14129219583777139</v>
      </c>
      <c r="AS52" s="63">
        <v>0.1405647298754365</v>
      </c>
      <c r="AT52" s="63">
        <v>0.13989637370804989</v>
      </c>
      <c r="AU52" s="63">
        <v>0.13929241953884419</v>
      </c>
      <c r="AV52" s="63">
        <v>0.13875498548943679</v>
      </c>
      <c r="AW52" s="63">
        <v>0.13828605226072591</v>
      </c>
      <c r="AX52" s="63">
        <v>0.13788715201674559</v>
      </c>
      <c r="AY52" s="63">
        <v>0.13755543258152211</v>
      </c>
      <c r="AZ52" s="63">
        <v>0.13728366141970921</v>
      </c>
      <c r="BA52" s="63">
        <v>0.13706412859124359</v>
      </c>
      <c r="BB52" s="63">
        <v>0.13689038744798479</v>
      </c>
      <c r="BC52" s="63">
        <v>0.13675601948974411</v>
      </c>
      <c r="BD52" s="63">
        <v>0.13665256297348211</v>
      </c>
      <c r="BE52" s="63">
        <v>0.1365716590805468</v>
      </c>
      <c r="BF52" s="63">
        <v>0.13650476329964509</v>
      </c>
      <c r="BG52" s="63">
        <v>0.136445798177766</v>
      </c>
      <c r="BH52" s="63">
        <v>0.1363892666963214</v>
      </c>
      <c r="BI52" s="63">
        <v>0.13632751038386309</v>
      </c>
      <c r="BJ52" s="63">
        <v>0.1362540819645657</v>
      </c>
      <c r="BK52" s="63">
        <v>0.13616456126650081</v>
      </c>
      <c r="BL52" s="63">
        <v>0.1360554474457564</v>
      </c>
      <c r="BM52" s="63">
        <v>0.13592485921224551</v>
      </c>
      <c r="BN52" s="63">
        <v>0.13577180034988071</v>
      </c>
      <c r="BO52" s="63">
        <v>0.13559555860665309</v>
      </c>
      <c r="BP52" s="63">
        <v>0.13539710930070331</v>
      </c>
      <c r="BQ52" s="63">
        <v>0.13517837008952169</v>
      </c>
      <c r="BR52" s="63">
        <v>0.13494194525876321</v>
      </c>
      <c r="BS52" s="63">
        <v>0.13469115466108719</v>
      </c>
      <c r="BT52" s="63">
        <v>0.13442996264589829</v>
      </c>
      <c r="BU52" s="63">
        <v>0.13416276803951571</v>
      </c>
      <c r="BV52" s="63">
        <v>0.13389407332633529</v>
      </c>
      <c r="BW52" s="63">
        <v>0.13362872992346361</v>
      </c>
      <c r="BX52" s="63">
        <v>0.13337137585648309</v>
      </c>
      <c r="BY52" s="63">
        <v>0.13312626123832541</v>
      </c>
      <c r="BZ52" s="63">
        <v>0.13289735830970301</v>
      </c>
      <c r="CA52" s="63">
        <v>0.13268789458279809</v>
      </c>
      <c r="CB52" s="63">
        <v>0.1325002567617666</v>
      </c>
      <c r="CC52" s="63">
        <v>0.13233630328496571</v>
      </c>
      <c r="CD52" s="63">
        <v>0.13219656348757769</v>
      </c>
      <c r="CE52" s="63">
        <v>0.13208092723004911</v>
      </c>
      <c r="CF52" s="63">
        <v>0.1319881548756385</v>
      </c>
      <c r="CG52" s="63">
        <v>0.13191625243297511</v>
      </c>
      <c r="CH52" s="63">
        <v>0.1318626730805138</v>
      </c>
      <c r="CI52" s="63">
        <v>0.13182414490999941</v>
      </c>
      <c r="CJ52" s="63">
        <v>0.13179711486578979</v>
      </c>
      <c r="CK52" s="63">
        <v>0.13177744079825479</v>
      </c>
      <c r="CL52" s="63">
        <v>0.13176106677365121</v>
      </c>
      <c r="CM52" s="63">
        <v>0.13174409741350479</v>
      </c>
      <c r="CN52" s="63">
        <v>0.13172280476262049</v>
      </c>
      <c r="CO52" s="63">
        <v>0.13169388856738151</v>
      </c>
      <c r="CP52" s="63">
        <v>0.13165437172703759</v>
      </c>
      <c r="CQ52" s="63">
        <v>0.13160195049165649</v>
      </c>
      <c r="CR52" s="63">
        <v>0.13153502951353049</v>
      </c>
      <c r="CS52" s="63">
        <v>0.13145233823572461</v>
      </c>
      <c r="CT52" s="63">
        <v>0.13135349311453601</v>
      </c>
      <c r="CU52" s="63">
        <v>0.13123878290661689</v>
      </c>
      <c r="CV52" s="63">
        <v>0.13110888362033141</v>
      </c>
      <c r="CW52" s="63">
        <v>0.13096512800794891</v>
      </c>
      <c r="CX52" s="63">
        <v>0.13080929880622361</v>
      </c>
    </row>
    <row r="53" spans="1:102" s="62" customFormat="1" ht="15" customHeight="1">
      <c r="A53" s="39" t="s">
        <v>432</v>
      </c>
      <c r="B53" s="63">
        <v>0.63900579445268513</v>
      </c>
      <c r="C53" s="63">
        <v>0.64120209082761548</v>
      </c>
      <c r="D53" s="63">
        <v>0.64282020495959113</v>
      </c>
      <c r="E53" s="63">
        <v>0.64381357016209095</v>
      </c>
      <c r="F53" s="63">
        <v>0.64610938698034737</v>
      </c>
      <c r="G53" s="63">
        <v>0.65196234382878193</v>
      </c>
      <c r="H53" s="63">
        <v>0.65583356871151499</v>
      </c>
      <c r="I53" s="63">
        <v>0.65512998873394357</v>
      </c>
      <c r="J53" s="63">
        <v>0.65403493111323274</v>
      </c>
      <c r="K53" s="63">
        <v>0.65278349263579893</v>
      </c>
      <c r="L53" s="63">
        <v>0.65163739146910926</v>
      </c>
      <c r="M53" s="63">
        <v>0.65042018867466755</v>
      </c>
      <c r="N53" s="63">
        <v>0.64907980882736638</v>
      </c>
      <c r="O53" s="63">
        <v>0.64784466213734593</v>
      </c>
      <c r="P53" s="63">
        <v>0.64653953737392045</v>
      </c>
      <c r="Q53" s="63">
        <v>0.64533411366442384</v>
      </c>
      <c r="R53" s="63">
        <v>0.64404216784139301</v>
      </c>
      <c r="S53" s="63">
        <v>0.64278531350279211</v>
      </c>
      <c r="T53" s="63">
        <v>0.64197743797332774</v>
      </c>
      <c r="U53" s="63">
        <v>0.64165973518110908</v>
      </c>
      <c r="V53" s="63">
        <v>0.64153676333536613</v>
      </c>
      <c r="W53" s="63">
        <v>0.64163762087082721</v>
      </c>
      <c r="X53" s="63">
        <v>0.64346029649674008</v>
      </c>
      <c r="Y53" s="63">
        <v>0.64853195134930741</v>
      </c>
      <c r="Z53" s="63">
        <v>0.65217427252576998</v>
      </c>
      <c r="AA53" s="63">
        <v>0.65169696070706751</v>
      </c>
      <c r="AB53" s="63">
        <v>0.65083396655693682</v>
      </c>
      <c r="AC53" s="63">
        <v>0.65004822411493568</v>
      </c>
      <c r="AD53" s="63">
        <v>0.64942766708250932</v>
      </c>
      <c r="AE53" s="63">
        <v>0.6488033116947759</v>
      </c>
      <c r="AF53" s="63">
        <v>0.64823299010908242</v>
      </c>
      <c r="AG53" s="63">
        <v>0.64737353553982158</v>
      </c>
      <c r="AH53" s="63">
        <v>0.64650582939806611</v>
      </c>
      <c r="AI53" s="63">
        <v>0.64558076134192199</v>
      </c>
      <c r="AJ53" s="63">
        <v>0.64439944209721511</v>
      </c>
      <c r="AK53" s="63">
        <v>0.64332723905903266</v>
      </c>
      <c r="AL53" s="63">
        <v>0.64214679175472122</v>
      </c>
      <c r="AM53" s="63">
        <v>0.64084835684181352</v>
      </c>
      <c r="AN53" s="63">
        <v>0.63958752935414243</v>
      </c>
      <c r="AO53" s="63">
        <v>0.63850544805724629</v>
      </c>
      <c r="AP53" s="63">
        <v>0.63729346494241301</v>
      </c>
      <c r="AQ53" s="63">
        <v>0.63618869839198544</v>
      </c>
      <c r="AR53" s="63">
        <v>0.63504291786736</v>
      </c>
      <c r="AS53" s="63">
        <v>0.63356309232971364</v>
      </c>
      <c r="AT53" s="63">
        <v>0.63212268035714836</v>
      </c>
      <c r="AU53" s="63">
        <v>0.63054809203245321</v>
      </c>
      <c r="AV53" s="63">
        <v>0.62908378162231793</v>
      </c>
      <c r="AW53" s="63">
        <v>0.62767342610735499</v>
      </c>
      <c r="AX53" s="63">
        <v>0.62617226634898193</v>
      </c>
      <c r="AY53" s="63">
        <v>0.6244985257346849</v>
      </c>
      <c r="AZ53" s="63">
        <v>0.62265901495353393</v>
      </c>
      <c r="BA53" s="63">
        <v>0.62086152015089224</v>
      </c>
      <c r="BB53" s="63">
        <v>0.61909971830904809</v>
      </c>
      <c r="BC53" s="63">
        <v>0.617230890326674</v>
      </c>
      <c r="BD53" s="63">
        <v>0.615059330270467</v>
      </c>
      <c r="BE53" s="63">
        <v>0.61301955596083557</v>
      </c>
      <c r="BF53" s="63">
        <v>0.6109574530078552</v>
      </c>
      <c r="BG53" s="63">
        <v>0.60882168110401358</v>
      </c>
      <c r="BH53" s="63">
        <v>0.60674159007230555</v>
      </c>
      <c r="BI53" s="63">
        <v>0.60494055080434417</v>
      </c>
      <c r="BJ53" s="63">
        <v>0.60339781116510793</v>
      </c>
      <c r="BK53" s="63">
        <v>0.60193840248253982</v>
      </c>
      <c r="BL53" s="63">
        <v>0.60044424685492592</v>
      </c>
      <c r="BM53" s="63">
        <v>0.59923574627005283</v>
      </c>
      <c r="BN53" s="63">
        <v>0.59825334867197377</v>
      </c>
      <c r="BO53" s="63">
        <v>0.59739441201783239</v>
      </c>
      <c r="BP53" s="63">
        <v>0.59671339111005128</v>
      </c>
      <c r="BQ53" s="63">
        <v>0.59629288964661475</v>
      </c>
      <c r="BR53" s="63">
        <v>0.59582357176899914</v>
      </c>
      <c r="BS53" s="63">
        <v>0.59576998462646447</v>
      </c>
      <c r="BT53" s="63">
        <v>0.59574924554505082</v>
      </c>
      <c r="BU53" s="63">
        <v>0.59570199248545197</v>
      </c>
      <c r="BV53" s="63">
        <v>0.59563515891431384</v>
      </c>
      <c r="BW53" s="63">
        <v>0.59555548529044677</v>
      </c>
      <c r="BX53" s="63">
        <v>0.59546428836085252</v>
      </c>
      <c r="BY53" s="63">
        <v>0.59535797394778511</v>
      </c>
      <c r="BZ53" s="63">
        <v>0.59523362875046704</v>
      </c>
      <c r="CA53" s="63">
        <v>0.59508761604220928</v>
      </c>
      <c r="CB53" s="63">
        <v>0.59491791573413388</v>
      </c>
      <c r="CC53" s="63">
        <v>0.59471735525353642</v>
      </c>
      <c r="CD53" s="63">
        <v>0.5944789423445781</v>
      </c>
      <c r="CE53" s="63">
        <v>0.59419904873314222</v>
      </c>
      <c r="CF53" s="63">
        <v>0.59387511118452485</v>
      </c>
      <c r="CG53" s="63">
        <v>0.59350256579453475</v>
      </c>
      <c r="CH53" s="63">
        <v>0.59307650920311716</v>
      </c>
      <c r="CI53" s="63">
        <v>0.59259524153202159</v>
      </c>
      <c r="CJ53" s="63">
        <v>0.59205963573697462</v>
      </c>
      <c r="CK53" s="63">
        <v>0.59147229650461053</v>
      </c>
      <c r="CL53" s="63">
        <v>0.59083531820338908</v>
      </c>
      <c r="CM53" s="63">
        <v>0.59015654936294648</v>
      </c>
      <c r="CN53" s="63">
        <v>0.58944664168153327</v>
      </c>
      <c r="CO53" s="63">
        <v>0.58871332737309467</v>
      </c>
      <c r="CP53" s="63">
        <v>0.58796237552469699</v>
      </c>
      <c r="CQ53" s="63">
        <v>0.58719888244435947</v>
      </c>
      <c r="CR53" s="63">
        <v>0.58643916386299333</v>
      </c>
      <c r="CS53" s="63">
        <v>0.58570246788253721</v>
      </c>
      <c r="CT53" s="63">
        <v>0.58499554920040198</v>
      </c>
      <c r="CU53" s="63">
        <v>0.58432378600577739</v>
      </c>
      <c r="CV53" s="63">
        <v>0.58369074416192945</v>
      </c>
      <c r="CW53" s="63">
        <v>0.58309999315450767</v>
      </c>
      <c r="CX53" s="63">
        <v>0.58255517346036312</v>
      </c>
    </row>
    <row r="54" spans="1:102" s="62" customFormat="1" ht="15" customHeight="1">
      <c r="A54" s="39" t="s">
        <v>433</v>
      </c>
      <c r="B54" s="63">
        <v>0.1776047726808081</v>
      </c>
      <c r="C54" s="63">
        <v>0.17779653084618979</v>
      </c>
      <c r="D54" s="63">
        <v>0.17896718947475271</v>
      </c>
      <c r="E54" s="63">
        <v>0.18054193323668341</v>
      </c>
      <c r="F54" s="63">
        <v>0.1807969942518739</v>
      </c>
      <c r="G54" s="63">
        <v>0.17756020942207371</v>
      </c>
      <c r="H54" s="63">
        <v>0.17622170544893481</v>
      </c>
      <c r="I54" s="63">
        <v>0.17914462390119751</v>
      </c>
      <c r="J54" s="63">
        <v>0.1821766163900862</v>
      </c>
      <c r="K54" s="63">
        <v>0.18530092013284369</v>
      </c>
      <c r="L54" s="63">
        <v>0.1883991727491777</v>
      </c>
      <c r="M54" s="63">
        <v>0.19124732917487419</v>
      </c>
      <c r="N54" s="63">
        <v>0.19396283661082911</v>
      </c>
      <c r="O54" s="63">
        <v>0.19643830521020789</v>
      </c>
      <c r="P54" s="63">
        <v>0.19877471455965501</v>
      </c>
      <c r="Q54" s="63">
        <v>0.20069673821703271</v>
      </c>
      <c r="R54" s="63">
        <v>0.20275238691165939</v>
      </c>
      <c r="S54" s="63">
        <v>0.20426013517057601</v>
      </c>
      <c r="T54" s="63">
        <v>0.20525829282898039</v>
      </c>
      <c r="U54" s="63">
        <v>0.2057728240974119</v>
      </c>
      <c r="V54" s="63">
        <v>0.2060880769881179</v>
      </c>
      <c r="W54" s="63">
        <v>0.2061698266047618</v>
      </c>
      <c r="X54" s="63">
        <v>0.2045237749234117</v>
      </c>
      <c r="Y54" s="63">
        <v>0.19962808390682199</v>
      </c>
      <c r="Z54" s="63">
        <v>0.19616529529014851</v>
      </c>
      <c r="AA54" s="63">
        <v>0.19682891830867019</v>
      </c>
      <c r="AB54" s="63">
        <v>0.19789869186466791</v>
      </c>
      <c r="AC54" s="63">
        <v>0.19893184160140401</v>
      </c>
      <c r="AD54" s="63">
        <v>0.199851096124669</v>
      </c>
      <c r="AE54" s="63">
        <v>0.20083015884633579</v>
      </c>
      <c r="AF54" s="63">
        <v>0.20181391595502041</v>
      </c>
      <c r="AG54" s="63">
        <v>0.20315071834722079</v>
      </c>
      <c r="AH54" s="63">
        <v>0.20456502717350791</v>
      </c>
      <c r="AI54" s="63">
        <v>0.20610423822137261</v>
      </c>
      <c r="AJ54" s="63">
        <v>0.20795983752227731</v>
      </c>
      <c r="AK54" s="63">
        <v>0.20975783933688741</v>
      </c>
      <c r="AL54" s="63">
        <v>0.21170880317858359</v>
      </c>
      <c r="AM54" s="63">
        <v>0.21381027942380951</v>
      </c>
      <c r="AN54" s="63">
        <v>0.21589073742321219</v>
      </c>
      <c r="AO54" s="63">
        <v>0.21779713860334321</v>
      </c>
      <c r="AP54" s="63">
        <v>0.21982831409720019</v>
      </c>
      <c r="AQ54" s="63">
        <v>0.22174073663418509</v>
      </c>
      <c r="AR54" s="63">
        <v>0.22366488629486861</v>
      </c>
      <c r="AS54" s="63">
        <v>0.2258721777948498</v>
      </c>
      <c r="AT54" s="63">
        <v>0.22798094593480181</v>
      </c>
      <c r="AU54" s="63">
        <v>0.23015948842870271</v>
      </c>
      <c r="AV54" s="63">
        <v>0.23216123288824519</v>
      </c>
      <c r="AW54" s="63">
        <v>0.2340405216319191</v>
      </c>
      <c r="AX54" s="63">
        <v>0.23594058163427251</v>
      </c>
      <c r="AY54" s="63">
        <v>0.23794604168379299</v>
      </c>
      <c r="AZ54" s="63">
        <v>0.24005732362675691</v>
      </c>
      <c r="BA54" s="63">
        <v>0.2420743512578642</v>
      </c>
      <c r="BB54" s="63">
        <v>0.2440098942429671</v>
      </c>
      <c r="BC54" s="63">
        <v>0.24601309018358189</v>
      </c>
      <c r="BD54" s="63">
        <v>0.2482881067560509</v>
      </c>
      <c r="BE54" s="63">
        <v>0.25040878495861763</v>
      </c>
      <c r="BF54" s="63">
        <v>0.25253778369249968</v>
      </c>
      <c r="BG54" s="63">
        <v>0.25473252071822039</v>
      </c>
      <c r="BH54" s="63">
        <v>0.256869143231373</v>
      </c>
      <c r="BI54" s="63">
        <v>0.25873193881179268</v>
      </c>
      <c r="BJ54" s="63">
        <v>0.26034810687032639</v>
      </c>
      <c r="BK54" s="63">
        <v>0.26189703625095939</v>
      </c>
      <c r="BL54" s="63">
        <v>0.26350030569931759</v>
      </c>
      <c r="BM54" s="63">
        <v>0.26483939451770172</v>
      </c>
      <c r="BN54" s="63">
        <v>0.26597485097814549</v>
      </c>
      <c r="BO54" s="63">
        <v>0.26701002937551449</v>
      </c>
      <c r="BP54" s="63">
        <v>0.26788949958924541</v>
      </c>
      <c r="BQ54" s="63">
        <v>0.26852874026386347</v>
      </c>
      <c r="BR54" s="63">
        <v>0.26923448297223762</v>
      </c>
      <c r="BS54" s="63">
        <v>0.26953886071244842</v>
      </c>
      <c r="BT54" s="63">
        <v>0.26982079180905078</v>
      </c>
      <c r="BU54" s="63">
        <v>0.27013523947503232</v>
      </c>
      <c r="BV54" s="63">
        <v>0.27047076775935092</v>
      </c>
      <c r="BW54" s="63">
        <v>0.27081578478608948</v>
      </c>
      <c r="BX54" s="63">
        <v>0.27116433578266452</v>
      </c>
      <c r="BY54" s="63">
        <v>0.27151576481388939</v>
      </c>
      <c r="BZ54" s="63">
        <v>0.27186901293983001</v>
      </c>
      <c r="CA54" s="63">
        <v>0.27222448937499261</v>
      </c>
      <c r="CB54" s="63">
        <v>0.27258182750409943</v>
      </c>
      <c r="CC54" s="63">
        <v>0.27294634146149788</v>
      </c>
      <c r="CD54" s="63">
        <v>0.27332449416784421</v>
      </c>
      <c r="CE54" s="63">
        <v>0.27372002403680862</v>
      </c>
      <c r="CF54" s="63">
        <v>0.27413673393983667</v>
      </c>
      <c r="CG54" s="63">
        <v>0.27458118177249008</v>
      </c>
      <c r="CH54" s="63">
        <v>0.27506081771636909</v>
      </c>
      <c r="CI54" s="63">
        <v>0.27558061355797903</v>
      </c>
      <c r="CJ54" s="63">
        <v>0.2761432493972355</v>
      </c>
      <c r="CK54" s="63">
        <v>0.27675026269713471</v>
      </c>
      <c r="CL54" s="63">
        <v>0.27740361502295968</v>
      </c>
      <c r="CM54" s="63">
        <v>0.27809935322354878</v>
      </c>
      <c r="CN54" s="63">
        <v>0.27883055355584618</v>
      </c>
      <c r="CO54" s="63">
        <v>0.27959278405952392</v>
      </c>
      <c r="CP54" s="63">
        <v>0.28038325274826548</v>
      </c>
      <c r="CQ54" s="63">
        <v>0.28119916706398401</v>
      </c>
      <c r="CR54" s="63">
        <v>0.28202580662347621</v>
      </c>
      <c r="CS54" s="63">
        <v>0.28284519388173818</v>
      </c>
      <c r="CT54" s="63">
        <v>0.28365095768506199</v>
      </c>
      <c r="CU54" s="63">
        <v>0.28443743108760572</v>
      </c>
      <c r="CV54" s="63">
        <v>0.28520037221773908</v>
      </c>
      <c r="CW54" s="63">
        <v>0.28593487883754348</v>
      </c>
      <c r="CX54" s="63">
        <v>0.28663552773341339</v>
      </c>
    </row>
    <row r="55" spans="1:102" s="62" customFormat="1" ht="15" customHeight="1">
      <c r="A55" s="39" t="s">
        <v>436</v>
      </c>
      <c r="B55" s="67">
        <v>286.99181518937809</v>
      </c>
      <c r="C55" s="67">
        <v>282.28444809431568</v>
      </c>
      <c r="D55" s="67">
        <v>277.23553832110639</v>
      </c>
      <c r="E55" s="67">
        <v>272.81887916249428</v>
      </c>
      <c r="F55" s="67">
        <v>267.90141461455607</v>
      </c>
      <c r="G55" s="67">
        <v>261.48357855759087</v>
      </c>
      <c r="H55" s="67">
        <v>256.07827023783369</v>
      </c>
      <c r="I55" s="67">
        <v>252.96565599924341</v>
      </c>
      <c r="J55" s="67">
        <v>250.42768314820231</v>
      </c>
      <c r="K55" s="67">
        <v>248.03872808973341</v>
      </c>
      <c r="L55" s="67">
        <v>245.47921570472991</v>
      </c>
      <c r="M55" s="67">
        <v>243.43106949537551</v>
      </c>
      <c r="N55" s="67">
        <v>241.81518578642149</v>
      </c>
      <c r="O55" s="67">
        <v>240.36168197899499</v>
      </c>
      <c r="P55" s="67">
        <v>239.25179996681851</v>
      </c>
      <c r="Q55" s="67">
        <v>238.58826747009371</v>
      </c>
      <c r="R55" s="67">
        <v>237.88107812946359</v>
      </c>
      <c r="S55" s="67">
        <v>237.9558899582224</v>
      </c>
      <c r="T55" s="67">
        <v>237.9589377470283</v>
      </c>
      <c r="U55" s="67">
        <v>237.7700085519887</v>
      </c>
      <c r="V55" s="67">
        <v>237.51586562913971</v>
      </c>
      <c r="W55" s="67">
        <v>237.1939356016189</v>
      </c>
      <c r="X55" s="67">
        <v>236.24756555685701</v>
      </c>
      <c r="Y55" s="67">
        <v>234.12873402452871</v>
      </c>
      <c r="Z55" s="67">
        <v>232.5458678348721</v>
      </c>
      <c r="AA55" s="67">
        <v>232.4303013779876</v>
      </c>
      <c r="AB55" s="67">
        <v>232.4207852559305</v>
      </c>
      <c r="AC55" s="67">
        <v>232.32112431239929</v>
      </c>
      <c r="AD55" s="67">
        <v>232.08317790019979</v>
      </c>
      <c r="AE55" s="67">
        <v>231.75980570460931</v>
      </c>
      <c r="AF55" s="67">
        <v>231.32592173481279</v>
      </c>
      <c r="AG55" s="67">
        <v>230.89566982115679</v>
      </c>
      <c r="AH55" s="67">
        <v>230.3600936856015</v>
      </c>
      <c r="AI55" s="67">
        <v>229.7388790341486</v>
      </c>
      <c r="AJ55" s="67">
        <v>229.11366884491221</v>
      </c>
      <c r="AK55" s="67">
        <v>228.36732643089411</v>
      </c>
      <c r="AL55" s="67">
        <v>227.58722295776499</v>
      </c>
      <c r="AM55" s="67">
        <v>226.7952506746505</v>
      </c>
      <c r="AN55" s="67">
        <v>225.96083661697389</v>
      </c>
      <c r="AO55" s="67">
        <v>225.05275996725251</v>
      </c>
      <c r="AP55" s="67">
        <v>224.19533357885209</v>
      </c>
      <c r="AQ55" s="67">
        <v>223.31513485373679</v>
      </c>
      <c r="AR55" s="67">
        <v>222.4923573862811</v>
      </c>
      <c r="AS55" s="67">
        <v>221.86382315699191</v>
      </c>
      <c r="AT55" s="67">
        <v>221.312061812129</v>
      </c>
      <c r="AU55" s="67">
        <v>220.90689243045881</v>
      </c>
      <c r="AV55" s="67">
        <v>220.566782268027</v>
      </c>
      <c r="AW55" s="67">
        <v>220.31528898448849</v>
      </c>
      <c r="AX55" s="67">
        <v>220.20641830837249</v>
      </c>
      <c r="AY55" s="67">
        <v>220.26542403714481</v>
      </c>
      <c r="AZ55" s="67">
        <v>220.47968169216011</v>
      </c>
      <c r="BA55" s="67">
        <v>220.7644122604537</v>
      </c>
      <c r="BB55" s="67">
        <v>221.11201701379321</v>
      </c>
      <c r="BC55" s="67">
        <v>221.563796681279</v>
      </c>
      <c r="BD55" s="67">
        <v>222.17785544914889</v>
      </c>
      <c r="BE55" s="67">
        <v>222.7851587319868</v>
      </c>
      <c r="BF55" s="67">
        <v>223.42760961112299</v>
      </c>
      <c r="BG55" s="67">
        <v>224.11455178524599</v>
      </c>
      <c r="BH55" s="67">
        <v>224.78971102025139</v>
      </c>
      <c r="BI55" s="67">
        <v>225.3568721795863</v>
      </c>
      <c r="BJ55" s="67">
        <v>225.81136265885871</v>
      </c>
      <c r="BK55" s="67">
        <v>226.21012499771589</v>
      </c>
      <c r="BL55" s="67">
        <v>226.5913082828304</v>
      </c>
      <c r="BM55" s="67">
        <v>226.83035859978429</v>
      </c>
      <c r="BN55" s="67">
        <v>226.94699603649909</v>
      </c>
      <c r="BO55" s="67">
        <v>226.97828416012291</v>
      </c>
      <c r="BP55" s="67">
        <v>226.90476084142739</v>
      </c>
      <c r="BQ55" s="67">
        <v>226.69794062047839</v>
      </c>
      <c r="BR55" s="67">
        <v>226.47970246984499</v>
      </c>
      <c r="BS55" s="67">
        <v>226.0791213668405</v>
      </c>
      <c r="BT55" s="67">
        <v>225.64856548480961</v>
      </c>
      <c r="BU55" s="67">
        <v>225.2179273058116</v>
      </c>
      <c r="BV55" s="67">
        <v>224.79209180732201</v>
      </c>
      <c r="BW55" s="67">
        <v>224.37662522459041</v>
      </c>
      <c r="BX55" s="67">
        <v>223.97879849959989</v>
      </c>
      <c r="BY55" s="67">
        <v>223.6070852559053</v>
      </c>
      <c r="BZ55" s="67">
        <v>223.2692373055018</v>
      </c>
      <c r="CA55" s="67">
        <v>222.9720313544326</v>
      </c>
      <c r="CB55" s="67">
        <v>222.72023292198239</v>
      </c>
      <c r="CC55" s="67">
        <v>222.51965932379559</v>
      </c>
      <c r="CD55" s="67">
        <v>222.37383710549091</v>
      </c>
      <c r="CE55" s="67">
        <v>222.28397623936169</v>
      </c>
      <c r="CF55" s="67">
        <v>222.2490089075782</v>
      </c>
      <c r="CG55" s="67">
        <v>222.26736670695939</v>
      </c>
      <c r="CH55" s="67">
        <v>222.33669861193809</v>
      </c>
      <c r="CI55" s="67">
        <v>222.45225015509371</v>
      </c>
      <c r="CJ55" s="67">
        <v>222.60783696516231</v>
      </c>
      <c r="CK55" s="67">
        <v>222.7956264004456</v>
      </c>
      <c r="CL55" s="67">
        <v>223.00810854420479</v>
      </c>
      <c r="CM55" s="67">
        <v>223.2358474301742</v>
      </c>
      <c r="CN55" s="67">
        <v>223.46858128981901</v>
      </c>
      <c r="CO55" s="67">
        <v>223.6978210685572</v>
      </c>
      <c r="CP55" s="67">
        <v>223.9163205120895</v>
      </c>
      <c r="CQ55" s="67">
        <v>224.118189639311</v>
      </c>
      <c r="CR55" s="67">
        <v>224.29441554872071</v>
      </c>
      <c r="CS55" s="67">
        <v>224.43534976206959</v>
      </c>
      <c r="CT55" s="67">
        <v>224.53759399379331</v>
      </c>
      <c r="CU55" s="67">
        <v>224.59941910583001</v>
      </c>
      <c r="CV55" s="67">
        <v>224.62046028942811</v>
      </c>
      <c r="CW55" s="67">
        <v>224.6014912458526</v>
      </c>
      <c r="CX55" s="67">
        <v>224.54405138867719</v>
      </c>
    </row>
    <row r="56" spans="1:102" s="62" customFormat="1" ht="32.450000000000003" customHeight="1">
      <c r="A56" s="68" t="s">
        <v>437</v>
      </c>
      <c r="B56" s="67">
        <v>277.93922093136632</v>
      </c>
      <c r="C56" s="67">
        <v>277.28626183471022</v>
      </c>
      <c r="D56" s="67">
        <v>278.40940296206611</v>
      </c>
      <c r="E56" s="67">
        <v>280.42579654111512</v>
      </c>
      <c r="F56" s="67">
        <v>279.82412559713077</v>
      </c>
      <c r="G56" s="67">
        <v>272.34733892653242</v>
      </c>
      <c r="H56" s="67">
        <v>268.69881911526608</v>
      </c>
      <c r="I56" s="67">
        <v>273.44897498494822</v>
      </c>
      <c r="J56" s="67">
        <v>278.54264003912363</v>
      </c>
      <c r="K56" s="67">
        <v>283.86275422596628</v>
      </c>
      <c r="L56" s="67">
        <v>289.11657804723848</v>
      </c>
      <c r="M56" s="67">
        <v>294.03658205101289</v>
      </c>
      <c r="N56" s="67">
        <v>298.82740762071182</v>
      </c>
      <c r="O56" s="67">
        <v>303.21821987716271</v>
      </c>
      <c r="P56" s="67">
        <v>307.44402015540669</v>
      </c>
      <c r="Q56" s="67">
        <v>310.99663564569562</v>
      </c>
      <c r="R56" s="67">
        <v>314.81228564771692</v>
      </c>
      <c r="S56" s="67">
        <v>317.77349432189328</v>
      </c>
      <c r="T56" s="67">
        <v>319.72820334148298</v>
      </c>
      <c r="U56" s="67">
        <v>320.68838484829081</v>
      </c>
      <c r="V56" s="67">
        <v>321.24125812628517</v>
      </c>
      <c r="W56" s="67">
        <v>321.31817072220491</v>
      </c>
      <c r="X56" s="67">
        <v>317.84987517788193</v>
      </c>
      <c r="Y56" s="67">
        <v>307.81534123567008</v>
      </c>
      <c r="Z56" s="67">
        <v>300.7866203161168</v>
      </c>
      <c r="AA56" s="67">
        <v>302.02522057969702</v>
      </c>
      <c r="AB56" s="67">
        <v>304.06939716376212</v>
      </c>
      <c r="AC56" s="67">
        <v>306.02628269965197</v>
      </c>
      <c r="AD56" s="67">
        <v>307.73418850859957</v>
      </c>
      <c r="AE56" s="67">
        <v>309.53935534289423</v>
      </c>
      <c r="AF56" s="67">
        <v>311.32928905864509</v>
      </c>
      <c r="AG56" s="67">
        <v>313.80757351753761</v>
      </c>
      <c r="AH56" s="67">
        <v>316.41636915164338</v>
      </c>
      <c r="AI56" s="67">
        <v>319.25399665404939</v>
      </c>
      <c r="AJ56" s="67">
        <v>322.71883545626059</v>
      </c>
      <c r="AK56" s="67">
        <v>326.05154360274139</v>
      </c>
      <c r="AL56" s="67">
        <v>329.68910831131171</v>
      </c>
      <c r="AM56" s="67">
        <v>333.63630746826777</v>
      </c>
      <c r="AN56" s="67">
        <v>337.54682121651018</v>
      </c>
      <c r="AO56" s="67">
        <v>341.10458926548768</v>
      </c>
      <c r="AP56" s="67">
        <v>344.94048062624381</v>
      </c>
      <c r="AQ56" s="67">
        <v>348.54554504764292</v>
      </c>
      <c r="AR56" s="67">
        <v>352.20436288935201</v>
      </c>
      <c r="AS56" s="67">
        <v>356.51094662771681</v>
      </c>
      <c r="AT56" s="67">
        <v>360.65933563085088</v>
      </c>
      <c r="AU56" s="67">
        <v>365.01496291397348</v>
      </c>
      <c r="AV56" s="67">
        <v>369.04660344212698</v>
      </c>
      <c r="AW56" s="67">
        <v>372.86989045142349</v>
      </c>
      <c r="AX56" s="67">
        <v>376.79819805813099</v>
      </c>
      <c r="AY56" s="67">
        <v>381.01938095668658</v>
      </c>
      <c r="AZ56" s="67">
        <v>385.53577136383581</v>
      </c>
      <c r="BA56" s="67">
        <v>389.90071602284388</v>
      </c>
      <c r="BB56" s="67">
        <v>394.13665848440888</v>
      </c>
      <c r="BC56" s="67">
        <v>398.57546671615478</v>
      </c>
      <c r="BD56" s="67">
        <v>403.68155482962658</v>
      </c>
      <c r="BE56" s="67">
        <v>408.48417073111398</v>
      </c>
      <c r="BF56" s="67">
        <v>413.34757837752858</v>
      </c>
      <c r="BG56" s="67">
        <v>418.40251197411112</v>
      </c>
      <c r="BH56" s="67">
        <v>423.35839084438197</v>
      </c>
      <c r="BI56" s="67">
        <v>427.69812416736852</v>
      </c>
      <c r="BJ56" s="67">
        <v>431.47008831141949</v>
      </c>
      <c r="BK56" s="67">
        <v>435.08942970050191</v>
      </c>
      <c r="BL56" s="67">
        <v>438.84225234817228</v>
      </c>
      <c r="BM56" s="67">
        <v>441.96194263475837</v>
      </c>
      <c r="BN56" s="67">
        <v>444.58564514275918</v>
      </c>
      <c r="BO56" s="67">
        <v>446.95769495671851</v>
      </c>
      <c r="BP56" s="67">
        <v>448.94165872647358</v>
      </c>
      <c r="BQ56" s="67">
        <v>450.33027380722842</v>
      </c>
      <c r="BR56" s="67">
        <v>451.86947232195058</v>
      </c>
      <c r="BS56" s="67">
        <v>452.42101426348921</v>
      </c>
      <c r="BT56" s="67">
        <v>452.91000169407158</v>
      </c>
      <c r="BU56" s="67">
        <v>453.47378871093753</v>
      </c>
      <c r="BV56" s="67">
        <v>454.08798273820491</v>
      </c>
      <c r="BW56" s="67">
        <v>454.72805049224797</v>
      </c>
      <c r="BX56" s="67">
        <v>455.38303653625383</v>
      </c>
      <c r="BY56" s="67">
        <v>456.05463720168842</v>
      </c>
      <c r="BZ56" s="67">
        <v>456.74336900377398</v>
      </c>
      <c r="CA56" s="67">
        <v>457.45278852464622</v>
      </c>
      <c r="CB56" s="67">
        <v>458.18392805960639</v>
      </c>
      <c r="CC56" s="67">
        <v>458.95136412344488</v>
      </c>
      <c r="CD56" s="67">
        <v>459.77153217551142</v>
      </c>
      <c r="CE56" s="67">
        <v>460.65375671736842</v>
      </c>
      <c r="CF56" s="67">
        <v>461.60670615249751</v>
      </c>
      <c r="CG56" s="67">
        <v>462.64531545015689</v>
      </c>
      <c r="CH56" s="67">
        <v>463.78639762001791</v>
      </c>
      <c r="CI56" s="67">
        <v>465.04020660970451</v>
      </c>
      <c r="CJ56" s="67">
        <v>466.41120713034638</v>
      </c>
      <c r="CK56" s="67">
        <v>467.90063428605129</v>
      </c>
      <c r="CL56" s="67">
        <v>469.51088818875633</v>
      </c>
      <c r="CM56" s="67">
        <v>471.22980084478837</v>
      </c>
      <c r="CN56" s="67">
        <v>473.03781858934241</v>
      </c>
      <c r="CO56" s="67">
        <v>474.92178460966483</v>
      </c>
      <c r="CP56" s="67">
        <v>476.87278033403368</v>
      </c>
      <c r="CQ56" s="67">
        <v>478.88232670577207</v>
      </c>
      <c r="CR56" s="67">
        <v>480.91229918158132</v>
      </c>
      <c r="CS56" s="67">
        <v>482.91617227479878</v>
      </c>
      <c r="CT56" s="67">
        <v>484.87712098454222</v>
      </c>
      <c r="CU56" s="67">
        <v>486.78051090802819</v>
      </c>
      <c r="CV56" s="67">
        <v>488.61554696611381</v>
      </c>
      <c r="CW56" s="67">
        <v>490.37023185451739</v>
      </c>
      <c r="CX56" s="67">
        <v>492.03155476382699</v>
      </c>
    </row>
    <row r="57" spans="1:102" s="62" customFormat="1" ht="34.35" customHeight="1">
      <c r="A57" s="68" t="s">
        <v>438</v>
      </c>
      <c r="B57" s="67">
        <v>564.93103612074447</v>
      </c>
      <c r="C57" s="67">
        <v>559.57070992902584</v>
      </c>
      <c r="D57" s="67">
        <v>555.64494128317244</v>
      </c>
      <c r="E57" s="67">
        <v>553.24467570360935</v>
      </c>
      <c r="F57" s="67">
        <v>547.72554021168685</v>
      </c>
      <c r="G57" s="67">
        <v>533.83091748412335</v>
      </c>
      <c r="H57" s="67">
        <v>524.77708935309988</v>
      </c>
      <c r="I57" s="67">
        <v>526.4146309841916</v>
      </c>
      <c r="J57" s="67">
        <v>528.9703231873259</v>
      </c>
      <c r="K57" s="67">
        <v>531.9014823156997</v>
      </c>
      <c r="L57" s="67">
        <v>534.59579375196847</v>
      </c>
      <c r="M57" s="67">
        <v>537.46765154638842</v>
      </c>
      <c r="N57" s="67">
        <v>540.64259340713329</v>
      </c>
      <c r="O57" s="67">
        <v>543.57990185615768</v>
      </c>
      <c r="P57" s="67">
        <v>546.69582012222531</v>
      </c>
      <c r="Q57" s="67">
        <v>549.5849031157893</v>
      </c>
      <c r="R57" s="67">
        <v>552.69336377718059</v>
      </c>
      <c r="S57" s="67">
        <v>555.72938428011571</v>
      </c>
      <c r="T57" s="67">
        <v>557.68714108851134</v>
      </c>
      <c r="U57" s="67">
        <v>558.45839340027942</v>
      </c>
      <c r="V57" s="67">
        <v>558.75712375542491</v>
      </c>
      <c r="W57" s="67">
        <v>558.51210632382379</v>
      </c>
      <c r="X57" s="67">
        <v>554.09744073473894</v>
      </c>
      <c r="Y57" s="67">
        <v>541.94407526019882</v>
      </c>
      <c r="Z57" s="67">
        <v>533.33248815098887</v>
      </c>
      <c r="AA57" s="67">
        <v>534.4555219576846</v>
      </c>
      <c r="AB57" s="67">
        <v>536.49018241969247</v>
      </c>
      <c r="AC57" s="67">
        <v>538.34740701205124</v>
      </c>
      <c r="AD57" s="67">
        <v>539.81736640879944</v>
      </c>
      <c r="AE57" s="67">
        <v>541.2991610475035</v>
      </c>
      <c r="AF57" s="67">
        <v>542.65521079345785</v>
      </c>
      <c r="AG57" s="67">
        <v>544.70324333869439</v>
      </c>
      <c r="AH57" s="67">
        <v>546.77646283724482</v>
      </c>
      <c r="AI57" s="67">
        <v>548.99287568819796</v>
      </c>
      <c r="AJ57" s="67">
        <v>551.83250430117278</v>
      </c>
      <c r="AK57" s="67">
        <v>554.41887003363559</v>
      </c>
      <c r="AL57" s="67">
        <v>557.27633126907665</v>
      </c>
      <c r="AM57" s="67">
        <v>560.43155814291822</v>
      </c>
      <c r="AN57" s="67">
        <v>563.50765783348402</v>
      </c>
      <c r="AO57" s="67">
        <v>566.15734923274022</v>
      </c>
      <c r="AP57" s="67">
        <v>569.13581420509593</v>
      </c>
      <c r="AQ57" s="67">
        <v>571.86067990137963</v>
      </c>
      <c r="AR57" s="67">
        <v>574.69672027563308</v>
      </c>
      <c r="AS57" s="67">
        <v>578.37476978470875</v>
      </c>
      <c r="AT57" s="67">
        <v>581.97139744297988</v>
      </c>
      <c r="AU57" s="67">
        <v>585.92185534443229</v>
      </c>
      <c r="AV57" s="67">
        <v>589.61338571015403</v>
      </c>
      <c r="AW57" s="67">
        <v>593.18517943591212</v>
      </c>
      <c r="AX57" s="67">
        <v>597.00461636650357</v>
      </c>
      <c r="AY57" s="67">
        <v>601.28480499383136</v>
      </c>
      <c r="AZ57" s="67">
        <v>606.01545305599598</v>
      </c>
      <c r="BA57" s="67">
        <v>610.66512828329769</v>
      </c>
      <c r="BB57" s="67">
        <v>615.24867549820215</v>
      </c>
      <c r="BC57" s="67">
        <v>620.13926339743387</v>
      </c>
      <c r="BD57" s="67">
        <v>625.85941027877539</v>
      </c>
      <c r="BE57" s="67">
        <v>631.2693294631008</v>
      </c>
      <c r="BF57" s="67">
        <v>636.77518798865162</v>
      </c>
      <c r="BG57" s="67">
        <v>642.51706375935714</v>
      </c>
      <c r="BH57" s="67">
        <v>648.14810186463342</v>
      </c>
      <c r="BI57" s="67">
        <v>653.05499634695479</v>
      </c>
      <c r="BJ57" s="67">
        <v>657.28145097027823</v>
      </c>
      <c r="BK57" s="67">
        <v>661.29955469821766</v>
      </c>
      <c r="BL57" s="67">
        <v>665.43356063100271</v>
      </c>
      <c r="BM57" s="67">
        <v>668.79230123454272</v>
      </c>
      <c r="BN57" s="67">
        <v>671.53264117925823</v>
      </c>
      <c r="BO57" s="67">
        <v>673.93597911684139</v>
      </c>
      <c r="BP57" s="67">
        <v>675.84641956790108</v>
      </c>
      <c r="BQ57" s="67">
        <v>677.02821442770676</v>
      </c>
      <c r="BR57" s="67">
        <v>678.34917479179558</v>
      </c>
      <c r="BS57" s="67">
        <v>678.50013563032974</v>
      </c>
      <c r="BT57" s="67">
        <v>678.55856717888128</v>
      </c>
      <c r="BU57" s="67">
        <v>678.69171601674907</v>
      </c>
      <c r="BV57" s="67">
        <v>678.8800745455269</v>
      </c>
      <c r="BW57" s="67">
        <v>679.1046757168383</v>
      </c>
      <c r="BX57" s="67">
        <v>679.36183503585369</v>
      </c>
      <c r="BY57" s="67">
        <v>679.66172245759367</v>
      </c>
      <c r="BZ57" s="67">
        <v>680.01260630927584</v>
      </c>
      <c r="CA57" s="67">
        <v>680.42481987907877</v>
      </c>
      <c r="CB57" s="67">
        <v>680.90416098158892</v>
      </c>
      <c r="CC57" s="67">
        <v>681.47102344724044</v>
      </c>
      <c r="CD57" s="67">
        <v>682.14536928100233</v>
      </c>
      <c r="CE57" s="67">
        <v>682.93773295673009</v>
      </c>
      <c r="CF57" s="67">
        <v>683.85571506007568</v>
      </c>
      <c r="CG57" s="67">
        <v>684.91268215711625</v>
      </c>
      <c r="CH57" s="67">
        <v>686.12309623195597</v>
      </c>
      <c r="CI57" s="67">
        <v>687.49245676479813</v>
      </c>
      <c r="CJ57" s="67">
        <v>689.01904409550866</v>
      </c>
      <c r="CK57" s="67">
        <v>690.69626068649688</v>
      </c>
      <c r="CL57" s="67">
        <v>692.51899673296111</v>
      </c>
      <c r="CM57" s="67">
        <v>694.46564827496252</v>
      </c>
      <c r="CN57" s="67">
        <v>696.50639987916134</v>
      </c>
      <c r="CO57" s="67">
        <v>698.61960567822189</v>
      </c>
      <c r="CP57" s="67">
        <v>700.78910084612312</v>
      </c>
      <c r="CQ57" s="67">
        <v>703.00051634508316</v>
      </c>
      <c r="CR57" s="67">
        <v>705.206714730302</v>
      </c>
      <c r="CS57" s="67">
        <v>707.35152203686846</v>
      </c>
      <c r="CT57" s="67">
        <v>709.4147149783355</v>
      </c>
      <c r="CU57" s="67">
        <v>711.37993001385826</v>
      </c>
      <c r="CV57" s="67">
        <v>713.23600725554184</v>
      </c>
      <c r="CW57" s="67">
        <v>714.97172310037001</v>
      </c>
      <c r="CX57" s="67">
        <v>716.57560615250418</v>
      </c>
    </row>
  </sheetData>
  <pageMargins left="0.7" right="0.7" top="0.75" bottom="0.75" header="0.3" footer="0.3"/>
  <pageSetup paperSize="9" orientation="portrait" horizontalDpi="300" verticalDpi="0"/>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2E2F2-0C0B-4201-8D38-43B52ACB1A2C}">
  <dimension ref="A1:CY215"/>
  <sheetViews>
    <sheetView workbookViewId="0">
      <pane xSplit="2" ySplit="1" topLeftCell="C2" activePane="bottomRight" state="frozen"/>
      <selection activeCell="C14" sqref="C14"/>
      <selection pane="topRight" activeCell="C14" sqref="C14"/>
      <selection pane="bottomLeft" activeCell="C14" sqref="C14"/>
      <selection pane="bottomRight" activeCell="C14" sqref="C14"/>
    </sheetView>
  </sheetViews>
  <sheetFormatPr defaultColWidth="9.140625" defaultRowHeight="12.75"/>
  <cols>
    <col min="1" max="1" width="9.140625" style="156" customWidth="1"/>
    <col min="2" max="2" width="11.7109375" style="156" customWidth="1"/>
    <col min="3" max="102" width="9.140625" style="156" customWidth="1"/>
    <col min="103" max="103" width="9.140625" style="154" customWidth="1"/>
    <col min="104" max="16384" width="9.140625" style="154"/>
  </cols>
  <sheetData>
    <row r="1" spans="1:103" ht="12.6" customHeight="1">
      <c r="A1" s="154" t="s">
        <v>1134</v>
      </c>
      <c r="B1" s="154" t="s">
        <v>1135</v>
      </c>
      <c r="C1" s="154">
        <v>2022</v>
      </c>
      <c r="D1" s="154">
        <v>2023</v>
      </c>
      <c r="E1" s="154">
        <v>2024</v>
      </c>
      <c r="F1" s="154">
        <v>2025</v>
      </c>
      <c r="G1" s="154">
        <v>2026</v>
      </c>
      <c r="H1" s="154">
        <v>2027</v>
      </c>
      <c r="I1" s="154">
        <v>2028</v>
      </c>
      <c r="J1" s="154">
        <v>2029</v>
      </c>
      <c r="K1" s="154">
        <v>2030</v>
      </c>
      <c r="L1" s="154">
        <v>2031</v>
      </c>
      <c r="M1" s="154">
        <v>2032</v>
      </c>
      <c r="N1" s="154">
        <v>2033</v>
      </c>
      <c r="O1" s="154">
        <v>2034</v>
      </c>
      <c r="P1" s="154">
        <v>2035</v>
      </c>
      <c r="Q1" s="154">
        <v>2036</v>
      </c>
      <c r="R1" s="154">
        <v>2037</v>
      </c>
      <c r="S1" s="154">
        <v>2038</v>
      </c>
      <c r="T1" s="154">
        <v>2039</v>
      </c>
      <c r="U1" s="154">
        <v>2040</v>
      </c>
      <c r="V1" s="154">
        <v>2041</v>
      </c>
      <c r="W1" s="154">
        <v>2042</v>
      </c>
      <c r="X1" s="154">
        <v>2043</v>
      </c>
      <c r="Y1" s="154">
        <v>2044</v>
      </c>
      <c r="Z1" s="154">
        <v>2045</v>
      </c>
      <c r="AA1" s="154">
        <v>2046</v>
      </c>
      <c r="AB1" s="154">
        <v>2047</v>
      </c>
      <c r="AC1" s="154">
        <v>2048</v>
      </c>
      <c r="AD1" s="154">
        <v>2049</v>
      </c>
      <c r="AE1" s="154">
        <v>2050</v>
      </c>
      <c r="AF1" s="154">
        <v>2051</v>
      </c>
      <c r="AG1" s="154">
        <v>2052</v>
      </c>
      <c r="AH1" s="154">
        <v>2053</v>
      </c>
      <c r="AI1" s="154">
        <v>2054</v>
      </c>
      <c r="AJ1" s="154">
        <v>2055</v>
      </c>
      <c r="AK1" s="154">
        <v>2056</v>
      </c>
      <c r="AL1" s="154">
        <v>2057</v>
      </c>
      <c r="AM1" s="154">
        <v>2058</v>
      </c>
      <c r="AN1" s="154">
        <v>2059</v>
      </c>
      <c r="AO1" s="154">
        <v>2060</v>
      </c>
      <c r="AP1" s="154">
        <v>2061</v>
      </c>
      <c r="AQ1" s="154">
        <v>2062</v>
      </c>
      <c r="AR1" s="154">
        <v>2063</v>
      </c>
      <c r="AS1" s="154">
        <v>2064</v>
      </c>
      <c r="AT1" s="154">
        <v>2065</v>
      </c>
      <c r="AU1" s="154">
        <v>2066</v>
      </c>
      <c r="AV1" s="154">
        <v>2067</v>
      </c>
      <c r="AW1" s="154">
        <v>2068</v>
      </c>
      <c r="AX1" s="154">
        <v>2069</v>
      </c>
      <c r="AY1" s="154">
        <v>2070</v>
      </c>
      <c r="AZ1" s="154">
        <v>2071</v>
      </c>
      <c r="BA1" s="154">
        <v>2072</v>
      </c>
      <c r="BB1" s="154">
        <v>2073</v>
      </c>
      <c r="BC1" s="154">
        <v>2074</v>
      </c>
      <c r="BD1" s="154">
        <v>2075</v>
      </c>
      <c r="BE1" s="154">
        <v>2076</v>
      </c>
      <c r="BF1" s="154">
        <v>2077</v>
      </c>
      <c r="BG1" s="154">
        <v>2078</v>
      </c>
      <c r="BH1" s="154">
        <v>2079</v>
      </c>
      <c r="BI1" s="154">
        <v>2080</v>
      </c>
      <c r="BJ1" s="154">
        <v>2081</v>
      </c>
      <c r="BK1" s="154">
        <v>2082</v>
      </c>
      <c r="BL1" s="154">
        <v>2083</v>
      </c>
      <c r="BM1" s="154">
        <v>2084</v>
      </c>
      <c r="BN1" s="154">
        <v>2085</v>
      </c>
      <c r="BO1" s="154">
        <v>2086</v>
      </c>
      <c r="BP1" s="154">
        <v>2087</v>
      </c>
      <c r="BQ1" s="154">
        <v>2088</v>
      </c>
      <c r="BR1" s="154">
        <v>2089</v>
      </c>
      <c r="BS1" s="154">
        <v>2090</v>
      </c>
      <c r="BT1" s="154">
        <v>2091</v>
      </c>
      <c r="BU1" s="154">
        <v>2092</v>
      </c>
      <c r="BV1" s="154">
        <v>2093</v>
      </c>
      <c r="BW1" s="154">
        <v>2094</v>
      </c>
      <c r="BX1" s="154">
        <v>2095</v>
      </c>
      <c r="BY1" s="154">
        <v>2096</v>
      </c>
      <c r="BZ1" s="154">
        <v>2097</v>
      </c>
      <c r="CA1" s="154">
        <v>2098</v>
      </c>
      <c r="CB1" s="154">
        <v>2099</v>
      </c>
      <c r="CC1" s="154">
        <v>2100</v>
      </c>
      <c r="CD1" s="154">
        <v>2101</v>
      </c>
      <c r="CE1" s="154">
        <v>2102</v>
      </c>
      <c r="CF1" s="154">
        <v>2103</v>
      </c>
      <c r="CG1" s="154">
        <v>2104</v>
      </c>
      <c r="CH1" s="154">
        <v>2105</v>
      </c>
      <c r="CI1" s="154">
        <v>2106</v>
      </c>
      <c r="CJ1" s="154">
        <v>2107</v>
      </c>
      <c r="CK1" s="154">
        <v>2108</v>
      </c>
      <c r="CL1" s="154">
        <v>2109</v>
      </c>
      <c r="CM1" s="154">
        <v>2110</v>
      </c>
      <c r="CN1" s="154">
        <v>2111</v>
      </c>
      <c r="CO1" s="154">
        <v>2112</v>
      </c>
      <c r="CP1" s="154">
        <v>2113</v>
      </c>
      <c r="CQ1" s="154">
        <v>2114</v>
      </c>
      <c r="CR1" s="154">
        <v>2115</v>
      </c>
      <c r="CS1" s="154">
        <v>2116</v>
      </c>
      <c r="CT1" s="154">
        <v>2117</v>
      </c>
      <c r="CU1" s="154">
        <v>2118</v>
      </c>
      <c r="CV1" s="154">
        <v>2119</v>
      </c>
      <c r="CW1" s="154">
        <v>2120</v>
      </c>
      <c r="CX1" s="154">
        <v>2121</v>
      </c>
      <c r="CY1" s="154">
        <v>2122</v>
      </c>
    </row>
    <row r="2" spans="1:103">
      <c r="A2" s="155" t="s">
        <v>1136</v>
      </c>
      <c r="B2" s="154">
        <v>0</v>
      </c>
      <c r="C2" s="155">
        <v>338878</v>
      </c>
      <c r="D2" s="155">
        <v>324732</v>
      </c>
      <c r="E2" s="155">
        <v>326203</v>
      </c>
      <c r="F2" s="155">
        <v>329450</v>
      </c>
      <c r="G2" s="155">
        <v>331622</v>
      </c>
      <c r="H2" s="155">
        <v>332721</v>
      </c>
      <c r="I2" s="155">
        <v>333107</v>
      </c>
      <c r="J2" s="155">
        <v>333435</v>
      </c>
      <c r="K2" s="155">
        <v>333729</v>
      </c>
      <c r="L2" s="155">
        <v>334009</v>
      </c>
      <c r="M2" s="155">
        <v>334291</v>
      </c>
      <c r="N2" s="155">
        <v>334766</v>
      </c>
      <c r="O2" s="155">
        <v>335496</v>
      </c>
      <c r="P2" s="155">
        <v>336322</v>
      </c>
      <c r="Q2" s="155">
        <v>337244</v>
      </c>
      <c r="R2" s="155">
        <v>338313</v>
      </c>
      <c r="S2" s="155">
        <v>339548</v>
      </c>
      <c r="T2" s="155">
        <v>340842</v>
      </c>
      <c r="U2" s="155">
        <v>342057</v>
      </c>
      <c r="V2" s="155">
        <v>343163</v>
      </c>
      <c r="W2" s="155">
        <v>344147</v>
      </c>
      <c r="X2" s="155">
        <v>344797</v>
      </c>
      <c r="Y2" s="155">
        <v>345010</v>
      </c>
      <c r="Z2" s="155">
        <v>344946</v>
      </c>
      <c r="AA2" s="155">
        <v>344673</v>
      </c>
      <c r="AB2" s="155">
        <v>344235</v>
      </c>
      <c r="AC2" s="155">
        <v>343185</v>
      </c>
      <c r="AD2" s="155">
        <v>341448</v>
      </c>
      <c r="AE2" s="155">
        <v>339506</v>
      </c>
      <c r="AF2" s="155">
        <v>337447</v>
      </c>
      <c r="AG2" s="155">
        <v>335363</v>
      </c>
      <c r="AH2" s="155">
        <v>333223</v>
      </c>
      <c r="AI2" s="155">
        <v>331049</v>
      </c>
      <c r="AJ2" s="155">
        <v>329037</v>
      </c>
      <c r="AK2" s="155">
        <v>327306</v>
      </c>
      <c r="AL2" s="155">
        <v>325872</v>
      </c>
      <c r="AM2" s="155">
        <v>324648</v>
      </c>
      <c r="AN2" s="155">
        <v>323639</v>
      </c>
      <c r="AO2" s="155">
        <v>322894</v>
      </c>
      <c r="AP2" s="155">
        <v>322390</v>
      </c>
      <c r="AQ2" s="155">
        <v>322126</v>
      </c>
      <c r="AR2" s="155">
        <v>321994</v>
      </c>
      <c r="AS2" s="155">
        <v>321956</v>
      </c>
      <c r="AT2" s="155">
        <v>322104</v>
      </c>
      <c r="AU2" s="155">
        <v>322392</v>
      </c>
      <c r="AV2" s="155">
        <v>322761</v>
      </c>
      <c r="AW2" s="155">
        <v>323181</v>
      </c>
      <c r="AX2" s="155">
        <v>323605</v>
      </c>
      <c r="AY2" s="155">
        <v>324016</v>
      </c>
      <c r="AZ2" s="155">
        <v>324431</v>
      </c>
      <c r="BA2" s="155">
        <v>324797</v>
      </c>
      <c r="BB2" s="155">
        <v>325098</v>
      </c>
      <c r="BC2" s="155">
        <v>325315</v>
      </c>
      <c r="BD2" s="155">
        <v>325442</v>
      </c>
      <c r="BE2" s="155">
        <v>325462</v>
      </c>
      <c r="BF2" s="155">
        <v>325370</v>
      </c>
      <c r="BG2" s="155">
        <v>325161</v>
      </c>
      <c r="BH2" s="155">
        <v>324832</v>
      </c>
      <c r="BI2" s="155">
        <v>324380</v>
      </c>
      <c r="BJ2" s="155">
        <v>323814</v>
      </c>
      <c r="BK2" s="155">
        <v>323150</v>
      </c>
      <c r="BL2" s="155">
        <v>322401</v>
      </c>
      <c r="BM2" s="155">
        <v>321591</v>
      </c>
      <c r="BN2" s="155">
        <v>320733</v>
      </c>
      <c r="BO2" s="155">
        <v>319861</v>
      </c>
      <c r="BP2" s="155">
        <v>318993</v>
      </c>
      <c r="BQ2" s="155">
        <v>318154</v>
      </c>
      <c r="BR2" s="155">
        <v>317359</v>
      </c>
      <c r="BS2" s="155">
        <v>316623</v>
      </c>
      <c r="BT2" s="155">
        <v>315960</v>
      </c>
      <c r="BU2" s="155">
        <v>315381</v>
      </c>
      <c r="BV2" s="155">
        <v>314894</v>
      </c>
      <c r="BW2" s="155">
        <v>314494</v>
      </c>
      <c r="BX2" s="155">
        <v>314184</v>
      </c>
      <c r="BY2" s="155">
        <v>313955</v>
      </c>
      <c r="BZ2" s="155">
        <v>313805</v>
      </c>
      <c r="CA2" s="155">
        <v>313723</v>
      </c>
      <c r="CB2" s="155">
        <v>313699</v>
      </c>
      <c r="CC2" s="155">
        <v>313717</v>
      </c>
      <c r="CD2" s="155">
        <v>313767</v>
      </c>
      <c r="CE2" s="155">
        <v>313840</v>
      </c>
      <c r="CF2" s="155">
        <v>313917</v>
      </c>
      <c r="CG2" s="155">
        <v>313990</v>
      </c>
      <c r="CH2" s="155">
        <v>314049</v>
      </c>
      <c r="CI2" s="155">
        <v>314083</v>
      </c>
      <c r="CJ2" s="155">
        <v>314087</v>
      </c>
      <c r="CK2" s="155">
        <v>314054</v>
      </c>
      <c r="CL2" s="155">
        <v>313974</v>
      </c>
      <c r="CM2" s="155">
        <v>313851</v>
      </c>
      <c r="CN2" s="155">
        <v>313680</v>
      </c>
      <c r="CO2" s="155">
        <v>313462</v>
      </c>
      <c r="CP2" s="155">
        <v>313200</v>
      </c>
      <c r="CQ2" s="155">
        <v>312898</v>
      </c>
      <c r="CR2" s="155">
        <v>312559</v>
      </c>
      <c r="CS2" s="155">
        <v>312190</v>
      </c>
      <c r="CT2" s="155">
        <v>311799</v>
      </c>
      <c r="CU2" s="155">
        <v>311393</v>
      </c>
      <c r="CV2" s="155">
        <v>310977</v>
      </c>
      <c r="CW2" s="155">
        <v>310564</v>
      </c>
      <c r="CX2" s="155">
        <v>310156</v>
      </c>
      <c r="CY2" s="154">
        <v>309763</v>
      </c>
    </row>
    <row r="3" spans="1:103">
      <c r="A3" s="155" t="s">
        <v>1136</v>
      </c>
      <c r="B3" s="154">
        <v>1</v>
      </c>
      <c r="C3" s="155">
        <v>337096</v>
      </c>
      <c r="D3" s="155">
        <v>343389</v>
      </c>
      <c r="E3" s="155">
        <v>328560</v>
      </c>
      <c r="F3" s="155">
        <v>329615</v>
      </c>
      <c r="G3" s="155">
        <v>332442</v>
      </c>
      <c r="H3" s="155">
        <v>334194</v>
      </c>
      <c r="I3" s="155">
        <v>334876</v>
      </c>
      <c r="J3" s="155">
        <v>335266</v>
      </c>
      <c r="K3" s="155">
        <v>335598</v>
      </c>
      <c r="L3" s="155">
        <v>335893</v>
      </c>
      <c r="M3" s="155">
        <v>336177</v>
      </c>
      <c r="N3" s="155">
        <v>336461</v>
      </c>
      <c r="O3" s="155">
        <v>336938</v>
      </c>
      <c r="P3" s="155">
        <v>337670</v>
      </c>
      <c r="Q3" s="155">
        <v>338498</v>
      </c>
      <c r="R3" s="155">
        <v>339422</v>
      </c>
      <c r="S3" s="155">
        <v>340492</v>
      </c>
      <c r="T3" s="155">
        <v>341728</v>
      </c>
      <c r="U3" s="155">
        <v>343024</v>
      </c>
      <c r="V3" s="155">
        <v>344240</v>
      </c>
      <c r="W3" s="155">
        <v>345346</v>
      </c>
      <c r="X3" s="155">
        <v>346332</v>
      </c>
      <c r="Y3" s="155">
        <v>346983</v>
      </c>
      <c r="Z3" s="155">
        <v>347197</v>
      </c>
      <c r="AA3" s="155">
        <v>347134</v>
      </c>
      <c r="AB3" s="155">
        <v>346865</v>
      </c>
      <c r="AC3" s="155">
        <v>346428</v>
      </c>
      <c r="AD3" s="155">
        <v>345379</v>
      </c>
      <c r="AE3" s="155">
        <v>343643</v>
      </c>
      <c r="AF3" s="155">
        <v>341703</v>
      </c>
      <c r="AG3" s="155">
        <v>339646</v>
      </c>
      <c r="AH3" s="155">
        <v>337563</v>
      </c>
      <c r="AI3" s="155">
        <v>335425</v>
      </c>
      <c r="AJ3" s="155">
        <v>333254</v>
      </c>
      <c r="AK3" s="155">
        <v>331243</v>
      </c>
      <c r="AL3" s="155">
        <v>329513</v>
      </c>
      <c r="AM3" s="155">
        <v>328080</v>
      </c>
      <c r="AN3" s="155">
        <v>326857</v>
      </c>
      <c r="AO3" s="155">
        <v>325849</v>
      </c>
      <c r="AP3" s="155">
        <v>325106</v>
      </c>
      <c r="AQ3" s="155">
        <v>324603</v>
      </c>
      <c r="AR3" s="155">
        <v>324340</v>
      </c>
      <c r="AS3" s="155">
        <v>324209</v>
      </c>
      <c r="AT3" s="155">
        <v>324172</v>
      </c>
      <c r="AU3" s="155">
        <v>324321</v>
      </c>
      <c r="AV3" s="155">
        <v>324610</v>
      </c>
      <c r="AW3" s="155">
        <v>324979</v>
      </c>
      <c r="AX3" s="155">
        <v>325400</v>
      </c>
      <c r="AY3" s="155">
        <v>325825</v>
      </c>
      <c r="AZ3" s="155">
        <v>326238</v>
      </c>
      <c r="BA3" s="155">
        <v>326653</v>
      </c>
      <c r="BB3" s="155">
        <v>327021</v>
      </c>
      <c r="BC3" s="155">
        <v>327323</v>
      </c>
      <c r="BD3" s="155">
        <v>327540</v>
      </c>
      <c r="BE3" s="155">
        <v>327669</v>
      </c>
      <c r="BF3" s="155">
        <v>327689</v>
      </c>
      <c r="BG3" s="155">
        <v>327597</v>
      </c>
      <c r="BH3" s="155">
        <v>327390</v>
      </c>
      <c r="BI3" s="155">
        <v>327061</v>
      </c>
      <c r="BJ3" s="155">
        <v>326610</v>
      </c>
      <c r="BK3" s="155">
        <v>326044</v>
      </c>
      <c r="BL3" s="155">
        <v>325381</v>
      </c>
      <c r="BM3" s="155">
        <v>324633</v>
      </c>
      <c r="BN3" s="155">
        <v>323824</v>
      </c>
      <c r="BO3" s="155">
        <v>322967</v>
      </c>
      <c r="BP3" s="155">
        <v>322096</v>
      </c>
      <c r="BQ3" s="155">
        <v>321227</v>
      </c>
      <c r="BR3" s="155">
        <v>320391</v>
      </c>
      <c r="BS3" s="155">
        <v>319597</v>
      </c>
      <c r="BT3" s="155">
        <v>318861</v>
      </c>
      <c r="BU3" s="155">
        <v>318199</v>
      </c>
      <c r="BV3" s="155">
        <v>317621</v>
      </c>
      <c r="BW3" s="155">
        <v>317135</v>
      </c>
      <c r="BX3" s="155">
        <v>316736</v>
      </c>
      <c r="BY3" s="155">
        <v>316426</v>
      </c>
      <c r="BZ3" s="155">
        <v>316198</v>
      </c>
      <c r="CA3" s="155">
        <v>316048</v>
      </c>
      <c r="CB3" s="155">
        <v>315966</v>
      </c>
      <c r="CC3" s="155">
        <v>315944</v>
      </c>
      <c r="CD3" s="155">
        <v>315963</v>
      </c>
      <c r="CE3" s="155">
        <v>316015</v>
      </c>
      <c r="CF3" s="155">
        <v>316088</v>
      </c>
      <c r="CG3" s="155">
        <v>316165</v>
      </c>
      <c r="CH3" s="155">
        <v>316238</v>
      </c>
      <c r="CI3" s="155">
        <v>316299</v>
      </c>
      <c r="CJ3" s="155">
        <v>316332</v>
      </c>
      <c r="CK3" s="155">
        <v>316337</v>
      </c>
      <c r="CL3" s="155">
        <v>316304</v>
      </c>
      <c r="CM3" s="155">
        <v>316225</v>
      </c>
      <c r="CN3" s="155">
        <v>316102</v>
      </c>
      <c r="CO3" s="155">
        <v>315933</v>
      </c>
      <c r="CP3" s="155">
        <v>315714</v>
      </c>
      <c r="CQ3" s="155">
        <v>315453</v>
      </c>
      <c r="CR3" s="155">
        <v>315151</v>
      </c>
      <c r="CS3" s="155">
        <v>314814</v>
      </c>
      <c r="CT3" s="155">
        <v>314445</v>
      </c>
      <c r="CU3" s="155">
        <v>314054</v>
      </c>
      <c r="CV3" s="155">
        <v>313649</v>
      </c>
      <c r="CW3" s="155">
        <v>313234</v>
      </c>
      <c r="CX3" s="155">
        <v>312820</v>
      </c>
      <c r="CY3" s="154">
        <v>312414</v>
      </c>
    </row>
    <row r="4" spans="1:103">
      <c r="A4" s="155" t="s">
        <v>1136</v>
      </c>
      <c r="B4" s="154">
        <v>2</v>
      </c>
      <c r="C4" s="155">
        <v>350207</v>
      </c>
      <c r="D4" s="155">
        <v>342929</v>
      </c>
      <c r="E4" s="155">
        <v>348308</v>
      </c>
      <c r="F4" s="155">
        <v>332939</v>
      </c>
      <c r="G4" s="155">
        <v>333455</v>
      </c>
      <c r="H4" s="155">
        <v>335741</v>
      </c>
      <c r="I4" s="155">
        <v>336955</v>
      </c>
      <c r="J4" s="155">
        <v>337637</v>
      </c>
      <c r="K4" s="155">
        <v>338028</v>
      </c>
      <c r="L4" s="155">
        <v>338362</v>
      </c>
      <c r="M4" s="155">
        <v>338658</v>
      </c>
      <c r="N4" s="155">
        <v>338942</v>
      </c>
      <c r="O4" s="155">
        <v>339226</v>
      </c>
      <c r="P4" s="155">
        <v>339706</v>
      </c>
      <c r="Q4" s="155">
        <v>340438</v>
      </c>
      <c r="R4" s="155">
        <v>341266</v>
      </c>
      <c r="S4" s="155">
        <v>342190</v>
      </c>
      <c r="T4" s="155">
        <v>343261</v>
      </c>
      <c r="U4" s="155">
        <v>344497</v>
      </c>
      <c r="V4" s="155">
        <v>345794</v>
      </c>
      <c r="W4" s="155">
        <v>347009</v>
      </c>
      <c r="X4" s="155">
        <v>348117</v>
      </c>
      <c r="Y4" s="155">
        <v>349103</v>
      </c>
      <c r="Z4" s="155">
        <v>349754</v>
      </c>
      <c r="AA4" s="155">
        <v>349969</v>
      </c>
      <c r="AB4" s="155">
        <v>349906</v>
      </c>
      <c r="AC4" s="155">
        <v>349637</v>
      </c>
      <c r="AD4" s="155">
        <v>349201</v>
      </c>
      <c r="AE4" s="155">
        <v>348151</v>
      </c>
      <c r="AF4" s="155">
        <v>346416</v>
      </c>
      <c r="AG4" s="155">
        <v>344477</v>
      </c>
      <c r="AH4" s="155">
        <v>342420</v>
      </c>
      <c r="AI4" s="155">
        <v>340337</v>
      </c>
      <c r="AJ4" s="155">
        <v>338199</v>
      </c>
      <c r="AK4" s="155">
        <v>336030</v>
      </c>
      <c r="AL4" s="155">
        <v>334018</v>
      </c>
      <c r="AM4" s="155">
        <v>332289</v>
      </c>
      <c r="AN4" s="155">
        <v>330857</v>
      </c>
      <c r="AO4" s="155">
        <v>329633</v>
      </c>
      <c r="AP4" s="155">
        <v>328626</v>
      </c>
      <c r="AQ4" s="155">
        <v>327883</v>
      </c>
      <c r="AR4" s="155">
        <v>327380</v>
      </c>
      <c r="AS4" s="155">
        <v>327118</v>
      </c>
      <c r="AT4" s="155">
        <v>326988</v>
      </c>
      <c r="AU4" s="155">
        <v>326950</v>
      </c>
      <c r="AV4" s="155">
        <v>327100</v>
      </c>
      <c r="AW4" s="155">
        <v>327391</v>
      </c>
      <c r="AX4" s="155">
        <v>327761</v>
      </c>
      <c r="AY4" s="155">
        <v>328181</v>
      </c>
      <c r="AZ4" s="155">
        <v>328607</v>
      </c>
      <c r="BA4" s="155">
        <v>329021</v>
      </c>
      <c r="BB4" s="155">
        <v>329435</v>
      </c>
      <c r="BC4" s="155">
        <v>329804</v>
      </c>
      <c r="BD4" s="155">
        <v>330105</v>
      </c>
      <c r="BE4" s="155">
        <v>330322</v>
      </c>
      <c r="BF4" s="155">
        <v>330452</v>
      </c>
      <c r="BG4" s="155">
        <v>330473</v>
      </c>
      <c r="BH4" s="155">
        <v>330381</v>
      </c>
      <c r="BI4" s="155">
        <v>330174</v>
      </c>
      <c r="BJ4" s="155">
        <v>329846</v>
      </c>
      <c r="BK4" s="155">
        <v>329395</v>
      </c>
      <c r="BL4" s="155">
        <v>328829</v>
      </c>
      <c r="BM4" s="155">
        <v>328166</v>
      </c>
      <c r="BN4" s="155">
        <v>327418</v>
      </c>
      <c r="BO4" s="155">
        <v>326609</v>
      </c>
      <c r="BP4" s="155">
        <v>325753</v>
      </c>
      <c r="BQ4" s="155">
        <v>324882</v>
      </c>
      <c r="BR4" s="155">
        <v>324013</v>
      </c>
      <c r="BS4" s="155">
        <v>323178</v>
      </c>
      <c r="BT4" s="155">
        <v>322383</v>
      </c>
      <c r="BU4" s="155">
        <v>321648</v>
      </c>
      <c r="BV4" s="155">
        <v>320987</v>
      </c>
      <c r="BW4" s="155">
        <v>320408</v>
      </c>
      <c r="BX4" s="155">
        <v>319923</v>
      </c>
      <c r="BY4" s="155">
        <v>319525</v>
      </c>
      <c r="BZ4" s="155">
        <v>319215</v>
      </c>
      <c r="CA4" s="155">
        <v>318987</v>
      </c>
      <c r="CB4" s="155">
        <v>318838</v>
      </c>
      <c r="CC4" s="155">
        <v>318755</v>
      </c>
      <c r="CD4" s="155">
        <v>318733</v>
      </c>
      <c r="CE4" s="155">
        <v>318752</v>
      </c>
      <c r="CF4" s="155">
        <v>318804</v>
      </c>
      <c r="CG4" s="155">
        <v>318879</v>
      </c>
      <c r="CH4" s="155">
        <v>318956</v>
      </c>
      <c r="CI4" s="155">
        <v>319028</v>
      </c>
      <c r="CJ4" s="155">
        <v>319089</v>
      </c>
      <c r="CK4" s="155">
        <v>319122</v>
      </c>
      <c r="CL4" s="155">
        <v>319128</v>
      </c>
      <c r="CM4" s="155">
        <v>319095</v>
      </c>
      <c r="CN4" s="155">
        <v>319017</v>
      </c>
      <c r="CO4" s="155">
        <v>318894</v>
      </c>
      <c r="CP4" s="155">
        <v>318725</v>
      </c>
      <c r="CQ4" s="155">
        <v>318506</v>
      </c>
      <c r="CR4" s="155">
        <v>318245</v>
      </c>
      <c r="CS4" s="155">
        <v>317944</v>
      </c>
      <c r="CT4" s="155">
        <v>317607</v>
      </c>
      <c r="CU4" s="155">
        <v>317238</v>
      </c>
      <c r="CV4" s="155">
        <v>316847</v>
      </c>
      <c r="CW4" s="155">
        <v>316441</v>
      </c>
      <c r="CX4" s="155">
        <v>316026</v>
      </c>
      <c r="CY4" s="154">
        <v>315613</v>
      </c>
    </row>
    <row r="5" spans="1:103">
      <c r="A5" s="155" t="s">
        <v>1136</v>
      </c>
      <c r="B5" s="154">
        <v>3</v>
      </c>
      <c r="C5" s="155">
        <v>357231</v>
      </c>
      <c r="D5" s="155">
        <v>355030</v>
      </c>
      <c r="E5" s="155">
        <v>346809</v>
      </c>
      <c r="F5" s="155">
        <v>351670</v>
      </c>
      <c r="G5" s="155">
        <v>335787</v>
      </c>
      <c r="H5" s="155">
        <v>335786</v>
      </c>
      <c r="I5" s="155">
        <v>337557</v>
      </c>
      <c r="J5" s="155">
        <v>338771</v>
      </c>
      <c r="K5" s="155">
        <v>339454</v>
      </c>
      <c r="L5" s="155">
        <v>339845</v>
      </c>
      <c r="M5" s="155">
        <v>340180</v>
      </c>
      <c r="N5" s="155">
        <v>340476</v>
      </c>
      <c r="O5" s="155">
        <v>340761</v>
      </c>
      <c r="P5" s="155">
        <v>341045</v>
      </c>
      <c r="Q5" s="155">
        <v>341525</v>
      </c>
      <c r="R5" s="155">
        <v>342258</v>
      </c>
      <c r="S5" s="155">
        <v>343086</v>
      </c>
      <c r="T5" s="155">
        <v>344009</v>
      </c>
      <c r="U5" s="155">
        <v>345081</v>
      </c>
      <c r="V5" s="155">
        <v>346318</v>
      </c>
      <c r="W5" s="155">
        <v>347615</v>
      </c>
      <c r="X5" s="155">
        <v>348830</v>
      </c>
      <c r="Y5" s="155">
        <v>349938</v>
      </c>
      <c r="Z5" s="155">
        <v>350923</v>
      </c>
      <c r="AA5" s="155">
        <v>351575</v>
      </c>
      <c r="AB5" s="155">
        <v>351791</v>
      </c>
      <c r="AC5" s="155">
        <v>351728</v>
      </c>
      <c r="AD5" s="155">
        <v>351459</v>
      </c>
      <c r="AE5" s="155">
        <v>351024</v>
      </c>
      <c r="AF5" s="155">
        <v>349976</v>
      </c>
      <c r="AG5" s="155">
        <v>348240</v>
      </c>
      <c r="AH5" s="155">
        <v>346302</v>
      </c>
      <c r="AI5" s="155">
        <v>344246</v>
      </c>
      <c r="AJ5" s="155">
        <v>342163</v>
      </c>
      <c r="AK5" s="155">
        <v>340025</v>
      </c>
      <c r="AL5" s="155">
        <v>337856</v>
      </c>
      <c r="AM5" s="155">
        <v>335845</v>
      </c>
      <c r="AN5" s="155">
        <v>334116</v>
      </c>
      <c r="AO5" s="155">
        <v>332684</v>
      </c>
      <c r="AP5" s="155">
        <v>331461</v>
      </c>
      <c r="AQ5" s="155">
        <v>330454</v>
      </c>
      <c r="AR5" s="155">
        <v>329710</v>
      </c>
      <c r="AS5" s="155">
        <v>329208</v>
      </c>
      <c r="AT5" s="155">
        <v>328947</v>
      </c>
      <c r="AU5" s="155">
        <v>328816</v>
      </c>
      <c r="AV5" s="155">
        <v>328780</v>
      </c>
      <c r="AW5" s="155">
        <v>328930</v>
      </c>
      <c r="AX5" s="155">
        <v>329221</v>
      </c>
      <c r="AY5" s="155">
        <v>329591</v>
      </c>
      <c r="AZ5" s="155">
        <v>330010</v>
      </c>
      <c r="BA5" s="155">
        <v>330437</v>
      </c>
      <c r="BB5" s="155">
        <v>330852</v>
      </c>
      <c r="BC5" s="155">
        <v>331266</v>
      </c>
      <c r="BD5" s="155">
        <v>331635</v>
      </c>
      <c r="BE5" s="155">
        <v>331936</v>
      </c>
      <c r="BF5" s="155">
        <v>332153</v>
      </c>
      <c r="BG5" s="155">
        <v>332283</v>
      </c>
      <c r="BH5" s="155">
        <v>332304</v>
      </c>
      <c r="BI5" s="155">
        <v>332213</v>
      </c>
      <c r="BJ5" s="155">
        <v>332006</v>
      </c>
      <c r="BK5" s="155">
        <v>331678</v>
      </c>
      <c r="BL5" s="155">
        <v>331227</v>
      </c>
      <c r="BM5" s="155">
        <v>330661</v>
      </c>
      <c r="BN5" s="155">
        <v>329998</v>
      </c>
      <c r="BO5" s="155">
        <v>329250</v>
      </c>
      <c r="BP5" s="155">
        <v>328442</v>
      </c>
      <c r="BQ5" s="155">
        <v>327586</v>
      </c>
      <c r="BR5" s="155">
        <v>326716</v>
      </c>
      <c r="BS5" s="155">
        <v>325846</v>
      </c>
      <c r="BT5" s="155">
        <v>325011</v>
      </c>
      <c r="BU5" s="155">
        <v>324216</v>
      </c>
      <c r="BV5" s="155">
        <v>323482</v>
      </c>
      <c r="BW5" s="155">
        <v>322821</v>
      </c>
      <c r="BX5" s="155">
        <v>322243</v>
      </c>
      <c r="BY5" s="155">
        <v>321757</v>
      </c>
      <c r="BZ5" s="155">
        <v>321359</v>
      </c>
      <c r="CA5" s="155">
        <v>321049</v>
      </c>
      <c r="CB5" s="155">
        <v>320821</v>
      </c>
      <c r="CC5" s="155">
        <v>320673</v>
      </c>
      <c r="CD5" s="155">
        <v>320590</v>
      </c>
      <c r="CE5" s="155">
        <v>320568</v>
      </c>
      <c r="CF5" s="155">
        <v>320587</v>
      </c>
      <c r="CG5" s="155">
        <v>320639</v>
      </c>
      <c r="CH5" s="155">
        <v>320714</v>
      </c>
      <c r="CI5" s="155">
        <v>320790</v>
      </c>
      <c r="CJ5" s="155">
        <v>320862</v>
      </c>
      <c r="CK5" s="155">
        <v>320924</v>
      </c>
      <c r="CL5" s="155">
        <v>320957</v>
      </c>
      <c r="CM5" s="155">
        <v>320964</v>
      </c>
      <c r="CN5" s="155">
        <v>320931</v>
      </c>
      <c r="CO5" s="155">
        <v>320853</v>
      </c>
      <c r="CP5" s="155">
        <v>320730</v>
      </c>
      <c r="CQ5" s="155">
        <v>320561</v>
      </c>
      <c r="CR5" s="155">
        <v>320342</v>
      </c>
      <c r="CS5" s="155">
        <v>320081</v>
      </c>
      <c r="CT5" s="155">
        <v>319780</v>
      </c>
      <c r="CU5" s="155">
        <v>319443</v>
      </c>
      <c r="CV5" s="155">
        <v>319074</v>
      </c>
      <c r="CW5" s="155">
        <v>318684</v>
      </c>
      <c r="CX5" s="155">
        <v>318278</v>
      </c>
      <c r="CY5" s="154">
        <v>317863</v>
      </c>
    </row>
    <row r="6" spans="1:103">
      <c r="A6" s="155" t="s">
        <v>1136</v>
      </c>
      <c r="B6" s="154">
        <v>4</v>
      </c>
      <c r="C6" s="155">
        <v>362887</v>
      </c>
      <c r="D6" s="155">
        <v>361618</v>
      </c>
      <c r="E6" s="155">
        <v>358457</v>
      </c>
      <c r="F6" s="155">
        <v>349730</v>
      </c>
      <c r="G6" s="155">
        <v>354084</v>
      </c>
      <c r="H6" s="155">
        <v>337694</v>
      </c>
      <c r="I6" s="155">
        <v>337190</v>
      </c>
      <c r="J6" s="155">
        <v>338961</v>
      </c>
      <c r="K6" s="155">
        <v>340175</v>
      </c>
      <c r="L6" s="155">
        <v>340859</v>
      </c>
      <c r="M6" s="155">
        <v>341250</v>
      </c>
      <c r="N6" s="155">
        <v>341585</v>
      </c>
      <c r="O6" s="155">
        <v>341882</v>
      </c>
      <c r="P6" s="155">
        <v>342168</v>
      </c>
      <c r="Q6" s="155">
        <v>342453</v>
      </c>
      <c r="R6" s="155">
        <v>342932</v>
      </c>
      <c r="S6" s="155">
        <v>343666</v>
      </c>
      <c r="T6" s="155">
        <v>344495</v>
      </c>
      <c r="U6" s="155">
        <v>345417</v>
      </c>
      <c r="V6" s="155">
        <v>346489</v>
      </c>
      <c r="W6" s="155">
        <v>347728</v>
      </c>
      <c r="X6" s="155">
        <v>349024</v>
      </c>
      <c r="Y6" s="155">
        <v>350240</v>
      </c>
      <c r="Z6" s="155">
        <v>351347</v>
      </c>
      <c r="AA6" s="155">
        <v>352333</v>
      </c>
      <c r="AB6" s="155">
        <v>352986</v>
      </c>
      <c r="AC6" s="155">
        <v>353202</v>
      </c>
      <c r="AD6" s="155">
        <v>353139</v>
      </c>
      <c r="AE6" s="155">
        <v>352870</v>
      </c>
      <c r="AF6" s="155">
        <v>352435</v>
      </c>
      <c r="AG6" s="155">
        <v>351388</v>
      </c>
      <c r="AH6" s="155">
        <v>349652</v>
      </c>
      <c r="AI6" s="155">
        <v>347714</v>
      </c>
      <c r="AJ6" s="155">
        <v>345659</v>
      </c>
      <c r="AK6" s="155">
        <v>343576</v>
      </c>
      <c r="AL6" s="155">
        <v>341438</v>
      </c>
      <c r="AM6" s="155">
        <v>339270</v>
      </c>
      <c r="AN6" s="155">
        <v>337259</v>
      </c>
      <c r="AO6" s="155">
        <v>335530</v>
      </c>
      <c r="AP6" s="155">
        <v>334098</v>
      </c>
      <c r="AQ6" s="155">
        <v>332875</v>
      </c>
      <c r="AR6" s="155">
        <v>331869</v>
      </c>
      <c r="AS6" s="155">
        <v>331125</v>
      </c>
      <c r="AT6" s="155">
        <v>330623</v>
      </c>
      <c r="AU6" s="155">
        <v>330362</v>
      </c>
      <c r="AV6" s="155">
        <v>330231</v>
      </c>
      <c r="AW6" s="155">
        <v>330195</v>
      </c>
      <c r="AX6" s="155">
        <v>330345</v>
      </c>
      <c r="AY6" s="155">
        <v>330637</v>
      </c>
      <c r="AZ6" s="155">
        <v>331007</v>
      </c>
      <c r="BA6" s="155">
        <v>331427</v>
      </c>
      <c r="BB6" s="155">
        <v>331854</v>
      </c>
      <c r="BC6" s="155">
        <v>332268</v>
      </c>
      <c r="BD6" s="155">
        <v>332681</v>
      </c>
      <c r="BE6" s="155">
        <v>333050</v>
      </c>
      <c r="BF6" s="155">
        <v>333351</v>
      </c>
      <c r="BG6" s="155">
        <v>333569</v>
      </c>
      <c r="BH6" s="155">
        <v>333699</v>
      </c>
      <c r="BI6" s="155">
        <v>333721</v>
      </c>
      <c r="BJ6" s="155">
        <v>333630</v>
      </c>
      <c r="BK6" s="155">
        <v>333423</v>
      </c>
      <c r="BL6" s="155">
        <v>333095</v>
      </c>
      <c r="BM6" s="155">
        <v>332644</v>
      </c>
      <c r="BN6" s="155">
        <v>332078</v>
      </c>
      <c r="BO6" s="155">
        <v>331414</v>
      </c>
      <c r="BP6" s="155">
        <v>330667</v>
      </c>
      <c r="BQ6" s="155">
        <v>329858</v>
      </c>
      <c r="BR6" s="155">
        <v>329003</v>
      </c>
      <c r="BS6" s="155">
        <v>328134</v>
      </c>
      <c r="BT6" s="155">
        <v>327263</v>
      </c>
      <c r="BU6" s="155">
        <v>326428</v>
      </c>
      <c r="BV6" s="155">
        <v>325634</v>
      </c>
      <c r="BW6" s="155">
        <v>324900</v>
      </c>
      <c r="BX6" s="155">
        <v>324239</v>
      </c>
      <c r="BY6" s="155">
        <v>323661</v>
      </c>
      <c r="BZ6" s="155">
        <v>323177</v>
      </c>
      <c r="CA6" s="155">
        <v>322778</v>
      </c>
      <c r="CB6" s="155">
        <v>322468</v>
      </c>
      <c r="CC6" s="155">
        <v>322240</v>
      </c>
      <c r="CD6" s="155">
        <v>322092</v>
      </c>
      <c r="CE6" s="155">
        <v>322009</v>
      </c>
      <c r="CF6" s="155">
        <v>321987</v>
      </c>
      <c r="CG6" s="155">
        <v>322006</v>
      </c>
      <c r="CH6" s="155">
        <v>322058</v>
      </c>
      <c r="CI6" s="155">
        <v>322133</v>
      </c>
      <c r="CJ6" s="155">
        <v>322208</v>
      </c>
      <c r="CK6" s="155">
        <v>322282</v>
      </c>
      <c r="CL6" s="155">
        <v>322344</v>
      </c>
      <c r="CM6" s="155">
        <v>322377</v>
      </c>
      <c r="CN6" s="155">
        <v>322384</v>
      </c>
      <c r="CO6" s="155">
        <v>322351</v>
      </c>
      <c r="CP6" s="155">
        <v>322273</v>
      </c>
      <c r="CQ6" s="155">
        <v>322150</v>
      </c>
      <c r="CR6" s="155">
        <v>321981</v>
      </c>
      <c r="CS6" s="155">
        <v>321763</v>
      </c>
      <c r="CT6" s="155">
        <v>321502</v>
      </c>
      <c r="CU6" s="155">
        <v>321201</v>
      </c>
      <c r="CV6" s="155">
        <v>320865</v>
      </c>
      <c r="CW6" s="155">
        <v>320495</v>
      </c>
      <c r="CX6" s="155">
        <v>320106</v>
      </c>
      <c r="CY6" s="154">
        <v>319700</v>
      </c>
    </row>
    <row r="7" spans="1:103">
      <c r="A7" s="155" t="s">
        <v>1136</v>
      </c>
      <c r="B7" s="154">
        <v>5</v>
      </c>
      <c r="C7" s="155">
        <v>372007</v>
      </c>
      <c r="D7" s="155">
        <v>367051</v>
      </c>
      <c r="E7" s="155">
        <v>364858</v>
      </c>
      <c r="F7" s="155">
        <v>361211</v>
      </c>
      <c r="G7" s="155">
        <v>352000</v>
      </c>
      <c r="H7" s="155">
        <v>355868</v>
      </c>
      <c r="I7" s="155">
        <v>338996</v>
      </c>
      <c r="J7" s="155">
        <v>338492</v>
      </c>
      <c r="K7" s="155">
        <v>340264</v>
      </c>
      <c r="L7" s="155">
        <v>341478</v>
      </c>
      <c r="M7" s="155">
        <v>342163</v>
      </c>
      <c r="N7" s="155">
        <v>342554</v>
      </c>
      <c r="O7" s="155">
        <v>342889</v>
      </c>
      <c r="P7" s="155">
        <v>343188</v>
      </c>
      <c r="Q7" s="155">
        <v>343474</v>
      </c>
      <c r="R7" s="155">
        <v>343760</v>
      </c>
      <c r="S7" s="155">
        <v>344237</v>
      </c>
      <c r="T7" s="155">
        <v>344972</v>
      </c>
      <c r="U7" s="155">
        <v>345802</v>
      </c>
      <c r="V7" s="155">
        <v>346723</v>
      </c>
      <c r="W7" s="155">
        <v>347795</v>
      </c>
      <c r="X7" s="155">
        <v>349035</v>
      </c>
      <c r="Y7" s="155">
        <v>350330</v>
      </c>
      <c r="Z7" s="155">
        <v>351547</v>
      </c>
      <c r="AA7" s="155">
        <v>352653</v>
      </c>
      <c r="AB7" s="155">
        <v>353641</v>
      </c>
      <c r="AC7" s="155">
        <v>354295</v>
      </c>
      <c r="AD7" s="155">
        <v>354511</v>
      </c>
      <c r="AE7" s="155">
        <v>354448</v>
      </c>
      <c r="AF7" s="155">
        <v>354179</v>
      </c>
      <c r="AG7" s="155">
        <v>353744</v>
      </c>
      <c r="AH7" s="155">
        <v>352697</v>
      </c>
      <c r="AI7" s="155">
        <v>350962</v>
      </c>
      <c r="AJ7" s="155">
        <v>349024</v>
      </c>
      <c r="AK7" s="155">
        <v>346969</v>
      </c>
      <c r="AL7" s="155">
        <v>344886</v>
      </c>
      <c r="AM7" s="155">
        <v>342748</v>
      </c>
      <c r="AN7" s="155">
        <v>340580</v>
      </c>
      <c r="AO7" s="155">
        <v>338570</v>
      </c>
      <c r="AP7" s="155">
        <v>336841</v>
      </c>
      <c r="AQ7" s="155">
        <v>335409</v>
      </c>
      <c r="AR7" s="155">
        <v>334186</v>
      </c>
      <c r="AS7" s="155">
        <v>333180</v>
      </c>
      <c r="AT7" s="155">
        <v>332437</v>
      </c>
      <c r="AU7" s="155">
        <v>331936</v>
      </c>
      <c r="AV7" s="155">
        <v>331675</v>
      </c>
      <c r="AW7" s="155">
        <v>331543</v>
      </c>
      <c r="AX7" s="155">
        <v>331507</v>
      </c>
      <c r="AY7" s="155">
        <v>331657</v>
      </c>
      <c r="AZ7" s="155">
        <v>331949</v>
      </c>
      <c r="BA7" s="155">
        <v>332319</v>
      </c>
      <c r="BB7" s="155">
        <v>332739</v>
      </c>
      <c r="BC7" s="155">
        <v>333166</v>
      </c>
      <c r="BD7" s="155">
        <v>333581</v>
      </c>
      <c r="BE7" s="155">
        <v>333994</v>
      </c>
      <c r="BF7" s="155">
        <v>334363</v>
      </c>
      <c r="BG7" s="155">
        <v>334664</v>
      </c>
      <c r="BH7" s="155">
        <v>334882</v>
      </c>
      <c r="BI7" s="155">
        <v>335012</v>
      </c>
      <c r="BJ7" s="155">
        <v>335035</v>
      </c>
      <c r="BK7" s="155">
        <v>334942</v>
      </c>
      <c r="BL7" s="155">
        <v>334736</v>
      </c>
      <c r="BM7" s="155">
        <v>334408</v>
      </c>
      <c r="BN7" s="155">
        <v>333957</v>
      </c>
      <c r="BO7" s="155">
        <v>333392</v>
      </c>
      <c r="BP7" s="155">
        <v>332728</v>
      </c>
      <c r="BQ7" s="155">
        <v>331981</v>
      </c>
      <c r="BR7" s="155">
        <v>331172</v>
      </c>
      <c r="BS7" s="155">
        <v>330317</v>
      </c>
      <c r="BT7" s="155">
        <v>329448</v>
      </c>
      <c r="BU7" s="155">
        <v>328577</v>
      </c>
      <c r="BV7" s="155">
        <v>327742</v>
      </c>
      <c r="BW7" s="155">
        <v>326948</v>
      </c>
      <c r="BX7" s="155">
        <v>326215</v>
      </c>
      <c r="BY7" s="155">
        <v>325554</v>
      </c>
      <c r="BZ7" s="155">
        <v>324976</v>
      </c>
      <c r="CA7" s="155">
        <v>324492</v>
      </c>
      <c r="CB7" s="155">
        <v>324093</v>
      </c>
      <c r="CC7" s="155">
        <v>323783</v>
      </c>
      <c r="CD7" s="155">
        <v>323555</v>
      </c>
      <c r="CE7" s="155">
        <v>323407</v>
      </c>
      <c r="CF7" s="155">
        <v>323325</v>
      </c>
      <c r="CG7" s="155">
        <v>323303</v>
      </c>
      <c r="CH7" s="155">
        <v>323322</v>
      </c>
      <c r="CI7" s="155">
        <v>323375</v>
      </c>
      <c r="CJ7" s="155">
        <v>323449</v>
      </c>
      <c r="CK7" s="155">
        <v>323525</v>
      </c>
      <c r="CL7" s="155">
        <v>323599</v>
      </c>
      <c r="CM7" s="155">
        <v>323661</v>
      </c>
      <c r="CN7" s="155">
        <v>323694</v>
      </c>
      <c r="CO7" s="155">
        <v>323701</v>
      </c>
      <c r="CP7" s="155">
        <v>323669</v>
      </c>
      <c r="CQ7" s="155">
        <v>323590</v>
      </c>
      <c r="CR7" s="155">
        <v>323466</v>
      </c>
      <c r="CS7" s="155">
        <v>323298</v>
      </c>
      <c r="CT7" s="155">
        <v>323079</v>
      </c>
      <c r="CU7" s="155">
        <v>322819</v>
      </c>
      <c r="CV7" s="155">
        <v>322518</v>
      </c>
      <c r="CW7" s="155">
        <v>322182</v>
      </c>
      <c r="CX7" s="155">
        <v>321812</v>
      </c>
      <c r="CY7" s="154">
        <v>321423</v>
      </c>
    </row>
    <row r="8" spans="1:103">
      <c r="A8" s="155" t="s">
        <v>1136</v>
      </c>
      <c r="B8" s="154">
        <v>6</v>
      </c>
      <c r="C8" s="155">
        <v>382725</v>
      </c>
      <c r="D8" s="155">
        <v>375933</v>
      </c>
      <c r="E8" s="155">
        <v>370114</v>
      </c>
      <c r="F8" s="155">
        <v>367466</v>
      </c>
      <c r="G8" s="155">
        <v>363367</v>
      </c>
      <c r="H8" s="155">
        <v>353701</v>
      </c>
      <c r="I8" s="155">
        <v>357115</v>
      </c>
      <c r="J8" s="155">
        <v>340244</v>
      </c>
      <c r="K8" s="155">
        <v>339742</v>
      </c>
      <c r="L8" s="155">
        <v>341513</v>
      </c>
      <c r="M8" s="155">
        <v>342728</v>
      </c>
      <c r="N8" s="155">
        <v>343414</v>
      </c>
      <c r="O8" s="155">
        <v>343806</v>
      </c>
      <c r="P8" s="155">
        <v>344141</v>
      </c>
      <c r="Q8" s="155">
        <v>344439</v>
      </c>
      <c r="R8" s="155">
        <v>344726</v>
      </c>
      <c r="S8" s="155">
        <v>345013</v>
      </c>
      <c r="T8" s="155">
        <v>345489</v>
      </c>
      <c r="U8" s="155">
        <v>346225</v>
      </c>
      <c r="V8" s="155">
        <v>347054</v>
      </c>
      <c r="W8" s="155">
        <v>347976</v>
      </c>
      <c r="X8" s="155">
        <v>349049</v>
      </c>
      <c r="Y8" s="155">
        <v>350289</v>
      </c>
      <c r="Z8" s="155">
        <v>351584</v>
      </c>
      <c r="AA8" s="155">
        <v>352802</v>
      </c>
      <c r="AB8" s="155">
        <v>353908</v>
      </c>
      <c r="AC8" s="155">
        <v>354896</v>
      </c>
      <c r="AD8" s="155">
        <v>355549</v>
      </c>
      <c r="AE8" s="155">
        <v>355766</v>
      </c>
      <c r="AF8" s="155">
        <v>355703</v>
      </c>
      <c r="AG8" s="155">
        <v>355433</v>
      </c>
      <c r="AH8" s="155">
        <v>354999</v>
      </c>
      <c r="AI8" s="155">
        <v>353953</v>
      </c>
      <c r="AJ8" s="155">
        <v>352217</v>
      </c>
      <c r="AK8" s="155">
        <v>350280</v>
      </c>
      <c r="AL8" s="155">
        <v>348224</v>
      </c>
      <c r="AM8" s="155">
        <v>346141</v>
      </c>
      <c r="AN8" s="155">
        <v>344003</v>
      </c>
      <c r="AO8" s="155">
        <v>341837</v>
      </c>
      <c r="AP8" s="155">
        <v>339826</v>
      </c>
      <c r="AQ8" s="155">
        <v>338097</v>
      </c>
      <c r="AR8" s="155">
        <v>336665</v>
      </c>
      <c r="AS8" s="155">
        <v>335443</v>
      </c>
      <c r="AT8" s="155">
        <v>334436</v>
      </c>
      <c r="AU8" s="155">
        <v>333694</v>
      </c>
      <c r="AV8" s="155">
        <v>333194</v>
      </c>
      <c r="AW8" s="155">
        <v>332933</v>
      </c>
      <c r="AX8" s="155">
        <v>332800</v>
      </c>
      <c r="AY8" s="155">
        <v>332764</v>
      </c>
      <c r="AZ8" s="155">
        <v>332914</v>
      </c>
      <c r="BA8" s="155">
        <v>333206</v>
      </c>
      <c r="BB8" s="155">
        <v>333576</v>
      </c>
      <c r="BC8" s="155">
        <v>333996</v>
      </c>
      <c r="BD8" s="155">
        <v>334424</v>
      </c>
      <c r="BE8" s="155">
        <v>334839</v>
      </c>
      <c r="BF8" s="155">
        <v>335252</v>
      </c>
      <c r="BG8" s="155">
        <v>335622</v>
      </c>
      <c r="BH8" s="155">
        <v>335923</v>
      </c>
      <c r="BI8" s="155">
        <v>336141</v>
      </c>
      <c r="BJ8" s="155">
        <v>336271</v>
      </c>
      <c r="BK8" s="155">
        <v>336294</v>
      </c>
      <c r="BL8" s="155">
        <v>336201</v>
      </c>
      <c r="BM8" s="155">
        <v>335995</v>
      </c>
      <c r="BN8" s="155">
        <v>335667</v>
      </c>
      <c r="BO8" s="155">
        <v>335215</v>
      </c>
      <c r="BP8" s="155">
        <v>334650</v>
      </c>
      <c r="BQ8" s="155">
        <v>333987</v>
      </c>
      <c r="BR8" s="155">
        <v>333240</v>
      </c>
      <c r="BS8" s="155">
        <v>332432</v>
      </c>
      <c r="BT8" s="155">
        <v>331577</v>
      </c>
      <c r="BU8" s="155">
        <v>330707</v>
      </c>
      <c r="BV8" s="155">
        <v>329836</v>
      </c>
      <c r="BW8" s="155">
        <v>329002</v>
      </c>
      <c r="BX8" s="155">
        <v>328207</v>
      </c>
      <c r="BY8" s="155">
        <v>327476</v>
      </c>
      <c r="BZ8" s="155">
        <v>326814</v>
      </c>
      <c r="CA8" s="155">
        <v>326237</v>
      </c>
      <c r="CB8" s="155">
        <v>325752</v>
      </c>
      <c r="CC8" s="155">
        <v>325354</v>
      </c>
      <c r="CD8" s="155">
        <v>325044</v>
      </c>
      <c r="CE8" s="155">
        <v>324817</v>
      </c>
      <c r="CF8" s="155">
        <v>324669</v>
      </c>
      <c r="CG8" s="155">
        <v>324586</v>
      </c>
      <c r="CH8" s="155">
        <v>324565</v>
      </c>
      <c r="CI8" s="155">
        <v>324584</v>
      </c>
      <c r="CJ8" s="155">
        <v>324637</v>
      </c>
      <c r="CK8" s="155">
        <v>324711</v>
      </c>
      <c r="CL8" s="155">
        <v>324787</v>
      </c>
      <c r="CM8" s="155">
        <v>324861</v>
      </c>
      <c r="CN8" s="155">
        <v>324923</v>
      </c>
      <c r="CO8" s="155">
        <v>324956</v>
      </c>
      <c r="CP8" s="155">
        <v>324963</v>
      </c>
      <c r="CQ8" s="155">
        <v>324930</v>
      </c>
      <c r="CR8" s="155">
        <v>324852</v>
      </c>
      <c r="CS8" s="155">
        <v>324729</v>
      </c>
      <c r="CT8" s="155">
        <v>324561</v>
      </c>
      <c r="CU8" s="155">
        <v>324342</v>
      </c>
      <c r="CV8" s="155">
        <v>324082</v>
      </c>
      <c r="CW8" s="155">
        <v>323781</v>
      </c>
      <c r="CX8" s="155">
        <v>323445</v>
      </c>
      <c r="CY8" s="154">
        <v>323075</v>
      </c>
    </row>
    <row r="9" spans="1:103">
      <c r="A9" s="155" t="s">
        <v>1136</v>
      </c>
      <c r="B9" s="154">
        <v>7</v>
      </c>
      <c r="C9" s="155">
        <v>380812</v>
      </c>
      <c r="D9" s="155">
        <v>386524</v>
      </c>
      <c r="E9" s="155">
        <v>378926</v>
      </c>
      <c r="F9" s="155">
        <v>372680</v>
      </c>
      <c r="G9" s="155">
        <v>369602</v>
      </c>
      <c r="H9" s="155">
        <v>365074</v>
      </c>
      <c r="I9" s="155">
        <v>354980</v>
      </c>
      <c r="J9" s="155">
        <v>358394</v>
      </c>
      <c r="K9" s="155">
        <v>341526</v>
      </c>
      <c r="L9" s="155">
        <v>341024</v>
      </c>
      <c r="M9" s="155">
        <v>342795</v>
      </c>
      <c r="N9" s="155">
        <v>344009</v>
      </c>
      <c r="O9" s="155">
        <v>344697</v>
      </c>
      <c r="P9" s="155">
        <v>345089</v>
      </c>
      <c r="Q9" s="155">
        <v>345424</v>
      </c>
      <c r="R9" s="155">
        <v>345722</v>
      </c>
      <c r="S9" s="155">
        <v>346009</v>
      </c>
      <c r="T9" s="155">
        <v>346297</v>
      </c>
      <c r="U9" s="155">
        <v>346773</v>
      </c>
      <c r="V9" s="155">
        <v>347509</v>
      </c>
      <c r="W9" s="155">
        <v>348339</v>
      </c>
      <c r="X9" s="155">
        <v>349260</v>
      </c>
      <c r="Y9" s="155">
        <v>350334</v>
      </c>
      <c r="Z9" s="155">
        <v>351574</v>
      </c>
      <c r="AA9" s="155">
        <v>352868</v>
      </c>
      <c r="AB9" s="155">
        <v>354087</v>
      </c>
      <c r="AC9" s="155">
        <v>355193</v>
      </c>
      <c r="AD9" s="155">
        <v>356182</v>
      </c>
      <c r="AE9" s="155">
        <v>356835</v>
      </c>
      <c r="AF9" s="155">
        <v>357052</v>
      </c>
      <c r="AG9" s="155">
        <v>356989</v>
      </c>
      <c r="AH9" s="155">
        <v>356719</v>
      </c>
      <c r="AI9" s="155">
        <v>356285</v>
      </c>
      <c r="AJ9" s="155">
        <v>355239</v>
      </c>
      <c r="AK9" s="155">
        <v>353503</v>
      </c>
      <c r="AL9" s="155">
        <v>351568</v>
      </c>
      <c r="AM9" s="155">
        <v>349511</v>
      </c>
      <c r="AN9" s="155">
        <v>347428</v>
      </c>
      <c r="AO9" s="155">
        <v>345290</v>
      </c>
      <c r="AP9" s="155">
        <v>343125</v>
      </c>
      <c r="AQ9" s="155">
        <v>341113</v>
      </c>
      <c r="AR9" s="155">
        <v>339385</v>
      </c>
      <c r="AS9" s="155">
        <v>337953</v>
      </c>
      <c r="AT9" s="155">
        <v>336731</v>
      </c>
      <c r="AU9" s="155">
        <v>335724</v>
      </c>
      <c r="AV9" s="155">
        <v>334982</v>
      </c>
      <c r="AW9" s="155">
        <v>334482</v>
      </c>
      <c r="AX9" s="155">
        <v>334221</v>
      </c>
      <c r="AY9" s="155">
        <v>334088</v>
      </c>
      <c r="AZ9" s="155">
        <v>334053</v>
      </c>
      <c r="BA9" s="155">
        <v>334202</v>
      </c>
      <c r="BB9" s="155">
        <v>334495</v>
      </c>
      <c r="BC9" s="155">
        <v>334865</v>
      </c>
      <c r="BD9" s="155">
        <v>335286</v>
      </c>
      <c r="BE9" s="155">
        <v>335713</v>
      </c>
      <c r="BF9" s="155">
        <v>336128</v>
      </c>
      <c r="BG9" s="155">
        <v>336541</v>
      </c>
      <c r="BH9" s="155">
        <v>336911</v>
      </c>
      <c r="BI9" s="155">
        <v>337212</v>
      </c>
      <c r="BJ9" s="155">
        <v>337430</v>
      </c>
      <c r="BK9" s="155">
        <v>337560</v>
      </c>
      <c r="BL9" s="155">
        <v>337583</v>
      </c>
      <c r="BM9" s="155">
        <v>337491</v>
      </c>
      <c r="BN9" s="155">
        <v>337285</v>
      </c>
      <c r="BO9" s="155">
        <v>336957</v>
      </c>
      <c r="BP9" s="155">
        <v>336505</v>
      </c>
      <c r="BQ9" s="155">
        <v>335940</v>
      </c>
      <c r="BR9" s="155">
        <v>335278</v>
      </c>
      <c r="BS9" s="155">
        <v>334531</v>
      </c>
      <c r="BT9" s="155">
        <v>333722</v>
      </c>
      <c r="BU9" s="155">
        <v>332867</v>
      </c>
      <c r="BV9" s="155">
        <v>331998</v>
      </c>
      <c r="BW9" s="155">
        <v>331127</v>
      </c>
      <c r="BX9" s="155">
        <v>330294</v>
      </c>
      <c r="BY9" s="155">
        <v>329499</v>
      </c>
      <c r="BZ9" s="155">
        <v>328768</v>
      </c>
      <c r="CA9" s="155">
        <v>328106</v>
      </c>
      <c r="CB9" s="155">
        <v>327529</v>
      </c>
      <c r="CC9" s="155">
        <v>327043</v>
      </c>
      <c r="CD9" s="155">
        <v>326646</v>
      </c>
      <c r="CE9" s="155">
        <v>326336</v>
      </c>
      <c r="CF9" s="155">
        <v>326109</v>
      </c>
      <c r="CG9" s="155">
        <v>325961</v>
      </c>
      <c r="CH9" s="155">
        <v>325878</v>
      </c>
      <c r="CI9" s="155">
        <v>325858</v>
      </c>
      <c r="CJ9" s="155">
        <v>325876</v>
      </c>
      <c r="CK9" s="155">
        <v>325929</v>
      </c>
      <c r="CL9" s="155">
        <v>326004</v>
      </c>
      <c r="CM9" s="155">
        <v>326081</v>
      </c>
      <c r="CN9" s="155">
        <v>326155</v>
      </c>
      <c r="CO9" s="155">
        <v>326216</v>
      </c>
      <c r="CP9" s="155">
        <v>326249</v>
      </c>
      <c r="CQ9" s="155">
        <v>326256</v>
      </c>
      <c r="CR9" s="155">
        <v>326223</v>
      </c>
      <c r="CS9" s="155">
        <v>326145</v>
      </c>
      <c r="CT9" s="155">
        <v>326022</v>
      </c>
      <c r="CU9" s="155">
        <v>325854</v>
      </c>
      <c r="CV9" s="155">
        <v>325635</v>
      </c>
      <c r="CW9" s="155">
        <v>325375</v>
      </c>
      <c r="CX9" s="155">
        <v>325074</v>
      </c>
      <c r="CY9" s="154">
        <v>324738</v>
      </c>
    </row>
    <row r="10" spans="1:103">
      <c r="A10" s="155" t="s">
        <v>1136</v>
      </c>
      <c r="B10" s="154">
        <v>8</v>
      </c>
      <c r="C10" s="155">
        <v>383370</v>
      </c>
      <c r="D10" s="155">
        <v>384503</v>
      </c>
      <c r="E10" s="155">
        <v>389473</v>
      </c>
      <c r="F10" s="155">
        <v>381475</v>
      </c>
      <c r="G10" s="155">
        <v>374828</v>
      </c>
      <c r="H10" s="155">
        <v>371349</v>
      </c>
      <c r="I10" s="155">
        <v>366420</v>
      </c>
      <c r="J10" s="155">
        <v>356326</v>
      </c>
      <c r="K10" s="155">
        <v>359741</v>
      </c>
      <c r="L10" s="155">
        <v>342874</v>
      </c>
      <c r="M10" s="155">
        <v>342372</v>
      </c>
      <c r="N10" s="155">
        <v>344144</v>
      </c>
      <c r="O10" s="155">
        <v>345357</v>
      </c>
      <c r="P10" s="155">
        <v>346045</v>
      </c>
      <c r="Q10" s="155">
        <v>346438</v>
      </c>
      <c r="R10" s="155">
        <v>346773</v>
      </c>
      <c r="S10" s="155">
        <v>347071</v>
      </c>
      <c r="T10" s="155">
        <v>347358</v>
      </c>
      <c r="U10" s="155">
        <v>347646</v>
      </c>
      <c r="V10" s="155">
        <v>348122</v>
      </c>
      <c r="W10" s="155">
        <v>348858</v>
      </c>
      <c r="X10" s="155">
        <v>349691</v>
      </c>
      <c r="Y10" s="155">
        <v>350611</v>
      </c>
      <c r="Z10" s="155">
        <v>351685</v>
      </c>
      <c r="AA10" s="155">
        <v>352925</v>
      </c>
      <c r="AB10" s="155">
        <v>354220</v>
      </c>
      <c r="AC10" s="155">
        <v>355439</v>
      </c>
      <c r="AD10" s="155">
        <v>356544</v>
      </c>
      <c r="AE10" s="155">
        <v>357533</v>
      </c>
      <c r="AF10" s="155">
        <v>358186</v>
      </c>
      <c r="AG10" s="155">
        <v>358404</v>
      </c>
      <c r="AH10" s="155">
        <v>358340</v>
      </c>
      <c r="AI10" s="155">
        <v>358071</v>
      </c>
      <c r="AJ10" s="155">
        <v>357638</v>
      </c>
      <c r="AK10" s="155">
        <v>356591</v>
      </c>
      <c r="AL10" s="155">
        <v>354856</v>
      </c>
      <c r="AM10" s="155">
        <v>352921</v>
      </c>
      <c r="AN10" s="155">
        <v>350864</v>
      </c>
      <c r="AO10" s="155">
        <v>348781</v>
      </c>
      <c r="AP10" s="155">
        <v>346643</v>
      </c>
      <c r="AQ10" s="155">
        <v>344479</v>
      </c>
      <c r="AR10" s="155">
        <v>342466</v>
      </c>
      <c r="AS10" s="155">
        <v>340738</v>
      </c>
      <c r="AT10" s="155">
        <v>339306</v>
      </c>
      <c r="AU10" s="155">
        <v>338085</v>
      </c>
      <c r="AV10" s="155">
        <v>337078</v>
      </c>
      <c r="AW10" s="155">
        <v>336336</v>
      </c>
      <c r="AX10" s="155">
        <v>335836</v>
      </c>
      <c r="AY10" s="155">
        <v>335575</v>
      </c>
      <c r="AZ10" s="155">
        <v>335442</v>
      </c>
      <c r="BA10" s="155">
        <v>335407</v>
      </c>
      <c r="BB10" s="155">
        <v>335556</v>
      </c>
      <c r="BC10" s="155">
        <v>335849</v>
      </c>
      <c r="BD10" s="155">
        <v>336219</v>
      </c>
      <c r="BE10" s="155">
        <v>336640</v>
      </c>
      <c r="BF10" s="155">
        <v>337067</v>
      </c>
      <c r="BG10" s="155">
        <v>337482</v>
      </c>
      <c r="BH10" s="155">
        <v>337895</v>
      </c>
      <c r="BI10" s="155">
        <v>338266</v>
      </c>
      <c r="BJ10" s="155">
        <v>338567</v>
      </c>
      <c r="BK10" s="155">
        <v>338785</v>
      </c>
      <c r="BL10" s="155">
        <v>338915</v>
      </c>
      <c r="BM10" s="155">
        <v>338939</v>
      </c>
      <c r="BN10" s="155">
        <v>338847</v>
      </c>
      <c r="BO10" s="155">
        <v>338641</v>
      </c>
      <c r="BP10" s="155">
        <v>338312</v>
      </c>
      <c r="BQ10" s="155">
        <v>337860</v>
      </c>
      <c r="BR10" s="155">
        <v>337296</v>
      </c>
      <c r="BS10" s="155">
        <v>336634</v>
      </c>
      <c r="BT10" s="155">
        <v>335886</v>
      </c>
      <c r="BU10" s="155">
        <v>335079</v>
      </c>
      <c r="BV10" s="155">
        <v>334223</v>
      </c>
      <c r="BW10" s="155">
        <v>333356</v>
      </c>
      <c r="BX10" s="155">
        <v>332485</v>
      </c>
      <c r="BY10" s="155">
        <v>331651</v>
      </c>
      <c r="BZ10" s="155">
        <v>330856</v>
      </c>
      <c r="CA10" s="155">
        <v>330126</v>
      </c>
      <c r="CB10" s="155">
        <v>329464</v>
      </c>
      <c r="CC10" s="155">
        <v>328886</v>
      </c>
      <c r="CD10" s="155">
        <v>328401</v>
      </c>
      <c r="CE10" s="155">
        <v>328004</v>
      </c>
      <c r="CF10" s="155">
        <v>327694</v>
      </c>
      <c r="CG10" s="155">
        <v>327467</v>
      </c>
      <c r="CH10" s="155">
        <v>327318</v>
      </c>
      <c r="CI10" s="155">
        <v>327236</v>
      </c>
      <c r="CJ10" s="155">
        <v>327216</v>
      </c>
      <c r="CK10" s="155">
        <v>327234</v>
      </c>
      <c r="CL10" s="155">
        <v>327287</v>
      </c>
      <c r="CM10" s="155">
        <v>327362</v>
      </c>
      <c r="CN10" s="155">
        <v>327439</v>
      </c>
      <c r="CO10" s="155">
        <v>327513</v>
      </c>
      <c r="CP10" s="155">
        <v>327574</v>
      </c>
      <c r="CQ10" s="155">
        <v>327608</v>
      </c>
      <c r="CR10" s="155">
        <v>327615</v>
      </c>
      <c r="CS10" s="155">
        <v>327582</v>
      </c>
      <c r="CT10" s="155">
        <v>327504</v>
      </c>
      <c r="CU10" s="155">
        <v>327380</v>
      </c>
      <c r="CV10" s="155">
        <v>327212</v>
      </c>
      <c r="CW10" s="155">
        <v>326994</v>
      </c>
      <c r="CX10" s="155">
        <v>326734</v>
      </c>
      <c r="CY10" s="154">
        <v>326432</v>
      </c>
    </row>
    <row r="11" spans="1:103">
      <c r="A11" s="155" t="s">
        <v>1136</v>
      </c>
      <c r="B11" s="154">
        <v>9</v>
      </c>
      <c r="C11" s="155">
        <v>393006</v>
      </c>
      <c r="D11" s="155">
        <v>386840</v>
      </c>
      <c r="E11" s="155">
        <v>387297</v>
      </c>
      <c r="F11" s="155">
        <v>391896</v>
      </c>
      <c r="G11" s="155">
        <v>383529</v>
      </c>
      <c r="H11" s="155">
        <v>376514</v>
      </c>
      <c r="I11" s="155">
        <v>372666</v>
      </c>
      <c r="J11" s="155">
        <v>367738</v>
      </c>
      <c r="K11" s="155">
        <v>357644</v>
      </c>
      <c r="L11" s="155">
        <v>361059</v>
      </c>
      <c r="M11" s="155">
        <v>344193</v>
      </c>
      <c r="N11" s="155">
        <v>343690</v>
      </c>
      <c r="O11" s="155">
        <v>345463</v>
      </c>
      <c r="P11" s="155">
        <v>346676</v>
      </c>
      <c r="Q11" s="155">
        <v>347365</v>
      </c>
      <c r="R11" s="155">
        <v>347758</v>
      </c>
      <c r="S11" s="155">
        <v>348094</v>
      </c>
      <c r="T11" s="155">
        <v>348392</v>
      </c>
      <c r="U11" s="155">
        <v>348678</v>
      </c>
      <c r="V11" s="155">
        <v>348966</v>
      </c>
      <c r="W11" s="155">
        <v>349443</v>
      </c>
      <c r="X11" s="155">
        <v>350178</v>
      </c>
      <c r="Y11" s="155">
        <v>351012</v>
      </c>
      <c r="Z11" s="155">
        <v>351932</v>
      </c>
      <c r="AA11" s="155">
        <v>353006</v>
      </c>
      <c r="AB11" s="155">
        <v>354246</v>
      </c>
      <c r="AC11" s="155">
        <v>355540</v>
      </c>
      <c r="AD11" s="155">
        <v>356760</v>
      </c>
      <c r="AE11" s="155">
        <v>357866</v>
      </c>
      <c r="AF11" s="155">
        <v>358855</v>
      </c>
      <c r="AG11" s="155">
        <v>359508</v>
      </c>
      <c r="AH11" s="155">
        <v>359727</v>
      </c>
      <c r="AI11" s="155">
        <v>359663</v>
      </c>
      <c r="AJ11" s="155">
        <v>359394</v>
      </c>
      <c r="AK11" s="155">
        <v>358961</v>
      </c>
      <c r="AL11" s="155">
        <v>357914</v>
      </c>
      <c r="AM11" s="155">
        <v>356179</v>
      </c>
      <c r="AN11" s="155">
        <v>354244</v>
      </c>
      <c r="AO11" s="155">
        <v>352188</v>
      </c>
      <c r="AP11" s="155">
        <v>350105</v>
      </c>
      <c r="AQ11" s="155">
        <v>347967</v>
      </c>
      <c r="AR11" s="155">
        <v>345803</v>
      </c>
      <c r="AS11" s="155">
        <v>343790</v>
      </c>
      <c r="AT11" s="155">
        <v>342063</v>
      </c>
      <c r="AU11" s="155">
        <v>340630</v>
      </c>
      <c r="AV11" s="155">
        <v>339409</v>
      </c>
      <c r="AW11" s="155">
        <v>338404</v>
      </c>
      <c r="AX11" s="155">
        <v>337661</v>
      </c>
      <c r="AY11" s="155">
        <v>337161</v>
      </c>
      <c r="AZ11" s="155">
        <v>336899</v>
      </c>
      <c r="BA11" s="155">
        <v>336766</v>
      </c>
      <c r="BB11" s="155">
        <v>336732</v>
      </c>
      <c r="BC11" s="155">
        <v>336881</v>
      </c>
      <c r="BD11" s="155">
        <v>337174</v>
      </c>
      <c r="BE11" s="155">
        <v>337544</v>
      </c>
      <c r="BF11" s="155">
        <v>337965</v>
      </c>
      <c r="BG11" s="155">
        <v>338392</v>
      </c>
      <c r="BH11" s="155">
        <v>338808</v>
      </c>
      <c r="BI11" s="155">
        <v>339221</v>
      </c>
      <c r="BJ11" s="155">
        <v>339592</v>
      </c>
      <c r="BK11" s="155">
        <v>339893</v>
      </c>
      <c r="BL11" s="155">
        <v>340111</v>
      </c>
      <c r="BM11" s="155">
        <v>340241</v>
      </c>
      <c r="BN11" s="155">
        <v>340265</v>
      </c>
      <c r="BO11" s="155">
        <v>340172</v>
      </c>
      <c r="BP11" s="155">
        <v>339967</v>
      </c>
      <c r="BQ11" s="155">
        <v>339638</v>
      </c>
      <c r="BR11" s="155">
        <v>339187</v>
      </c>
      <c r="BS11" s="155">
        <v>338622</v>
      </c>
      <c r="BT11" s="155">
        <v>337960</v>
      </c>
      <c r="BU11" s="155">
        <v>337213</v>
      </c>
      <c r="BV11" s="155">
        <v>336406</v>
      </c>
      <c r="BW11" s="155">
        <v>335550</v>
      </c>
      <c r="BX11" s="155">
        <v>334683</v>
      </c>
      <c r="BY11" s="155">
        <v>333812</v>
      </c>
      <c r="BZ11" s="155">
        <v>332980</v>
      </c>
      <c r="CA11" s="155">
        <v>332184</v>
      </c>
      <c r="CB11" s="155">
        <v>331454</v>
      </c>
      <c r="CC11" s="155">
        <v>330791</v>
      </c>
      <c r="CD11" s="155">
        <v>330214</v>
      </c>
      <c r="CE11" s="155">
        <v>329729</v>
      </c>
      <c r="CF11" s="155">
        <v>329332</v>
      </c>
      <c r="CG11" s="155">
        <v>329022</v>
      </c>
      <c r="CH11" s="155">
        <v>328796</v>
      </c>
      <c r="CI11" s="155">
        <v>328647</v>
      </c>
      <c r="CJ11" s="155">
        <v>328566</v>
      </c>
      <c r="CK11" s="155">
        <v>328545</v>
      </c>
      <c r="CL11" s="155">
        <v>328563</v>
      </c>
      <c r="CM11" s="155">
        <v>328616</v>
      </c>
      <c r="CN11" s="155">
        <v>328690</v>
      </c>
      <c r="CO11" s="155">
        <v>328767</v>
      </c>
      <c r="CP11" s="155">
        <v>328842</v>
      </c>
      <c r="CQ11" s="155">
        <v>328903</v>
      </c>
      <c r="CR11" s="155">
        <v>328937</v>
      </c>
      <c r="CS11" s="155">
        <v>328944</v>
      </c>
      <c r="CT11" s="155">
        <v>328911</v>
      </c>
      <c r="CU11" s="155">
        <v>328833</v>
      </c>
      <c r="CV11" s="155">
        <v>328709</v>
      </c>
      <c r="CW11" s="155">
        <v>328542</v>
      </c>
      <c r="CX11" s="155">
        <v>328324</v>
      </c>
      <c r="CY11" s="154">
        <v>328063</v>
      </c>
    </row>
    <row r="12" spans="1:103">
      <c r="A12" s="155" t="s">
        <v>1136</v>
      </c>
      <c r="B12" s="154">
        <v>10</v>
      </c>
      <c r="C12" s="155">
        <v>403979</v>
      </c>
      <c r="D12" s="155">
        <v>396374</v>
      </c>
      <c r="E12" s="155">
        <v>389584</v>
      </c>
      <c r="F12" s="155">
        <v>389694</v>
      </c>
      <c r="G12" s="155">
        <v>393947</v>
      </c>
      <c r="H12" s="155">
        <v>385233</v>
      </c>
      <c r="I12" s="155">
        <v>377874</v>
      </c>
      <c r="J12" s="155">
        <v>374026</v>
      </c>
      <c r="K12" s="155">
        <v>369100</v>
      </c>
      <c r="L12" s="155">
        <v>359007</v>
      </c>
      <c r="M12" s="155">
        <v>362421</v>
      </c>
      <c r="N12" s="155">
        <v>345556</v>
      </c>
      <c r="O12" s="155">
        <v>345053</v>
      </c>
      <c r="P12" s="155">
        <v>346826</v>
      </c>
      <c r="Q12" s="155">
        <v>348039</v>
      </c>
      <c r="R12" s="155">
        <v>348728</v>
      </c>
      <c r="S12" s="155">
        <v>349122</v>
      </c>
      <c r="T12" s="155">
        <v>349458</v>
      </c>
      <c r="U12" s="155">
        <v>349756</v>
      </c>
      <c r="V12" s="155">
        <v>350042</v>
      </c>
      <c r="W12" s="155">
        <v>350330</v>
      </c>
      <c r="X12" s="155">
        <v>350808</v>
      </c>
      <c r="Y12" s="155">
        <v>351542</v>
      </c>
      <c r="Z12" s="155">
        <v>352376</v>
      </c>
      <c r="AA12" s="155">
        <v>353297</v>
      </c>
      <c r="AB12" s="155">
        <v>354372</v>
      </c>
      <c r="AC12" s="155">
        <v>355612</v>
      </c>
      <c r="AD12" s="155">
        <v>356906</v>
      </c>
      <c r="AE12" s="155">
        <v>358126</v>
      </c>
      <c r="AF12" s="155">
        <v>359231</v>
      </c>
      <c r="AG12" s="155">
        <v>360220</v>
      </c>
      <c r="AH12" s="155">
        <v>360873</v>
      </c>
      <c r="AI12" s="155">
        <v>361093</v>
      </c>
      <c r="AJ12" s="155">
        <v>361028</v>
      </c>
      <c r="AK12" s="155">
        <v>360761</v>
      </c>
      <c r="AL12" s="155">
        <v>360329</v>
      </c>
      <c r="AM12" s="155">
        <v>359281</v>
      </c>
      <c r="AN12" s="155">
        <v>357546</v>
      </c>
      <c r="AO12" s="155">
        <v>355611</v>
      </c>
      <c r="AP12" s="155">
        <v>353555</v>
      </c>
      <c r="AQ12" s="155">
        <v>351473</v>
      </c>
      <c r="AR12" s="155">
        <v>349335</v>
      </c>
      <c r="AS12" s="155">
        <v>347171</v>
      </c>
      <c r="AT12" s="155">
        <v>345158</v>
      </c>
      <c r="AU12" s="155">
        <v>343432</v>
      </c>
      <c r="AV12" s="155">
        <v>341999</v>
      </c>
      <c r="AW12" s="155">
        <v>340777</v>
      </c>
      <c r="AX12" s="155">
        <v>339772</v>
      </c>
      <c r="AY12" s="155">
        <v>339030</v>
      </c>
      <c r="AZ12" s="155">
        <v>338530</v>
      </c>
      <c r="BA12" s="155">
        <v>338268</v>
      </c>
      <c r="BB12" s="155">
        <v>338136</v>
      </c>
      <c r="BC12" s="155">
        <v>338101</v>
      </c>
      <c r="BD12" s="155">
        <v>338250</v>
      </c>
      <c r="BE12" s="155">
        <v>338543</v>
      </c>
      <c r="BF12" s="155">
        <v>338913</v>
      </c>
      <c r="BG12" s="155">
        <v>339334</v>
      </c>
      <c r="BH12" s="155">
        <v>339761</v>
      </c>
      <c r="BI12" s="155">
        <v>340177</v>
      </c>
      <c r="BJ12" s="155">
        <v>340591</v>
      </c>
      <c r="BK12" s="155">
        <v>340962</v>
      </c>
      <c r="BL12" s="155">
        <v>341264</v>
      </c>
      <c r="BM12" s="155">
        <v>341481</v>
      </c>
      <c r="BN12" s="155">
        <v>341611</v>
      </c>
      <c r="BO12" s="155">
        <v>341635</v>
      </c>
      <c r="BP12" s="155">
        <v>341543</v>
      </c>
      <c r="BQ12" s="155">
        <v>341338</v>
      </c>
      <c r="BR12" s="155">
        <v>341009</v>
      </c>
      <c r="BS12" s="155">
        <v>340558</v>
      </c>
      <c r="BT12" s="155">
        <v>339993</v>
      </c>
      <c r="BU12" s="155">
        <v>339330</v>
      </c>
      <c r="BV12" s="155">
        <v>338584</v>
      </c>
      <c r="BW12" s="155">
        <v>337776</v>
      </c>
      <c r="BX12" s="155">
        <v>336921</v>
      </c>
      <c r="BY12" s="155">
        <v>336054</v>
      </c>
      <c r="BZ12" s="155">
        <v>335184</v>
      </c>
      <c r="CA12" s="155">
        <v>334352</v>
      </c>
      <c r="CB12" s="155">
        <v>333555</v>
      </c>
      <c r="CC12" s="155">
        <v>332825</v>
      </c>
      <c r="CD12" s="155">
        <v>332162</v>
      </c>
      <c r="CE12" s="155">
        <v>331585</v>
      </c>
      <c r="CF12" s="155">
        <v>331102</v>
      </c>
      <c r="CG12" s="155">
        <v>330704</v>
      </c>
      <c r="CH12" s="155">
        <v>330394</v>
      </c>
      <c r="CI12" s="155">
        <v>330169</v>
      </c>
      <c r="CJ12" s="155">
        <v>330020</v>
      </c>
      <c r="CK12" s="155">
        <v>329939</v>
      </c>
      <c r="CL12" s="155">
        <v>329918</v>
      </c>
      <c r="CM12" s="155">
        <v>329936</v>
      </c>
      <c r="CN12" s="155">
        <v>329989</v>
      </c>
      <c r="CO12" s="155">
        <v>330063</v>
      </c>
      <c r="CP12" s="155">
        <v>330140</v>
      </c>
      <c r="CQ12" s="155">
        <v>330216</v>
      </c>
      <c r="CR12" s="155">
        <v>330277</v>
      </c>
      <c r="CS12" s="155">
        <v>330311</v>
      </c>
      <c r="CT12" s="155">
        <v>330317</v>
      </c>
      <c r="CU12" s="155">
        <v>330284</v>
      </c>
      <c r="CV12" s="155">
        <v>330207</v>
      </c>
      <c r="CW12" s="155">
        <v>330083</v>
      </c>
      <c r="CX12" s="155">
        <v>329915</v>
      </c>
      <c r="CY12" s="154">
        <v>329697</v>
      </c>
    </row>
    <row r="13" spans="1:103">
      <c r="A13" s="155" t="s">
        <v>1136</v>
      </c>
      <c r="B13" s="154">
        <v>11</v>
      </c>
      <c r="C13" s="155">
        <v>404330</v>
      </c>
      <c r="D13" s="155">
        <v>407172</v>
      </c>
      <c r="E13" s="155">
        <v>398994</v>
      </c>
      <c r="F13" s="155">
        <v>391882</v>
      </c>
      <c r="G13" s="155">
        <v>391668</v>
      </c>
      <c r="H13" s="155">
        <v>395598</v>
      </c>
      <c r="I13" s="155">
        <v>386563</v>
      </c>
      <c r="J13" s="155">
        <v>379204</v>
      </c>
      <c r="K13" s="155">
        <v>375357</v>
      </c>
      <c r="L13" s="155">
        <v>370431</v>
      </c>
      <c r="M13" s="155">
        <v>360341</v>
      </c>
      <c r="N13" s="155">
        <v>363755</v>
      </c>
      <c r="O13" s="155">
        <v>346892</v>
      </c>
      <c r="P13" s="155">
        <v>346388</v>
      </c>
      <c r="Q13" s="155">
        <v>348162</v>
      </c>
      <c r="R13" s="155">
        <v>349375</v>
      </c>
      <c r="S13" s="155">
        <v>350064</v>
      </c>
      <c r="T13" s="155">
        <v>350459</v>
      </c>
      <c r="U13" s="155">
        <v>350794</v>
      </c>
      <c r="V13" s="155">
        <v>351092</v>
      </c>
      <c r="W13" s="155">
        <v>351379</v>
      </c>
      <c r="X13" s="155">
        <v>351667</v>
      </c>
      <c r="Y13" s="155">
        <v>352146</v>
      </c>
      <c r="Z13" s="155">
        <v>352880</v>
      </c>
      <c r="AA13" s="155">
        <v>353713</v>
      </c>
      <c r="AB13" s="155">
        <v>354635</v>
      </c>
      <c r="AC13" s="155">
        <v>355710</v>
      </c>
      <c r="AD13" s="155">
        <v>356950</v>
      </c>
      <c r="AE13" s="155">
        <v>358244</v>
      </c>
      <c r="AF13" s="155">
        <v>359464</v>
      </c>
      <c r="AG13" s="155">
        <v>360569</v>
      </c>
      <c r="AH13" s="155">
        <v>361558</v>
      </c>
      <c r="AI13" s="155">
        <v>362212</v>
      </c>
      <c r="AJ13" s="155">
        <v>362432</v>
      </c>
      <c r="AK13" s="155">
        <v>362367</v>
      </c>
      <c r="AL13" s="155">
        <v>362100</v>
      </c>
      <c r="AM13" s="155">
        <v>361668</v>
      </c>
      <c r="AN13" s="155">
        <v>360620</v>
      </c>
      <c r="AO13" s="155">
        <v>358885</v>
      </c>
      <c r="AP13" s="155">
        <v>356951</v>
      </c>
      <c r="AQ13" s="155">
        <v>354896</v>
      </c>
      <c r="AR13" s="155">
        <v>352814</v>
      </c>
      <c r="AS13" s="155">
        <v>350676</v>
      </c>
      <c r="AT13" s="155">
        <v>348512</v>
      </c>
      <c r="AU13" s="155">
        <v>346498</v>
      </c>
      <c r="AV13" s="155">
        <v>344774</v>
      </c>
      <c r="AW13" s="155">
        <v>343340</v>
      </c>
      <c r="AX13" s="155">
        <v>342119</v>
      </c>
      <c r="AY13" s="155">
        <v>341113</v>
      </c>
      <c r="AZ13" s="155">
        <v>340371</v>
      </c>
      <c r="BA13" s="155">
        <v>339871</v>
      </c>
      <c r="BB13" s="155">
        <v>339609</v>
      </c>
      <c r="BC13" s="155">
        <v>339477</v>
      </c>
      <c r="BD13" s="155">
        <v>339442</v>
      </c>
      <c r="BE13" s="155">
        <v>339592</v>
      </c>
      <c r="BF13" s="155">
        <v>339885</v>
      </c>
      <c r="BG13" s="155">
        <v>340255</v>
      </c>
      <c r="BH13" s="155">
        <v>340677</v>
      </c>
      <c r="BI13" s="155">
        <v>341104</v>
      </c>
      <c r="BJ13" s="155">
        <v>341519</v>
      </c>
      <c r="BK13" s="155">
        <v>341933</v>
      </c>
      <c r="BL13" s="155">
        <v>342304</v>
      </c>
      <c r="BM13" s="155">
        <v>342607</v>
      </c>
      <c r="BN13" s="155">
        <v>342824</v>
      </c>
      <c r="BO13" s="155">
        <v>342954</v>
      </c>
      <c r="BP13" s="155">
        <v>342978</v>
      </c>
      <c r="BQ13" s="155">
        <v>342886</v>
      </c>
      <c r="BR13" s="155">
        <v>342681</v>
      </c>
      <c r="BS13" s="155">
        <v>342353</v>
      </c>
      <c r="BT13" s="155">
        <v>341901</v>
      </c>
      <c r="BU13" s="155">
        <v>341337</v>
      </c>
      <c r="BV13" s="155">
        <v>340674</v>
      </c>
      <c r="BW13" s="155">
        <v>339928</v>
      </c>
      <c r="BX13" s="155">
        <v>339119</v>
      </c>
      <c r="BY13" s="155">
        <v>338264</v>
      </c>
      <c r="BZ13" s="155">
        <v>337397</v>
      </c>
      <c r="CA13" s="155">
        <v>336527</v>
      </c>
      <c r="CB13" s="155">
        <v>335695</v>
      </c>
      <c r="CC13" s="155">
        <v>334900</v>
      </c>
      <c r="CD13" s="155">
        <v>334169</v>
      </c>
      <c r="CE13" s="155">
        <v>333507</v>
      </c>
      <c r="CF13" s="155">
        <v>332930</v>
      </c>
      <c r="CG13" s="155">
        <v>332447</v>
      </c>
      <c r="CH13" s="155">
        <v>332048</v>
      </c>
      <c r="CI13" s="155">
        <v>331738</v>
      </c>
      <c r="CJ13" s="155">
        <v>331513</v>
      </c>
      <c r="CK13" s="155">
        <v>331365</v>
      </c>
      <c r="CL13" s="155">
        <v>331284</v>
      </c>
      <c r="CM13" s="155">
        <v>331262</v>
      </c>
      <c r="CN13" s="155">
        <v>331280</v>
      </c>
      <c r="CO13" s="155">
        <v>331335</v>
      </c>
      <c r="CP13" s="155">
        <v>331408</v>
      </c>
      <c r="CQ13" s="155">
        <v>331486</v>
      </c>
      <c r="CR13" s="155">
        <v>331563</v>
      </c>
      <c r="CS13" s="155">
        <v>331624</v>
      </c>
      <c r="CT13" s="155">
        <v>331658</v>
      </c>
      <c r="CU13" s="155">
        <v>331664</v>
      </c>
      <c r="CV13" s="155">
        <v>331631</v>
      </c>
      <c r="CW13" s="155">
        <v>331554</v>
      </c>
      <c r="CX13" s="155">
        <v>331429</v>
      </c>
      <c r="CY13" s="154">
        <v>331262</v>
      </c>
    </row>
    <row r="14" spans="1:103">
      <c r="A14" s="155" t="s">
        <v>1136</v>
      </c>
      <c r="B14" s="154">
        <v>12</v>
      </c>
      <c r="C14" s="155">
        <v>400415</v>
      </c>
      <c r="D14" s="155">
        <v>407377</v>
      </c>
      <c r="E14" s="155">
        <v>409672</v>
      </c>
      <c r="F14" s="155">
        <v>401187</v>
      </c>
      <c r="G14" s="155">
        <v>393768</v>
      </c>
      <c r="H14" s="155">
        <v>393245</v>
      </c>
      <c r="I14" s="155">
        <v>396869</v>
      </c>
      <c r="J14" s="155">
        <v>387833</v>
      </c>
      <c r="K14" s="155">
        <v>380476</v>
      </c>
      <c r="L14" s="155">
        <v>376630</v>
      </c>
      <c r="M14" s="155">
        <v>371704</v>
      </c>
      <c r="N14" s="155">
        <v>361615</v>
      </c>
      <c r="O14" s="155">
        <v>365029</v>
      </c>
      <c r="P14" s="155">
        <v>348168</v>
      </c>
      <c r="Q14" s="155">
        <v>347663</v>
      </c>
      <c r="R14" s="155">
        <v>349438</v>
      </c>
      <c r="S14" s="155">
        <v>350650</v>
      </c>
      <c r="T14" s="155">
        <v>351341</v>
      </c>
      <c r="U14" s="155">
        <v>351736</v>
      </c>
      <c r="V14" s="155">
        <v>352071</v>
      </c>
      <c r="W14" s="155">
        <v>352370</v>
      </c>
      <c r="X14" s="155">
        <v>352657</v>
      </c>
      <c r="Y14" s="155">
        <v>352945</v>
      </c>
      <c r="Z14" s="155">
        <v>353426</v>
      </c>
      <c r="AA14" s="155">
        <v>354159</v>
      </c>
      <c r="AB14" s="155">
        <v>354992</v>
      </c>
      <c r="AC14" s="155">
        <v>355915</v>
      </c>
      <c r="AD14" s="155">
        <v>356990</v>
      </c>
      <c r="AE14" s="155">
        <v>358229</v>
      </c>
      <c r="AF14" s="155">
        <v>359524</v>
      </c>
      <c r="AG14" s="155">
        <v>360744</v>
      </c>
      <c r="AH14" s="155">
        <v>361848</v>
      </c>
      <c r="AI14" s="155">
        <v>362837</v>
      </c>
      <c r="AJ14" s="155">
        <v>363492</v>
      </c>
      <c r="AK14" s="155">
        <v>363712</v>
      </c>
      <c r="AL14" s="155">
        <v>363647</v>
      </c>
      <c r="AM14" s="155">
        <v>363381</v>
      </c>
      <c r="AN14" s="155">
        <v>362949</v>
      </c>
      <c r="AO14" s="155">
        <v>361900</v>
      </c>
      <c r="AP14" s="155">
        <v>360165</v>
      </c>
      <c r="AQ14" s="155">
        <v>358232</v>
      </c>
      <c r="AR14" s="155">
        <v>356177</v>
      </c>
      <c r="AS14" s="155">
        <v>354095</v>
      </c>
      <c r="AT14" s="155">
        <v>351957</v>
      </c>
      <c r="AU14" s="155">
        <v>349793</v>
      </c>
      <c r="AV14" s="155">
        <v>347780</v>
      </c>
      <c r="AW14" s="155">
        <v>346057</v>
      </c>
      <c r="AX14" s="155">
        <v>344623</v>
      </c>
      <c r="AY14" s="155">
        <v>343403</v>
      </c>
      <c r="AZ14" s="155">
        <v>342396</v>
      </c>
      <c r="BA14" s="155">
        <v>341654</v>
      </c>
      <c r="BB14" s="155">
        <v>341155</v>
      </c>
      <c r="BC14" s="155">
        <v>340892</v>
      </c>
      <c r="BD14" s="155">
        <v>340760</v>
      </c>
      <c r="BE14" s="155">
        <v>340725</v>
      </c>
      <c r="BF14" s="155">
        <v>340875</v>
      </c>
      <c r="BG14" s="155">
        <v>341169</v>
      </c>
      <c r="BH14" s="155">
        <v>341539</v>
      </c>
      <c r="BI14" s="155">
        <v>341961</v>
      </c>
      <c r="BJ14" s="155">
        <v>342388</v>
      </c>
      <c r="BK14" s="155">
        <v>342803</v>
      </c>
      <c r="BL14" s="155">
        <v>343217</v>
      </c>
      <c r="BM14" s="155">
        <v>343589</v>
      </c>
      <c r="BN14" s="155">
        <v>343892</v>
      </c>
      <c r="BO14" s="155">
        <v>344109</v>
      </c>
      <c r="BP14" s="155">
        <v>344239</v>
      </c>
      <c r="BQ14" s="155">
        <v>344263</v>
      </c>
      <c r="BR14" s="155">
        <v>344171</v>
      </c>
      <c r="BS14" s="155">
        <v>343966</v>
      </c>
      <c r="BT14" s="155">
        <v>343638</v>
      </c>
      <c r="BU14" s="155">
        <v>343186</v>
      </c>
      <c r="BV14" s="155">
        <v>342622</v>
      </c>
      <c r="BW14" s="155">
        <v>341959</v>
      </c>
      <c r="BX14" s="155">
        <v>341213</v>
      </c>
      <c r="BY14" s="155">
        <v>340405</v>
      </c>
      <c r="BZ14" s="155">
        <v>339550</v>
      </c>
      <c r="CA14" s="155">
        <v>338683</v>
      </c>
      <c r="CB14" s="155">
        <v>337813</v>
      </c>
      <c r="CC14" s="155">
        <v>336981</v>
      </c>
      <c r="CD14" s="155">
        <v>336186</v>
      </c>
      <c r="CE14" s="155">
        <v>335455</v>
      </c>
      <c r="CF14" s="155">
        <v>334793</v>
      </c>
      <c r="CG14" s="155">
        <v>334216</v>
      </c>
      <c r="CH14" s="155">
        <v>333732</v>
      </c>
      <c r="CI14" s="155">
        <v>333334</v>
      </c>
      <c r="CJ14" s="155">
        <v>333024</v>
      </c>
      <c r="CK14" s="155">
        <v>332800</v>
      </c>
      <c r="CL14" s="155">
        <v>332652</v>
      </c>
      <c r="CM14" s="155">
        <v>332571</v>
      </c>
      <c r="CN14" s="155">
        <v>332549</v>
      </c>
      <c r="CO14" s="155">
        <v>332566</v>
      </c>
      <c r="CP14" s="155">
        <v>332621</v>
      </c>
      <c r="CQ14" s="155">
        <v>332694</v>
      </c>
      <c r="CR14" s="155">
        <v>332772</v>
      </c>
      <c r="CS14" s="155">
        <v>332849</v>
      </c>
      <c r="CT14" s="155">
        <v>332910</v>
      </c>
      <c r="CU14" s="155">
        <v>332944</v>
      </c>
      <c r="CV14" s="155">
        <v>332951</v>
      </c>
      <c r="CW14" s="155">
        <v>332917</v>
      </c>
      <c r="CX14" s="155">
        <v>332840</v>
      </c>
      <c r="CY14" s="154">
        <v>332717</v>
      </c>
    </row>
    <row r="15" spans="1:103">
      <c r="A15" s="155" t="s">
        <v>1136</v>
      </c>
      <c r="B15" s="154">
        <v>13</v>
      </c>
      <c r="C15" s="155">
        <v>397280</v>
      </c>
      <c r="D15" s="155">
        <v>403503</v>
      </c>
      <c r="E15" s="155">
        <v>409945</v>
      </c>
      <c r="F15" s="155">
        <v>411943</v>
      </c>
      <c r="G15" s="155">
        <v>403159</v>
      </c>
      <c r="H15" s="155">
        <v>395442</v>
      </c>
      <c r="I15" s="155">
        <v>394621</v>
      </c>
      <c r="J15" s="155">
        <v>398246</v>
      </c>
      <c r="K15" s="155">
        <v>389209</v>
      </c>
      <c r="L15" s="155">
        <v>381854</v>
      </c>
      <c r="M15" s="155">
        <v>378009</v>
      </c>
      <c r="N15" s="155">
        <v>373082</v>
      </c>
      <c r="O15" s="155">
        <v>362995</v>
      </c>
      <c r="P15" s="155">
        <v>366409</v>
      </c>
      <c r="Q15" s="155">
        <v>349549</v>
      </c>
      <c r="R15" s="155">
        <v>349044</v>
      </c>
      <c r="S15" s="155">
        <v>350819</v>
      </c>
      <c r="T15" s="155">
        <v>352032</v>
      </c>
      <c r="U15" s="155">
        <v>352723</v>
      </c>
      <c r="V15" s="155">
        <v>353118</v>
      </c>
      <c r="W15" s="155">
        <v>353454</v>
      </c>
      <c r="X15" s="155">
        <v>353752</v>
      </c>
      <c r="Y15" s="155">
        <v>354039</v>
      </c>
      <c r="Z15" s="155">
        <v>354328</v>
      </c>
      <c r="AA15" s="155">
        <v>354809</v>
      </c>
      <c r="AB15" s="155">
        <v>355542</v>
      </c>
      <c r="AC15" s="155">
        <v>356375</v>
      </c>
      <c r="AD15" s="155">
        <v>357298</v>
      </c>
      <c r="AE15" s="155">
        <v>358373</v>
      </c>
      <c r="AF15" s="155">
        <v>359612</v>
      </c>
      <c r="AG15" s="155">
        <v>360908</v>
      </c>
      <c r="AH15" s="155">
        <v>362129</v>
      </c>
      <c r="AI15" s="155">
        <v>363233</v>
      </c>
      <c r="AJ15" s="155">
        <v>364222</v>
      </c>
      <c r="AK15" s="155">
        <v>364877</v>
      </c>
      <c r="AL15" s="155">
        <v>365097</v>
      </c>
      <c r="AM15" s="155">
        <v>365033</v>
      </c>
      <c r="AN15" s="155">
        <v>364766</v>
      </c>
      <c r="AO15" s="155">
        <v>364337</v>
      </c>
      <c r="AP15" s="155">
        <v>363286</v>
      </c>
      <c r="AQ15" s="155">
        <v>361552</v>
      </c>
      <c r="AR15" s="155">
        <v>359619</v>
      </c>
      <c r="AS15" s="155">
        <v>357564</v>
      </c>
      <c r="AT15" s="155">
        <v>355483</v>
      </c>
      <c r="AU15" s="155">
        <v>353345</v>
      </c>
      <c r="AV15" s="155">
        <v>351182</v>
      </c>
      <c r="AW15" s="155">
        <v>349168</v>
      </c>
      <c r="AX15" s="155">
        <v>347446</v>
      </c>
      <c r="AY15" s="155">
        <v>346011</v>
      </c>
      <c r="AZ15" s="155">
        <v>344792</v>
      </c>
      <c r="BA15" s="155">
        <v>343785</v>
      </c>
      <c r="BB15" s="155">
        <v>343043</v>
      </c>
      <c r="BC15" s="155">
        <v>342545</v>
      </c>
      <c r="BD15" s="155">
        <v>342281</v>
      </c>
      <c r="BE15" s="155">
        <v>342149</v>
      </c>
      <c r="BF15" s="155">
        <v>342116</v>
      </c>
      <c r="BG15" s="155">
        <v>342266</v>
      </c>
      <c r="BH15" s="155">
        <v>342560</v>
      </c>
      <c r="BI15" s="155">
        <v>342930</v>
      </c>
      <c r="BJ15" s="155">
        <v>343352</v>
      </c>
      <c r="BK15" s="155">
        <v>343779</v>
      </c>
      <c r="BL15" s="155">
        <v>344194</v>
      </c>
      <c r="BM15" s="155">
        <v>344608</v>
      </c>
      <c r="BN15" s="155">
        <v>344980</v>
      </c>
      <c r="BO15" s="155">
        <v>345283</v>
      </c>
      <c r="BP15" s="155">
        <v>345501</v>
      </c>
      <c r="BQ15" s="155">
        <v>345631</v>
      </c>
      <c r="BR15" s="155">
        <v>345655</v>
      </c>
      <c r="BS15" s="155">
        <v>345563</v>
      </c>
      <c r="BT15" s="155">
        <v>345358</v>
      </c>
      <c r="BU15" s="155">
        <v>345031</v>
      </c>
      <c r="BV15" s="155">
        <v>344578</v>
      </c>
      <c r="BW15" s="155">
        <v>344014</v>
      </c>
      <c r="BX15" s="155">
        <v>343351</v>
      </c>
      <c r="BY15" s="155">
        <v>342606</v>
      </c>
      <c r="BZ15" s="155">
        <v>341798</v>
      </c>
      <c r="CA15" s="155">
        <v>340943</v>
      </c>
      <c r="CB15" s="155">
        <v>340076</v>
      </c>
      <c r="CC15" s="155">
        <v>339206</v>
      </c>
      <c r="CD15" s="155">
        <v>338374</v>
      </c>
      <c r="CE15" s="155">
        <v>337579</v>
      </c>
      <c r="CF15" s="155">
        <v>336848</v>
      </c>
      <c r="CG15" s="155">
        <v>336186</v>
      </c>
      <c r="CH15" s="155">
        <v>335608</v>
      </c>
      <c r="CI15" s="155">
        <v>335125</v>
      </c>
      <c r="CJ15" s="155">
        <v>334728</v>
      </c>
      <c r="CK15" s="155">
        <v>334418</v>
      </c>
      <c r="CL15" s="155">
        <v>334194</v>
      </c>
      <c r="CM15" s="155">
        <v>334046</v>
      </c>
      <c r="CN15" s="155">
        <v>333965</v>
      </c>
      <c r="CO15" s="155">
        <v>333943</v>
      </c>
      <c r="CP15" s="155">
        <v>333960</v>
      </c>
      <c r="CQ15" s="155">
        <v>334015</v>
      </c>
      <c r="CR15" s="155">
        <v>334088</v>
      </c>
      <c r="CS15" s="155">
        <v>334166</v>
      </c>
      <c r="CT15" s="155">
        <v>334243</v>
      </c>
      <c r="CU15" s="155">
        <v>334304</v>
      </c>
      <c r="CV15" s="155">
        <v>334338</v>
      </c>
      <c r="CW15" s="155">
        <v>334346</v>
      </c>
      <c r="CX15" s="155">
        <v>334311</v>
      </c>
      <c r="CY15" s="154">
        <v>334234</v>
      </c>
    </row>
    <row r="16" spans="1:103">
      <c r="A16" s="155" t="s">
        <v>1136</v>
      </c>
      <c r="B16" s="154">
        <v>14</v>
      </c>
      <c r="C16" s="155">
        <v>401423</v>
      </c>
      <c r="D16" s="155">
        <v>400635</v>
      </c>
      <c r="E16" s="155">
        <v>406359</v>
      </c>
      <c r="F16" s="155">
        <v>412501</v>
      </c>
      <c r="G16" s="155">
        <v>414198</v>
      </c>
      <c r="H16" s="155">
        <v>405116</v>
      </c>
      <c r="I16" s="155">
        <v>397101</v>
      </c>
      <c r="J16" s="155">
        <v>396279</v>
      </c>
      <c r="K16" s="155">
        <v>399905</v>
      </c>
      <c r="L16" s="155">
        <v>390870</v>
      </c>
      <c r="M16" s="155">
        <v>383515</v>
      </c>
      <c r="N16" s="155">
        <v>379671</v>
      </c>
      <c r="O16" s="155">
        <v>374745</v>
      </c>
      <c r="P16" s="155">
        <v>364659</v>
      </c>
      <c r="Q16" s="155">
        <v>368073</v>
      </c>
      <c r="R16" s="155">
        <v>351214</v>
      </c>
      <c r="S16" s="155">
        <v>350709</v>
      </c>
      <c r="T16" s="155">
        <v>352485</v>
      </c>
      <c r="U16" s="155">
        <v>353697</v>
      </c>
      <c r="V16" s="155">
        <v>354389</v>
      </c>
      <c r="W16" s="155">
        <v>354784</v>
      </c>
      <c r="X16" s="155">
        <v>355120</v>
      </c>
      <c r="Y16" s="155">
        <v>355419</v>
      </c>
      <c r="Z16" s="155">
        <v>355706</v>
      </c>
      <c r="AA16" s="155">
        <v>355995</v>
      </c>
      <c r="AB16" s="155">
        <v>356476</v>
      </c>
      <c r="AC16" s="155">
        <v>357209</v>
      </c>
      <c r="AD16" s="155">
        <v>358042</v>
      </c>
      <c r="AE16" s="155">
        <v>358965</v>
      </c>
      <c r="AF16" s="155">
        <v>360040</v>
      </c>
      <c r="AG16" s="155">
        <v>361279</v>
      </c>
      <c r="AH16" s="155">
        <v>362576</v>
      </c>
      <c r="AI16" s="155">
        <v>363797</v>
      </c>
      <c r="AJ16" s="155">
        <v>364901</v>
      </c>
      <c r="AK16" s="155">
        <v>365889</v>
      </c>
      <c r="AL16" s="155">
        <v>366545</v>
      </c>
      <c r="AM16" s="155">
        <v>366766</v>
      </c>
      <c r="AN16" s="155">
        <v>366702</v>
      </c>
      <c r="AO16" s="155">
        <v>366434</v>
      </c>
      <c r="AP16" s="155">
        <v>366005</v>
      </c>
      <c r="AQ16" s="155">
        <v>364955</v>
      </c>
      <c r="AR16" s="155">
        <v>363222</v>
      </c>
      <c r="AS16" s="155">
        <v>361289</v>
      </c>
      <c r="AT16" s="155">
        <v>359235</v>
      </c>
      <c r="AU16" s="155">
        <v>357154</v>
      </c>
      <c r="AV16" s="155">
        <v>355018</v>
      </c>
      <c r="AW16" s="155">
        <v>352855</v>
      </c>
      <c r="AX16" s="155">
        <v>350841</v>
      </c>
      <c r="AY16" s="155">
        <v>349119</v>
      </c>
      <c r="AZ16" s="155">
        <v>347684</v>
      </c>
      <c r="BA16" s="155">
        <v>346466</v>
      </c>
      <c r="BB16" s="155">
        <v>345458</v>
      </c>
      <c r="BC16" s="155">
        <v>344717</v>
      </c>
      <c r="BD16" s="155">
        <v>344220</v>
      </c>
      <c r="BE16" s="155">
        <v>343955</v>
      </c>
      <c r="BF16" s="155">
        <v>343823</v>
      </c>
      <c r="BG16" s="155">
        <v>343791</v>
      </c>
      <c r="BH16" s="155">
        <v>343942</v>
      </c>
      <c r="BI16" s="155">
        <v>344236</v>
      </c>
      <c r="BJ16" s="155">
        <v>344605</v>
      </c>
      <c r="BK16" s="155">
        <v>345027</v>
      </c>
      <c r="BL16" s="155">
        <v>345454</v>
      </c>
      <c r="BM16" s="155">
        <v>345869</v>
      </c>
      <c r="BN16" s="155">
        <v>346283</v>
      </c>
      <c r="BO16" s="155">
        <v>346655</v>
      </c>
      <c r="BP16" s="155">
        <v>346959</v>
      </c>
      <c r="BQ16" s="155">
        <v>347177</v>
      </c>
      <c r="BR16" s="155">
        <v>347307</v>
      </c>
      <c r="BS16" s="155">
        <v>347330</v>
      </c>
      <c r="BT16" s="155">
        <v>347239</v>
      </c>
      <c r="BU16" s="155">
        <v>347035</v>
      </c>
      <c r="BV16" s="155">
        <v>346707</v>
      </c>
      <c r="BW16" s="155">
        <v>346254</v>
      </c>
      <c r="BX16" s="155">
        <v>345693</v>
      </c>
      <c r="BY16" s="155">
        <v>345029</v>
      </c>
      <c r="BZ16" s="155">
        <v>344284</v>
      </c>
      <c r="CA16" s="155">
        <v>343477</v>
      </c>
      <c r="CB16" s="155">
        <v>342621</v>
      </c>
      <c r="CC16" s="155">
        <v>341754</v>
      </c>
      <c r="CD16" s="155">
        <v>340885</v>
      </c>
      <c r="CE16" s="155">
        <v>340052</v>
      </c>
      <c r="CF16" s="155">
        <v>339258</v>
      </c>
      <c r="CG16" s="155">
        <v>338527</v>
      </c>
      <c r="CH16" s="155">
        <v>337864</v>
      </c>
      <c r="CI16" s="155">
        <v>337287</v>
      </c>
      <c r="CJ16" s="155">
        <v>336804</v>
      </c>
      <c r="CK16" s="155">
        <v>336407</v>
      </c>
      <c r="CL16" s="155">
        <v>336096</v>
      </c>
      <c r="CM16" s="155">
        <v>335873</v>
      </c>
      <c r="CN16" s="155">
        <v>335724</v>
      </c>
      <c r="CO16" s="155">
        <v>335644</v>
      </c>
      <c r="CP16" s="155">
        <v>335622</v>
      </c>
      <c r="CQ16" s="155">
        <v>335639</v>
      </c>
      <c r="CR16" s="155">
        <v>335694</v>
      </c>
      <c r="CS16" s="155">
        <v>335767</v>
      </c>
      <c r="CT16" s="155">
        <v>335846</v>
      </c>
      <c r="CU16" s="155">
        <v>335922</v>
      </c>
      <c r="CV16" s="155">
        <v>335983</v>
      </c>
      <c r="CW16" s="155">
        <v>336017</v>
      </c>
      <c r="CX16" s="155">
        <v>336025</v>
      </c>
      <c r="CY16" s="154">
        <v>335990</v>
      </c>
    </row>
    <row r="17" spans="1:103">
      <c r="A17" s="155" t="s">
        <v>1136</v>
      </c>
      <c r="B17" s="154">
        <v>15</v>
      </c>
      <c r="C17" s="155">
        <v>384687</v>
      </c>
      <c r="D17" s="155">
        <v>405210</v>
      </c>
      <c r="E17" s="155">
        <v>403916</v>
      </c>
      <c r="F17" s="155">
        <v>409321</v>
      </c>
      <c r="G17" s="155">
        <v>415141</v>
      </c>
      <c r="H17" s="155">
        <v>416520</v>
      </c>
      <c r="I17" s="155">
        <v>407119</v>
      </c>
      <c r="J17" s="155">
        <v>399106</v>
      </c>
      <c r="K17" s="155">
        <v>398285</v>
      </c>
      <c r="L17" s="155">
        <v>401911</v>
      </c>
      <c r="M17" s="155">
        <v>392877</v>
      </c>
      <c r="N17" s="155">
        <v>385524</v>
      </c>
      <c r="O17" s="155">
        <v>381682</v>
      </c>
      <c r="P17" s="155">
        <v>376755</v>
      </c>
      <c r="Q17" s="155">
        <v>366670</v>
      </c>
      <c r="R17" s="155">
        <v>370085</v>
      </c>
      <c r="S17" s="155">
        <v>353228</v>
      </c>
      <c r="T17" s="155">
        <v>352723</v>
      </c>
      <c r="U17" s="155">
        <v>354499</v>
      </c>
      <c r="V17" s="155">
        <v>355712</v>
      </c>
      <c r="W17" s="155">
        <v>356404</v>
      </c>
      <c r="X17" s="155">
        <v>356799</v>
      </c>
      <c r="Y17" s="155">
        <v>357136</v>
      </c>
      <c r="Z17" s="155">
        <v>357436</v>
      </c>
      <c r="AA17" s="155">
        <v>357722</v>
      </c>
      <c r="AB17" s="155">
        <v>358011</v>
      </c>
      <c r="AC17" s="155">
        <v>358492</v>
      </c>
      <c r="AD17" s="155">
        <v>359225</v>
      </c>
      <c r="AE17" s="155">
        <v>360059</v>
      </c>
      <c r="AF17" s="155">
        <v>360982</v>
      </c>
      <c r="AG17" s="155">
        <v>362057</v>
      </c>
      <c r="AH17" s="155">
        <v>363296</v>
      </c>
      <c r="AI17" s="155">
        <v>364594</v>
      </c>
      <c r="AJ17" s="155">
        <v>365815</v>
      </c>
      <c r="AK17" s="155">
        <v>366919</v>
      </c>
      <c r="AL17" s="155">
        <v>367908</v>
      </c>
      <c r="AM17" s="155">
        <v>368564</v>
      </c>
      <c r="AN17" s="155">
        <v>368785</v>
      </c>
      <c r="AO17" s="155">
        <v>368720</v>
      </c>
      <c r="AP17" s="155">
        <v>368453</v>
      </c>
      <c r="AQ17" s="155">
        <v>368025</v>
      </c>
      <c r="AR17" s="155">
        <v>366974</v>
      </c>
      <c r="AS17" s="155">
        <v>365241</v>
      </c>
      <c r="AT17" s="155">
        <v>363310</v>
      </c>
      <c r="AU17" s="155">
        <v>361255</v>
      </c>
      <c r="AV17" s="155">
        <v>359174</v>
      </c>
      <c r="AW17" s="155">
        <v>357038</v>
      </c>
      <c r="AX17" s="155">
        <v>354876</v>
      </c>
      <c r="AY17" s="155">
        <v>352862</v>
      </c>
      <c r="AZ17" s="155">
        <v>351141</v>
      </c>
      <c r="BA17" s="155">
        <v>349706</v>
      </c>
      <c r="BB17" s="155">
        <v>348489</v>
      </c>
      <c r="BC17" s="155">
        <v>347480</v>
      </c>
      <c r="BD17" s="155">
        <v>346739</v>
      </c>
      <c r="BE17" s="155">
        <v>346243</v>
      </c>
      <c r="BF17" s="155">
        <v>345980</v>
      </c>
      <c r="BG17" s="155">
        <v>345848</v>
      </c>
      <c r="BH17" s="155">
        <v>345816</v>
      </c>
      <c r="BI17" s="155">
        <v>345967</v>
      </c>
      <c r="BJ17" s="155">
        <v>346261</v>
      </c>
      <c r="BK17" s="155">
        <v>346631</v>
      </c>
      <c r="BL17" s="155">
        <v>347053</v>
      </c>
      <c r="BM17" s="155">
        <v>347481</v>
      </c>
      <c r="BN17" s="155">
        <v>347895</v>
      </c>
      <c r="BO17" s="155">
        <v>348309</v>
      </c>
      <c r="BP17" s="155">
        <v>348681</v>
      </c>
      <c r="BQ17" s="155">
        <v>348985</v>
      </c>
      <c r="BR17" s="155">
        <v>349203</v>
      </c>
      <c r="BS17" s="155">
        <v>349333</v>
      </c>
      <c r="BT17" s="155">
        <v>349357</v>
      </c>
      <c r="BU17" s="155">
        <v>349266</v>
      </c>
      <c r="BV17" s="155">
        <v>349062</v>
      </c>
      <c r="BW17" s="155">
        <v>348735</v>
      </c>
      <c r="BX17" s="155">
        <v>348281</v>
      </c>
      <c r="BY17" s="155">
        <v>347720</v>
      </c>
      <c r="BZ17" s="155">
        <v>347056</v>
      </c>
      <c r="CA17" s="155">
        <v>346312</v>
      </c>
      <c r="CB17" s="155">
        <v>345505</v>
      </c>
      <c r="CC17" s="155">
        <v>344649</v>
      </c>
      <c r="CD17" s="155">
        <v>343782</v>
      </c>
      <c r="CE17" s="155">
        <v>342913</v>
      </c>
      <c r="CF17" s="155">
        <v>342080</v>
      </c>
      <c r="CG17" s="155">
        <v>341288</v>
      </c>
      <c r="CH17" s="155">
        <v>340557</v>
      </c>
      <c r="CI17" s="155">
        <v>339894</v>
      </c>
      <c r="CJ17" s="155">
        <v>339318</v>
      </c>
      <c r="CK17" s="155">
        <v>338834</v>
      </c>
      <c r="CL17" s="155">
        <v>338437</v>
      </c>
      <c r="CM17" s="155">
        <v>338126</v>
      </c>
      <c r="CN17" s="155">
        <v>337904</v>
      </c>
      <c r="CO17" s="155">
        <v>337755</v>
      </c>
      <c r="CP17" s="155">
        <v>337675</v>
      </c>
      <c r="CQ17" s="155">
        <v>337653</v>
      </c>
      <c r="CR17" s="155">
        <v>337670</v>
      </c>
      <c r="CS17" s="155">
        <v>337726</v>
      </c>
      <c r="CT17" s="155">
        <v>337799</v>
      </c>
      <c r="CU17" s="155">
        <v>337877</v>
      </c>
      <c r="CV17" s="155">
        <v>337953</v>
      </c>
      <c r="CW17" s="155">
        <v>338014</v>
      </c>
      <c r="CX17" s="155">
        <v>338049</v>
      </c>
      <c r="CY17" s="154">
        <v>338057</v>
      </c>
    </row>
    <row r="18" spans="1:103">
      <c r="A18" s="155" t="s">
        <v>1136</v>
      </c>
      <c r="B18" s="154">
        <v>16</v>
      </c>
      <c r="C18" s="155">
        <v>377256</v>
      </c>
      <c r="D18" s="155">
        <v>388972</v>
      </c>
      <c r="E18" s="155">
        <v>408965</v>
      </c>
      <c r="F18" s="155">
        <v>407325</v>
      </c>
      <c r="G18" s="155">
        <v>412382</v>
      </c>
      <c r="H18" s="155">
        <v>417855</v>
      </c>
      <c r="I18" s="155">
        <v>418890</v>
      </c>
      <c r="J18" s="155">
        <v>409490</v>
      </c>
      <c r="K18" s="155">
        <v>401479</v>
      </c>
      <c r="L18" s="155">
        <v>400657</v>
      </c>
      <c r="M18" s="155">
        <v>404284</v>
      </c>
      <c r="N18" s="155">
        <v>395253</v>
      </c>
      <c r="O18" s="155">
        <v>387900</v>
      </c>
      <c r="P18" s="155">
        <v>384060</v>
      </c>
      <c r="Q18" s="155">
        <v>379134</v>
      </c>
      <c r="R18" s="155">
        <v>369051</v>
      </c>
      <c r="S18" s="155">
        <v>372466</v>
      </c>
      <c r="T18" s="155">
        <v>355610</v>
      </c>
      <c r="U18" s="155">
        <v>355108</v>
      </c>
      <c r="V18" s="155">
        <v>356883</v>
      </c>
      <c r="W18" s="155">
        <v>358097</v>
      </c>
      <c r="X18" s="155">
        <v>358789</v>
      </c>
      <c r="Y18" s="155">
        <v>359184</v>
      </c>
      <c r="Z18" s="155">
        <v>359522</v>
      </c>
      <c r="AA18" s="155">
        <v>359821</v>
      </c>
      <c r="AB18" s="155">
        <v>360108</v>
      </c>
      <c r="AC18" s="155">
        <v>360396</v>
      </c>
      <c r="AD18" s="155">
        <v>360878</v>
      </c>
      <c r="AE18" s="155">
        <v>361611</v>
      </c>
      <c r="AF18" s="155">
        <v>362446</v>
      </c>
      <c r="AG18" s="155">
        <v>363369</v>
      </c>
      <c r="AH18" s="155">
        <v>364445</v>
      </c>
      <c r="AI18" s="155">
        <v>365684</v>
      </c>
      <c r="AJ18" s="155">
        <v>366982</v>
      </c>
      <c r="AK18" s="155">
        <v>368203</v>
      </c>
      <c r="AL18" s="155">
        <v>369307</v>
      </c>
      <c r="AM18" s="155">
        <v>370296</v>
      </c>
      <c r="AN18" s="155">
        <v>370953</v>
      </c>
      <c r="AO18" s="155">
        <v>371174</v>
      </c>
      <c r="AP18" s="155">
        <v>371109</v>
      </c>
      <c r="AQ18" s="155">
        <v>370842</v>
      </c>
      <c r="AR18" s="155">
        <v>370415</v>
      </c>
      <c r="AS18" s="155">
        <v>369364</v>
      </c>
      <c r="AT18" s="155">
        <v>367631</v>
      </c>
      <c r="AU18" s="155">
        <v>365702</v>
      </c>
      <c r="AV18" s="155">
        <v>363647</v>
      </c>
      <c r="AW18" s="155">
        <v>361567</v>
      </c>
      <c r="AX18" s="155">
        <v>359431</v>
      </c>
      <c r="AY18" s="155">
        <v>357269</v>
      </c>
      <c r="AZ18" s="155">
        <v>355255</v>
      </c>
      <c r="BA18" s="155">
        <v>353535</v>
      </c>
      <c r="BB18" s="155">
        <v>352100</v>
      </c>
      <c r="BC18" s="155">
        <v>350884</v>
      </c>
      <c r="BD18" s="155">
        <v>349874</v>
      </c>
      <c r="BE18" s="155">
        <v>349134</v>
      </c>
      <c r="BF18" s="155">
        <v>348639</v>
      </c>
      <c r="BG18" s="155">
        <v>348376</v>
      </c>
      <c r="BH18" s="155">
        <v>348244</v>
      </c>
      <c r="BI18" s="155">
        <v>348212</v>
      </c>
      <c r="BJ18" s="155">
        <v>348363</v>
      </c>
      <c r="BK18" s="155">
        <v>348657</v>
      </c>
      <c r="BL18" s="155">
        <v>349028</v>
      </c>
      <c r="BM18" s="155">
        <v>349450</v>
      </c>
      <c r="BN18" s="155">
        <v>349877</v>
      </c>
      <c r="BO18" s="155">
        <v>350292</v>
      </c>
      <c r="BP18" s="155">
        <v>350706</v>
      </c>
      <c r="BQ18" s="155">
        <v>351078</v>
      </c>
      <c r="BR18" s="155">
        <v>351383</v>
      </c>
      <c r="BS18" s="155">
        <v>351601</v>
      </c>
      <c r="BT18" s="155">
        <v>351731</v>
      </c>
      <c r="BU18" s="155">
        <v>351756</v>
      </c>
      <c r="BV18" s="155">
        <v>351665</v>
      </c>
      <c r="BW18" s="155">
        <v>351461</v>
      </c>
      <c r="BX18" s="155">
        <v>351135</v>
      </c>
      <c r="BY18" s="155">
        <v>350681</v>
      </c>
      <c r="BZ18" s="155">
        <v>350120</v>
      </c>
      <c r="CA18" s="155">
        <v>349456</v>
      </c>
      <c r="CB18" s="155">
        <v>348712</v>
      </c>
      <c r="CC18" s="155">
        <v>347907</v>
      </c>
      <c r="CD18" s="155">
        <v>347051</v>
      </c>
      <c r="CE18" s="155">
        <v>346184</v>
      </c>
      <c r="CF18" s="155">
        <v>345315</v>
      </c>
      <c r="CG18" s="155">
        <v>344482</v>
      </c>
      <c r="CH18" s="155">
        <v>343691</v>
      </c>
      <c r="CI18" s="155">
        <v>342960</v>
      </c>
      <c r="CJ18" s="155">
        <v>342297</v>
      </c>
      <c r="CK18" s="155">
        <v>341722</v>
      </c>
      <c r="CL18" s="155">
        <v>341237</v>
      </c>
      <c r="CM18" s="155">
        <v>340841</v>
      </c>
      <c r="CN18" s="155">
        <v>340530</v>
      </c>
      <c r="CO18" s="155">
        <v>340308</v>
      </c>
      <c r="CP18" s="155">
        <v>340159</v>
      </c>
      <c r="CQ18" s="155">
        <v>340079</v>
      </c>
      <c r="CR18" s="155">
        <v>340057</v>
      </c>
      <c r="CS18" s="155">
        <v>340074</v>
      </c>
      <c r="CT18" s="155">
        <v>340130</v>
      </c>
      <c r="CU18" s="155">
        <v>340203</v>
      </c>
      <c r="CV18" s="155">
        <v>340281</v>
      </c>
      <c r="CW18" s="155">
        <v>340358</v>
      </c>
      <c r="CX18" s="155">
        <v>340419</v>
      </c>
      <c r="CY18" s="154">
        <v>340455</v>
      </c>
    </row>
    <row r="19" spans="1:103">
      <c r="A19" s="155" t="s">
        <v>1136</v>
      </c>
      <c r="B19" s="154">
        <v>17</v>
      </c>
      <c r="C19" s="155">
        <v>375151</v>
      </c>
      <c r="D19" s="155">
        <v>382594</v>
      </c>
      <c r="E19" s="155">
        <v>393669</v>
      </c>
      <c r="F19" s="155">
        <v>413233</v>
      </c>
      <c r="G19" s="155">
        <v>411166</v>
      </c>
      <c r="H19" s="155">
        <v>415797</v>
      </c>
      <c r="I19" s="155">
        <v>420843</v>
      </c>
      <c r="J19" s="155">
        <v>421878</v>
      </c>
      <c r="K19" s="155">
        <v>412481</v>
      </c>
      <c r="L19" s="155">
        <v>404473</v>
      </c>
      <c r="M19" s="155">
        <v>403652</v>
      </c>
      <c r="N19" s="155">
        <v>407279</v>
      </c>
      <c r="O19" s="155">
        <v>398250</v>
      </c>
      <c r="P19" s="155">
        <v>390898</v>
      </c>
      <c r="Q19" s="155">
        <v>387059</v>
      </c>
      <c r="R19" s="155">
        <v>382135</v>
      </c>
      <c r="S19" s="155">
        <v>372054</v>
      </c>
      <c r="T19" s="155">
        <v>375470</v>
      </c>
      <c r="U19" s="155">
        <v>358615</v>
      </c>
      <c r="V19" s="155">
        <v>358115</v>
      </c>
      <c r="W19" s="155">
        <v>359890</v>
      </c>
      <c r="X19" s="155">
        <v>361104</v>
      </c>
      <c r="Y19" s="155">
        <v>361796</v>
      </c>
      <c r="Z19" s="155">
        <v>362193</v>
      </c>
      <c r="AA19" s="155">
        <v>362531</v>
      </c>
      <c r="AB19" s="155">
        <v>362830</v>
      </c>
      <c r="AC19" s="155">
        <v>363118</v>
      </c>
      <c r="AD19" s="155">
        <v>363405</v>
      </c>
      <c r="AE19" s="155">
        <v>363887</v>
      </c>
      <c r="AF19" s="155">
        <v>364622</v>
      </c>
      <c r="AG19" s="155">
        <v>365457</v>
      </c>
      <c r="AH19" s="155">
        <v>366380</v>
      </c>
      <c r="AI19" s="155">
        <v>367457</v>
      </c>
      <c r="AJ19" s="155">
        <v>368696</v>
      </c>
      <c r="AK19" s="155">
        <v>369995</v>
      </c>
      <c r="AL19" s="155">
        <v>371215</v>
      </c>
      <c r="AM19" s="155">
        <v>372320</v>
      </c>
      <c r="AN19" s="155">
        <v>373310</v>
      </c>
      <c r="AO19" s="155">
        <v>373967</v>
      </c>
      <c r="AP19" s="155">
        <v>374189</v>
      </c>
      <c r="AQ19" s="155">
        <v>374124</v>
      </c>
      <c r="AR19" s="155">
        <v>373858</v>
      </c>
      <c r="AS19" s="155">
        <v>373431</v>
      </c>
      <c r="AT19" s="155">
        <v>372381</v>
      </c>
      <c r="AU19" s="155">
        <v>370648</v>
      </c>
      <c r="AV19" s="155">
        <v>368719</v>
      </c>
      <c r="AW19" s="155">
        <v>366664</v>
      </c>
      <c r="AX19" s="155">
        <v>364584</v>
      </c>
      <c r="AY19" s="155">
        <v>362449</v>
      </c>
      <c r="AZ19" s="155">
        <v>360288</v>
      </c>
      <c r="BA19" s="155">
        <v>358275</v>
      </c>
      <c r="BB19" s="155">
        <v>356554</v>
      </c>
      <c r="BC19" s="155">
        <v>355120</v>
      </c>
      <c r="BD19" s="155">
        <v>353904</v>
      </c>
      <c r="BE19" s="155">
        <v>352895</v>
      </c>
      <c r="BF19" s="155">
        <v>352156</v>
      </c>
      <c r="BG19" s="155">
        <v>351661</v>
      </c>
      <c r="BH19" s="155">
        <v>351398</v>
      </c>
      <c r="BI19" s="155">
        <v>351267</v>
      </c>
      <c r="BJ19" s="155">
        <v>351235</v>
      </c>
      <c r="BK19" s="155">
        <v>351387</v>
      </c>
      <c r="BL19" s="155">
        <v>351680</v>
      </c>
      <c r="BM19" s="155">
        <v>352051</v>
      </c>
      <c r="BN19" s="155">
        <v>352474</v>
      </c>
      <c r="BO19" s="155">
        <v>352901</v>
      </c>
      <c r="BP19" s="155">
        <v>353316</v>
      </c>
      <c r="BQ19" s="155">
        <v>353731</v>
      </c>
      <c r="BR19" s="155">
        <v>354102</v>
      </c>
      <c r="BS19" s="155">
        <v>354409</v>
      </c>
      <c r="BT19" s="155">
        <v>354626</v>
      </c>
      <c r="BU19" s="155">
        <v>354756</v>
      </c>
      <c r="BV19" s="155">
        <v>354781</v>
      </c>
      <c r="BW19" s="155">
        <v>354692</v>
      </c>
      <c r="BX19" s="155">
        <v>354487</v>
      </c>
      <c r="BY19" s="155">
        <v>354162</v>
      </c>
      <c r="BZ19" s="155">
        <v>353708</v>
      </c>
      <c r="CA19" s="155">
        <v>353147</v>
      </c>
      <c r="CB19" s="155">
        <v>352483</v>
      </c>
      <c r="CC19" s="155">
        <v>351739</v>
      </c>
      <c r="CD19" s="155">
        <v>350934</v>
      </c>
      <c r="CE19" s="155">
        <v>350078</v>
      </c>
      <c r="CF19" s="155">
        <v>349212</v>
      </c>
      <c r="CG19" s="155">
        <v>348344</v>
      </c>
      <c r="CH19" s="155">
        <v>347511</v>
      </c>
      <c r="CI19" s="155">
        <v>346719</v>
      </c>
      <c r="CJ19" s="155">
        <v>345989</v>
      </c>
      <c r="CK19" s="155">
        <v>345327</v>
      </c>
      <c r="CL19" s="155">
        <v>344752</v>
      </c>
      <c r="CM19" s="155">
        <v>344268</v>
      </c>
      <c r="CN19" s="155">
        <v>343871</v>
      </c>
      <c r="CO19" s="155">
        <v>343562</v>
      </c>
      <c r="CP19" s="155">
        <v>343340</v>
      </c>
      <c r="CQ19" s="155">
        <v>343190</v>
      </c>
      <c r="CR19" s="155">
        <v>343110</v>
      </c>
      <c r="CS19" s="155">
        <v>343089</v>
      </c>
      <c r="CT19" s="155">
        <v>343107</v>
      </c>
      <c r="CU19" s="155">
        <v>343164</v>
      </c>
      <c r="CV19" s="155">
        <v>343237</v>
      </c>
      <c r="CW19" s="155">
        <v>343315</v>
      </c>
      <c r="CX19" s="155">
        <v>343391</v>
      </c>
      <c r="CY19" s="154">
        <v>343452</v>
      </c>
    </row>
    <row r="20" spans="1:103">
      <c r="A20" s="155" t="s">
        <v>1136</v>
      </c>
      <c r="B20" s="154">
        <v>18</v>
      </c>
      <c r="C20" s="155">
        <v>378060</v>
      </c>
      <c r="D20" s="155">
        <v>384806</v>
      </c>
      <c r="E20" s="155">
        <v>391184</v>
      </c>
      <c r="F20" s="155">
        <v>401507</v>
      </c>
      <c r="G20" s="155">
        <v>420317</v>
      </c>
      <c r="H20" s="155">
        <v>417500</v>
      </c>
      <c r="I20" s="155">
        <v>421381</v>
      </c>
      <c r="J20" s="155">
        <v>426428</v>
      </c>
      <c r="K20" s="155">
        <v>427465</v>
      </c>
      <c r="L20" s="155">
        <v>418070</v>
      </c>
      <c r="M20" s="155">
        <v>410064</v>
      </c>
      <c r="N20" s="155">
        <v>409244</v>
      </c>
      <c r="O20" s="155">
        <v>412872</v>
      </c>
      <c r="P20" s="155">
        <v>403845</v>
      </c>
      <c r="Q20" s="155">
        <v>396496</v>
      </c>
      <c r="R20" s="155">
        <v>392660</v>
      </c>
      <c r="S20" s="155">
        <v>387736</v>
      </c>
      <c r="T20" s="155">
        <v>377658</v>
      </c>
      <c r="U20" s="155">
        <v>381073</v>
      </c>
      <c r="V20" s="155">
        <v>364220</v>
      </c>
      <c r="W20" s="155">
        <v>363722</v>
      </c>
      <c r="X20" s="155">
        <v>365496</v>
      </c>
      <c r="Y20" s="155">
        <v>366711</v>
      </c>
      <c r="Z20" s="155">
        <v>367403</v>
      </c>
      <c r="AA20" s="155">
        <v>367800</v>
      </c>
      <c r="AB20" s="155">
        <v>368140</v>
      </c>
      <c r="AC20" s="155">
        <v>368438</v>
      </c>
      <c r="AD20" s="155">
        <v>368728</v>
      </c>
      <c r="AE20" s="155">
        <v>369015</v>
      </c>
      <c r="AF20" s="155">
        <v>369497</v>
      </c>
      <c r="AG20" s="155">
        <v>370232</v>
      </c>
      <c r="AH20" s="155">
        <v>371068</v>
      </c>
      <c r="AI20" s="155">
        <v>371991</v>
      </c>
      <c r="AJ20" s="155">
        <v>373068</v>
      </c>
      <c r="AK20" s="155">
        <v>374310</v>
      </c>
      <c r="AL20" s="155">
        <v>375609</v>
      </c>
      <c r="AM20" s="155">
        <v>376828</v>
      </c>
      <c r="AN20" s="155">
        <v>377935</v>
      </c>
      <c r="AO20" s="155">
        <v>378924</v>
      </c>
      <c r="AP20" s="155">
        <v>379581</v>
      </c>
      <c r="AQ20" s="155">
        <v>379804</v>
      </c>
      <c r="AR20" s="155">
        <v>379740</v>
      </c>
      <c r="AS20" s="155">
        <v>379473</v>
      </c>
      <c r="AT20" s="155">
        <v>379047</v>
      </c>
      <c r="AU20" s="155">
        <v>377998</v>
      </c>
      <c r="AV20" s="155">
        <v>376265</v>
      </c>
      <c r="AW20" s="155">
        <v>374337</v>
      </c>
      <c r="AX20" s="155">
        <v>372284</v>
      </c>
      <c r="AY20" s="155">
        <v>370203</v>
      </c>
      <c r="AZ20" s="155">
        <v>368070</v>
      </c>
      <c r="BA20" s="155">
        <v>365909</v>
      </c>
      <c r="BB20" s="155">
        <v>363897</v>
      </c>
      <c r="BC20" s="155">
        <v>362177</v>
      </c>
      <c r="BD20" s="155">
        <v>360743</v>
      </c>
      <c r="BE20" s="155">
        <v>359527</v>
      </c>
      <c r="BF20" s="155">
        <v>358518</v>
      </c>
      <c r="BG20" s="155">
        <v>357781</v>
      </c>
      <c r="BH20" s="155">
        <v>357285</v>
      </c>
      <c r="BI20" s="155">
        <v>357023</v>
      </c>
      <c r="BJ20" s="155">
        <v>356893</v>
      </c>
      <c r="BK20" s="155">
        <v>356860</v>
      </c>
      <c r="BL20" s="155">
        <v>357012</v>
      </c>
      <c r="BM20" s="155">
        <v>357306</v>
      </c>
      <c r="BN20" s="155">
        <v>357678</v>
      </c>
      <c r="BO20" s="155">
        <v>358101</v>
      </c>
      <c r="BP20" s="155">
        <v>358528</v>
      </c>
      <c r="BQ20" s="155">
        <v>358944</v>
      </c>
      <c r="BR20" s="155">
        <v>359358</v>
      </c>
      <c r="BS20" s="155">
        <v>359730</v>
      </c>
      <c r="BT20" s="155">
        <v>360036</v>
      </c>
      <c r="BU20" s="155">
        <v>360255</v>
      </c>
      <c r="BV20" s="155">
        <v>360384</v>
      </c>
      <c r="BW20" s="155">
        <v>360410</v>
      </c>
      <c r="BX20" s="155">
        <v>360322</v>
      </c>
      <c r="BY20" s="155">
        <v>360118</v>
      </c>
      <c r="BZ20" s="155">
        <v>359792</v>
      </c>
      <c r="CA20" s="155">
        <v>359339</v>
      </c>
      <c r="CB20" s="155">
        <v>358778</v>
      </c>
      <c r="CC20" s="155">
        <v>358114</v>
      </c>
      <c r="CD20" s="155">
        <v>357371</v>
      </c>
      <c r="CE20" s="155">
        <v>356566</v>
      </c>
      <c r="CF20" s="155">
        <v>355710</v>
      </c>
      <c r="CG20" s="155">
        <v>354845</v>
      </c>
      <c r="CH20" s="155">
        <v>353977</v>
      </c>
      <c r="CI20" s="155">
        <v>353144</v>
      </c>
      <c r="CJ20" s="155">
        <v>352352</v>
      </c>
      <c r="CK20" s="155">
        <v>351622</v>
      </c>
      <c r="CL20" s="155">
        <v>350961</v>
      </c>
      <c r="CM20" s="155">
        <v>350385</v>
      </c>
      <c r="CN20" s="155">
        <v>349902</v>
      </c>
      <c r="CO20" s="155">
        <v>349506</v>
      </c>
      <c r="CP20" s="155">
        <v>349197</v>
      </c>
      <c r="CQ20" s="155">
        <v>348975</v>
      </c>
      <c r="CR20" s="155">
        <v>348824</v>
      </c>
      <c r="CS20" s="155">
        <v>348745</v>
      </c>
      <c r="CT20" s="155">
        <v>348725</v>
      </c>
      <c r="CU20" s="155">
        <v>348743</v>
      </c>
      <c r="CV20" s="155">
        <v>348799</v>
      </c>
      <c r="CW20" s="155">
        <v>348872</v>
      </c>
      <c r="CX20" s="155">
        <v>348951</v>
      </c>
      <c r="CY20" s="154">
        <v>349028</v>
      </c>
    </row>
    <row r="21" spans="1:103">
      <c r="A21" s="155" t="s">
        <v>1136</v>
      </c>
      <c r="B21" s="154">
        <v>19</v>
      </c>
      <c r="C21" s="155">
        <v>379304</v>
      </c>
      <c r="D21" s="155">
        <v>395542</v>
      </c>
      <c r="E21" s="155">
        <v>400490</v>
      </c>
      <c r="F21" s="155">
        <v>405563</v>
      </c>
      <c r="G21" s="155">
        <v>414579</v>
      </c>
      <c r="H21" s="155">
        <v>432081</v>
      </c>
      <c r="I21" s="155">
        <v>427965</v>
      </c>
      <c r="J21" s="155">
        <v>431848</v>
      </c>
      <c r="K21" s="155">
        <v>436897</v>
      </c>
      <c r="L21" s="155">
        <v>437934</v>
      </c>
      <c r="M21" s="155">
        <v>428541</v>
      </c>
      <c r="N21" s="155">
        <v>420538</v>
      </c>
      <c r="O21" s="155">
        <v>419719</v>
      </c>
      <c r="P21" s="155">
        <v>423347</v>
      </c>
      <c r="Q21" s="155">
        <v>414323</v>
      </c>
      <c r="R21" s="155">
        <v>406976</v>
      </c>
      <c r="S21" s="155">
        <v>403141</v>
      </c>
      <c r="T21" s="155">
        <v>398219</v>
      </c>
      <c r="U21" s="155">
        <v>388143</v>
      </c>
      <c r="V21" s="155">
        <v>391557</v>
      </c>
      <c r="W21" s="155">
        <v>374711</v>
      </c>
      <c r="X21" s="155">
        <v>374212</v>
      </c>
      <c r="Y21" s="155">
        <v>375986</v>
      </c>
      <c r="Z21" s="155">
        <v>377201</v>
      </c>
      <c r="AA21" s="155">
        <v>377894</v>
      </c>
      <c r="AB21" s="155">
        <v>378292</v>
      </c>
      <c r="AC21" s="155">
        <v>378633</v>
      </c>
      <c r="AD21" s="155">
        <v>378930</v>
      </c>
      <c r="AE21" s="155">
        <v>379222</v>
      </c>
      <c r="AF21" s="155">
        <v>379508</v>
      </c>
      <c r="AG21" s="155">
        <v>379991</v>
      </c>
      <c r="AH21" s="155">
        <v>380727</v>
      </c>
      <c r="AI21" s="155">
        <v>381562</v>
      </c>
      <c r="AJ21" s="155">
        <v>382486</v>
      </c>
      <c r="AK21" s="155">
        <v>383563</v>
      </c>
      <c r="AL21" s="155">
        <v>384805</v>
      </c>
      <c r="AM21" s="155">
        <v>386105</v>
      </c>
      <c r="AN21" s="155">
        <v>387323</v>
      </c>
      <c r="AO21" s="155">
        <v>388431</v>
      </c>
      <c r="AP21" s="155">
        <v>389420</v>
      </c>
      <c r="AQ21" s="155">
        <v>390080</v>
      </c>
      <c r="AR21" s="155">
        <v>390301</v>
      </c>
      <c r="AS21" s="155">
        <v>390238</v>
      </c>
      <c r="AT21" s="155">
        <v>389972</v>
      </c>
      <c r="AU21" s="155">
        <v>389547</v>
      </c>
      <c r="AV21" s="155">
        <v>388498</v>
      </c>
      <c r="AW21" s="155">
        <v>386765</v>
      </c>
      <c r="AX21" s="155">
        <v>384838</v>
      </c>
      <c r="AY21" s="155">
        <v>382786</v>
      </c>
      <c r="AZ21" s="155">
        <v>380705</v>
      </c>
      <c r="BA21" s="155">
        <v>378574</v>
      </c>
      <c r="BB21" s="155">
        <v>376414</v>
      </c>
      <c r="BC21" s="155">
        <v>374402</v>
      </c>
      <c r="BD21" s="155">
        <v>372682</v>
      </c>
      <c r="BE21" s="155">
        <v>371251</v>
      </c>
      <c r="BF21" s="155">
        <v>370035</v>
      </c>
      <c r="BG21" s="155">
        <v>369027</v>
      </c>
      <c r="BH21" s="155">
        <v>368290</v>
      </c>
      <c r="BI21" s="155">
        <v>367795</v>
      </c>
      <c r="BJ21" s="155">
        <v>367533</v>
      </c>
      <c r="BK21" s="155">
        <v>367403</v>
      </c>
      <c r="BL21" s="155">
        <v>367371</v>
      </c>
      <c r="BM21" s="155">
        <v>367523</v>
      </c>
      <c r="BN21" s="155">
        <v>367817</v>
      </c>
      <c r="BO21" s="155">
        <v>368189</v>
      </c>
      <c r="BP21" s="155">
        <v>368614</v>
      </c>
      <c r="BQ21" s="155">
        <v>369041</v>
      </c>
      <c r="BR21" s="155">
        <v>369456</v>
      </c>
      <c r="BS21" s="155">
        <v>369871</v>
      </c>
      <c r="BT21" s="155">
        <v>370244</v>
      </c>
      <c r="BU21" s="155">
        <v>370549</v>
      </c>
      <c r="BV21" s="155">
        <v>370768</v>
      </c>
      <c r="BW21" s="155">
        <v>370898</v>
      </c>
      <c r="BX21" s="155">
        <v>370924</v>
      </c>
      <c r="BY21" s="155">
        <v>370836</v>
      </c>
      <c r="BZ21" s="155">
        <v>370632</v>
      </c>
      <c r="CA21" s="155">
        <v>370307</v>
      </c>
      <c r="CB21" s="155">
        <v>369853</v>
      </c>
      <c r="CC21" s="155">
        <v>369293</v>
      </c>
      <c r="CD21" s="155">
        <v>368630</v>
      </c>
      <c r="CE21" s="155">
        <v>367887</v>
      </c>
      <c r="CF21" s="155">
        <v>367083</v>
      </c>
      <c r="CG21" s="155">
        <v>366229</v>
      </c>
      <c r="CH21" s="155">
        <v>365363</v>
      </c>
      <c r="CI21" s="155">
        <v>364495</v>
      </c>
      <c r="CJ21" s="155">
        <v>363662</v>
      </c>
      <c r="CK21" s="155">
        <v>362870</v>
      </c>
      <c r="CL21" s="155">
        <v>362141</v>
      </c>
      <c r="CM21" s="155">
        <v>361480</v>
      </c>
      <c r="CN21" s="155">
        <v>360906</v>
      </c>
      <c r="CO21" s="155">
        <v>360422</v>
      </c>
      <c r="CP21" s="155">
        <v>360026</v>
      </c>
      <c r="CQ21" s="155">
        <v>359716</v>
      </c>
      <c r="CR21" s="155">
        <v>359497</v>
      </c>
      <c r="CS21" s="155">
        <v>359345</v>
      </c>
      <c r="CT21" s="155">
        <v>359266</v>
      </c>
      <c r="CU21" s="155">
        <v>359245</v>
      </c>
      <c r="CV21" s="155">
        <v>359264</v>
      </c>
      <c r="CW21" s="155">
        <v>359322</v>
      </c>
      <c r="CX21" s="155">
        <v>359394</v>
      </c>
      <c r="CY21" s="154">
        <v>359473</v>
      </c>
    </row>
    <row r="22" spans="1:103">
      <c r="A22" s="155" t="s">
        <v>1136</v>
      </c>
      <c r="B22" s="154">
        <v>20</v>
      </c>
      <c r="C22" s="155">
        <v>385792</v>
      </c>
      <c r="D22" s="155">
        <v>398959</v>
      </c>
      <c r="E22" s="155">
        <v>412979</v>
      </c>
      <c r="F22" s="155">
        <v>416401</v>
      </c>
      <c r="G22" s="155">
        <v>419949</v>
      </c>
      <c r="H22" s="155">
        <v>427439</v>
      </c>
      <c r="I22" s="155">
        <v>443418</v>
      </c>
      <c r="J22" s="155">
        <v>439303</v>
      </c>
      <c r="K22" s="155">
        <v>443187</v>
      </c>
      <c r="L22" s="155">
        <v>448238</v>
      </c>
      <c r="M22" s="155">
        <v>449275</v>
      </c>
      <c r="N22" s="155">
        <v>439885</v>
      </c>
      <c r="O22" s="155">
        <v>431885</v>
      </c>
      <c r="P22" s="155">
        <v>431067</v>
      </c>
      <c r="Q22" s="155">
        <v>434696</v>
      </c>
      <c r="R22" s="155">
        <v>425675</v>
      </c>
      <c r="S22" s="155">
        <v>418329</v>
      </c>
      <c r="T22" s="155">
        <v>414496</v>
      </c>
      <c r="U22" s="155">
        <v>409575</v>
      </c>
      <c r="V22" s="155">
        <v>399502</v>
      </c>
      <c r="W22" s="155">
        <v>402916</v>
      </c>
      <c r="X22" s="155">
        <v>386074</v>
      </c>
      <c r="Y22" s="155">
        <v>385575</v>
      </c>
      <c r="Z22" s="155">
        <v>387350</v>
      </c>
      <c r="AA22" s="155">
        <v>388565</v>
      </c>
      <c r="AB22" s="155">
        <v>389258</v>
      </c>
      <c r="AC22" s="155">
        <v>389657</v>
      </c>
      <c r="AD22" s="155">
        <v>389999</v>
      </c>
      <c r="AE22" s="155">
        <v>390297</v>
      </c>
      <c r="AF22" s="155">
        <v>390589</v>
      </c>
      <c r="AG22" s="155">
        <v>390876</v>
      </c>
      <c r="AH22" s="155">
        <v>391358</v>
      </c>
      <c r="AI22" s="155">
        <v>392096</v>
      </c>
      <c r="AJ22" s="155">
        <v>392931</v>
      </c>
      <c r="AK22" s="155">
        <v>393855</v>
      </c>
      <c r="AL22" s="155">
        <v>394933</v>
      </c>
      <c r="AM22" s="155">
        <v>396175</v>
      </c>
      <c r="AN22" s="155">
        <v>397475</v>
      </c>
      <c r="AO22" s="155">
        <v>398695</v>
      </c>
      <c r="AP22" s="155">
        <v>399802</v>
      </c>
      <c r="AQ22" s="155">
        <v>400792</v>
      </c>
      <c r="AR22" s="155">
        <v>401453</v>
      </c>
      <c r="AS22" s="155">
        <v>401674</v>
      </c>
      <c r="AT22" s="155">
        <v>401611</v>
      </c>
      <c r="AU22" s="155">
        <v>401345</v>
      </c>
      <c r="AV22" s="155">
        <v>400921</v>
      </c>
      <c r="AW22" s="155">
        <v>399873</v>
      </c>
      <c r="AX22" s="155">
        <v>398139</v>
      </c>
      <c r="AY22" s="155">
        <v>396214</v>
      </c>
      <c r="AZ22" s="155">
        <v>394164</v>
      </c>
      <c r="BA22" s="155">
        <v>392083</v>
      </c>
      <c r="BB22" s="155">
        <v>389953</v>
      </c>
      <c r="BC22" s="155">
        <v>387794</v>
      </c>
      <c r="BD22" s="155">
        <v>385782</v>
      </c>
      <c r="BE22" s="155">
        <v>384063</v>
      </c>
      <c r="BF22" s="155">
        <v>382633</v>
      </c>
      <c r="BG22" s="155">
        <v>381417</v>
      </c>
      <c r="BH22" s="155">
        <v>380410</v>
      </c>
      <c r="BI22" s="155">
        <v>379673</v>
      </c>
      <c r="BJ22" s="155">
        <v>379178</v>
      </c>
      <c r="BK22" s="155">
        <v>378917</v>
      </c>
      <c r="BL22" s="155">
        <v>378788</v>
      </c>
      <c r="BM22" s="155">
        <v>378756</v>
      </c>
      <c r="BN22" s="155">
        <v>378908</v>
      </c>
      <c r="BO22" s="155">
        <v>379202</v>
      </c>
      <c r="BP22" s="155">
        <v>379575</v>
      </c>
      <c r="BQ22" s="155">
        <v>380001</v>
      </c>
      <c r="BR22" s="155">
        <v>380427</v>
      </c>
      <c r="BS22" s="155">
        <v>380845</v>
      </c>
      <c r="BT22" s="155">
        <v>381260</v>
      </c>
      <c r="BU22" s="155">
        <v>381632</v>
      </c>
      <c r="BV22" s="155">
        <v>381937</v>
      </c>
      <c r="BW22" s="155">
        <v>382158</v>
      </c>
      <c r="BX22" s="155">
        <v>382288</v>
      </c>
      <c r="BY22" s="155">
        <v>382313</v>
      </c>
      <c r="BZ22" s="155">
        <v>382226</v>
      </c>
      <c r="CA22" s="155">
        <v>382022</v>
      </c>
      <c r="CB22" s="155">
        <v>381697</v>
      </c>
      <c r="CC22" s="155">
        <v>381244</v>
      </c>
      <c r="CD22" s="155">
        <v>380685</v>
      </c>
      <c r="CE22" s="155">
        <v>380022</v>
      </c>
      <c r="CF22" s="155">
        <v>379280</v>
      </c>
      <c r="CG22" s="155">
        <v>378475</v>
      </c>
      <c r="CH22" s="155">
        <v>377621</v>
      </c>
      <c r="CI22" s="155">
        <v>376755</v>
      </c>
      <c r="CJ22" s="155">
        <v>375889</v>
      </c>
      <c r="CK22" s="155">
        <v>375055</v>
      </c>
      <c r="CL22" s="155">
        <v>374264</v>
      </c>
      <c r="CM22" s="155">
        <v>373535</v>
      </c>
      <c r="CN22" s="155">
        <v>372875</v>
      </c>
      <c r="CO22" s="155">
        <v>372301</v>
      </c>
      <c r="CP22" s="155">
        <v>371817</v>
      </c>
      <c r="CQ22" s="155">
        <v>371422</v>
      </c>
      <c r="CR22" s="155">
        <v>371112</v>
      </c>
      <c r="CS22" s="155">
        <v>370893</v>
      </c>
      <c r="CT22" s="155">
        <v>370742</v>
      </c>
      <c r="CU22" s="155">
        <v>370663</v>
      </c>
      <c r="CV22" s="155">
        <v>370643</v>
      </c>
      <c r="CW22" s="155">
        <v>370662</v>
      </c>
      <c r="CX22" s="155">
        <v>370720</v>
      </c>
      <c r="CY22" s="154">
        <v>370793</v>
      </c>
    </row>
    <row r="23" spans="1:103">
      <c r="A23" s="155" t="s">
        <v>1136</v>
      </c>
      <c r="B23" s="154">
        <v>21</v>
      </c>
      <c r="C23" s="155">
        <v>388719</v>
      </c>
      <c r="D23" s="155">
        <v>401865</v>
      </c>
      <c r="E23" s="155">
        <v>412591</v>
      </c>
      <c r="F23" s="155">
        <v>425139</v>
      </c>
      <c r="G23" s="155">
        <v>427090</v>
      </c>
      <c r="H23" s="155">
        <v>429167</v>
      </c>
      <c r="I23" s="155">
        <v>435191</v>
      </c>
      <c r="J23" s="155">
        <v>451167</v>
      </c>
      <c r="K23" s="155">
        <v>447055</v>
      </c>
      <c r="L23" s="155">
        <v>450940</v>
      </c>
      <c r="M23" s="155">
        <v>455992</v>
      </c>
      <c r="N23" s="155">
        <v>457028</v>
      </c>
      <c r="O23" s="155">
        <v>447641</v>
      </c>
      <c r="P23" s="155">
        <v>439644</v>
      </c>
      <c r="Q23" s="155">
        <v>438827</v>
      </c>
      <c r="R23" s="155">
        <v>442456</v>
      </c>
      <c r="S23" s="155">
        <v>433439</v>
      </c>
      <c r="T23" s="155">
        <v>426094</v>
      </c>
      <c r="U23" s="155">
        <v>422263</v>
      </c>
      <c r="V23" s="155">
        <v>417343</v>
      </c>
      <c r="W23" s="155">
        <v>407272</v>
      </c>
      <c r="X23" s="155">
        <v>410688</v>
      </c>
      <c r="Y23" s="155">
        <v>393849</v>
      </c>
      <c r="Z23" s="155">
        <v>393351</v>
      </c>
      <c r="AA23" s="155">
        <v>395125</v>
      </c>
      <c r="AB23" s="155">
        <v>396342</v>
      </c>
      <c r="AC23" s="155">
        <v>397036</v>
      </c>
      <c r="AD23" s="155">
        <v>397436</v>
      </c>
      <c r="AE23" s="155">
        <v>397778</v>
      </c>
      <c r="AF23" s="155">
        <v>398076</v>
      </c>
      <c r="AG23" s="155">
        <v>398369</v>
      </c>
      <c r="AH23" s="155">
        <v>398657</v>
      </c>
      <c r="AI23" s="155">
        <v>399140</v>
      </c>
      <c r="AJ23" s="155">
        <v>399877</v>
      </c>
      <c r="AK23" s="155">
        <v>400713</v>
      </c>
      <c r="AL23" s="155">
        <v>401638</v>
      </c>
      <c r="AM23" s="155">
        <v>402717</v>
      </c>
      <c r="AN23" s="155">
        <v>403959</v>
      </c>
      <c r="AO23" s="155">
        <v>405258</v>
      </c>
      <c r="AP23" s="155">
        <v>406479</v>
      </c>
      <c r="AQ23" s="155">
        <v>407587</v>
      </c>
      <c r="AR23" s="155">
        <v>408577</v>
      </c>
      <c r="AS23" s="155">
        <v>409240</v>
      </c>
      <c r="AT23" s="155">
        <v>409461</v>
      </c>
      <c r="AU23" s="155">
        <v>409399</v>
      </c>
      <c r="AV23" s="155">
        <v>409132</v>
      </c>
      <c r="AW23" s="155">
        <v>408710</v>
      </c>
      <c r="AX23" s="155">
        <v>407661</v>
      </c>
      <c r="AY23" s="155">
        <v>405928</v>
      </c>
      <c r="AZ23" s="155">
        <v>404004</v>
      </c>
      <c r="BA23" s="155">
        <v>401954</v>
      </c>
      <c r="BB23" s="155">
        <v>399875</v>
      </c>
      <c r="BC23" s="155">
        <v>397745</v>
      </c>
      <c r="BD23" s="155">
        <v>395588</v>
      </c>
      <c r="BE23" s="155">
        <v>393577</v>
      </c>
      <c r="BF23" s="155">
        <v>391859</v>
      </c>
      <c r="BG23" s="155">
        <v>390429</v>
      </c>
      <c r="BH23" s="155">
        <v>389213</v>
      </c>
      <c r="BI23" s="155">
        <v>388206</v>
      </c>
      <c r="BJ23" s="155">
        <v>387470</v>
      </c>
      <c r="BK23" s="155">
        <v>386975</v>
      </c>
      <c r="BL23" s="155">
        <v>386715</v>
      </c>
      <c r="BM23" s="155">
        <v>386587</v>
      </c>
      <c r="BN23" s="155">
        <v>386554</v>
      </c>
      <c r="BO23" s="155">
        <v>386707</v>
      </c>
      <c r="BP23" s="155">
        <v>387001</v>
      </c>
      <c r="BQ23" s="155">
        <v>387374</v>
      </c>
      <c r="BR23" s="155">
        <v>387801</v>
      </c>
      <c r="BS23" s="155">
        <v>388228</v>
      </c>
      <c r="BT23" s="155">
        <v>388646</v>
      </c>
      <c r="BU23" s="155">
        <v>389062</v>
      </c>
      <c r="BV23" s="155">
        <v>389434</v>
      </c>
      <c r="BW23" s="155">
        <v>389739</v>
      </c>
      <c r="BX23" s="155">
        <v>389961</v>
      </c>
      <c r="BY23" s="155">
        <v>390092</v>
      </c>
      <c r="BZ23" s="155">
        <v>390117</v>
      </c>
      <c r="CA23" s="155">
        <v>390031</v>
      </c>
      <c r="CB23" s="155">
        <v>389828</v>
      </c>
      <c r="CC23" s="155">
        <v>389503</v>
      </c>
      <c r="CD23" s="155">
        <v>389049</v>
      </c>
      <c r="CE23" s="155">
        <v>388491</v>
      </c>
      <c r="CF23" s="155">
        <v>387828</v>
      </c>
      <c r="CG23" s="155">
        <v>387087</v>
      </c>
      <c r="CH23" s="155">
        <v>386282</v>
      </c>
      <c r="CI23" s="155">
        <v>385429</v>
      </c>
      <c r="CJ23" s="155">
        <v>384562</v>
      </c>
      <c r="CK23" s="155">
        <v>383698</v>
      </c>
      <c r="CL23" s="155">
        <v>382864</v>
      </c>
      <c r="CM23" s="155">
        <v>382072</v>
      </c>
      <c r="CN23" s="155">
        <v>381344</v>
      </c>
      <c r="CO23" s="155">
        <v>380684</v>
      </c>
      <c r="CP23" s="155">
        <v>380111</v>
      </c>
      <c r="CQ23" s="155">
        <v>379626</v>
      </c>
      <c r="CR23" s="155">
        <v>379233</v>
      </c>
      <c r="CS23" s="155">
        <v>378922</v>
      </c>
      <c r="CT23" s="155">
        <v>378704</v>
      </c>
      <c r="CU23" s="155">
        <v>378553</v>
      </c>
      <c r="CV23" s="155">
        <v>378474</v>
      </c>
      <c r="CW23" s="155">
        <v>378455</v>
      </c>
      <c r="CX23" s="155">
        <v>378474</v>
      </c>
      <c r="CY23" s="154">
        <v>378533</v>
      </c>
    </row>
    <row r="24" spans="1:103">
      <c r="A24" s="155" t="s">
        <v>1136</v>
      </c>
      <c r="B24" s="154">
        <v>22</v>
      </c>
      <c r="C24" s="155">
        <v>396740</v>
      </c>
      <c r="D24" s="155">
        <v>406370</v>
      </c>
      <c r="E24" s="155">
        <v>416271</v>
      </c>
      <c r="F24" s="155">
        <v>425173</v>
      </c>
      <c r="G24" s="155">
        <v>435898</v>
      </c>
      <c r="H24" s="155">
        <v>436030</v>
      </c>
      <c r="I24" s="155">
        <v>436294</v>
      </c>
      <c r="J24" s="155">
        <v>442317</v>
      </c>
      <c r="K24" s="155">
        <v>458290</v>
      </c>
      <c r="L24" s="155">
        <v>454180</v>
      </c>
      <c r="M24" s="155">
        <v>458067</v>
      </c>
      <c r="N24" s="155">
        <v>463121</v>
      </c>
      <c r="O24" s="155">
        <v>464157</v>
      </c>
      <c r="P24" s="155">
        <v>454772</v>
      </c>
      <c r="Q24" s="155">
        <v>446778</v>
      </c>
      <c r="R24" s="155">
        <v>445962</v>
      </c>
      <c r="S24" s="155">
        <v>449591</v>
      </c>
      <c r="T24" s="155">
        <v>440577</v>
      </c>
      <c r="U24" s="155">
        <v>433234</v>
      </c>
      <c r="V24" s="155">
        <v>429404</v>
      </c>
      <c r="W24" s="155">
        <v>424487</v>
      </c>
      <c r="X24" s="155">
        <v>414417</v>
      </c>
      <c r="Y24" s="155">
        <v>417834</v>
      </c>
      <c r="Z24" s="155">
        <v>401000</v>
      </c>
      <c r="AA24" s="155">
        <v>400502</v>
      </c>
      <c r="AB24" s="155">
        <v>402275</v>
      </c>
      <c r="AC24" s="155">
        <v>403494</v>
      </c>
      <c r="AD24" s="155">
        <v>404187</v>
      </c>
      <c r="AE24" s="155">
        <v>404589</v>
      </c>
      <c r="AF24" s="155">
        <v>404931</v>
      </c>
      <c r="AG24" s="155">
        <v>405229</v>
      </c>
      <c r="AH24" s="155">
        <v>405523</v>
      </c>
      <c r="AI24" s="155">
        <v>405813</v>
      </c>
      <c r="AJ24" s="155">
        <v>406295</v>
      </c>
      <c r="AK24" s="155">
        <v>407034</v>
      </c>
      <c r="AL24" s="155">
        <v>407869</v>
      </c>
      <c r="AM24" s="155">
        <v>408795</v>
      </c>
      <c r="AN24" s="155">
        <v>409875</v>
      </c>
      <c r="AO24" s="155">
        <v>411117</v>
      </c>
      <c r="AP24" s="155">
        <v>412417</v>
      </c>
      <c r="AQ24" s="155">
        <v>413639</v>
      </c>
      <c r="AR24" s="155">
        <v>414747</v>
      </c>
      <c r="AS24" s="155">
        <v>415737</v>
      </c>
      <c r="AT24" s="155">
        <v>416400</v>
      </c>
      <c r="AU24" s="155">
        <v>416622</v>
      </c>
      <c r="AV24" s="155">
        <v>416560</v>
      </c>
      <c r="AW24" s="155">
        <v>416296</v>
      </c>
      <c r="AX24" s="155">
        <v>415873</v>
      </c>
      <c r="AY24" s="155">
        <v>414825</v>
      </c>
      <c r="AZ24" s="155">
        <v>413092</v>
      </c>
      <c r="BA24" s="155">
        <v>411169</v>
      </c>
      <c r="BB24" s="155">
        <v>409120</v>
      </c>
      <c r="BC24" s="155">
        <v>407042</v>
      </c>
      <c r="BD24" s="155">
        <v>404913</v>
      </c>
      <c r="BE24" s="155">
        <v>402756</v>
      </c>
      <c r="BF24" s="155">
        <v>400747</v>
      </c>
      <c r="BG24" s="155">
        <v>399030</v>
      </c>
      <c r="BH24" s="155">
        <v>397599</v>
      </c>
      <c r="BI24" s="155">
        <v>396386</v>
      </c>
      <c r="BJ24" s="155">
        <v>395378</v>
      </c>
      <c r="BK24" s="155">
        <v>394644</v>
      </c>
      <c r="BL24" s="155">
        <v>394149</v>
      </c>
      <c r="BM24" s="155">
        <v>393889</v>
      </c>
      <c r="BN24" s="155">
        <v>393761</v>
      </c>
      <c r="BO24" s="155">
        <v>393728</v>
      </c>
      <c r="BP24" s="155">
        <v>393881</v>
      </c>
      <c r="BQ24" s="155">
        <v>394177</v>
      </c>
      <c r="BR24" s="155">
        <v>394549</v>
      </c>
      <c r="BS24" s="155">
        <v>394977</v>
      </c>
      <c r="BT24" s="155">
        <v>395405</v>
      </c>
      <c r="BU24" s="155">
        <v>395823</v>
      </c>
      <c r="BV24" s="155">
        <v>396239</v>
      </c>
      <c r="BW24" s="155">
        <v>396612</v>
      </c>
      <c r="BX24" s="155">
        <v>396916</v>
      </c>
      <c r="BY24" s="155">
        <v>397138</v>
      </c>
      <c r="BZ24" s="155">
        <v>397271</v>
      </c>
      <c r="CA24" s="155">
        <v>397297</v>
      </c>
      <c r="CB24" s="155">
        <v>397211</v>
      </c>
      <c r="CC24" s="155">
        <v>397008</v>
      </c>
      <c r="CD24" s="155">
        <v>396684</v>
      </c>
      <c r="CE24" s="155">
        <v>396230</v>
      </c>
      <c r="CF24" s="155">
        <v>395673</v>
      </c>
      <c r="CG24" s="155">
        <v>395011</v>
      </c>
      <c r="CH24" s="155">
        <v>394269</v>
      </c>
      <c r="CI24" s="155">
        <v>393465</v>
      </c>
      <c r="CJ24" s="155">
        <v>392612</v>
      </c>
      <c r="CK24" s="155">
        <v>391746</v>
      </c>
      <c r="CL24" s="155">
        <v>390882</v>
      </c>
      <c r="CM24" s="155">
        <v>390048</v>
      </c>
      <c r="CN24" s="155">
        <v>389256</v>
      </c>
      <c r="CO24" s="155">
        <v>388530</v>
      </c>
      <c r="CP24" s="155">
        <v>387869</v>
      </c>
      <c r="CQ24" s="155">
        <v>387297</v>
      </c>
      <c r="CR24" s="155">
        <v>386813</v>
      </c>
      <c r="CS24" s="155">
        <v>386419</v>
      </c>
      <c r="CT24" s="155">
        <v>386109</v>
      </c>
      <c r="CU24" s="155">
        <v>385891</v>
      </c>
      <c r="CV24" s="155">
        <v>385741</v>
      </c>
      <c r="CW24" s="155">
        <v>385661</v>
      </c>
      <c r="CX24" s="155">
        <v>385642</v>
      </c>
      <c r="CY24" s="154">
        <v>385662</v>
      </c>
    </row>
    <row r="25" spans="1:103">
      <c r="A25" s="155" t="s">
        <v>1136</v>
      </c>
      <c r="B25" s="154">
        <v>23</v>
      </c>
      <c r="C25" s="155">
        <v>414760</v>
      </c>
      <c r="D25" s="155">
        <v>420579</v>
      </c>
      <c r="E25" s="155">
        <v>425524</v>
      </c>
      <c r="F25" s="155">
        <v>432842</v>
      </c>
      <c r="G25" s="155">
        <v>439163</v>
      </c>
      <c r="H25" s="155">
        <v>447309</v>
      </c>
      <c r="I25" s="155">
        <v>444875</v>
      </c>
      <c r="J25" s="155">
        <v>445139</v>
      </c>
      <c r="K25" s="155">
        <v>451162</v>
      </c>
      <c r="L25" s="155">
        <v>467133</v>
      </c>
      <c r="M25" s="155">
        <v>463025</v>
      </c>
      <c r="N25" s="155">
        <v>466913</v>
      </c>
      <c r="O25" s="155">
        <v>471967</v>
      </c>
      <c r="P25" s="155">
        <v>473005</v>
      </c>
      <c r="Q25" s="155">
        <v>463622</v>
      </c>
      <c r="R25" s="155">
        <v>455631</v>
      </c>
      <c r="S25" s="155">
        <v>454815</v>
      </c>
      <c r="T25" s="155">
        <v>458444</v>
      </c>
      <c r="U25" s="155">
        <v>449433</v>
      </c>
      <c r="V25" s="155">
        <v>442092</v>
      </c>
      <c r="W25" s="155">
        <v>438263</v>
      </c>
      <c r="X25" s="155">
        <v>433349</v>
      </c>
      <c r="Y25" s="155">
        <v>423281</v>
      </c>
      <c r="Z25" s="155">
        <v>426699</v>
      </c>
      <c r="AA25" s="155">
        <v>409869</v>
      </c>
      <c r="AB25" s="155">
        <v>409373</v>
      </c>
      <c r="AC25" s="155">
        <v>411145</v>
      </c>
      <c r="AD25" s="155">
        <v>412364</v>
      </c>
      <c r="AE25" s="155">
        <v>413058</v>
      </c>
      <c r="AF25" s="155">
        <v>413460</v>
      </c>
      <c r="AG25" s="155">
        <v>413803</v>
      </c>
      <c r="AH25" s="155">
        <v>414103</v>
      </c>
      <c r="AI25" s="155">
        <v>414396</v>
      </c>
      <c r="AJ25" s="155">
        <v>414687</v>
      </c>
      <c r="AK25" s="155">
        <v>415170</v>
      </c>
      <c r="AL25" s="155">
        <v>415909</v>
      </c>
      <c r="AM25" s="155">
        <v>416744</v>
      </c>
      <c r="AN25" s="155">
        <v>417671</v>
      </c>
      <c r="AO25" s="155">
        <v>418752</v>
      </c>
      <c r="AP25" s="155">
        <v>419994</v>
      </c>
      <c r="AQ25" s="155">
        <v>421296</v>
      </c>
      <c r="AR25" s="155">
        <v>422516</v>
      </c>
      <c r="AS25" s="155">
        <v>423625</v>
      </c>
      <c r="AT25" s="155">
        <v>424616</v>
      </c>
      <c r="AU25" s="155">
        <v>425280</v>
      </c>
      <c r="AV25" s="155">
        <v>425503</v>
      </c>
      <c r="AW25" s="155">
        <v>425442</v>
      </c>
      <c r="AX25" s="155">
        <v>425178</v>
      </c>
      <c r="AY25" s="155">
        <v>424755</v>
      </c>
      <c r="AZ25" s="155">
        <v>423707</v>
      </c>
      <c r="BA25" s="155">
        <v>421976</v>
      </c>
      <c r="BB25" s="155">
        <v>420054</v>
      </c>
      <c r="BC25" s="155">
        <v>418007</v>
      </c>
      <c r="BD25" s="155">
        <v>415928</v>
      </c>
      <c r="BE25" s="155">
        <v>413801</v>
      </c>
      <c r="BF25" s="155">
        <v>411646</v>
      </c>
      <c r="BG25" s="155">
        <v>409636</v>
      </c>
      <c r="BH25" s="155">
        <v>407920</v>
      </c>
      <c r="BI25" s="155">
        <v>406490</v>
      </c>
      <c r="BJ25" s="155">
        <v>405277</v>
      </c>
      <c r="BK25" s="155">
        <v>404269</v>
      </c>
      <c r="BL25" s="155">
        <v>403536</v>
      </c>
      <c r="BM25" s="155">
        <v>403042</v>
      </c>
      <c r="BN25" s="155">
        <v>402783</v>
      </c>
      <c r="BO25" s="155">
        <v>402655</v>
      </c>
      <c r="BP25" s="155">
        <v>402623</v>
      </c>
      <c r="BQ25" s="155">
        <v>402776</v>
      </c>
      <c r="BR25" s="155">
        <v>403072</v>
      </c>
      <c r="BS25" s="155">
        <v>403445</v>
      </c>
      <c r="BT25" s="155">
        <v>403874</v>
      </c>
      <c r="BU25" s="155">
        <v>404301</v>
      </c>
      <c r="BV25" s="155">
        <v>404720</v>
      </c>
      <c r="BW25" s="155">
        <v>405137</v>
      </c>
      <c r="BX25" s="155">
        <v>405509</v>
      </c>
      <c r="BY25" s="155">
        <v>405815</v>
      </c>
      <c r="BZ25" s="155">
        <v>406036</v>
      </c>
      <c r="CA25" s="155">
        <v>406168</v>
      </c>
      <c r="CB25" s="155">
        <v>406195</v>
      </c>
      <c r="CC25" s="155">
        <v>406109</v>
      </c>
      <c r="CD25" s="155">
        <v>405907</v>
      </c>
      <c r="CE25" s="155">
        <v>405586</v>
      </c>
      <c r="CF25" s="155">
        <v>405131</v>
      </c>
      <c r="CG25" s="155">
        <v>404574</v>
      </c>
      <c r="CH25" s="155">
        <v>403914</v>
      </c>
      <c r="CI25" s="155">
        <v>403172</v>
      </c>
      <c r="CJ25" s="155">
        <v>402368</v>
      </c>
      <c r="CK25" s="155">
        <v>401516</v>
      </c>
      <c r="CL25" s="155">
        <v>400650</v>
      </c>
      <c r="CM25" s="155">
        <v>399787</v>
      </c>
      <c r="CN25" s="155">
        <v>398954</v>
      </c>
      <c r="CO25" s="155">
        <v>398160</v>
      </c>
      <c r="CP25" s="155">
        <v>397436</v>
      </c>
      <c r="CQ25" s="155">
        <v>396775</v>
      </c>
      <c r="CR25" s="155">
        <v>396202</v>
      </c>
      <c r="CS25" s="155">
        <v>395719</v>
      </c>
      <c r="CT25" s="155">
        <v>395325</v>
      </c>
      <c r="CU25" s="155">
        <v>395016</v>
      </c>
      <c r="CV25" s="155">
        <v>394798</v>
      </c>
      <c r="CW25" s="155">
        <v>394649</v>
      </c>
      <c r="CX25" s="155">
        <v>394569</v>
      </c>
      <c r="CY25" s="154">
        <v>394550</v>
      </c>
    </row>
    <row r="26" spans="1:103">
      <c r="A26" s="155" t="s">
        <v>1136</v>
      </c>
      <c r="B26" s="154">
        <v>24</v>
      </c>
      <c r="C26" s="155">
        <v>422543</v>
      </c>
      <c r="D26" s="155">
        <v>435991</v>
      </c>
      <c r="E26" s="155">
        <v>436223</v>
      </c>
      <c r="F26" s="155">
        <v>438339</v>
      </c>
      <c r="G26" s="155">
        <v>442829</v>
      </c>
      <c r="H26" s="155">
        <v>446320</v>
      </c>
      <c r="I26" s="155">
        <v>451654</v>
      </c>
      <c r="J26" s="155">
        <v>449223</v>
      </c>
      <c r="K26" s="155">
        <v>449487</v>
      </c>
      <c r="L26" s="155">
        <v>455509</v>
      </c>
      <c r="M26" s="155">
        <v>471477</v>
      </c>
      <c r="N26" s="155">
        <v>467372</v>
      </c>
      <c r="O26" s="155">
        <v>471260</v>
      </c>
      <c r="P26" s="155">
        <v>476315</v>
      </c>
      <c r="Q26" s="155">
        <v>477355</v>
      </c>
      <c r="R26" s="155">
        <v>467974</v>
      </c>
      <c r="S26" s="155">
        <v>459986</v>
      </c>
      <c r="T26" s="155">
        <v>459170</v>
      </c>
      <c r="U26" s="155">
        <v>462801</v>
      </c>
      <c r="V26" s="155">
        <v>453793</v>
      </c>
      <c r="W26" s="155">
        <v>446453</v>
      </c>
      <c r="X26" s="155">
        <v>442625</v>
      </c>
      <c r="Y26" s="155">
        <v>437714</v>
      </c>
      <c r="Z26" s="155">
        <v>427648</v>
      </c>
      <c r="AA26" s="155">
        <v>431066</v>
      </c>
      <c r="AB26" s="155">
        <v>414242</v>
      </c>
      <c r="AC26" s="155">
        <v>413745</v>
      </c>
      <c r="AD26" s="155">
        <v>415519</v>
      </c>
      <c r="AE26" s="155">
        <v>416738</v>
      </c>
      <c r="AF26" s="155">
        <v>417433</v>
      </c>
      <c r="AG26" s="155">
        <v>417835</v>
      </c>
      <c r="AH26" s="155">
        <v>418180</v>
      </c>
      <c r="AI26" s="155">
        <v>418479</v>
      </c>
      <c r="AJ26" s="155">
        <v>418774</v>
      </c>
      <c r="AK26" s="155">
        <v>419064</v>
      </c>
      <c r="AL26" s="155">
        <v>419548</v>
      </c>
      <c r="AM26" s="155">
        <v>420287</v>
      </c>
      <c r="AN26" s="155">
        <v>421124</v>
      </c>
      <c r="AO26" s="155">
        <v>422051</v>
      </c>
      <c r="AP26" s="155">
        <v>423132</v>
      </c>
      <c r="AQ26" s="155">
        <v>424375</v>
      </c>
      <c r="AR26" s="155">
        <v>425678</v>
      </c>
      <c r="AS26" s="155">
        <v>426897</v>
      </c>
      <c r="AT26" s="155">
        <v>428007</v>
      </c>
      <c r="AU26" s="155">
        <v>429000</v>
      </c>
      <c r="AV26" s="155">
        <v>429663</v>
      </c>
      <c r="AW26" s="155">
        <v>429888</v>
      </c>
      <c r="AX26" s="155">
        <v>429827</v>
      </c>
      <c r="AY26" s="155">
        <v>429563</v>
      </c>
      <c r="AZ26" s="155">
        <v>429141</v>
      </c>
      <c r="BA26" s="155">
        <v>428094</v>
      </c>
      <c r="BB26" s="155">
        <v>426365</v>
      </c>
      <c r="BC26" s="155">
        <v>424443</v>
      </c>
      <c r="BD26" s="155">
        <v>422396</v>
      </c>
      <c r="BE26" s="155">
        <v>420320</v>
      </c>
      <c r="BF26" s="155">
        <v>418194</v>
      </c>
      <c r="BG26" s="155">
        <v>416040</v>
      </c>
      <c r="BH26" s="155">
        <v>414031</v>
      </c>
      <c r="BI26" s="155">
        <v>412315</v>
      </c>
      <c r="BJ26" s="155">
        <v>410885</v>
      </c>
      <c r="BK26" s="155">
        <v>409674</v>
      </c>
      <c r="BL26" s="155">
        <v>408666</v>
      </c>
      <c r="BM26" s="155">
        <v>407934</v>
      </c>
      <c r="BN26" s="155">
        <v>407440</v>
      </c>
      <c r="BO26" s="155">
        <v>407182</v>
      </c>
      <c r="BP26" s="155">
        <v>407053</v>
      </c>
      <c r="BQ26" s="155">
        <v>407021</v>
      </c>
      <c r="BR26" s="155">
        <v>407176</v>
      </c>
      <c r="BS26" s="155">
        <v>407472</v>
      </c>
      <c r="BT26" s="155">
        <v>407845</v>
      </c>
      <c r="BU26" s="155">
        <v>408276</v>
      </c>
      <c r="BV26" s="155">
        <v>408702</v>
      </c>
      <c r="BW26" s="155">
        <v>409123</v>
      </c>
      <c r="BX26" s="155">
        <v>409540</v>
      </c>
      <c r="BY26" s="155">
        <v>409912</v>
      </c>
      <c r="BZ26" s="155">
        <v>410218</v>
      </c>
      <c r="CA26" s="155">
        <v>410440</v>
      </c>
      <c r="CB26" s="155">
        <v>410572</v>
      </c>
      <c r="CC26" s="155">
        <v>410600</v>
      </c>
      <c r="CD26" s="155">
        <v>410514</v>
      </c>
      <c r="CE26" s="155">
        <v>410311</v>
      </c>
      <c r="CF26" s="155">
        <v>409991</v>
      </c>
      <c r="CG26" s="155">
        <v>409536</v>
      </c>
      <c r="CH26" s="155">
        <v>408980</v>
      </c>
      <c r="CI26" s="155">
        <v>408321</v>
      </c>
      <c r="CJ26" s="155">
        <v>407579</v>
      </c>
      <c r="CK26" s="155">
        <v>406777</v>
      </c>
      <c r="CL26" s="155">
        <v>405925</v>
      </c>
      <c r="CM26" s="155">
        <v>405058</v>
      </c>
      <c r="CN26" s="155">
        <v>404196</v>
      </c>
      <c r="CO26" s="155">
        <v>403365</v>
      </c>
      <c r="CP26" s="155">
        <v>402572</v>
      </c>
      <c r="CQ26" s="155">
        <v>401847</v>
      </c>
      <c r="CR26" s="155">
        <v>401186</v>
      </c>
      <c r="CS26" s="155">
        <v>400614</v>
      </c>
      <c r="CT26" s="155">
        <v>400131</v>
      </c>
      <c r="CU26" s="155">
        <v>399737</v>
      </c>
      <c r="CV26" s="155">
        <v>399429</v>
      </c>
      <c r="CW26" s="155">
        <v>399212</v>
      </c>
      <c r="CX26" s="155">
        <v>399063</v>
      </c>
      <c r="CY26" s="154">
        <v>398982</v>
      </c>
    </row>
    <row r="27" spans="1:103">
      <c r="A27" s="155" t="s">
        <v>1136</v>
      </c>
      <c r="B27" s="154">
        <v>25</v>
      </c>
      <c r="C27" s="155">
        <v>432835</v>
      </c>
      <c r="D27" s="155">
        <v>438600</v>
      </c>
      <c r="E27" s="155">
        <v>446963</v>
      </c>
      <c r="F27" s="155">
        <v>444745</v>
      </c>
      <c r="G27" s="155">
        <v>444409</v>
      </c>
      <c r="H27" s="155">
        <v>446451</v>
      </c>
      <c r="I27" s="155">
        <v>447504</v>
      </c>
      <c r="J27" s="155">
        <v>452838</v>
      </c>
      <c r="K27" s="155">
        <v>450409</v>
      </c>
      <c r="L27" s="155">
        <v>450673</v>
      </c>
      <c r="M27" s="155">
        <v>456695</v>
      </c>
      <c r="N27" s="155">
        <v>472661</v>
      </c>
      <c r="O27" s="155">
        <v>468559</v>
      </c>
      <c r="P27" s="155">
        <v>472446</v>
      </c>
      <c r="Q27" s="155">
        <v>477501</v>
      </c>
      <c r="R27" s="155">
        <v>478542</v>
      </c>
      <c r="S27" s="155">
        <v>469166</v>
      </c>
      <c r="T27" s="155">
        <v>461180</v>
      </c>
      <c r="U27" s="155">
        <v>460366</v>
      </c>
      <c r="V27" s="155">
        <v>463996</v>
      </c>
      <c r="W27" s="155">
        <v>454990</v>
      </c>
      <c r="X27" s="155">
        <v>447653</v>
      </c>
      <c r="Y27" s="155">
        <v>443828</v>
      </c>
      <c r="Z27" s="155">
        <v>438917</v>
      </c>
      <c r="AA27" s="155">
        <v>428854</v>
      </c>
      <c r="AB27" s="155">
        <v>432273</v>
      </c>
      <c r="AC27" s="155">
        <v>415455</v>
      </c>
      <c r="AD27" s="155">
        <v>414959</v>
      </c>
      <c r="AE27" s="155">
        <v>416733</v>
      </c>
      <c r="AF27" s="155">
        <v>417952</v>
      </c>
      <c r="AG27" s="155">
        <v>418648</v>
      </c>
      <c r="AH27" s="155">
        <v>419051</v>
      </c>
      <c r="AI27" s="155">
        <v>419395</v>
      </c>
      <c r="AJ27" s="155">
        <v>419696</v>
      </c>
      <c r="AK27" s="155">
        <v>419990</v>
      </c>
      <c r="AL27" s="155">
        <v>420282</v>
      </c>
      <c r="AM27" s="155">
        <v>420765</v>
      </c>
      <c r="AN27" s="155">
        <v>421505</v>
      </c>
      <c r="AO27" s="155">
        <v>422343</v>
      </c>
      <c r="AP27" s="155">
        <v>423271</v>
      </c>
      <c r="AQ27" s="155">
        <v>424352</v>
      </c>
      <c r="AR27" s="155">
        <v>425597</v>
      </c>
      <c r="AS27" s="155">
        <v>426899</v>
      </c>
      <c r="AT27" s="155">
        <v>428120</v>
      </c>
      <c r="AU27" s="155">
        <v>429230</v>
      </c>
      <c r="AV27" s="155">
        <v>430223</v>
      </c>
      <c r="AW27" s="155">
        <v>430886</v>
      </c>
      <c r="AX27" s="155">
        <v>431111</v>
      </c>
      <c r="AY27" s="155">
        <v>431052</v>
      </c>
      <c r="AZ27" s="155">
        <v>430788</v>
      </c>
      <c r="BA27" s="155">
        <v>430367</v>
      </c>
      <c r="BB27" s="155">
        <v>429322</v>
      </c>
      <c r="BC27" s="155">
        <v>427594</v>
      </c>
      <c r="BD27" s="155">
        <v>425672</v>
      </c>
      <c r="BE27" s="155">
        <v>423627</v>
      </c>
      <c r="BF27" s="155">
        <v>421553</v>
      </c>
      <c r="BG27" s="155">
        <v>419426</v>
      </c>
      <c r="BH27" s="155">
        <v>417273</v>
      </c>
      <c r="BI27" s="155">
        <v>415266</v>
      </c>
      <c r="BJ27" s="155">
        <v>413549</v>
      </c>
      <c r="BK27" s="155">
        <v>412121</v>
      </c>
      <c r="BL27" s="155">
        <v>410912</v>
      </c>
      <c r="BM27" s="155">
        <v>409903</v>
      </c>
      <c r="BN27" s="155">
        <v>409173</v>
      </c>
      <c r="BO27" s="155">
        <v>408679</v>
      </c>
      <c r="BP27" s="155">
        <v>408422</v>
      </c>
      <c r="BQ27" s="155">
        <v>408293</v>
      </c>
      <c r="BR27" s="155">
        <v>408261</v>
      </c>
      <c r="BS27" s="155">
        <v>408417</v>
      </c>
      <c r="BT27" s="155">
        <v>408712</v>
      </c>
      <c r="BU27" s="155">
        <v>409087</v>
      </c>
      <c r="BV27" s="155">
        <v>409518</v>
      </c>
      <c r="BW27" s="155">
        <v>409945</v>
      </c>
      <c r="BX27" s="155">
        <v>410365</v>
      </c>
      <c r="BY27" s="155">
        <v>410783</v>
      </c>
      <c r="BZ27" s="155">
        <v>411156</v>
      </c>
      <c r="CA27" s="155">
        <v>411461</v>
      </c>
      <c r="CB27" s="155">
        <v>411684</v>
      </c>
      <c r="CC27" s="155">
        <v>411818</v>
      </c>
      <c r="CD27" s="155">
        <v>411846</v>
      </c>
      <c r="CE27" s="155">
        <v>411759</v>
      </c>
      <c r="CF27" s="155">
        <v>411558</v>
      </c>
      <c r="CG27" s="155">
        <v>411238</v>
      </c>
      <c r="CH27" s="155">
        <v>410784</v>
      </c>
      <c r="CI27" s="155">
        <v>410228</v>
      </c>
      <c r="CJ27" s="155">
        <v>409569</v>
      </c>
      <c r="CK27" s="155">
        <v>408827</v>
      </c>
      <c r="CL27" s="155">
        <v>408025</v>
      </c>
      <c r="CM27" s="155">
        <v>407175</v>
      </c>
      <c r="CN27" s="155">
        <v>406309</v>
      </c>
      <c r="CO27" s="155">
        <v>405446</v>
      </c>
      <c r="CP27" s="155">
        <v>404616</v>
      </c>
      <c r="CQ27" s="155">
        <v>403824</v>
      </c>
      <c r="CR27" s="155">
        <v>403099</v>
      </c>
      <c r="CS27" s="155">
        <v>402438</v>
      </c>
      <c r="CT27" s="155">
        <v>401866</v>
      </c>
      <c r="CU27" s="155">
        <v>401385</v>
      </c>
      <c r="CV27" s="155">
        <v>400991</v>
      </c>
      <c r="CW27" s="155">
        <v>400683</v>
      </c>
      <c r="CX27" s="155">
        <v>400467</v>
      </c>
      <c r="CY27" s="154">
        <v>400319</v>
      </c>
    </row>
    <row r="28" spans="1:103">
      <c r="A28" s="155" t="s">
        <v>1136</v>
      </c>
      <c r="B28" s="154">
        <v>26</v>
      </c>
      <c r="C28" s="155">
        <v>427176</v>
      </c>
      <c r="D28" s="155">
        <v>450169</v>
      </c>
      <c r="E28" s="155">
        <v>451753</v>
      </c>
      <c r="F28" s="155">
        <v>457964</v>
      </c>
      <c r="G28" s="155">
        <v>453595</v>
      </c>
      <c r="H28" s="155">
        <v>451109</v>
      </c>
      <c r="I28" s="155">
        <v>451012</v>
      </c>
      <c r="J28" s="155">
        <v>452065</v>
      </c>
      <c r="K28" s="155">
        <v>457399</v>
      </c>
      <c r="L28" s="155">
        <v>454972</v>
      </c>
      <c r="M28" s="155">
        <v>455237</v>
      </c>
      <c r="N28" s="155">
        <v>461259</v>
      </c>
      <c r="O28" s="155">
        <v>477221</v>
      </c>
      <c r="P28" s="155">
        <v>473122</v>
      </c>
      <c r="Q28" s="155">
        <v>477009</v>
      </c>
      <c r="R28" s="155">
        <v>482064</v>
      </c>
      <c r="S28" s="155">
        <v>483106</v>
      </c>
      <c r="T28" s="155">
        <v>473734</v>
      </c>
      <c r="U28" s="155">
        <v>465750</v>
      </c>
      <c r="V28" s="155">
        <v>464937</v>
      </c>
      <c r="W28" s="155">
        <v>468568</v>
      </c>
      <c r="X28" s="155">
        <v>459566</v>
      </c>
      <c r="Y28" s="155">
        <v>452232</v>
      </c>
      <c r="Z28" s="155">
        <v>448408</v>
      </c>
      <c r="AA28" s="155">
        <v>443498</v>
      </c>
      <c r="AB28" s="155">
        <v>433440</v>
      </c>
      <c r="AC28" s="155">
        <v>436858</v>
      </c>
      <c r="AD28" s="155">
        <v>420044</v>
      </c>
      <c r="AE28" s="155">
        <v>419551</v>
      </c>
      <c r="AF28" s="155">
        <v>421325</v>
      </c>
      <c r="AG28" s="155">
        <v>422543</v>
      </c>
      <c r="AH28" s="155">
        <v>423241</v>
      </c>
      <c r="AI28" s="155">
        <v>423645</v>
      </c>
      <c r="AJ28" s="155">
        <v>423988</v>
      </c>
      <c r="AK28" s="155">
        <v>424291</v>
      </c>
      <c r="AL28" s="155">
        <v>424587</v>
      </c>
      <c r="AM28" s="155">
        <v>424879</v>
      </c>
      <c r="AN28" s="155">
        <v>425363</v>
      </c>
      <c r="AO28" s="155">
        <v>426102</v>
      </c>
      <c r="AP28" s="155">
        <v>426941</v>
      </c>
      <c r="AQ28" s="155">
        <v>427869</v>
      </c>
      <c r="AR28" s="155">
        <v>428951</v>
      </c>
      <c r="AS28" s="155">
        <v>430196</v>
      </c>
      <c r="AT28" s="155">
        <v>431500</v>
      </c>
      <c r="AU28" s="155">
        <v>432721</v>
      </c>
      <c r="AV28" s="155">
        <v>433832</v>
      </c>
      <c r="AW28" s="155">
        <v>434825</v>
      </c>
      <c r="AX28" s="155">
        <v>435490</v>
      </c>
      <c r="AY28" s="155">
        <v>435714</v>
      </c>
      <c r="AZ28" s="155">
        <v>435656</v>
      </c>
      <c r="BA28" s="155">
        <v>435393</v>
      </c>
      <c r="BB28" s="155">
        <v>434972</v>
      </c>
      <c r="BC28" s="155">
        <v>433929</v>
      </c>
      <c r="BD28" s="155">
        <v>432201</v>
      </c>
      <c r="BE28" s="155">
        <v>430280</v>
      </c>
      <c r="BF28" s="155">
        <v>428237</v>
      </c>
      <c r="BG28" s="155">
        <v>426166</v>
      </c>
      <c r="BH28" s="155">
        <v>424038</v>
      </c>
      <c r="BI28" s="155">
        <v>421887</v>
      </c>
      <c r="BJ28" s="155">
        <v>419881</v>
      </c>
      <c r="BK28" s="155">
        <v>418164</v>
      </c>
      <c r="BL28" s="155">
        <v>416736</v>
      </c>
      <c r="BM28" s="155">
        <v>415528</v>
      </c>
      <c r="BN28" s="155">
        <v>414519</v>
      </c>
      <c r="BO28" s="155">
        <v>413791</v>
      </c>
      <c r="BP28" s="155">
        <v>413298</v>
      </c>
      <c r="BQ28" s="155">
        <v>413041</v>
      </c>
      <c r="BR28" s="155">
        <v>412913</v>
      </c>
      <c r="BS28" s="155">
        <v>412881</v>
      </c>
      <c r="BT28" s="155">
        <v>413038</v>
      </c>
      <c r="BU28" s="155">
        <v>413334</v>
      </c>
      <c r="BV28" s="155">
        <v>413708</v>
      </c>
      <c r="BW28" s="155">
        <v>414141</v>
      </c>
      <c r="BX28" s="155">
        <v>414568</v>
      </c>
      <c r="BY28" s="155">
        <v>414988</v>
      </c>
      <c r="BZ28" s="155">
        <v>415406</v>
      </c>
      <c r="CA28" s="155">
        <v>415779</v>
      </c>
      <c r="CB28" s="155">
        <v>416086</v>
      </c>
      <c r="CC28" s="155">
        <v>416309</v>
      </c>
      <c r="CD28" s="155">
        <v>416443</v>
      </c>
      <c r="CE28" s="155">
        <v>416471</v>
      </c>
      <c r="CF28" s="155">
        <v>416384</v>
      </c>
      <c r="CG28" s="155">
        <v>416185</v>
      </c>
      <c r="CH28" s="155">
        <v>415865</v>
      </c>
      <c r="CI28" s="155">
        <v>415410</v>
      </c>
      <c r="CJ28" s="155">
        <v>414857</v>
      </c>
      <c r="CK28" s="155">
        <v>414197</v>
      </c>
      <c r="CL28" s="155">
        <v>413457</v>
      </c>
      <c r="CM28" s="155">
        <v>412655</v>
      </c>
      <c r="CN28" s="155">
        <v>411805</v>
      </c>
      <c r="CO28" s="155">
        <v>410940</v>
      </c>
      <c r="CP28" s="155">
        <v>410076</v>
      </c>
      <c r="CQ28" s="155">
        <v>409249</v>
      </c>
      <c r="CR28" s="155">
        <v>408457</v>
      </c>
      <c r="CS28" s="155">
        <v>407733</v>
      </c>
      <c r="CT28" s="155">
        <v>407072</v>
      </c>
      <c r="CU28" s="155">
        <v>406500</v>
      </c>
      <c r="CV28" s="155">
        <v>406019</v>
      </c>
      <c r="CW28" s="155">
        <v>405625</v>
      </c>
      <c r="CX28" s="155">
        <v>405317</v>
      </c>
      <c r="CY28" s="154">
        <v>405102</v>
      </c>
    </row>
    <row r="29" spans="1:103">
      <c r="A29" s="155" t="s">
        <v>1136</v>
      </c>
      <c r="B29" s="154">
        <v>27</v>
      </c>
      <c r="C29" s="155">
        <v>437424</v>
      </c>
      <c r="D29" s="155">
        <v>445139</v>
      </c>
      <c r="E29" s="155">
        <v>464457</v>
      </c>
      <c r="F29" s="155">
        <v>464062</v>
      </c>
      <c r="G29" s="155">
        <v>468297</v>
      </c>
      <c r="H29" s="155">
        <v>461953</v>
      </c>
      <c r="I29" s="155">
        <v>457499</v>
      </c>
      <c r="J29" s="155">
        <v>457402</v>
      </c>
      <c r="K29" s="155">
        <v>458455</v>
      </c>
      <c r="L29" s="155">
        <v>463790</v>
      </c>
      <c r="M29" s="155">
        <v>461366</v>
      </c>
      <c r="N29" s="155">
        <v>461631</v>
      </c>
      <c r="O29" s="155">
        <v>467654</v>
      </c>
      <c r="P29" s="155">
        <v>483611</v>
      </c>
      <c r="Q29" s="155">
        <v>479516</v>
      </c>
      <c r="R29" s="155">
        <v>483404</v>
      </c>
      <c r="S29" s="155">
        <v>488459</v>
      </c>
      <c r="T29" s="155">
        <v>489502</v>
      </c>
      <c r="U29" s="155">
        <v>480131</v>
      </c>
      <c r="V29" s="155">
        <v>472152</v>
      </c>
      <c r="W29" s="155">
        <v>471340</v>
      </c>
      <c r="X29" s="155">
        <v>474971</v>
      </c>
      <c r="Y29" s="155">
        <v>465973</v>
      </c>
      <c r="Z29" s="155">
        <v>458641</v>
      </c>
      <c r="AA29" s="155">
        <v>454820</v>
      </c>
      <c r="AB29" s="155">
        <v>449911</v>
      </c>
      <c r="AC29" s="155">
        <v>439858</v>
      </c>
      <c r="AD29" s="155">
        <v>443275</v>
      </c>
      <c r="AE29" s="155">
        <v>426465</v>
      </c>
      <c r="AF29" s="155">
        <v>425973</v>
      </c>
      <c r="AG29" s="155">
        <v>427748</v>
      </c>
      <c r="AH29" s="155">
        <v>428965</v>
      </c>
      <c r="AI29" s="155">
        <v>429666</v>
      </c>
      <c r="AJ29" s="155">
        <v>430071</v>
      </c>
      <c r="AK29" s="155">
        <v>430414</v>
      </c>
      <c r="AL29" s="155">
        <v>430719</v>
      </c>
      <c r="AM29" s="155">
        <v>431015</v>
      </c>
      <c r="AN29" s="155">
        <v>431308</v>
      </c>
      <c r="AO29" s="155">
        <v>431793</v>
      </c>
      <c r="AP29" s="155">
        <v>432534</v>
      </c>
      <c r="AQ29" s="155">
        <v>433373</v>
      </c>
      <c r="AR29" s="155">
        <v>434301</v>
      </c>
      <c r="AS29" s="155">
        <v>435384</v>
      </c>
      <c r="AT29" s="155">
        <v>436628</v>
      </c>
      <c r="AU29" s="155">
        <v>437933</v>
      </c>
      <c r="AV29" s="155">
        <v>439156</v>
      </c>
      <c r="AW29" s="155">
        <v>440267</v>
      </c>
      <c r="AX29" s="155">
        <v>441262</v>
      </c>
      <c r="AY29" s="155">
        <v>441926</v>
      </c>
      <c r="AZ29" s="155">
        <v>442151</v>
      </c>
      <c r="BA29" s="155">
        <v>442093</v>
      </c>
      <c r="BB29" s="155">
        <v>441830</v>
      </c>
      <c r="BC29" s="155">
        <v>441411</v>
      </c>
      <c r="BD29" s="155">
        <v>440370</v>
      </c>
      <c r="BE29" s="155">
        <v>438643</v>
      </c>
      <c r="BF29" s="155">
        <v>436722</v>
      </c>
      <c r="BG29" s="155">
        <v>434681</v>
      </c>
      <c r="BH29" s="155">
        <v>432611</v>
      </c>
      <c r="BI29" s="155">
        <v>430484</v>
      </c>
      <c r="BJ29" s="155">
        <v>428333</v>
      </c>
      <c r="BK29" s="155">
        <v>426329</v>
      </c>
      <c r="BL29" s="155">
        <v>424613</v>
      </c>
      <c r="BM29" s="155">
        <v>423188</v>
      </c>
      <c r="BN29" s="155">
        <v>421979</v>
      </c>
      <c r="BO29" s="155">
        <v>420971</v>
      </c>
      <c r="BP29" s="155">
        <v>420245</v>
      </c>
      <c r="BQ29" s="155">
        <v>419751</v>
      </c>
      <c r="BR29" s="155">
        <v>419495</v>
      </c>
      <c r="BS29" s="155">
        <v>419367</v>
      </c>
      <c r="BT29" s="155">
        <v>419336</v>
      </c>
      <c r="BU29" s="155">
        <v>419493</v>
      </c>
      <c r="BV29" s="155">
        <v>419790</v>
      </c>
      <c r="BW29" s="155">
        <v>420163</v>
      </c>
      <c r="BX29" s="155">
        <v>420597</v>
      </c>
      <c r="BY29" s="155">
        <v>421025</v>
      </c>
      <c r="BZ29" s="155">
        <v>421445</v>
      </c>
      <c r="CA29" s="155">
        <v>421865</v>
      </c>
      <c r="CB29" s="155">
        <v>422238</v>
      </c>
      <c r="CC29" s="155">
        <v>422545</v>
      </c>
      <c r="CD29" s="155">
        <v>422768</v>
      </c>
      <c r="CE29" s="155">
        <v>422903</v>
      </c>
      <c r="CF29" s="155">
        <v>422932</v>
      </c>
      <c r="CG29" s="155">
        <v>422845</v>
      </c>
      <c r="CH29" s="155">
        <v>422648</v>
      </c>
      <c r="CI29" s="155">
        <v>422327</v>
      </c>
      <c r="CJ29" s="155">
        <v>421874</v>
      </c>
      <c r="CK29" s="155">
        <v>421320</v>
      </c>
      <c r="CL29" s="155">
        <v>420661</v>
      </c>
      <c r="CM29" s="155">
        <v>419921</v>
      </c>
      <c r="CN29" s="155">
        <v>419120</v>
      </c>
      <c r="CO29" s="155">
        <v>418270</v>
      </c>
      <c r="CP29" s="155">
        <v>417405</v>
      </c>
      <c r="CQ29" s="155">
        <v>416543</v>
      </c>
      <c r="CR29" s="155">
        <v>415716</v>
      </c>
      <c r="CS29" s="155">
        <v>414926</v>
      </c>
      <c r="CT29" s="155">
        <v>414201</v>
      </c>
      <c r="CU29" s="155">
        <v>413541</v>
      </c>
      <c r="CV29" s="155">
        <v>412969</v>
      </c>
      <c r="CW29" s="155">
        <v>412489</v>
      </c>
      <c r="CX29" s="155">
        <v>412096</v>
      </c>
      <c r="CY29" s="154">
        <v>411788</v>
      </c>
    </row>
    <row r="30" spans="1:103">
      <c r="A30" s="155" t="s">
        <v>1136</v>
      </c>
      <c r="B30" s="154">
        <v>28</v>
      </c>
      <c r="C30" s="155">
        <v>453442</v>
      </c>
      <c r="D30" s="155">
        <v>454950</v>
      </c>
      <c r="E30" s="155">
        <v>459279</v>
      </c>
      <c r="F30" s="155">
        <v>476738</v>
      </c>
      <c r="G30" s="155">
        <v>474490</v>
      </c>
      <c r="H30" s="155">
        <v>476872</v>
      </c>
      <c r="I30" s="155">
        <v>468684</v>
      </c>
      <c r="J30" s="155">
        <v>464232</v>
      </c>
      <c r="K30" s="155">
        <v>464136</v>
      </c>
      <c r="L30" s="155">
        <v>465190</v>
      </c>
      <c r="M30" s="155">
        <v>470524</v>
      </c>
      <c r="N30" s="155">
        <v>468103</v>
      </c>
      <c r="O30" s="155">
        <v>468368</v>
      </c>
      <c r="P30" s="155">
        <v>474392</v>
      </c>
      <c r="Q30" s="155">
        <v>490344</v>
      </c>
      <c r="R30" s="155">
        <v>486254</v>
      </c>
      <c r="S30" s="155">
        <v>490142</v>
      </c>
      <c r="T30" s="155">
        <v>495196</v>
      </c>
      <c r="U30" s="155">
        <v>496241</v>
      </c>
      <c r="V30" s="155">
        <v>486873</v>
      </c>
      <c r="W30" s="155">
        <v>478899</v>
      </c>
      <c r="X30" s="155">
        <v>478087</v>
      </c>
      <c r="Y30" s="155">
        <v>481718</v>
      </c>
      <c r="Z30" s="155">
        <v>472725</v>
      </c>
      <c r="AA30" s="155">
        <v>465394</v>
      </c>
      <c r="AB30" s="155">
        <v>461575</v>
      </c>
      <c r="AC30" s="155">
        <v>456669</v>
      </c>
      <c r="AD30" s="155">
        <v>446619</v>
      </c>
      <c r="AE30" s="155">
        <v>450038</v>
      </c>
      <c r="AF30" s="155">
        <v>433233</v>
      </c>
      <c r="AG30" s="155">
        <v>432741</v>
      </c>
      <c r="AH30" s="155">
        <v>434518</v>
      </c>
      <c r="AI30" s="155">
        <v>435735</v>
      </c>
      <c r="AJ30" s="155">
        <v>436437</v>
      </c>
      <c r="AK30" s="155">
        <v>436843</v>
      </c>
      <c r="AL30" s="155">
        <v>437186</v>
      </c>
      <c r="AM30" s="155">
        <v>437491</v>
      </c>
      <c r="AN30" s="155">
        <v>437788</v>
      </c>
      <c r="AO30" s="155">
        <v>438082</v>
      </c>
      <c r="AP30" s="155">
        <v>438568</v>
      </c>
      <c r="AQ30" s="155">
        <v>439310</v>
      </c>
      <c r="AR30" s="155">
        <v>440150</v>
      </c>
      <c r="AS30" s="155">
        <v>441078</v>
      </c>
      <c r="AT30" s="155">
        <v>442162</v>
      </c>
      <c r="AU30" s="155">
        <v>443407</v>
      </c>
      <c r="AV30" s="155">
        <v>444712</v>
      </c>
      <c r="AW30" s="155">
        <v>445938</v>
      </c>
      <c r="AX30" s="155">
        <v>447049</v>
      </c>
      <c r="AY30" s="155">
        <v>448044</v>
      </c>
      <c r="AZ30" s="155">
        <v>448709</v>
      </c>
      <c r="BA30" s="155">
        <v>448935</v>
      </c>
      <c r="BB30" s="155">
        <v>448878</v>
      </c>
      <c r="BC30" s="155">
        <v>448616</v>
      </c>
      <c r="BD30" s="155">
        <v>448198</v>
      </c>
      <c r="BE30" s="155">
        <v>447158</v>
      </c>
      <c r="BF30" s="155">
        <v>445431</v>
      </c>
      <c r="BG30" s="155">
        <v>443511</v>
      </c>
      <c r="BH30" s="155">
        <v>441471</v>
      </c>
      <c r="BI30" s="155">
        <v>439401</v>
      </c>
      <c r="BJ30" s="155">
        <v>437276</v>
      </c>
      <c r="BK30" s="155">
        <v>435127</v>
      </c>
      <c r="BL30" s="155">
        <v>433124</v>
      </c>
      <c r="BM30" s="155">
        <v>431409</v>
      </c>
      <c r="BN30" s="155">
        <v>429986</v>
      </c>
      <c r="BO30" s="155">
        <v>428776</v>
      </c>
      <c r="BP30" s="155">
        <v>427770</v>
      </c>
      <c r="BQ30" s="155">
        <v>427045</v>
      </c>
      <c r="BR30" s="155">
        <v>426551</v>
      </c>
      <c r="BS30" s="155">
        <v>426296</v>
      </c>
      <c r="BT30" s="155">
        <v>426169</v>
      </c>
      <c r="BU30" s="155">
        <v>426140</v>
      </c>
      <c r="BV30" s="155">
        <v>426297</v>
      </c>
      <c r="BW30" s="155">
        <v>426595</v>
      </c>
      <c r="BX30" s="155">
        <v>426968</v>
      </c>
      <c r="BY30" s="155">
        <v>427403</v>
      </c>
      <c r="BZ30" s="155">
        <v>427831</v>
      </c>
      <c r="CA30" s="155">
        <v>428252</v>
      </c>
      <c r="CB30" s="155">
        <v>428671</v>
      </c>
      <c r="CC30" s="155">
        <v>429045</v>
      </c>
      <c r="CD30" s="155">
        <v>429353</v>
      </c>
      <c r="CE30" s="155">
        <v>429576</v>
      </c>
      <c r="CF30" s="155">
        <v>429711</v>
      </c>
      <c r="CG30" s="155">
        <v>429741</v>
      </c>
      <c r="CH30" s="155">
        <v>429654</v>
      </c>
      <c r="CI30" s="155">
        <v>429458</v>
      </c>
      <c r="CJ30" s="155">
        <v>429139</v>
      </c>
      <c r="CK30" s="155">
        <v>428686</v>
      </c>
      <c r="CL30" s="155">
        <v>428132</v>
      </c>
      <c r="CM30" s="155">
        <v>427474</v>
      </c>
      <c r="CN30" s="155">
        <v>426735</v>
      </c>
      <c r="CO30" s="155">
        <v>425933</v>
      </c>
      <c r="CP30" s="155">
        <v>425084</v>
      </c>
      <c r="CQ30" s="155">
        <v>424220</v>
      </c>
      <c r="CR30" s="155">
        <v>423359</v>
      </c>
      <c r="CS30" s="155">
        <v>422531</v>
      </c>
      <c r="CT30" s="155">
        <v>421742</v>
      </c>
      <c r="CU30" s="155">
        <v>421018</v>
      </c>
      <c r="CV30" s="155">
        <v>420359</v>
      </c>
      <c r="CW30" s="155">
        <v>419788</v>
      </c>
      <c r="CX30" s="155">
        <v>419309</v>
      </c>
      <c r="CY30" s="154">
        <v>418915</v>
      </c>
    </row>
    <row r="31" spans="1:103">
      <c r="A31" s="155" t="s">
        <v>1136</v>
      </c>
      <c r="B31" s="154">
        <v>29</v>
      </c>
      <c r="C31" s="155">
        <v>457427</v>
      </c>
      <c r="D31" s="155">
        <v>470010</v>
      </c>
      <c r="E31" s="155">
        <v>468359</v>
      </c>
      <c r="F31" s="155">
        <v>470954</v>
      </c>
      <c r="G31" s="155">
        <v>486672</v>
      </c>
      <c r="H31" s="155">
        <v>482689</v>
      </c>
      <c r="I31" s="155">
        <v>483341</v>
      </c>
      <c r="J31" s="155">
        <v>475156</v>
      </c>
      <c r="K31" s="155">
        <v>470709</v>
      </c>
      <c r="L31" s="155">
        <v>470612</v>
      </c>
      <c r="M31" s="155">
        <v>471668</v>
      </c>
      <c r="N31" s="155">
        <v>477001</v>
      </c>
      <c r="O31" s="155">
        <v>474583</v>
      </c>
      <c r="P31" s="155">
        <v>474849</v>
      </c>
      <c r="Q31" s="155">
        <v>480871</v>
      </c>
      <c r="R31" s="155">
        <v>496821</v>
      </c>
      <c r="S31" s="155">
        <v>492733</v>
      </c>
      <c r="T31" s="155">
        <v>496623</v>
      </c>
      <c r="U31" s="155">
        <v>501678</v>
      </c>
      <c r="V31" s="155">
        <v>502724</v>
      </c>
      <c r="W31" s="155">
        <v>493359</v>
      </c>
      <c r="X31" s="155">
        <v>485389</v>
      </c>
      <c r="Y31" s="155">
        <v>484578</v>
      </c>
      <c r="Z31" s="155">
        <v>488209</v>
      </c>
      <c r="AA31" s="155">
        <v>479221</v>
      </c>
      <c r="AB31" s="155">
        <v>471893</v>
      </c>
      <c r="AC31" s="155">
        <v>468075</v>
      </c>
      <c r="AD31" s="155">
        <v>463172</v>
      </c>
      <c r="AE31" s="155">
        <v>453125</v>
      </c>
      <c r="AF31" s="155">
        <v>456544</v>
      </c>
      <c r="AG31" s="155">
        <v>439746</v>
      </c>
      <c r="AH31" s="155">
        <v>439254</v>
      </c>
      <c r="AI31" s="155">
        <v>441032</v>
      </c>
      <c r="AJ31" s="155">
        <v>442251</v>
      </c>
      <c r="AK31" s="155">
        <v>442954</v>
      </c>
      <c r="AL31" s="155">
        <v>443360</v>
      </c>
      <c r="AM31" s="155">
        <v>443704</v>
      </c>
      <c r="AN31" s="155">
        <v>444010</v>
      </c>
      <c r="AO31" s="155">
        <v>444309</v>
      </c>
      <c r="AP31" s="155">
        <v>444603</v>
      </c>
      <c r="AQ31" s="155">
        <v>445090</v>
      </c>
      <c r="AR31" s="155">
        <v>445834</v>
      </c>
      <c r="AS31" s="155">
        <v>446674</v>
      </c>
      <c r="AT31" s="155">
        <v>447602</v>
      </c>
      <c r="AU31" s="155">
        <v>448687</v>
      </c>
      <c r="AV31" s="155">
        <v>449934</v>
      </c>
      <c r="AW31" s="155">
        <v>451238</v>
      </c>
      <c r="AX31" s="155">
        <v>452465</v>
      </c>
      <c r="AY31" s="155">
        <v>453576</v>
      </c>
      <c r="AZ31" s="155">
        <v>454572</v>
      </c>
      <c r="BA31" s="155">
        <v>455239</v>
      </c>
      <c r="BB31" s="155">
        <v>455465</v>
      </c>
      <c r="BC31" s="155">
        <v>455409</v>
      </c>
      <c r="BD31" s="155">
        <v>455148</v>
      </c>
      <c r="BE31" s="155">
        <v>454732</v>
      </c>
      <c r="BF31" s="155">
        <v>453693</v>
      </c>
      <c r="BG31" s="155">
        <v>451966</v>
      </c>
      <c r="BH31" s="155">
        <v>450048</v>
      </c>
      <c r="BI31" s="155">
        <v>448009</v>
      </c>
      <c r="BJ31" s="155">
        <v>445940</v>
      </c>
      <c r="BK31" s="155">
        <v>443816</v>
      </c>
      <c r="BL31" s="155">
        <v>441668</v>
      </c>
      <c r="BM31" s="155">
        <v>439665</v>
      </c>
      <c r="BN31" s="155">
        <v>437952</v>
      </c>
      <c r="BO31" s="155">
        <v>436531</v>
      </c>
      <c r="BP31" s="155">
        <v>435323</v>
      </c>
      <c r="BQ31" s="155">
        <v>434317</v>
      </c>
      <c r="BR31" s="155">
        <v>433593</v>
      </c>
      <c r="BS31" s="155">
        <v>433101</v>
      </c>
      <c r="BT31" s="155">
        <v>432845</v>
      </c>
      <c r="BU31" s="155">
        <v>432719</v>
      </c>
      <c r="BV31" s="155">
        <v>432691</v>
      </c>
      <c r="BW31" s="155">
        <v>432849</v>
      </c>
      <c r="BX31" s="155">
        <v>433148</v>
      </c>
      <c r="BY31" s="155">
        <v>433520</v>
      </c>
      <c r="BZ31" s="155">
        <v>433956</v>
      </c>
      <c r="CA31" s="155">
        <v>434385</v>
      </c>
      <c r="CB31" s="155">
        <v>434809</v>
      </c>
      <c r="CC31" s="155">
        <v>435226</v>
      </c>
      <c r="CD31" s="155">
        <v>435602</v>
      </c>
      <c r="CE31" s="155">
        <v>435910</v>
      </c>
      <c r="CF31" s="155">
        <v>436134</v>
      </c>
      <c r="CG31" s="155">
        <v>436269</v>
      </c>
      <c r="CH31" s="155">
        <v>436300</v>
      </c>
      <c r="CI31" s="155">
        <v>436213</v>
      </c>
      <c r="CJ31" s="155">
        <v>436018</v>
      </c>
      <c r="CK31" s="155">
        <v>435700</v>
      </c>
      <c r="CL31" s="155">
        <v>435248</v>
      </c>
      <c r="CM31" s="155">
        <v>434693</v>
      </c>
      <c r="CN31" s="155">
        <v>434036</v>
      </c>
      <c r="CO31" s="155">
        <v>433298</v>
      </c>
      <c r="CP31" s="155">
        <v>432497</v>
      </c>
      <c r="CQ31" s="155">
        <v>431649</v>
      </c>
      <c r="CR31" s="155">
        <v>430785</v>
      </c>
      <c r="CS31" s="155">
        <v>429925</v>
      </c>
      <c r="CT31" s="155">
        <v>429098</v>
      </c>
      <c r="CU31" s="155">
        <v>428309</v>
      </c>
      <c r="CV31" s="155">
        <v>427585</v>
      </c>
      <c r="CW31" s="155">
        <v>426927</v>
      </c>
      <c r="CX31" s="155">
        <v>426357</v>
      </c>
      <c r="CY31" s="154">
        <v>425878</v>
      </c>
    </row>
    <row r="32" spans="1:103">
      <c r="A32" s="155" t="s">
        <v>1136</v>
      </c>
      <c r="B32" s="154">
        <v>30</v>
      </c>
      <c r="C32" s="155">
        <v>473912</v>
      </c>
      <c r="D32" s="155">
        <v>472767</v>
      </c>
      <c r="E32" s="155">
        <v>482441</v>
      </c>
      <c r="F32" s="155">
        <v>479193</v>
      </c>
      <c r="G32" s="155">
        <v>480186</v>
      </c>
      <c r="H32" s="155">
        <v>494299</v>
      </c>
      <c r="I32" s="155">
        <v>488723</v>
      </c>
      <c r="J32" s="155">
        <v>489376</v>
      </c>
      <c r="K32" s="155">
        <v>481192</v>
      </c>
      <c r="L32" s="155">
        <v>476748</v>
      </c>
      <c r="M32" s="155">
        <v>476654</v>
      </c>
      <c r="N32" s="155">
        <v>477711</v>
      </c>
      <c r="O32" s="155">
        <v>483044</v>
      </c>
      <c r="P32" s="155">
        <v>480627</v>
      </c>
      <c r="Q32" s="155">
        <v>480894</v>
      </c>
      <c r="R32" s="155">
        <v>486915</v>
      </c>
      <c r="S32" s="155">
        <v>502863</v>
      </c>
      <c r="T32" s="155">
        <v>498778</v>
      </c>
      <c r="U32" s="155">
        <v>502668</v>
      </c>
      <c r="V32" s="155">
        <v>507722</v>
      </c>
      <c r="W32" s="155">
        <v>508771</v>
      </c>
      <c r="X32" s="155">
        <v>499409</v>
      </c>
      <c r="Y32" s="155">
        <v>491444</v>
      </c>
      <c r="Z32" s="155">
        <v>490634</v>
      </c>
      <c r="AA32" s="155">
        <v>494266</v>
      </c>
      <c r="AB32" s="155">
        <v>485284</v>
      </c>
      <c r="AC32" s="155">
        <v>477958</v>
      </c>
      <c r="AD32" s="155">
        <v>474142</v>
      </c>
      <c r="AE32" s="155">
        <v>469242</v>
      </c>
      <c r="AF32" s="155">
        <v>459199</v>
      </c>
      <c r="AG32" s="155">
        <v>462619</v>
      </c>
      <c r="AH32" s="155">
        <v>445826</v>
      </c>
      <c r="AI32" s="155">
        <v>445335</v>
      </c>
      <c r="AJ32" s="155">
        <v>447113</v>
      </c>
      <c r="AK32" s="155">
        <v>448333</v>
      </c>
      <c r="AL32" s="155">
        <v>449038</v>
      </c>
      <c r="AM32" s="155">
        <v>449444</v>
      </c>
      <c r="AN32" s="155">
        <v>449790</v>
      </c>
      <c r="AO32" s="155">
        <v>450096</v>
      </c>
      <c r="AP32" s="155">
        <v>450396</v>
      </c>
      <c r="AQ32" s="155">
        <v>450693</v>
      </c>
      <c r="AR32" s="155">
        <v>451181</v>
      </c>
      <c r="AS32" s="155">
        <v>451925</v>
      </c>
      <c r="AT32" s="155">
        <v>452767</v>
      </c>
      <c r="AU32" s="155">
        <v>453695</v>
      </c>
      <c r="AV32" s="155">
        <v>454781</v>
      </c>
      <c r="AW32" s="155">
        <v>456029</v>
      </c>
      <c r="AX32" s="155">
        <v>457334</v>
      </c>
      <c r="AY32" s="155">
        <v>458560</v>
      </c>
      <c r="AZ32" s="155">
        <v>459674</v>
      </c>
      <c r="BA32" s="155">
        <v>460671</v>
      </c>
      <c r="BB32" s="155">
        <v>461339</v>
      </c>
      <c r="BC32" s="155">
        <v>461565</v>
      </c>
      <c r="BD32" s="155">
        <v>461510</v>
      </c>
      <c r="BE32" s="155">
        <v>461250</v>
      </c>
      <c r="BF32" s="155">
        <v>460835</v>
      </c>
      <c r="BG32" s="155">
        <v>459797</v>
      </c>
      <c r="BH32" s="155">
        <v>458072</v>
      </c>
      <c r="BI32" s="155">
        <v>456155</v>
      </c>
      <c r="BJ32" s="155">
        <v>454117</v>
      </c>
      <c r="BK32" s="155">
        <v>452050</v>
      </c>
      <c r="BL32" s="155">
        <v>449926</v>
      </c>
      <c r="BM32" s="155">
        <v>447780</v>
      </c>
      <c r="BN32" s="155">
        <v>445778</v>
      </c>
      <c r="BO32" s="155">
        <v>444066</v>
      </c>
      <c r="BP32" s="155">
        <v>442647</v>
      </c>
      <c r="BQ32" s="155">
        <v>441439</v>
      </c>
      <c r="BR32" s="155">
        <v>440434</v>
      </c>
      <c r="BS32" s="155">
        <v>439711</v>
      </c>
      <c r="BT32" s="155">
        <v>439220</v>
      </c>
      <c r="BU32" s="155">
        <v>438965</v>
      </c>
      <c r="BV32" s="155">
        <v>438840</v>
      </c>
      <c r="BW32" s="155">
        <v>438814</v>
      </c>
      <c r="BX32" s="155">
        <v>438972</v>
      </c>
      <c r="BY32" s="155">
        <v>439271</v>
      </c>
      <c r="BZ32" s="155">
        <v>439644</v>
      </c>
      <c r="CA32" s="155">
        <v>440081</v>
      </c>
      <c r="CB32" s="155">
        <v>440511</v>
      </c>
      <c r="CC32" s="155">
        <v>440935</v>
      </c>
      <c r="CD32" s="155">
        <v>441353</v>
      </c>
      <c r="CE32" s="155">
        <v>441728</v>
      </c>
      <c r="CF32" s="155">
        <v>442037</v>
      </c>
      <c r="CG32" s="155">
        <v>442262</v>
      </c>
      <c r="CH32" s="155">
        <v>442397</v>
      </c>
      <c r="CI32" s="155">
        <v>442430</v>
      </c>
      <c r="CJ32" s="155">
        <v>442345</v>
      </c>
      <c r="CK32" s="155">
        <v>442150</v>
      </c>
      <c r="CL32" s="155">
        <v>441832</v>
      </c>
      <c r="CM32" s="155">
        <v>441382</v>
      </c>
      <c r="CN32" s="155">
        <v>440826</v>
      </c>
      <c r="CO32" s="155">
        <v>440170</v>
      </c>
      <c r="CP32" s="155">
        <v>439433</v>
      </c>
      <c r="CQ32" s="155">
        <v>438632</v>
      </c>
      <c r="CR32" s="155">
        <v>437786</v>
      </c>
      <c r="CS32" s="155">
        <v>436921</v>
      </c>
      <c r="CT32" s="155">
        <v>436062</v>
      </c>
      <c r="CU32" s="155">
        <v>435236</v>
      </c>
      <c r="CV32" s="155">
        <v>434448</v>
      </c>
      <c r="CW32" s="155">
        <v>433725</v>
      </c>
      <c r="CX32" s="155">
        <v>433068</v>
      </c>
      <c r="CY32" s="154">
        <v>432498</v>
      </c>
    </row>
    <row r="33" spans="1:103">
      <c r="A33" s="155" t="s">
        <v>1136</v>
      </c>
      <c r="B33" s="154">
        <v>31</v>
      </c>
      <c r="C33" s="155">
        <v>481676</v>
      </c>
      <c r="D33" s="155">
        <v>488121</v>
      </c>
      <c r="E33" s="155">
        <v>484296</v>
      </c>
      <c r="F33" s="155">
        <v>492488</v>
      </c>
      <c r="G33" s="155">
        <v>487765</v>
      </c>
      <c r="H33" s="155">
        <v>487279</v>
      </c>
      <c r="I33" s="155">
        <v>499912</v>
      </c>
      <c r="J33" s="155">
        <v>494340</v>
      </c>
      <c r="K33" s="155">
        <v>494995</v>
      </c>
      <c r="L33" s="155">
        <v>486815</v>
      </c>
      <c r="M33" s="155">
        <v>482374</v>
      </c>
      <c r="N33" s="155">
        <v>482280</v>
      </c>
      <c r="O33" s="155">
        <v>483338</v>
      </c>
      <c r="P33" s="155">
        <v>488672</v>
      </c>
      <c r="Q33" s="155">
        <v>486256</v>
      </c>
      <c r="R33" s="155">
        <v>486525</v>
      </c>
      <c r="S33" s="155">
        <v>492548</v>
      </c>
      <c r="T33" s="155">
        <v>508491</v>
      </c>
      <c r="U33" s="155">
        <v>504409</v>
      </c>
      <c r="V33" s="155">
        <v>508300</v>
      </c>
      <c r="W33" s="155">
        <v>513354</v>
      </c>
      <c r="X33" s="155">
        <v>514404</v>
      </c>
      <c r="Y33" s="155">
        <v>505048</v>
      </c>
      <c r="Z33" s="155">
        <v>497086</v>
      </c>
      <c r="AA33" s="155">
        <v>496278</v>
      </c>
      <c r="AB33" s="155">
        <v>499911</v>
      </c>
      <c r="AC33" s="155">
        <v>490931</v>
      </c>
      <c r="AD33" s="155">
        <v>483611</v>
      </c>
      <c r="AE33" s="155">
        <v>479798</v>
      </c>
      <c r="AF33" s="155">
        <v>474899</v>
      </c>
      <c r="AG33" s="155">
        <v>464861</v>
      </c>
      <c r="AH33" s="155">
        <v>468281</v>
      </c>
      <c r="AI33" s="155">
        <v>451494</v>
      </c>
      <c r="AJ33" s="155">
        <v>451005</v>
      </c>
      <c r="AK33" s="155">
        <v>452784</v>
      </c>
      <c r="AL33" s="155">
        <v>454006</v>
      </c>
      <c r="AM33" s="155">
        <v>454712</v>
      </c>
      <c r="AN33" s="155">
        <v>455118</v>
      </c>
      <c r="AO33" s="155">
        <v>455464</v>
      </c>
      <c r="AP33" s="155">
        <v>455772</v>
      </c>
      <c r="AQ33" s="155">
        <v>456073</v>
      </c>
      <c r="AR33" s="155">
        <v>456372</v>
      </c>
      <c r="AS33" s="155">
        <v>456861</v>
      </c>
      <c r="AT33" s="155">
        <v>457606</v>
      </c>
      <c r="AU33" s="155">
        <v>458450</v>
      </c>
      <c r="AV33" s="155">
        <v>459378</v>
      </c>
      <c r="AW33" s="155">
        <v>460465</v>
      </c>
      <c r="AX33" s="155">
        <v>461714</v>
      </c>
      <c r="AY33" s="155">
        <v>463019</v>
      </c>
      <c r="AZ33" s="155">
        <v>464246</v>
      </c>
      <c r="BA33" s="155">
        <v>465362</v>
      </c>
      <c r="BB33" s="155">
        <v>466359</v>
      </c>
      <c r="BC33" s="155">
        <v>467030</v>
      </c>
      <c r="BD33" s="155">
        <v>467256</v>
      </c>
      <c r="BE33" s="155">
        <v>467202</v>
      </c>
      <c r="BF33" s="155">
        <v>466943</v>
      </c>
      <c r="BG33" s="155">
        <v>466529</v>
      </c>
      <c r="BH33" s="155">
        <v>465493</v>
      </c>
      <c r="BI33" s="155">
        <v>463769</v>
      </c>
      <c r="BJ33" s="155">
        <v>461852</v>
      </c>
      <c r="BK33" s="155">
        <v>459817</v>
      </c>
      <c r="BL33" s="155">
        <v>457751</v>
      </c>
      <c r="BM33" s="155">
        <v>455629</v>
      </c>
      <c r="BN33" s="155">
        <v>453483</v>
      </c>
      <c r="BO33" s="155">
        <v>451483</v>
      </c>
      <c r="BP33" s="155">
        <v>449771</v>
      </c>
      <c r="BQ33" s="155">
        <v>448354</v>
      </c>
      <c r="BR33" s="155">
        <v>447147</v>
      </c>
      <c r="BS33" s="155">
        <v>446143</v>
      </c>
      <c r="BT33" s="155">
        <v>445421</v>
      </c>
      <c r="BU33" s="155">
        <v>444931</v>
      </c>
      <c r="BV33" s="155">
        <v>444678</v>
      </c>
      <c r="BW33" s="155">
        <v>444555</v>
      </c>
      <c r="BX33" s="155">
        <v>444529</v>
      </c>
      <c r="BY33" s="155">
        <v>444687</v>
      </c>
      <c r="BZ33" s="155">
        <v>444987</v>
      </c>
      <c r="CA33" s="155">
        <v>445361</v>
      </c>
      <c r="CB33" s="155">
        <v>445799</v>
      </c>
      <c r="CC33" s="155">
        <v>446230</v>
      </c>
      <c r="CD33" s="155">
        <v>446654</v>
      </c>
      <c r="CE33" s="155">
        <v>447072</v>
      </c>
      <c r="CF33" s="155">
        <v>447448</v>
      </c>
      <c r="CG33" s="155">
        <v>447759</v>
      </c>
      <c r="CH33" s="155">
        <v>447984</v>
      </c>
      <c r="CI33" s="155">
        <v>448120</v>
      </c>
      <c r="CJ33" s="155">
        <v>448153</v>
      </c>
      <c r="CK33" s="155">
        <v>448068</v>
      </c>
      <c r="CL33" s="155">
        <v>447875</v>
      </c>
      <c r="CM33" s="155">
        <v>447558</v>
      </c>
      <c r="CN33" s="155">
        <v>447108</v>
      </c>
      <c r="CO33" s="155">
        <v>446553</v>
      </c>
      <c r="CP33" s="155">
        <v>445897</v>
      </c>
      <c r="CQ33" s="155">
        <v>445161</v>
      </c>
      <c r="CR33" s="155">
        <v>444363</v>
      </c>
      <c r="CS33" s="155">
        <v>443518</v>
      </c>
      <c r="CT33" s="155">
        <v>442653</v>
      </c>
      <c r="CU33" s="155">
        <v>441795</v>
      </c>
      <c r="CV33" s="155">
        <v>440968</v>
      </c>
      <c r="CW33" s="155">
        <v>440181</v>
      </c>
      <c r="CX33" s="155">
        <v>439460</v>
      </c>
      <c r="CY33" s="154">
        <v>438803</v>
      </c>
    </row>
    <row r="34" spans="1:103">
      <c r="A34" s="155" t="s">
        <v>1136</v>
      </c>
      <c r="B34" s="154">
        <v>32</v>
      </c>
      <c r="C34" s="155">
        <v>482642</v>
      </c>
      <c r="D34" s="155">
        <v>494352</v>
      </c>
      <c r="E34" s="155">
        <v>498335</v>
      </c>
      <c r="F34" s="155">
        <v>493166</v>
      </c>
      <c r="G34" s="155">
        <v>500010</v>
      </c>
      <c r="H34" s="155">
        <v>493944</v>
      </c>
      <c r="I34" s="155">
        <v>492117</v>
      </c>
      <c r="J34" s="155">
        <v>504747</v>
      </c>
      <c r="K34" s="155">
        <v>499178</v>
      </c>
      <c r="L34" s="155">
        <v>499834</v>
      </c>
      <c r="M34" s="155">
        <v>491659</v>
      </c>
      <c r="N34" s="155">
        <v>487220</v>
      </c>
      <c r="O34" s="155">
        <v>487128</v>
      </c>
      <c r="P34" s="155">
        <v>488187</v>
      </c>
      <c r="Q34" s="155">
        <v>493522</v>
      </c>
      <c r="R34" s="155">
        <v>491109</v>
      </c>
      <c r="S34" s="155">
        <v>491379</v>
      </c>
      <c r="T34" s="155">
        <v>497402</v>
      </c>
      <c r="U34" s="155">
        <v>513340</v>
      </c>
      <c r="V34" s="155">
        <v>509263</v>
      </c>
      <c r="W34" s="155">
        <v>513155</v>
      </c>
      <c r="X34" s="155">
        <v>518208</v>
      </c>
      <c r="Y34" s="155">
        <v>519261</v>
      </c>
      <c r="Z34" s="155">
        <v>509909</v>
      </c>
      <c r="AA34" s="155">
        <v>501951</v>
      </c>
      <c r="AB34" s="155">
        <v>501145</v>
      </c>
      <c r="AC34" s="155">
        <v>504779</v>
      </c>
      <c r="AD34" s="155">
        <v>495804</v>
      </c>
      <c r="AE34" s="155">
        <v>488487</v>
      </c>
      <c r="AF34" s="155">
        <v>484677</v>
      </c>
      <c r="AG34" s="155">
        <v>479782</v>
      </c>
      <c r="AH34" s="155">
        <v>469749</v>
      </c>
      <c r="AI34" s="155">
        <v>473169</v>
      </c>
      <c r="AJ34" s="155">
        <v>456388</v>
      </c>
      <c r="AK34" s="155">
        <v>455901</v>
      </c>
      <c r="AL34" s="155">
        <v>457681</v>
      </c>
      <c r="AM34" s="155">
        <v>458904</v>
      </c>
      <c r="AN34" s="155">
        <v>459611</v>
      </c>
      <c r="AO34" s="155">
        <v>460018</v>
      </c>
      <c r="AP34" s="155">
        <v>460366</v>
      </c>
      <c r="AQ34" s="155">
        <v>460674</v>
      </c>
      <c r="AR34" s="155">
        <v>460977</v>
      </c>
      <c r="AS34" s="155">
        <v>461277</v>
      </c>
      <c r="AT34" s="155">
        <v>461768</v>
      </c>
      <c r="AU34" s="155">
        <v>462515</v>
      </c>
      <c r="AV34" s="155">
        <v>463360</v>
      </c>
      <c r="AW34" s="155">
        <v>464289</v>
      </c>
      <c r="AX34" s="155">
        <v>465377</v>
      </c>
      <c r="AY34" s="155">
        <v>466627</v>
      </c>
      <c r="AZ34" s="155">
        <v>467933</v>
      </c>
      <c r="BA34" s="155">
        <v>469161</v>
      </c>
      <c r="BB34" s="155">
        <v>470277</v>
      </c>
      <c r="BC34" s="155">
        <v>471276</v>
      </c>
      <c r="BD34" s="155">
        <v>471947</v>
      </c>
      <c r="BE34" s="155">
        <v>472175</v>
      </c>
      <c r="BF34" s="155">
        <v>472121</v>
      </c>
      <c r="BG34" s="155">
        <v>471863</v>
      </c>
      <c r="BH34" s="155">
        <v>471451</v>
      </c>
      <c r="BI34" s="155">
        <v>470417</v>
      </c>
      <c r="BJ34" s="155">
        <v>468693</v>
      </c>
      <c r="BK34" s="155">
        <v>466779</v>
      </c>
      <c r="BL34" s="155">
        <v>464746</v>
      </c>
      <c r="BM34" s="155">
        <v>462681</v>
      </c>
      <c r="BN34" s="155">
        <v>460560</v>
      </c>
      <c r="BO34" s="155">
        <v>458416</v>
      </c>
      <c r="BP34" s="155">
        <v>456416</v>
      </c>
      <c r="BQ34" s="155">
        <v>454707</v>
      </c>
      <c r="BR34" s="155">
        <v>453290</v>
      </c>
      <c r="BS34" s="155">
        <v>452085</v>
      </c>
      <c r="BT34" s="155">
        <v>451081</v>
      </c>
      <c r="BU34" s="155">
        <v>450362</v>
      </c>
      <c r="BV34" s="155">
        <v>449871</v>
      </c>
      <c r="BW34" s="155">
        <v>449619</v>
      </c>
      <c r="BX34" s="155">
        <v>449497</v>
      </c>
      <c r="BY34" s="155">
        <v>449473</v>
      </c>
      <c r="BZ34" s="155">
        <v>449632</v>
      </c>
      <c r="CA34" s="155">
        <v>449933</v>
      </c>
      <c r="CB34" s="155">
        <v>450308</v>
      </c>
      <c r="CC34" s="155">
        <v>450747</v>
      </c>
      <c r="CD34" s="155">
        <v>451179</v>
      </c>
      <c r="CE34" s="155">
        <v>451604</v>
      </c>
      <c r="CF34" s="155">
        <v>452023</v>
      </c>
      <c r="CG34" s="155">
        <v>452400</v>
      </c>
      <c r="CH34" s="155">
        <v>452712</v>
      </c>
      <c r="CI34" s="155">
        <v>452937</v>
      </c>
      <c r="CJ34" s="155">
        <v>453074</v>
      </c>
      <c r="CK34" s="155">
        <v>453108</v>
      </c>
      <c r="CL34" s="155">
        <v>453023</v>
      </c>
      <c r="CM34" s="155">
        <v>452831</v>
      </c>
      <c r="CN34" s="155">
        <v>452515</v>
      </c>
      <c r="CO34" s="155">
        <v>452065</v>
      </c>
      <c r="CP34" s="155">
        <v>451512</v>
      </c>
      <c r="CQ34" s="155">
        <v>450856</v>
      </c>
      <c r="CR34" s="155">
        <v>450120</v>
      </c>
      <c r="CS34" s="155">
        <v>449323</v>
      </c>
      <c r="CT34" s="155">
        <v>448479</v>
      </c>
      <c r="CU34" s="155">
        <v>447615</v>
      </c>
      <c r="CV34" s="155">
        <v>446757</v>
      </c>
      <c r="CW34" s="155">
        <v>445932</v>
      </c>
      <c r="CX34" s="155">
        <v>445146</v>
      </c>
      <c r="CY34" s="154">
        <v>444425</v>
      </c>
    </row>
    <row r="35" spans="1:103">
      <c r="A35" s="155" t="s">
        <v>1136</v>
      </c>
      <c r="B35" s="154">
        <v>33</v>
      </c>
      <c r="C35" s="155">
        <v>481179</v>
      </c>
      <c r="D35" s="155">
        <v>493689</v>
      </c>
      <c r="E35" s="155">
        <v>503175</v>
      </c>
      <c r="F35" s="155">
        <v>505955</v>
      </c>
      <c r="G35" s="155">
        <v>499585</v>
      </c>
      <c r="H35" s="155">
        <v>505226</v>
      </c>
      <c r="I35" s="155">
        <v>497966</v>
      </c>
      <c r="J35" s="155">
        <v>496142</v>
      </c>
      <c r="K35" s="155">
        <v>508768</v>
      </c>
      <c r="L35" s="155">
        <v>503203</v>
      </c>
      <c r="M35" s="155">
        <v>503859</v>
      </c>
      <c r="N35" s="155">
        <v>495689</v>
      </c>
      <c r="O35" s="155">
        <v>491255</v>
      </c>
      <c r="P35" s="155">
        <v>491165</v>
      </c>
      <c r="Q35" s="155">
        <v>492225</v>
      </c>
      <c r="R35" s="155">
        <v>497560</v>
      </c>
      <c r="S35" s="155">
        <v>495151</v>
      </c>
      <c r="T35" s="155">
        <v>495422</v>
      </c>
      <c r="U35" s="155">
        <v>501445</v>
      </c>
      <c r="V35" s="155">
        <v>517377</v>
      </c>
      <c r="W35" s="155">
        <v>513304</v>
      </c>
      <c r="X35" s="155">
        <v>517197</v>
      </c>
      <c r="Y35" s="155">
        <v>522250</v>
      </c>
      <c r="Z35" s="155">
        <v>523304</v>
      </c>
      <c r="AA35" s="155">
        <v>513960</v>
      </c>
      <c r="AB35" s="155">
        <v>506004</v>
      </c>
      <c r="AC35" s="155">
        <v>505202</v>
      </c>
      <c r="AD35" s="155">
        <v>508835</v>
      </c>
      <c r="AE35" s="155">
        <v>499866</v>
      </c>
      <c r="AF35" s="155">
        <v>492553</v>
      </c>
      <c r="AG35" s="155">
        <v>488747</v>
      </c>
      <c r="AH35" s="155">
        <v>483855</v>
      </c>
      <c r="AI35" s="155">
        <v>473827</v>
      </c>
      <c r="AJ35" s="155">
        <v>477247</v>
      </c>
      <c r="AK35" s="155">
        <v>460474</v>
      </c>
      <c r="AL35" s="155">
        <v>459988</v>
      </c>
      <c r="AM35" s="155">
        <v>461770</v>
      </c>
      <c r="AN35" s="155">
        <v>462994</v>
      </c>
      <c r="AO35" s="155">
        <v>463702</v>
      </c>
      <c r="AP35" s="155">
        <v>464110</v>
      </c>
      <c r="AQ35" s="155">
        <v>464459</v>
      </c>
      <c r="AR35" s="155">
        <v>464769</v>
      </c>
      <c r="AS35" s="155">
        <v>465074</v>
      </c>
      <c r="AT35" s="155">
        <v>465375</v>
      </c>
      <c r="AU35" s="155">
        <v>465867</v>
      </c>
      <c r="AV35" s="155">
        <v>466615</v>
      </c>
      <c r="AW35" s="155">
        <v>467460</v>
      </c>
      <c r="AX35" s="155">
        <v>468391</v>
      </c>
      <c r="AY35" s="155">
        <v>469481</v>
      </c>
      <c r="AZ35" s="155">
        <v>470731</v>
      </c>
      <c r="BA35" s="155">
        <v>472038</v>
      </c>
      <c r="BB35" s="155">
        <v>473267</v>
      </c>
      <c r="BC35" s="155">
        <v>474385</v>
      </c>
      <c r="BD35" s="155">
        <v>475384</v>
      </c>
      <c r="BE35" s="155">
        <v>476057</v>
      </c>
      <c r="BF35" s="155">
        <v>476288</v>
      </c>
      <c r="BG35" s="155">
        <v>476235</v>
      </c>
      <c r="BH35" s="155">
        <v>475979</v>
      </c>
      <c r="BI35" s="155">
        <v>475567</v>
      </c>
      <c r="BJ35" s="155">
        <v>474535</v>
      </c>
      <c r="BK35" s="155">
        <v>472812</v>
      </c>
      <c r="BL35" s="155">
        <v>470900</v>
      </c>
      <c r="BM35" s="155">
        <v>468868</v>
      </c>
      <c r="BN35" s="155">
        <v>466805</v>
      </c>
      <c r="BO35" s="155">
        <v>464685</v>
      </c>
      <c r="BP35" s="155">
        <v>462543</v>
      </c>
      <c r="BQ35" s="155">
        <v>460545</v>
      </c>
      <c r="BR35" s="155">
        <v>458839</v>
      </c>
      <c r="BS35" s="155">
        <v>457422</v>
      </c>
      <c r="BT35" s="155">
        <v>456218</v>
      </c>
      <c r="BU35" s="155">
        <v>455215</v>
      </c>
      <c r="BV35" s="155">
        <v>454498</v>
      </c>
      <c r="BW35" s="155">
        <v>454007</v>
      </c>
      <c r="BX35" s="155">
        <v>453757</v>
      </c>
      <c r="BY35" s="155">
        <v>453636</v>
      </c>
      <c r="BZ35" s="155">
        <v>453612</v>
      </c>
      <c r="CA35" s="155">
        <v>453772</v>
      </c>
      <c r="CB35" s="155">
        <v>454073</v>
      </c>
      <c r="CC35" s="155">
        <v>454450</v>
      </c>
      <c r="CD35" s="155">
        <v>454889</v>
      </c>
      <c r="CE35" s="155">
        <v>455323</v>
      </c>
      <c r="CF35" s="155">
        <v>455749</v>
      </c>
      <c r="CG35" s="155">
        <v>456170</v>
      </c>
      <c r="CH35" s="155">
        <v>456547</v>
      </c>
      <c r="CI35" s="155">
        <v>456860</v>
      </c>
      <c r="CJ35" s="155">
        <v>457086</v>
      </c>
      <c r="CK35" s="155">
        <v>457223</v>
      </c>
      <c r="CL35" s="155">
        <v>457259</v>
      </c>
      <c r="CM35" s="155">
        <v>457175</v>
      </c>
      <c r="CN35" s="155">
        <v>456986</v>
      </c>
      <c r="CO35" s="155">
        <v>456669</v>
      </c>
      <c r="CP35" s="155">
        <v>456220</v>
      </c>
      <c r="CQ35" s="155">
        <v>455668</v>
      </c>
      <c r="CR35" s="155">
        <v>455013</v>
      </c>
      <c r="CS35" s="155">
        <v>454277</v>
      </c>
      <c r="CT35" s="155">
        <v>453481</v>
      </c>
      <c r="CU35" s="155">
        <v>452638</v>
      </c>
      <c r="CV35" s="155">
        <v>451775</v>
      </c>
      <c r="CW35" s="155">
        <v>450918</v>
      </c>
      <c r="CX35" s="155">
        <v>450094</v>
      </c>
      <c r="CY35" s="154">
        <v>449309</v>
      </c>
    </row>
    <row r="36" spans="1:103">
      <c r="A36" s="155" t="s">
        <v>1136</v>
      </c>
      <c r="B36" s="154">
        <v>34</v>
      </c>
      <c r="C36" s="155">
        <v>489551</v>
      </c>
      <c r="D36" s="155">
        <v>491183</v>
      </c>
      <c r="E36" s="155">
        <v>501688</v>
      </c>
      <c r="F36" s="155">
        <v>510084</v>
      </c>
      <c r="G36" s="155">
        <v>511781</v>
      </c>
      <c r="H36" s="155">
        <v>504327</v>
      </c>
      <c r="I36" s="155">
        <v>508882</v>
      </c>
      <c r="J36" s="155">
        <v>501629</v>
      </c>
      <c r="K36" s="155">
        <v>499808</v>
      </c>
      <c r="L36" s="155">
        <v>512429</v>
      </c>
      <c r="M36" s="155">
        <v>506870</v>
      </c>
      <c r="N36" s="155">
        <v>507528</v>
      </c>
      <c r="O36" s="155">
        <v>499362</v>
      </c>
      <c r="P36" s="155">
        <v>494932</v>
      </c>
      <c r="Q36" s="155">
        <v>494843</v>
      </c>
      <c r="R36" s="155">
        <v>495906</v>
      </c>
      <c r="S36" s="155">
        <v>501241</v>
      </c>
      <c r="T36" s="155">
        <v>498834</v>
      </c>
      <c r="U36" s="155">
        <v>499108</v>
      </c>
      <c r="V36" s="155">
        <v>505131</v>
      </c>
      <c r="W36" s="155">
        <v>521058</v>
      </c>
      <c r="X36" s="155">
        <v>516989</v>
      </c>
      <c r="Y36" s="155">
        <v>520883</v>
      </c>
      <c r="Z36" s="155">
        <v>525936</v>
      </c>
      <c r="AA36" s="155">
        <v>526992</v>
      </c>
      <c r="AB36" s="155">
        <v>517654</v>
      </c>
      <c r="AC36" s="155">
        <v>509703</v>
      </c>
      <c r="AD36" s="155">
        <v>508905</v>
      </c>
      <c r="AE36" s="155">
        <v>512539</v>
      </c>
      <c r="AF36" s="155">
        <v>503574</v>
      </c>
      <c r="AG36" s="155">
        <v>496267</v>
      </c>
      <c r="AH36" s="155">
        <v>492464</v>
      </c>
      <c r="AI36" s="155">
        <v>487574</v>
      </c>
      <c r="AJ36" s="155">
        <v>477552</v>
      </c>
      <c r="AK36" s="155">
        <v>480973</v>
      </c>
      <c r="AL36" s="155">
        <v>464208</v>
      </c>
      <c r="AM36" s="155">
        <v>463725</v>
      </c>
      <c r="AN36" s="155">
        <v>465506</v>
      </c>
      <c r="AO36" s="155">
        <v>466733</v>
      </c>
      <c r="AP36" s="155">
        <v>467442</v>
      </c>
      <c r="AQ36" s="155">
        <v>467853</v>
      </c>
      <c r="AR36" s="155">
        <v>468202</v>
      </c>
      <c r="AS36" s="155">
        <v>468513</v>
      </c>
      <c r="AT36" s="155">
        <v>468820</v>
      </c>
      <c r="AU36" s="155">
        <v>469123</v>
      </c>
      <c r="AV36" s="155">
        <v>469614</v>
      </c>
      <c r="AW36" s="155">
        <v>470365</v>
      </c>
      <c r="AX36" s="155">
        <v>471212</v>
      </c>
      <c r="AY36" s="155">
        <v>472144</v>
      </c>
      <c r="AZ36" s="155">
        <v>473235</v>
      </c>
      <c r="BA36" s="155">
        <v>474486</v>
      </c>
      <c r="BB36" s="155">
        <v>475794</v>
      </c>
      <c r="BC36" s="155">
        <v>477024</v>
      </c>
      <c r="BD36" s="155">
        <v>478144</v>
      </c>
      <c r="BE36" s="155">
        <v>479143</v>
      </c>
      <c r="BF36" s="155">
        <v>479818</v>
      </c>
      <c r="BG36" s="155">
        <v>480050</v>
      </c>
      <c r="BH36" s="155">
        <v>479998</v>
      </c>
      <c r="BI36" s="155">
        <v>479744</v>
      </c>
      <c r="BJ36" s="155">
        <v>479333</v>
      </c>
      <c r="BK36" s="155">
        <v>478304</v>
      </c>
      <c r="BL36" s="155">
        <v>476582</v>
      </c>
      <c r="BM36" s="155">
        <v>474674</v>
      </c>
      <c r="BN36" s="155">
        <v>472643</v>
      </c>
      <c r="BO36" s="155">
        <v>470581</v>
      </c>
      <c r="BP36" s="155">
        <v>468463</v>
      </c>
      <c r="BQ36" s="155">
        <v>466322</v>
      </c>
      <c r="BR36" s="155">
        <v>464327</v>
      </c>
      <c r="BS36" s="155">
        <v>462623</v>
      </c>
      <c r="BT36" s="155">
        <v>461206</v>
      </c>
      <c r="BU36" s="155">
        <v>460004</v>
      </c>
      <c r="BV36" s="155">
        <v>459002</v>
      </c>
      <c r="BW36" s="155">
        <v>458286</v>
      </c>
      <c r="BX36" s="155">
        <v>457797</v>
      </c>
      <c r="BY36" s="155">
        <v>457549</v>
      </c>
      <c r="BZ36" s="155">
        <v>457429</v>
      </c>
      <c r="CA36" s="155">
        <v>457407</v>
      </c>
      <c r="CB36" s="155">
        <v>457566</v>
      </c>
      <c r="CC36" s="155">
        <v>457868</v>
      </c>
      <c r="CD36" s="155">
        <v>458246</v>
      </c>
      <c r="CE36" s="155">
        <v>458686</v>
      </c>
      <c r="CF36" s="155">
        <v>459122</v>
      </c>
      <c r="CG36" s="155">
        <v>459548</v>
      </c>
      <c r="CH36" s="155">
        <v>459970</v>
      </c>
      <c r="CI36" s="155">
        <v>460348</v>
      </c>
      <c r="CJ36" s="155">
        <v>460662</v>
      </c>
      <c r="CK36" s="155">
        <v>460888</v>
      </c>
      <c r="CL36" s="155">
        <v>461026</v>
      </c>
      <c r="CM36" s="155">
        <v>461063</v>
      </c>
      <c r="CN36" s="155">
        <v>460982</v>
      </c>
      <c r="CO36" s="155">
        <v>460794</v>
      </c>
      <c r="CP36" s="155">
        <v>460477</v>
      </c>
      <c r="CQ36" s="155">
        <v>460028</v>
      </c>
      <c r="CR36" s="155">
        <v>459478</v>
      </c>
      <c r="CS36" s="155">
        <v>458825</v>
      </c>
      <c r="CT36" s="155">
        <v>458090</v>
      </c>
      <c r="CU36" s="155">
        <v>457295</v>
      </c>
      <c r="CV36" s="155">
        <v>456452</v>
      </c>
      <c r="CW36" s="155">
        <v>455591</v>
      </c>
      <c r="CX36" s="155">
        <v>454734</v>
      </c>
      <c r="CY36" s="154">
        <v>453913</v>
      </c>
    </row>
    <row r="37" spans="1:103">
      <c r="A37" s="155" t="s">
        <v>1136</v>
      </c>
      <c r="B37" s="154">
        <v>35</v>
      </c>
      <c r="C37" s="155">
        <v>479020</v>
      </c>
      <c r="D37" s="155">
        <v>498440</v>
      </c>
      <c r="E37" s="155">
        <v>498292</v>
      </c>
      <c r="F37" s="155">
        <v>507825</v>
      </c>
      <c r="G37" s="155">
        <v>515249</v>
      </c>
      <c r="H37" s="155">
        <v>515978</v>
      </c>
      <c r="I37" s="155">
        <v>507565</v>
      </c>
      <c r="J37" s="155">
        <v>512121</v>
      </c>
      <c r="K37" s="155">
        <v>504874</v>
      </c>
      <c r="L37" s="155">
        <v>503056</v>
      </c>
      <c r="M37" s="155">
        <v>515673</v>
      </c>
      <c r="N37" s="155">
        <v>510118</v>
      </c>
      <c r="O37" s="155">
        <v>510778</v>
      </c>
      <c r="P37" s="155">
        <v>502618</v>
      </c>
      <c r="Q37" s="155">
        <v>498192</v>
      </c>
      <c r="R37" s="155">
        <v>498106</v>
      </c>
      <c r="S37" s="155">
        <v>499170</v>
      </c>
      <c r="T37" s="155">
        <v>504506</v>
      </c>
      <c r="U37" s="155">
        <v>502104</v>
      </c>
      <c r="V37" s="155">
        <v>502379</v>
      </c>
      <c r="W37" s="155">
        <v>508403</v>
      </c>
      <c r="X37" s="155">
        <v>524323</v>
      </c>
      <c r="Y37" s="155">
        <v>520260</v>
      </c>
      <c r="Z37" s="155">
        <v>524154</v>
      </c>
      <c r="AA37" s="155">
        <v>529207</v>
      </c>
      <c r="AB37" s="155">
        <v>530267</v>
      </c>
      <c r="AC37" s="155">
        <v>520933</v>
      </c>
      <c r="AD37" s="155">
        <v>512987</v>
      </c>
      <c r="AE37" s="155">
        <v>512193</v>
      </c>
      <c r="AF37" s="155">
        <v>515827</v>
      </c>
      <c r="AG37" s="155">
        <v>506869</v>
      </c>
      <c r="AH37" s="155">
        <v>499567</v>
      </c>
      <c r="AI37" s="155">
        <v>495766</v>
      </c>
      <c r="AJ37" s="155">
        <v>490882</v>
      </c>
      <c r="AK37" s="155">
        <v>480865</v>
      </c>
      <c r="AL37" s="155">
        <v>484288</v>
      </c>
      <c r="AM37" s="155">
        <v>467531</v>
      </c>
      <c r="AN37" s="155">
        <v>467049</v>
      </c>
      <c r="AO37" s="155">
        <v>468832</v>
      </c>
      <c r="AP37" s="155">
        <v>470060</v>
      </c>
      <c r="AQ37" s="155">
        <v>470771</v>
      </c>
      <c r="AR37" s="155">
        <v>471184</v>
      </c>
      <c r="AS37" s="155">
        <v>471535</v>
      </c>
      <c r="AT37" s="155">
        <v>471846</v>
      </c>
      <c r="AU37" s="155">
        <v>472156</v>
      </c>
      <c r="AV37" s="155">
        <v>472459</v>
      </c>
      <c r="AW37" s="155">
        <v>472954</v>
      </c>
      <c r="AX37" s="155">
        <v>473705</v>
      </c>
      <c r="AY37" s="155">
        <v>474554</v>
      </c>
      <c r="AZ37" s="155">
        <v>475487</v>
      </c>
      <c r="BA37" s="155">
        <v>476579</v>
      </c>
      <c r="BB37" s="155">
        <v>477831</v>
      </c>
      <c r="BC37" s="155">
        <v>479141</v>
      </c>
      <c r="BD37" s="155">
        <v>480372</v>
      </c>
      <c r="BE37" s="155">
        <v>481493</v>
      </c>
      <c r="BF37" s="155">
        <v>482494</v>
      </c>
      <c r="BG37" s="155">
        <v>483170</v>
      </c>
      <c r="BH37" s="155">
        <v>483403</v>
      </c>
      <c r="BI37" s="155">
        <v>483353</v>
      </c>
      <c r="BJ37" s="155">
        <v>483100</v>
      </c>
      <c r="BK37" s="155">
        <v>482691</v>
      </c>
      <c r="BL37" s="155">
        <v>481664</v>
      </c>
      <c r="BM37" s="155">
        <v>479945</v>
      </c>
      <c r="BN37" s="155">
        <v>478038</v>
      </c>
      <c r="BO37" s="155">
        <v>476008</v>
      </c>
      <c r="BP37" s="155">
        <v>473950</v>
      </c>
      <c r="BQ37" s="155">
        <v>471834</v>
      </c>
      <c r="BR37" s="155">
        <v>469694</v>
      </c>
      <c r="BS37" s="155">
        <v>467700</v>
      </c>
      <c r="BT37" s="155">
        <v>466001</v>
      </c>
      <c r="BU37" s="155">
        <v>464584</v>
      </c>
      <c r="BV37" s="155">
        <v>463384</v>
      </c>
      <c r="BW37" s="155">
        <v>462383</v>
      </c>
      <c r="BX37" s="155">
        <v>461669</v>
      </c>
      <c r="BY37" s="155">
        <v>461180</v>
      </c>
      <c r="BZ37" s="155">
        <v>460934</v>
      </c>
      <c r="CA37" s="155">
        <v>460815</v>
      </c>
      <c r="CB37" s="155">
        <v>460794</v>
      </c>
      <c r="CC37" s="155">
        <v>460954</v>
      </c>
      <c r="CD37" s="155">
        <v>461258</v>
      </c>
      <c r="CE37" s="155">
        <v>461637</v>
      </c>
      <c r="CF37" s="155">
        <v>462078</v>
      </c>
      <c r="CG37" s="155">
        <v>462514</v>
      </c>
      <c r="CH37" s="155">
        <v>462941</v>
      </c>
      <c r="CI37" s="155">
        <v>463365</v>
      </c>
      <c r="CJ37" s="155">
        <v>463744</v>
      </c>
      <c r="CK37" s="155">
        <v>464060</v>
      </c>
      <c r="CL37" s="155">
        <v>464286</v>
      </c>
      <c r="CM37" s="155">
        <v>464426</v>
      </c>
      <c r="CN37" s="155">
        <v>464462</v>
      </c>
      <c r="CO37" s="155">
        <v>464382</v>
      </c>
      <c r="CP37" s="155">
        <v>464196</v>
      </c>
      <c r="CQ37" s="155">
        <v>463881</v>
      </c>
      <c r="CR37" s="155">
        <v>463433</v>
      </c>
      <c r="CS37" s="155">
        <v>462884</v>
      </c>
      <c r="CT37" s="155">
        <v>462231</v>
      </c>
      <c r="CU37" s="155">
        <v>461498</v>
      </c>
      <c r="CV37" s="155">
        <v>460705</v>
      </c>
      <c r="CW37" s="155">
        <v>459863</v>
      </c>
      <c r="CX37" s="155">
        <v>459002</v>
      </c>
      <c r="CY37" s="154">
        <v>458147</v>
      </c>
    </row>
    <row r="38" spans="1:103">
      <c r="A38" s="155" t="s">
        <v>1136</v>
      </c>
      <c r="B38" s="154">
        <v>36</v>
      </c>
      <c r="C38" s="155">
        <v>473454</v>
      </c>
      <c r="D38" s="155">
        <v>486811</v>
      </c>
      <c r="E38" s="155">
        <v>504627</v>
      </c>
      <c r="F38" s="155">
        <v>503620</v>
      </c>
      <c r="G38" s="155">
        <v>512286</v>
      </c>
      <c r="H38" s="155">
        <v>518844</v>
      </c>
      <c r="I38" s="155">
        <v>518714</v>
      </c>
      <c r="J38" s="155">
        <v>510308</v>
      </c>
      <c r="K38" s="155">
        <v>514867</v>
      </c>
      <c r="L38" s="155">
        <v>507627</v>
      </c>
      <c r="M38" s="155">
        <v>505812</v>
      </c>
      <c r="N38" s="155">
        <v>518424</v>
      </c>
      <c r="O38" s="155">
        <v>512876</v>
      </c>
      <c r="P38" s="155">
        <v>513536</v>
      </c>
      <c r="Q38" s="155">
        <v>505384</v>
      </c>
      <c r="R38" s="155">
        <v>500961</v>
      </c>
      <c r="S38" s="155">
        <v>500880</v>
      </c>
      <c r="T38" s="155">
        <v>501944</v>
      </c>
      <c r="U38" s="155">
        <v>507281</v>
      </c>
      <c r="V38" s="155">
        <v>504882</v>
      </c>
      <c r="W38" s="155">
        <v>505160</v>
      </c>
      <c r="X38" s="155">
        <v>511183</v>
      </c>
      <c r="Y38" s="155">
        <v>527099</v>
      </c>
      <c r="Z38" s="155">
        <v>523040</v>
      </c>
      <c r="AA38" s="155">
        <v>526935</v>
      </c>
      <c r="AB38" s="155">
        <v>531988</v>
      </c>
      <c r="AC38" s="155">
        <v>533051</v>
      </c>
      <c r="AD38" s="155">
        <v>523723</v>
      </c>
      <c r="AE38" s="155">
        <v>515785</v>
      </c>
      <c r="AF38" s="155">
        <v>514995</v>
      </c>
      <c r="AG38" s="155">
        <v>518629</v>
      </c>
      <c r="AH38" s="155">
        <v>509677</v>
      </c>
      <c r="AI38" s="155">
        <v>502380</v>
      </c>
      <c r="AJ38" s="155">
        <v>498583</v>
      </c>
      <c r="AK38" s="155">
        <v>493705</v>
      </c>
      <c r="AL38" s="155">
        <v>483693</v>
      </c>
      <c r="AM38" s="155">
        <v>487116</v>
      </c>
      <c r="AN38" s="155">
        <v>470370</v>
      </c>
      <c r="AO38" s="155">
        <v>469889</v>
      </c>
      <c r="AP38" s="155">
        <v>471673</v>
      </c>
      <c r="AQ38" s="155">
        <v>472903</v>
      </c>
      <c r="AR38" s="155">
        <v>473615</v>
      </c>
      <c r="AS38" s="155">
        <v>474031</v>
      </c>
      <c r="AT38" s="155">
        <v>474382</v>
      </c>
      <c r="AU38" s="155">
        <v>474695</v>
      </c>
      <c r="AV38" s="155">
        <v>475008</v>
      </c>
      <c r="AW38" s="155">
        <v>475314</v>
      </c>
      <c r="AX38" s="155">
        <v>475811</v>
      </c>
      <c r="AY38" s="155">
        <v>476563</v>
      </c>
      <c r="AZ38" s="155">
        <v>477413</v>
      </c>
      <c r="BA38" s="155">
        <v>478348</v>
      </c>
      <c r="BB38" s="155">
        <v>479441</v>
      </c>
      <c r="BC38" s="155">
        <v>480695</v>
      </c>
      <c r="BD38" s="155">
        <v>482006</v>
      </c>
      <c r="BE38" s="155">
        <v>483238</v>
      </c>
      <c r="BF38" s="155">
        <v>484359</v>
      </c>
      <c r="BG38" s="155">
        <v>485361</v>
      </c>
      <c r="BH38" s="155">
        <v>486040</v>
      </c>
      <c r="BI38" s="155">
        <v>486276</v>
      </c>
      <c r="BJ38" s="155">
        <v>486228</v>
      </c>
      <c r="BK38" s="155">
        <v>485975</v>
      </c>
      <c r="BL38" s="155">
        <v>485569</v>
      </c>
      <c r="BM38" s="155">
        <v>484543</v>
      </c>
      <c r="BN38" s="155">
        <v>482826</v>
      </c>
      <c r="BO38" s="155">
        <v>480923</v>
      </c>
      <c r="BP38" s="155">
        <v>478894</v>
      </c>
      <c r="BQ38" s="155">
        <v>476836</v>
      </c>
      <c r="BR38" s="155">
        <v>474724</v>
      </c>
      <c r="BS38" s="155">
        <v>472587</v>
      </c>
      <c r="BT38" s="155">
        <v>470593</v>
      </c>
      <c r="BU38" s="155">
        <v>468898</v>
      </c>
      <c r="BV38" s="155">
        <v>467482</v>
      </c>
      <c r="BW38" s="155">
        <v>466284</v>
      </c>
      <c r="BX38" s="155">
        <v>465285</v>
      </c>
      <c r="BY38" s="155">
        <v>464572</v>
      </c>
      <c r="BZ38" s="155">
        <v>464085</v>
      </c>
      <c r="CA38" s="155">
        <v>463840</v>
      </c>
      <c r="CB38" s="155">
        <v>463723</v>
      </c>
      <c r="CC38" s="155">
        <v>463704</v>
      </c>
      <c r="CD38" s="155">
        <v>463866</v>
      </c>
      <c r="CE38" s="155">
        <v>464170</v>
      </c>
      <c r="CF38" s="155">
        <v>464551</v>
      </c>
      <c r="CG38" s="155">
        <v>464992</v>
      </c>
      <c r="CH38" s="155">
        <v>465429</v>
      </c>
      <c r="CI38" s="155">
        <v>465857</v>
      </c>
      <c r="CJ38" s="155">
        <v>466283</v>
      </c>
      <c r="CK38" s="155">
        <v>466663</v>
      </c>
      <c r="CL38" s="155">
        <v>466979</v>
      </c>
      <c r="CM38" s="155">
        <v>467207</v>
      </c>
      <c r="CN38" s="155">
        <v>467348</v>
      </c>
      <c r="CO38" s="155">
        <v>467384</v>
      </c>
      <c r="CP38" s="155">
        <v>467306</v>
      </c>
      <c r="CQ38" s="155">
        <v>467121</v>
      </c>
      <c r="CR38" s="155">
        <v>466807</v>
      </c>
      <c r="CS38" s="155">
        <v>466361</v>
      </c>
      <c r="CT38" s="155">
        <v>465813</v>
      </c>
      <c r="CU38" s="155">
        <v>465161</v>
      </c>
      <c r="CV38" s="155">
        <v>464429</v>
      </c>
      <c r="CW38" s="155">
        <v>463637</v>
      </c>
      <c r="CX38" s="155">
        <v>462797</v>
      </c>
      <c r="CY38" s="154">
        <v>461937</v>
      </c>
    </row>
    <row r="39" spans="1:103">
      <c r="A39" s="155" t="s">
        <v>1136</v>
      </c>
      <c r="B39" s="154">
        <v>37</v>
      </c>
      <c r="C39" s="155">
        <v>471640</v>
      </c>
      <c r="D39" s="155">
        <v>480347</v>
      </c>
      <c r="E39" s="155">
        <v>492259</v>
      </c>
      <c r="F39" s="155">
        <v>509288</v>
      </c>
      <c r="G39" s="155">
        <v>507508</v>
      </c>
      <c r="H39" s="155">
        <v>515394</v>
      </c>
      <c r="I39" s="155">
        <v>521176</v>
      </c>
      <c r="J39" s="155">
        <v>521049</v>
      </c>
      <c r="K39" s="155">
        <v>512653</v>
      </c>
      <c r="L39" s="155">
        <v>517213</v>
      </c>
      <c r="M39" s="155">
        <v>509981</v>
      </c>
      <c r="N39" s="155">
        <v>508170</v>
      </c>
      <c r="O39" s="155">
        <v>520778</v>
      </c>
      <c r="P39" s="155">
        <v>515234</v>
      </c>
      <c r="Q39" s="155">
        <v>515895</v>
      </c>
      <c r="R39" s="155">
        <v>507751</v>
      </c>
      <c r="S39" s="155">
        <v>503334</v>
      </c>
      <c r="T39" s="155">
        <v>503255</v>
      </c>
      <c r="U39" s="155">
        <v>504322</v>
      </c>
      <c r="V39" s="155">
        <v>509659</v>
      </c>
      <c r="W39" s="155">
        <v>507265</v>
      </c>
      <c r="X39" s="155">
        <v>507544</v>
      </c>
      <c r="Y39" s="155">
        <v>513569</v>
      </c>
      <c r="Z39" s="155">
        <v>529479</v>
      </c>
      <c r="AA39" s="155">
        <v>525426</v>
      </c>
      <c r="AB39" s="155">
        <v>529321</v>
      </c>
      <c r="AC39" s="155">
        <v>534375</v>
      </c>
      <c r="AD39" s="155">
        <v>535440</v>
      </c>
      <c r="AE39" s="155">
        <v>526119</v>
      </c>
      <c r="AF39" s="155">
        <v>518189</v>
      </c>
      <c r="AG39" s="155">
        <v>517400</v>
      </c>
      <c r="AH39" s="155">
        <v>521037</v>
      </c>
      <c r="AI39" s="155">
        <v>512094</v>
      </c>
      <c r="AJ39" s="155">
        <v>504801</v>
      </c>
      <c r="AK39" s="155">
        <v>501009</v>
      </c>
      <c r="AL39" s="155">
        <v>496137</v>
      </c>
      <c r="AM39" s="155">
        <v>486129</v>
      </c>
      <c r="AN39" s="155">
        <v>489554</v>
      </c>
      <c r="AO39" s="155">
        <v>472818</v>
      </c>
      <c r="AP39" s="155">
        <v>472339</v>
      </c>
      <c r="AQ39" s="155">
        <v>474125</v>
      </c>
      <c r="AR39" s="155">
        <v>475356</v>
      </c>
      <c r="AS39" s="155">
        <v>476071</v>
      </c>
      <c r="AT39" s="155">
        <v>476486</v>
      </c>
      <c r="AU39" s="155">
        <v>476841</v>
      </c>
      <c r="AV39" s="155">
        <v>477157</v>
      </c>
      <c r="AW39" s="155">
        <v>477471</v>
      </c>
      <c r="AX39" s="155">
        <v>477778</v>
      </c>
      <c r="AY39" s="155">
        <v>478278</v>
      </c>
      <c r="AZ39" s="155">
        <v>479032</v>
      </c>
      <c r="BA39" s="155">
        <v>479883</v>
      </c>
      <c r="BB39" s="155">
        <v>480819</v>
      </c>
      <c r="BC39" s="155">
        <v>481914</v>
      </c>
      <c r="BD39" s="155">
        <v>483170</v>
      </c>
      <c r="BE39" s="155">
        <v>484483</v>
      </c>
      <c r="BF39" s="155">
        <v>485716</v>
      </c>
      <c r="BG39" s="155">
        <v>486838</v>
      </c>
      <c r="BH39" s="155">
        <v>487844</v>
      </c>
      <c r="BI39" s="155">
        <v>488524</v>
      </c>
      <c r="BJ39" s="155">
        <v>488761</v>
      </c>
      <c r="BK39" s="155">
        <v>488715</v>
      </c>
      <c r="BL39" s="155">
        <v>488464</v>
      </c>
      <c r="BM39" s="155">
        <v>488061</v>
      </c>
      <c r="BN39" s="155">
        <v>487036</v>
      </c>
      <c r="BO39" s="155">
        <v>485321</v>
      </c>
      <c r="BP39" s="155">
        <v>483421</v>
      </c>
      <c r="BQ39" s="155">
        <v>481394</v>
      </c>
      <c r="BR39" s="155">
        <v>479339</v>
      </c>
      <c r="BS39" s="155">
        <v>477229</v>
      </c>
      <c r="BT39" s="155">
        <v>475094</v>
      </c>
      <c r="BU39" s="155">
        <v>473103</v>
      </c>
      <c r="BV39" s="155">
        <v>471409</v>
      </c>
      <c r="BW39" s="155">
        <v>469996</v>
      </c>
      <c r="BX39" s="155">
        <v>468798</v>
      </c>
      <c r="BY39" s="155">
        <v>467803</v>
      </c>
      <c r="BZ39" s="155">
        <v>467091</v>
      </c>
      <c r="CA39" s="155">
        <v>466606</v>
      </c>
      <c r="CB39" s="155">
        <v>466363</v>
      </c>
      <c r="CC39" s="155">
        <v>466247</v>
      </c>
      <c r="CD39" s="155">
        <v>466229</v>
      </c>
      <c r="CE39" s="155">
        <v>466392</v>
      </c>
      <c r="CF39" s="155">
        <v>466697</v>
      </c>
      <c r="CG39" s="155">
        <v>467080</v>
      </c>
      <c r="CH39" s="155">
        <v>467522</v>
      </c>
      <c r="CI39" s="155">
        <v>467960</v>
      </c>
      <c r="CJ39" s="155">
        <v>468389</v>
      </c>
      <c r="CK39" s="155">
        <v>468816</v>
      </c>
      <c r="CL39" s="155">
        <v>469197</v>
      </c>
      <c r="CM39" s="155">
        <v>469515</v>
      </c>
      <c r="CN39" s="155">
        <v>469745</v>
      </c>
      <c r="CO39" s="155">
        <v>469886</v>
      </c>
      <c r="CP39" s="155">
        <v>469923</v>
      </c>
      <c r="CQ39" s="155">
        <v>469847</v>
      </c>
      <c r="CR39" s="155">
        <v>469663</v>
      </c>
      <c r="CS39" s="155">
        <v>469352</v>
      </c>
      <c r="CT39" s="155">
        <v>468906</v>
      </c>
      <c r="CU39" s="155">
        <v>468360</v>
      </c>
      <c r="CV39" s="155">
        <v>467708</v>
      </c>
      <c r="CW39" s="155">
        <v>466978</v>
      </c>
      <c r="CX39" s="155">
        <v>466187</v>
      </c>
      <c r="CY39" s="154">
        <v>465349</v>
      </c>
    </row>
    <row r="40" spans="1:103">
      <c r="A40" s="155" t="s">
        <v>1136</v>
      </c>
      <c r="B40" s="154">
        <v>38</v>
      </c>
      <c r="C40" s="155">
        <v>457044</v>
      </c>
      <c r="D40" s="155">
        <v>477647</v>
      </c>
      <c r="E40" s="155">
        <v>485072</v>
      </c>
      <c r="F40" s="155">
        <v>496287</v>
      </c>
      <c r="G40" s="155">
        <v>512616</v>
      </c>
      <c r="H40" s="155">
        <v>510152</v>
      </c>
      <c r="I40" s="155">
        <v>517347</v>
      </c>
      <c r="J40" s="155">
        <v>523129</v>
      </c>
      <c r="K40" s="155">
        <v>523008</v>
      </c>
      <c r="L40" s="155">
        <v>514623</v>
      </c>
      <c r="M40" s="155">
        <v>519183</v>
      </c>
      <c r="N40" s="155">
        <v>511958</v>
      </c>
      <c r="O40" s="155">
        <v>510152</v>
      </c>
      <c r="P40" s="155">
        <v>522755</v>
      </c>
      <c r="Q40" s="155">
        <v>517219</v>
      </c>
      <c r="R40" s="155">
        <v>517881</v>
      </c>
      <c r="S40" s="155">
        <v>509744</v>
      </c>
      <c r="T40" s="155">
        <v>505333</v>
      </c>
      <c r="U40" s="155">
        <v>505258</v>
      </c>
      <c r="V40" s="155">
        <v>506327</v>
      </c>
      <c r="W40" s="155">
        <v>511665</v>
      </c>
      <c r="X40" s="155">
        <v>509276</v>
      </c>
      <c r="Y40" s="155">
        <v>509559</v>
      </c>
      <c r="Z40" s="155">
        <v>515583</v>
      </c>
      <c r="AA40" s="155">
        <v>531487</v>
      </c>
      <c r="AB40" s="155">
        <v>527438</v>
      </c>
      <c r="AC40" s="155">
        <v>531335</v>
      </c>
      <c r="AD40" s="155">
        <v>536389</v>
      </c>
      <c r="AE40" s="155">
        <v>537457</v>
      </c>
      <c r="AF40" s="155">
        <v>528146</v>
      </c>
      <c r="AG40" s="155">
        <v>520224</v>
      </c>
      <c r="AH40" s="155">
        <v>519437</v>
      </c>
      <c r="AI40" s="155">
        <v>523075</v>
      </c>
      <c r="AJ40" s="155">
        <v>514139</v>
      </c>
      <c r="AK40" s="155">
        <v>506854</v>
      </c>
      <c r="AL40" s="155">
        <v>503065</v>
      </c>
      <c r="AM40" s="155">
        <v>498198</v>
      </c>
      <c r="AN40" s="155">
        <v>488199</v>
      </c>
      <c r="AO40" s="155">
        <v>491624</v>
      </c>
      <c r="AP40" s="155">
        <v>474900</v>
      </c>
      <c r="AQ40" s="155">
        <v>474423</v>
      </c>
      <c r="AR40" s="155">
        <v>476211</v>
      </c>
      <c r="AS40" s="155">
        <v>477444</v>
      </c>
      <c r="AT40" s="155">
        <v>478160</v>
      </c>
      <c r="AU40" s="155">
        <v>478577</v>
      </c>
      <c r="AV40" s="155">
        <v>478934</v>
      </c>
      <c r="AW40" s="155">
        <v>479252</v>
      </c>
      <c r="AX40" s="155">
        <v>479569</v>
      </c>
      <c r="AY40" s="155">
        <v>479878</v>
      </c>
      <c r="AZ40" s="155">
        <v>480380</v>
      </c>
      <c r="BA40" s="155">
        <v>481137</v>
      </c>
      <c r="BB40" s="155">
        <v>481990</v>
      </c>
      <c r="BC40" s="155">
        <v>482927</v>
      </c>
      <c r="BD40" s="155">
        <v>484022</v>
      </c>
      <c r="BE40" s="155">
        <v>485282</v>
      </c>
      <c r="BF40" s="155">
        <v>486596</v>
      </c>
      <c r="BG40" s="155">
        <v>487829</v>
      </c>
      <c r="BH40" s="155">
        <v>488953</v>
      </c>
      <c r="BI40" s="155">
        <v>489963</v>
      </c>
      <c r="BJ40" s="155">
        <v>490644</v>
      </c>
      <c r="BK40" s="155">
        <v>490882</v>
      </c>
      <c r="BL40" s="155">
        <v>490841</v>
      </c>
      <c r="BM40" s="155">
        <v>490591</v>
      </c>
      <c r="BN40" s="155">
        <v>490189</v>
      </c>
      <c r="BO40" s="155">
        <v>489167</v>
      </c>
      <c r="BP40" s="155">
        <v>487455</v>
      </c>
      <c r="BQ40" s="155">
        <v>485558</v>
      </c>
      <c r="BR40" s="155">
        <v>483532</v>
      </c>
      <c r="BS40" s="155">
        <v>481481</v>
      </c>
      <c r="BT40" s="155">
        <v>479373</v>
      </c>
      <c r="BU40" s="155">
        <v>477240</v>
      </c>
      <c r="BV40" s="155">
        <v>475252</v>
      </c>
      <c r="BW40" s="155">
        <v>473560</v>
      </c>
      <c r="BX40" s="155">
        <v>472148</v>
      </c>
      <c r="BY40" s="155">
        <v>470954</v>
      </c>
      <c r="BZ40" s="155">
        <v>469960</v>
      </c>
      <c r="CA40" s="155">
        <v>469250</v>
      </c>
      <c r="CB40" s="155">
        <v>468767</v>
      </c>
      <c r="CC40" s="155">
        <v>468526</v>
      </c>
      <c r="CD40" s="155">
        <v>468412</v>
      </c>
      <c r="CE40" s="155">
        <v>468395</v>
      </c>
      <c r="CF40" s="155">
        <v>468560</v>
      </c>
      <c r="CG40" s="155">
        <v>468866</v>
      </c>
      <c r="CH40" s="155">
        <v>469251</v>
      </c>
      <c r="CI40" s="155">
        <v>469693</v>
      </c>
      <c r="CJ40" s="155">
        <v>470133</v>
      </c>
      <c r="CK40" s="155">
        <v>470563</v>
      </c>
      <c r="CL40" s="155">
        <v>470991</v>
      </c>
      <c r="CM40" s="155">
        <v>471374</v>
      </c>
      <c r="CN40" s="155">
        <v>471693</v>
      </c>
      <c r="CO40" s="155">
        <v>471924</v>
      </c>
      <c r="CP40" s="155">
        <v>472067</v>
      </c>
      <c r="CQ40" s="155">
        <v>472106</v>
      </c>
      <c r="CR40" s="155">
        <v>472030</v>
      </c>
      <c r="CS40" s="155">
        <v>471847</v>
      </c>
      <c r="CT40" s="155">
        <v>471537</v>
      </c>
      <c r="CU40" s="155">
        <v>471093</v>
      </c>
      <c r="CV40" s="155">
        <v>470551</v>
      </c>
      <c r="CW40" s="155">
        <v>469900</v>
      </c>
      <c r="CX40" s="155">
        <v>469171</v>
      </c>
      <c r="CY40" s="154">
        <v>468381</v>
      </c>
    </row>
    <row r="41" spans="1:103">
      <c r="A41" s="155" t="s">
        <v>1136</v>
      </c>
      <c r="B41" s="154">
        <v>39</v>
      </c>
      <c r="C41" s="155">
        <v>457699</v>
      </c>
      <c r="D41" s="155">
        <v>462392</v>
      </c>
      <c r="E41" s="155">
        <v>481830</v>
      </c>
      <c r="F41" s="155">
        <v>488630</v>
      </c>
      <c r="G41" s="155">
        <v>499220</v>
      </c>
      <c r="H41" s="155">
        <v>514918</v>
      </c>
      <c r="I41" s="155">
        <v>511840</v>
      </c>
      <c r="J41" s="155">
        <v>519036</v>
      </c>
      <c r="K41" s="155">
        <v>524819</v>
      </c>
      <c r="L41" s="155">
        <v>524703</v>
      </c>
      <c r="M41" s="155">
        <v>516330</v>
      </c>
      <c r="N41" s="155">
        <v>520890</v>
      </c>
      <c r="O41" s="155">
        <v>513676</v>
      </c>
      <c r="P41" s="155">
        <v>511874</v>
      </c>
      <c r="Q41" s="155">
        <v>524471</v>
      </c>
      <c r="R41" s="155">
        <v>518943</v>
      </c>
      <c r="S41" s="155">
        <v>519607</v>
      </c>
      <c r="T41" s="155">
        <v>511478</v>
      </c>
      <c r="U41" s="155">
        <v>507072</v>
      </c>
      <c r="V41" s="155">
        <v>507002</v>
      </c>
      <c r="W41" s="155">
        <v>508073</v>
      </c>
      <c r="X41" s="155">
        <v>513412</v>
      </c>
      <c r="Y41" s="155">
        <v>511029</v>
      </c>
      <c r="Z41" s="155">
        <v>511316</v>
      </c>
      <c r="AA41" s="155">
        <v>517338</v>
      </c>
      <c r="AB41" s="155">
        <v>533237</v>
      </c>
      <c r="AC41" s="155">
        <v>529194</v>
      </c>
      <c r="AD41" s="155">
        <v>533091</v>
      </c>
      <c r="AE41" s="155">
        <v>538148</v>
      </c>
      <c r="AF41" s="155">
        <v>539218</v>
      </c>
      <c r="AG41" s="155">
        <v>529915</v>
      </c>
      <c r="AH41" s="155">
        <v>522001</v>
      </c>
      <c r="AI41" s="155">
        <v>521217</v>
      </c>
      <c r="AJ41" s="155">
        <v>524859</v>
      </c>
      <c r="AK41" s="155">
        <v>515930</v>
      </c>
      <c r="AL41" s="155">
        <v>508653</v>
      </c>
      <c r="AM41" s="155">
        <v>504869</v>
      </c>
      <c r="AN41" s="155">
        <v>500006</v>
      </c>
      <c r="AO41" s="155">
        <v>490017</v>
      </c>
      <c r="AP41" s="155">
        <v>493442</v>
      </c>
      <c r="AQ41" s="155">
        <v>476729</v>
      </c>
      <c r="AR41" s="155">
        <v>476256</v>
      </c>
      <c r="AS41" s="155">
        <v>478045</v>
      </c>
      <c r="AT41" s="155">
        <v>479281</v>
      </c>
      <c r="AU41" s="155">
        <v>479999</v>
      </c>
      <c r="AV41" s="155">
        <v>480417</v>
      </c>
      <c r="AW41" s="155">
        <v>480778</v>
      </c>
      <c r="AX41" s="155">
        <v>481098</v>
      </c>
      <c r="AY41" s="155">
        <v>481418</v>
      </c>
      <c r="AZ41" s="155">
        <v>481730</v>
      </c>
      <c r="BA41" s="155">
        <v>482233</v>
      </c>
      <c r="BB41" s="155">
        <v>482992</v>
      </c>
      <c r="BC41" s="155">
        <v>483847</v>
      </c>
      <c r="BD41" s="155">
        <v>484786</v>
      </c>
      <c r="BE41" s="155">
        <v>485882</v>
      </c>
      <c r="BF41" s="155">
        <v>487143</v>
      </c>
      <c r="BG41" s="155">
        <v>488461</v>
      </c>
      <c r="BH41" s="155">
        <v>489695</v>
      </c>
      <c r="BI41" s="155">
        <v>490821</v>
      </c>
      <c r="BJ41" s="155">
        <v>491834</v>
      </c>
      <c r="BK41" s="155">
        <v>492517</v>
      </c>
      <c r="BL41" s="155">
        <v>492756</v>
      </c>
      <c r="BM41" s="155">
        <v>492716</v>
      </c>
      <c r="BN41" s="155">
        <v>492469</v>
      </c>
      <c r="BO41" s="155">
        <v>492069</v>
      </c>
      <c r="BP41" s="155">
        <v>491052</v>
      </c>
      <c r="BQ41" s="155">
        <v>489342</v>
      </c>
      <c r="BR41" s="155">
        <v>487447</v>
      </c>
      <c r="BS41" s="155">
        <v>485424</v>
      </c>
      <c r="BT41" s="155">
        <v>483377</v>
      </c>
      <c r="BU41" s="155">
        <v>481270</v>
      </c>
      <c r="BV41" s="155">
        <v>479142</v>
      </c>
      <c r="BW41" s="155">
        <v>477156</v>
      </c>
      <c r="BX41" s="155">
        <v>475466</v>
      </c>
      <c r="BY41" s="155">
        <v>474057</v>
      </c>
      <c r="BZ41" s="155">
        <v>472865</v>
      </c>
      <c r="CA41" s="155">
        <v>471873</v>
      </c>
      <c r="CB41" s="155">
        <v>471164</v>
      </c>
      <c r="CC41" s="155">
        <v>470684</v>
      </c>
      <c r="CD41" s="155">
        <v>470444</v>
      </c>
      <c r="CE41" s="155">
        <v>470333</v>
      </c>
      <c r="CF41" s="155">
        <v>470317</v>
      </c>
      <c r="CG41" s="155">
        <v>470483</v>
      </c>
      <c r="CH41" s="155">
        <v>470793</v>
      </c>
      <c r="CI41" s="155">
        <v>471179</v>
      </c>
      <c r="CJ41" s="155">
        <v>471622</v>
      </c>
      <c r="CK41" s="155">
        <v>472063</v>
      </c>
      <c r="CL41" s="155">
        <v>472495</v>
      </c>
      <c r="CM41" s="155">
        <v>472923</v>
      </c>
      <c r="CN41" s="155">
        <v>473308</v>
      </c>
      <c r="CO41" s="155">
        <v>473628</v>
      </c>
      <c r="CP41" s="155">
        <v>473860</v>
      </c>
      <c r="CQ41" s="155">
        <v>474006</v>
      </c>
      <c r="CR41" s="155">
        <v>474047</v>
      </c>
      <c r="CS41" s="155">
        <v>473972</v>
      </c>
      <c r="CT41" s="155">
        <v>473790</v>
      </c>
      <c r="CU41" s="155">
        <v>473481</v>
      </c>
      <c r="CV41" s="155">
        <v>473039</v>
      </c>
      <c r="CW41" s="155">
        <v>472499</v>
      </c>
      <c r="CX41" s="155">
        <v>471849</v>
      </c>
      <c r="CY41" s="154">
        <v>471122</v>
      </c>
    </row>
    <row r="42" spans="1:103">
      <c r="A42" s="155" t="s">
        <v>1136</v>
      </c>
      <c r="B42" s="154">
        <v>40</v>
      </c>
      <c r="C42" s="155">
        <v>454063</v>
      </c>
      <c r="D42" s="155">
        <v>462492</v>
      </c>
      <c r="E42" s="155">
        <v>466145</v>
      </c>
      <c r="F42" s="155">
        <v>485007</v>
      </c>
      <c r="G42" s="155">
        <v>491244</v>
      </c>
      <c r="H42" s="155">
        <v>501268</v>
      </c>
      <c r="I42" s="155">
        <v>516397</v>
      </c>
      <c r="J42" s="155">
        <v>513327</v>
      </c>
      <c r="K42" s="155">
        <v>520525</v>
      </c>
      <c r="L42" s="155">
        <v>526309</v>
      </c>
      <c r="M42" s="155">
        <v>526199</v>
      </c>
      <c r="N42" s="155">
        <v>517838</v>
      </c>
      <c r="O42" s="155">
        <v>522400</v>
      </c>
      <c r="P42" s="155">
        <v>515195</v>
      </c>
      <c r="Q42" s="155">
        <v>513398</v>
      </c>
      <c r="R42" s="155">
        <v>525991</v>
      </c>
      <c r="S42" s="155">
        <v>520469</v>
      </c>
      <c r="T42" s="155">
        <v>521136</v>
      </c>
      <c r="U42" s="155">
        <v>513016</v>
      </c>
      <c r="V42" s="155">
        <v>508617</v>
      </c>
      <c r="W42" s="155">
        <v>508552</v>
      </c>
      <c r="X42" s="155">
        <v>509625</v>
      </c>
      <c r="Y42" s="155">
        <v>514965</v>
      </c>
      <c r="Z42" s="155">
        <v>512589</v>
      </c>
      <c r="AA42" s="155">
        <v>512880</v>
      </c>
      <c r="AB42" s="155">
        <v>518901</v>
      </c>
      <c r="AC42" s="155">
        <v>534792</v>
      </c>
      <c r="AD42" s="155">
        <v>530756</v>
      </c>
      <c r="AE42" s="155">
        <v>534654</v>
      </c>
      <c r="AF42" s="155">
        <v>539712</v>
      </c>
      <c r="AG42" s="155">
        <v>540787</v>
      </c>
      <c r="AH42" s="155">
        <v>531493</v>
      </c>
      <c r="AI42" s="155">
        <v>523587</v>
      </c>
      <c r="AJ42" s="155">
        <v>522809</v>
      </c>
      <c r="AK42" s="155">
        <v>526451</v>
      </c>
      <c r="AL42" s="155">
        <v>517531</v>
      </c>
      <c r="AM42" s="155">
        <v>510261</v>
      </c>
      <c r="AN42" s="155">
        <v>506484</v>
      </c>
      <c r="AO42" s="155">
        <v>501627</v>
      </c>
      <c r="AP42" s="155">
        <v>491646</v>
      </c>
      <c r="AQ42" s="155">
        <v>495073</v>
      </c>
      <c r="AR42" s="155">
        <v>478372</v>
      </c>
      <c r="AS42" s="155">
        <v>477904</v>
      </c>
      <c r="AT42" s="155">
        <v>479693</v>
      </c>
      <c r="AU42" s="155">
        <v>480932</v>
      </c>
      <c r="AV42" s="155">
        <v>481652</v>
      </c>
      <c r="AW42" s="155">
        <v>482072</v>
      </c>
      <c r="AX42" s="155">
        <v>482435</v>
      </c>
      <c r="AY42" s="155">
        <v>482758</v>
      </c>
      <c r="AZ42" s="155">
        <v>483082</v>
      </c>
      <c r="BA42" s="155">
        <v>483395</v>
      </c>
      <c r="BB42" s="155">
        <v>483902</v>
      </c>
      <c r="BC42" s="155">
        <v>484663</v>
      </c>
      <c r="BD42" s="155">
        <v>485520</v>
      </c>
      <c r="BE42" s="155">
        <v>486461</v>
      </c>
      <c r="BF42" s="155">
        <v>487559</v>
      </c>
      <c r="BG42" s="155">
        <v>488822</v>
      </c>
      <c r="BH42" s="155">
        <v>490141</v>
      </c>
      <c r="BI42" s="155">
        <v>491378</v>
      </c>
      <c r="BJ42" s="155">
        <v>492505</v>
      </c>
      <c r="BK42" s="155">
        <v>493521</v>
      </c>
      <c r="BL42" s="155">
        <v>494207</v>
      </c>
      <c r="BM42" s="155">
        <v>494448</v>
      </c>
      <c r="BN42" s="155">
        <v>494409</v>
      </c>
      <c r="BO42" s="155">
        <v>494164</v>
      </c>
      <c r="BP42" s="155">
        <v>493768</v>
      </c>
      <c r="BQ42" s="155">
        <v>492754</v>
      </c>
      <c r="BR42" s="155">
        <v>491047</v>
      </c>
      <c r="BS42" s="155">
        <v>489154</v>
      </c>
      <c r="BT42" s="155">
        <v>487135</v>
      </c>
      <c r="BU42" s="155">
        <v>485090</v>
      </c>
      <c r="BV42" s="155">
        <v>482988</v>
      </c>
      <c r="BW42" s="155">
        <v>480864</v>
      </c>
      <c r="BX42" s="155">
        <v>478879</v>
      </c>
      <c r="BY42" s="155">
        <v>477192</v>
      </c>
      <c r="BZ42" s="155">
        <v>475786</v>
      </c>
      <c r="CA42" s="155">
        <v>474597</v>
      </c>
      <c r="CB42" s="155">
        <v>473605</v>
      </c>
      <c r="CC42" s="155">
        <v>472900</v>
      </c>
      <c r="CD42" s="155">
        <v>472422</v>
      </c>
      <c r="CE42" s="155">
        <v>472185</v>
      </c>
      <c r="CF42" s="155">
        <v>472074</v>
      </c>
      <c r="CG42" s="155">
        <v>472060</v>
      </c>
      <c r="CH42" s="155">
        <v>472228</v>
      </c>
      <c r="CI42" s="155">
        <v>472540</v>
      </c>
      <c r="CJ42" s="155">
        <v>472928</v>
      </c>
      <c r="CK42" s="155">
        <v>473371</v>
      </c>
      <c r="CL42" s="155">
        <v>473815</v>
      </c>
      <c r="CM42" s="155">
        <v>474249</v>
      </c>
      <c r="CN42" s="155">
        <v>474679</v>
      </c>
      <c r="CO42" s="155">
        <v>475065</v>
      </c>
      <c r="CP42" s="155">
        <v>475388</v>
      </c>
      <c r="CQ42" s="155">
        <v>475622</v>
      </c>
      <c r="CR42" s="155">
        <v>475769</v>
      </c>
      <c r="CS42" s="155">
        <v>475812</v>
      </c>
      <c r="CT42" s="155">
        <v>475737</v>
      </c>
      <c r="CU42" s="155">
        <v>475556</v>
      </c>
      <c r="CV42" s="155">
        <v>475250</v>
      </c>
      <c r="CW42" s="155">
        <v>474810</v>
      </c>
      <c r="CX42" s="155">
        <v>474271</v>
      </c>
      <c r="CY42" s="154">
        <v>473624</v>
      </c>
    </row>
    <row r="43" spans="1:103">
      <c r="A43" s="155" t="s">
        <v>1136</v>
      </c>
      <c r="B43" s="154">
        <v>41</v>
      </c>
      <c r="C43" s="155">
        <v>459349</v>
      </c>
      <c r="D43" s="155">
        <v>458285</v>
      </c>
      <c r="E43" s="155">
        <v>465784</v>
      </c>
      <c r="F43" s="155">
        <v>468934</v>
      </c>
      <c r="G43" s="155">
        <v>487279</v>
      </c>
      <c r="H43" s="155">
        <v>493012</v>
      </c>
      <c r="I43" s="155">
        <v>502531</v>
      </c>
      <c r="J43" s="155">
        <v>517655</v>
      </c>
      <c r="K43" s="155">
        <v>514595</v>
      </c>
      <c r="L43" s="155">
        <v>521795</v>
      </c>
      <c r="M43" s="155">
        <v>527578</v>
      </c>
      <c r="N43" s="155">
        <v>527474</v>
      </c>
      <c r="O43" s="155">
        <v>519128</v>
      </c>
      <c r="P43" s="155">
        <v>523690</v>
      </c>
      <c r="Q43" s="155">
        <v>516496</v>
      </c>
      <c r="R43" s="155">
        <v>514706</v>
      </c>
      <c r="S43" s="155">
        <v>527291</v>
      </c>
      <c r="T43" s="155">
        <v>521779</v>
      </c>
      <c r="U43" s="155">
        <v>522447</v>
      </c>
      <c r="V43" s="155">
        <v>514337</v>
      </c>
      <c r="W43" s="155">
        <v>509947</v>
      </c>
      <c r="X43" s="155">
        <v>509887</v>
      </c>
      <c r="Y43" s="155">
        <v>510963</v>
      </c>
      <c r="Z43" s="155">
        <v>516306</v>
      </c>
      <c r="AA43" s="155">
        <v>513935</v>
      </c>
      <c r="AB43" s="155">
        <v>514229</v>
      </c>
      <c r="AC43" s="155">
        <v>520249</v>
      </c>
      <c r="AD43" s="155">
        <v>536134</v>
      </c>
      <c r="AE43" s="155">
        <v>532105</v>
      </c>
      <c r="AF43" s="155">
        <v>536005</v>
      </c>
      <c r="AG43" s="155">
        <v>541063</v>
      </c>
      <c r="AH43" s="155">
        <v>542141</v>
      </c>
      <c r="AI43" s="155">
        <v>532859</v>
      </c>
      <c r="AJ43" s="155">
        <v>524962</v>
      </c>
      <c r="AK43" s="155">
        <v>524188</v>
      </c>
      <c r="AL43" s="155">
        <v>527832</v>
      </c>
      <c r="AM43" s="155">
        <v>518922</v>
      </c>
      <c r="AN43" s="155">
        <v>511661</v>
      </c>
      <c r="AO43" s="155">
        <v>507888</v>
      </c>
      <c r="AP43" s="155">
        <v>503039</v>
      </c>
      <c r="AQ43" s="155">
        <v>493069</v>
      </c>
      <c r="AR43" s="155">
        <v>496497</v>
      </c>
      <c r="AS43" s="155">
        <v>479808</v>
      </c>
      <c r="AT43" s="155">
        <v>479343</v>
      </c>
      <c r="AU43" s="155">
        <v>481135</v>
      </c>
      <c r="AV43" s="155">
        <v>482377</v>
      </c>
      <c r="AW43" s="155">
        <v>483100</v>
      </c>
      <c r="AX43" s="155">
        <v>483521</v>
      </c>
      <c r="AY43" s="155">
        <v>483888</v>
      </c>
      <c r="AZ43" s="155">
        <v>484214</v>
      </c>
      <c r="BA43" s="155">
        <v>484541</v>
      </c>
      <c r="BB43" s="155">
        <v>484857</v>
      </c>
      <c r="BC43" s="155">
        <v>485365</v>
      </c>
      <c r="BD43" s="155">
        <v>486129</v>
      </c>
      <c r="BE43" s="155">
        <v>486988</v>
      </c>
      <c r="BF43" s="155">
        <v>487932</v>
      </c>
      <c r="BG43" s="155">
        <v>489032</v>
      </c>
      <c r="BH43" s="155">
        <v>490298</v>
      </c>
      <c r="BI43" s="155">
        <v>491619</v>
      </c>
      <c r="BJ43" s="155">
        <v>492859</v>
      </c>
      <c r="BK43" s="155">
        <v>493989</v>
      </c>
      <c r="BL43" s="155">
        <v>495007</v>
      </c>
      <c r="BM43" s="155">
        <v>495694</v>
      </c>
      <c r="BN43" s="155">
        <v>495938</v>
      </c>
      <c r="BO43" s="155">
        <v>495901</v>
      </c>
      <c r="BP43" s="155">
        <v>495660</v>
      </c>
      <c r="BQ43" s="155">
        <v>495266</v>
      </c>
      <c r="BR43" s="155">
        <v>494255</v>
      </c>
      <c r="BS43" s="155">
        <v>492551</v>
      </c>
      <c r="BT43" s="155">
        <v>490661</v>
      </c>
      <c r="BU43" s="155">
        <v>488646</v>
      </c>
      <c r="BV43" s="155">
        <v>486605</v>
      </c>
      <c r="BW43" s="155">
        <v>484505</v>
      </c>
      <c r="BX43" s="155">
        <v>482384</v>
      </c>
      <c r="BY43" s="155">
        <v>480402</v>
      </c>
      <c r="BZ43" s="155">
        <v>478719</v>
      </c>
      <c r="CA43" s="155">
        <v>477316</v>
      </c>
      <c r="CB43" s="155">
        <v>476130</v>
      </c>
      <c r="CC43" s="155">
        <v>475141</v>
      </c>
      <c r="CD43" s="155">
        <v>474438</v>
      </c>
      <c r="CE43" s="155">
        <v>473961</v>
      </c>
      <c r="CF43" s="155">
        <v>473726</v>
      </c>
      <c r="CG43" s="155">
        <v>473617</v>
      </c>
      <c r="CH43" s="155">
        <v>473605</v>
      </c>
      <c r="CI43" s="155">
        <v>473775</v>
      </c>
      <c r="CJ43" s="155">
        <v>474089</v>
      </c>
      <c r="CK43" s="155">
        <v>474479</v>
      </c>
      <c r="CL43" s="155">
        <v>474924</v>
      </c>
      <c r="CM43" s="155">
        <v>475370</v>
      </c>
      <c r="CN43" s="155">
        <v>475805</v>
      </c>
      <c r="CO43" s="155">
        <v>476237</v>
      </c>
      <c r="CP43" s="155">
        <v>476625</v>
      </c>
      <c r="CQ43" s="155">
        <v>476950</v>
      </c>
      <c r="CR43" s="155">
        <v>477185</v>
      </c>
      <c r="CS43" s="155">
        <v>477333</v>
      </c>
      <c r="CT43" s="155">
        <v>477378</v>
      </c>
      <c r="CU43" s="155">
        <v>477308</v>
      </c>
      <c r="CV43" s="155">
        <v>477128</v>
      </c>
      <c r="CW43" s="155">
        <v>476823</v>
      </c>
      <c r="CX43" s="155">
        <v>476384</v>
      </c>
      <c r="CY43" s="154">
        <v>475848</v>
      </c>
    </row>
    <row r="44" spans="1:103">
      <c r="A44" s="155" t="s">
        <v>1136</v>
      </c>
      <c r="B44" s="154">
        <v>42</v>
      </c>
      <c r="C44" s="155">
        <v>458623</v>
      </c>
      <c r="D44" s="155">
        <v>463010</v>
      </c>
      <c r="E44" s="155">
        <v>461119</v>
      </c>
      <c r="F44" s="155">
        <v>468160</v>
      </c>
      <c r="G44" s="155">
        <v>470859</v>
      </c>
      <c r="H44" s="155">
        <v>488738</v>
      </c>
      <c r="I44" s="155">
        <v>494020</v>
      </c>
      <c r="J44" s="155">
        <v>503539</v>
      </c>
      <c r="K44" s="155">
        <v>518657</v>
      </c>
      <c r="L44" s="155">
        <v>515608</v>
      </c>
      <c r="M44" s="155">
        <v>522810</v>
      </c>
      <c r="N44" s="155">
        <v>528592</v>
      </c>
      <c r="O44" s="155">
        <v>528496</v>
      </c>
      <c r="P44" s="155">
        <v>520164</v>
      </c>
      <c r="Q44" s="155">
        <v>524726</v>
      </c>
      <c r="R44" s="155">
        <v>517545</v>
      </c>
      <c r="S44" s="155">
        <v>515761</v>
      </c>
      <c r="T44" s="155">
        <v>528340</v>
      </c>
      <c r="U44" s="155">
        <v>522837</v>
      </c>
      <c r="V44" s="155">
        <v>523509</v>
      </c>
      <c r="W44" s="155">
        <v>515409</v>
      </c>
      <c r="X44" s="155">
        <v>511029</v>
      </c>
      <c r="Y44" s="155">
        <v>510973</v>
      </c>
      <c r="Z44" s="155">
        <v>512052</v>
      </c>
      <c r="AA44" s="155">
        <v>517397</v>
      </c>
      <c r="AB44" s="155">
        <v>515033</v>
      </c>
      <c r="AC44" s="155">
        <v>515332</v>
      </c>
      <c r="AD44" s="155">
        <v>521352</v>
      </c>
      <c r="AE44" s="155">
        <v>537228</v>
      </c>
      <c r="AF44" s="155">
        <v>533207</v>
      </c>
      <c r="AG44" s="155">
        <v>537108</v>
      </c>
      <c r="AH44" s="155">
        <v>542166</v>
      </c>
      <c r="AI44" s="155">
        <v>543249</v>
      </c>
      <c r="AJ44" s="155">
        <v>533978</v>
      </c>
      <c r="AK44" s="155">
        <v>526092</v>
      </c>
      <c r="AL44" s="155">
        <v>525321</v>
      </c>
      <c r="AM44" s="155">
        <v>528968</v>
      </c>
      <c r="AN44" s="155">
        <v>520068</v>
      </c>
      <c r="AO44" s="155">
        <v>512817</v>
      </c>
      <c r="AP44" s="155">
        <v>509050</v>
      </c>
      <c r="AQ44" s="155">
        <v>504208</v>
      </c>
      <c r="AR44" s="155">
        <v>494248</v>
      </c>
      <c r="AS44" s="155">
        <v>497678</v>
      </c>
      <c r="AT44" s="155">
        <v>481004</v>
      </c>
      <c r="AU44" s="155">
        <v>480542</v>
      </c>
      <c r="AV44" s="155">
        <v>482339</v>
      </c>
      <c r="AW44" s="155">
        <v>483583</v>
      </c>
      <c r="AX44" s="155">
        <v>484307</v>
      </c>
      <c r="AY44" s="155">
        <v>484731</v>
      </c>
      <c r="AZ44" s="155">
        <v>485103</v>
      </c>
      <c r="BA44" s="155">
        <v>485431</v>
      </c>
      <c r="BB44" s="155">
        <v>485762</v>
      </c>
      <c r="BC44" s="155">
        <v>486082</v>
      </c>
      <c r="BD44" s="155">
        <v>486591</v>
      </c>
      <c r="BE44" s="155">
        <v>487357</v>
      </c>
      <c r="BF44" s="155">
        <v>488219</v>
      </c>
      <c r="BG44" s="155">
        <v>489166</v>
      </c>
      <c r="BH44" s="155">
        <v>490268</v>
      </c>
      <c r="BI44" s="155">
        <v>491537</v>
      </c>
      <c r="BJ44" s="155">
        <v>492861</v>
      </c>
      <c r="BK44" s="155">
        <v>494104</v>
      </c>
      <c r="BL44" s="155">
        <v>495236</v>
      </c>
      <c r="BM44" s="155">
        <v>496256</v>
      </c>
      <c r="BN44" s="155">
        <v>496945</v>
      </c>
      <c r="BO44" s="155">
        <v>497191</v>
      </c>
      <c r="BP44" s="155">
        <v>497157</v>
      </c>
      <c r="BQ44" s="155">
        <v>496920</v>
      </c>
      <c r="BR44" s="155">
        <v>496530</v>
      </c>
      <c r="BS44" s="155">
        <v>495521</v>
      </c>
      <c r="BT44" s="155">
        <v>493821</v>
      </c>
      <c r="BU44" s="155">
        <v>491934</v>
      </c>
      <c r="BV44" s="155">
        <v>489924</v>
      </c>
      <c r="BW44" s="155">
        <v>487886</v>
      </c>
      <c r="BX44" s="155">
        <v>485789</v>
      </c>
      <c r="BY44" s="155">
        <v>483671</v>
      </c>
      <c r="BZ44" s="155">
        <v>481692</v>
      </c>
      <c r="CA44" s="155">
        <v>480015</v>
      </c>
      <c r="CB44" s="155">
        <v>478613</v>
      </c>
      <c r="CC44" s="155">
        <v>477430</v>
      </c>
      <c r="CD44" s="155">
        <v>476446</v>
      </c>
      <c r="CE44" s="155">
        <v>475744</v>
      </c>
      <c r="CF44" s="155">
        <v>475269</v>
      </c>
      <c r="CG44" s="155">
        <v>475037</v>
      </c>
      <c r="CH44" s="155">
        <v>474932</v>
      </c>
      <c r="CI44" s="155">
        <v>474920</v>
      </c>
      <c r="CJ44" s="155">
        <v>475093</v>
      </c>
      <c r="CK44" s="155">
        <v>475409</v>
      </c>
      <c r="CL44" s="155">
        <v>475800</v>
      </c>
      <c r="CM44" s="155">
        <v>476247</v>
      </c>
      <c r="CN44" s="155">
        <v>476696</v>
      </c>
      <c r="CO44" s="155">
        <v>477131</v>
      </c>
      <c r="CP44" s="155">
        <v>477567</v>
      </c>
      <c r="CQ44" s="155">
        <v>477955</v>
      </c>
      <c r="CR44" s="155">
        <v>478283</v>
      </c>
      <c r="CS44" s="155">
        <v>478519</v>
      </c>
      <c r="CT44" s="155">
        <v>478671</v>
      </c>
      <c r="CU44" s="155">
        <v>478717</v>
      </c>
      <c r="CV44" s="155">
        <v>478649</v>
      </c>
      <c r="CW44" s="155">
        <v>478471</v>
      </c>
      <c r="CX44" s="155">
        <v>478168</v>
      </c>
      <c r="CY44" s="154">
        <v>477731</v>
      </c>
    </row>
    <row r="45" spans="1:103">
      <c r="A45" s="155" t="s">
        <v>1136</v>
      </c>
      <c r="B45" s="154">
        <v>43</v>
      </c>
      <c r="C45" s="155">
        <v>438752</v>
      </c>
      <c r="D45" s="155">
        <v>461797</v>
      </c>
      <c r="E45" s="155">
        <v>465431</v>
      </c>
      <c r="F45" s="155">
        <v>463135</v>
      </c>
      <c r="G45" s="155">
        <v>469762</v>
      </c>
      <c r="H45" s="155">
        <v>472055</v>
      </c>
      <c r="I45" s="155">
        <v>489512</v>
      </c>
      <c r="J45" s="155">
        <v>494799</v>
      </c>
      <c r="K45" s="155">
        <v>504317</v>
      </c>
      <c r="L45" s="155">
        <v>519426</v>
      </c>
      <c r="M45" s="155">
        <v>516390</v>
      </c>
      <c r="N45" s="155">
        <v>523592</v>
      </c>
      <c r="O45" s="155">
        <v>529375</v>
      </c>
      <c r="P45" s="155">
        <v>529288</v>
      </c>
      <c r="Q45" s="155">
        <v>520971</v>
      </c>
      <c r="R45" s="155">
        <v>525535</v>
      </c>
      <c r="S45" s="155">
        <v>518365</v>
      </c>
      <c r="T45" s="155">
        <v>516588</v>
      </c>
      <c r="U45" s="155">
        <v>529161</v>
      </c>
      <c r="V45" s="155">
        <v>523669</v>
      </c>
      <c r="W45" s="155">
        <v>524344</v>
      </c>
      <c r="X45" s="155">
        <v>516256</v>
      </c>
      <c r="Y45" s="155">
        <v>511884</v>
      </c>
      <c r="Z45" s="155">
        <v>511835</v>
      </c>
      <c r="AA45" s="155">
        <v>512918</v>
      </c>
      <c r="AB45" s="155">
        <v>518264</v>
      </c>
      <c r="AC45" s="155">
        <v>515907</v>
      </c>
      <c r="AD45" s="155">
        <v>516211</v>
      </c>
      <c r="AE45" s="155">
        <v>522230</v>
      </c>
      <c r="AF45" s="155">
        <v>538099</v>
      </c>
      <c r="AG45" s="155">
        <v>534085</v>
      </c>
      <c r="AH45" s="155">
        <v>537988</v>
      </c>
      <c r="AI45" s="155">
        <v>543047</v>
      </c>
      <c r="AJ45" s="155">
        <v>544134</v>
      </c>
      <c r="AK45" s="155">
        <v>534876</v>
      </c>
      <c r="AL45" s="155">
        <v>527002</v>
      </c>
      <c r="AM45" s="155">
        <v>526235</v>
      </c>
      <c r="AN45" s="155">
        <v>529884</v>
      </c>
      <c r="AO45" s="155">
        <v>520995</v>
      </c>
      <c r="AP45" s="155">
        <v>513755</v>
      </c>
      <c r="AQ45" s="155">
        <v>509994</v>
      </c>
      <c r="AR45" s="155">
        <v>505161</v>
      </c>
      <c r="AS45" s="155">
        <v>495213</v>
      </c>
      <c r="AT45" s="155">
        <v>498644</v>
      </c>
      <c r="AU45" s="155">
        <v>481985</v>
      </c>
      <c r="AV45" s="155">
        <v>481527</v>
      </c>
      <c r="AW45" s="155">
        <v>483327</v>
      </c>
      <c r="AX45" s="155">
        <v>484575</v>
      </c>
      <c r="AY45" s="155">
        <v>485301</v>
      </c>
      <c r="AZ45" s="155">
        <v>485728</v>
      </c>
      <c r="BA45" s="155">
        <v>486104</v>
      </c>
      <c r="BB45" s="155">
        <v>486434</v>
      </c>
      <c r="BC45" s="155">
        <v>486769</v>
      </c>
      <c r="BD45" s="155">
        <v>487093</v>
      </c>
      <c r="BE45" s="155">
        <v>487606</v>
      </c>
      <c r="BF45" s="155">
        <v>488373</v>
      </c>
      <c r="BG45" s="155">
        <v>489239</v>
      </c>
      <c r="BH45" s="155">
        <v>490188</v>
      </c>
      <c r="BI45" s="155">
        <v>491294</v>
      </c>
      <c r="BJ45" s="155">
        <v>492565</v>
      </c>
      <c r="BK45" s="155">
        <v>493892</v>
      </c>
      <c r="BL45" s="155">
        <v>495138</v>
      </c>
      <c r="BM45" s="155">
        <v>496272</v>
      </c>
      <c r="BN45" s="155">
        <v>497294</v>
      </c>
      <c r="BO45" s="155">
        <v>497985</v>
      </c>
      <c r="BP45" s="155">
        <v>498235</v>
      </c>
      <c r="BQ45" s="155">
        <v>498203</v>
      </c>
      <c r="BR45" s="155">
        <v>497970</v>
      </c>
      <c r="BS45" s="155">
        <v>497583</v>
      </c>
      <c r="BT45" s="155">
        <v>496578</v>
      </c>
      <c r="BU45" s="155">
        <v>494881</v>
      </c>
      <c r="BV45" s="155">
        <v>493000</v>
      </c>
      <c r="BW45" s="155">
        <v>490993</v>
      </c>
      <c r="BX45" s="155">
        <v>488959</v>
      </c>
      <c r="BY45" s="155">
        <v>486867</v>
      </c>
      <c r="BZ45" s="155">
        <v>484752</v>
      </c>
      <c r="CA45" s="155">
        <v>482777</v>
      </c>
      <c r="CB45" s="155">
        <v>481103</v>
      </c>
      <c r="CC45" s="155">
        <v>479704</v>
      </c>
      <c r="CD45" s="155">
        <v>478524</v>
      </c>
      <c r="CE45" s="155">
        <v>477543</v>
      </c>
      <c r="CF45" s="155">
        <v>476843</v>
      </c>
      <c r="CG45" s="155">
        <v>476374</v>
      </c>
      <c r="CH45" s="155">
        <v>476144</v>
      </c>
      <c r="CI45" s="155">
        <v>476042</v>
      </c>
      <c r="CJ45" s="155">
        <v>476031</v>
      </c>
      <c r="CK45" s="155">
        <v>476206</v>
      </c>
      <c r="CL45" s="155">
        <v>476524</v>
      </c>
      <c r="CM45" s="155">
        <v>476918</v>
      </c>
      <c r="CN45" s="155">
        <v>477366</v>
      </c>
      <c r="CO45" s="155">
        <v>477817</v>
      </c>
      <c r="CP45" s="155">
        <v>478255</v>
      </c>
      <c r="CQ45" s="155">
        <v>478694</v>
      </c>
      <c r="CR45" s="155">
        <v>479084</v>
      </c>
      <c r="CS45" s="155">
        <v>479413</v>
      </c>
      <c r="CT45" s="155">
        <v>479651</v>
      </c>
      <c r="CU45" s="155">
        <v>479805</v>
      </c>
      <c r="CV45" s="155">
        <v>479853</v>
      </c>
      <c r="CW45" s="155">
        <v>479787</v>
      </c>
      <c r="CX45" s="155">
        <v>479611</v>
      </c>
      <c r="CY45" s="154">
        <v>479310</v>
      </c>
    </row>
    <row r="46" spans="1:103">
      <c r="A46" s="155" t="s">
        <v>1136</v>
      </c>
      <c r="B46" s="154">
        <v>44</v>
      </c>
      <c r="C46" s="155">
        <v>407580</v>
      </c>
      <c r="D46" s="155">
        <v>441526</v>
      </c>
      <c r="E46" s="155">
        <v>463863</v>
      </c>
      <c r="F46" s="155">
        <v>467121</v>
      </c>
      <c r="G46" s="155">
        <v>464460</v>
      </c>
      <c r="H46" s="155">
        <v>470713</v>
      </c>
      <c r="I46" s="155">
        <v>472639</v>
      </c>
      <c r="J46" s="155">
        <v>490083</v>
      </c>
      <c r="K46" s="155">
        <v>495373</v>
      </c>
      <c r="L46" s="155">
        <v>504889</v>
      </c>
      <c r="M46" s="155">
        <v>519991</v>
      </c>
      <c r="N46" s="155">
        <v>516968</v>
      </c>
      <c r="O46" s="155">
        <v>524171</v>
      </c>
      <c r="P46" s="155">
        <v>529954</v>
      </c>
      <c r="Q46" s="155">
        <v>529874</v>
      </c>
      <c r="R46" s="155">
        <v>521574</v>
      </c>
      <c r="S46" s="155">
        <v>526140</v>
      </c>
      <c r="T46" s="155">
        <v>518984</v>
      </c>
      <c r="U46" s="155">
        <v>517214</v>
      </c>
      <c r="V46" s="155">
        <v>529780</v>
      </c>
      <c r="W46" s="155">
        <v>524299</v>
      </c>
      <c r="X46" s="155">
        <v>524978</v>
      </c>
      <c r="Y46" s="155">
        <v>516902</v>
      </c>
      <c r="Z46" s="155">
        <v>512541</v>
      </c>
      <c r="AA46" s="155">
        <v>512498</v>
      </c>
      <c r="AB46" s="155">
        <v>513584</v>
      </c>
      <c r="AC46" s="155">
        <v>518935</v>
      </c>
      <c r="AD46" s="155">
        <v>516586</v>
      </c>
      <c r="AE46" s="155">
        <v>516892</v>
      </c>
      <c r="AF46" s="155">
        <v>522912</v>
      </c>
      <c r="AG46" s="155">
        <v>538771</v>
      </c>
      <c r="AH46" s="155">
        <v>534766</v>
      </c>
      <c r="AI46" s="155">
        <v>538670</v>
      </c>
      <c r="AJ46" s="155">
        <v>543731</v>
      </c>
      <c r="AK46" s="155">
        <v>544823</v>
      </c>
      <c r="AL46" s="155">
        <v>535579</v>
      </c>
      <c r="AM46" s="155">
        <v>527717</v>
      </c>
      <c r="AN46" s="155">
        <v>526955</v>
      </c>
      <c r="AO46" s="155">
        <v>530606</v>
      </c>
      <c r="AP46" s="155">
        <v>521729</v>
      </c>
      <c r="AQ46" s="155">
        <v>514501</v>
      </c>
      <c r="AR46" s="155">
        <v>510748</v>
      </c>
      <c r="AS46" s="155">
        <v>505923</v>
      </c>
      <c r="AT46" s="155">
        <v>495987</v>
      </c>
      <c r="AU46" s="155">
        <v>499420</v>
      </c>
      <c r="AV46" s="155">
        <v>482779</v>
      </c>
      <c r="AW46" s="155">
        <v>482324</v>
      </c>
      <c r="AX46" s="155">
        <v>484127</v>
      </c>
      <c r="AY46" s="155">
        <v>485378</v>
      </c>
      <c r="AZ46" s="155">
        <v>486109</v>
      </c>
      <c r="BA46" s="155">
        <v>486539</v>
      </c>
      <c r="BB46" s="155">
        <v>486918</v>
      </c>
      <c r="BC46" s="155">
        <v>487252</v>
      </c>
      <c r="BD46" s="155">
        <v>487589</v>
      </c>
      <c r="BE46" s="155">
        <v>487917</v>
      </c>
      <c r="BF46" s="155">
        <v>488436</v>
      </c>
      <c r="BG46" s="155">
        <v>489205</v>
      </c>
      <c r="BH46" s="155">
        <v>490074</v>
      </c>
      <c r="BI46" s="155">
        <v>491025</v>
      </c>
      <c r="BJ46" s="155">
        <v>492135</v>
      </c>
      <c r="BK46" s="155">
        <v>493409</v>
      </c>
      <c r="BL46" s="155">
        <v>494738</v>
      </c>
      <c r="BM46" s="155">
        <v>495988</v>
      </c>
      <c r="BN46" s="155">
        <v>497125</v>
      </c>
      <c r="BO46" s="155">
        <v>498150</v>
      </c>
      <c r="BP46" s="155">
        <v>498844</v>
      </c>
      <c r="BQ46" s="155">
        <v>499097</v>
      </c>
      <c r="BR46" s="155">
        <v>499068</v>
      </c>
      <c r="BS46" s="155">
        <v>498839</v>
      </c>
      <c r="BT46" s="155">
        <v>498455</v>
      </c>
      <c r="BU46" s="155">
        <v>497454</v>
      </c>
      <c r="BV46" s="155">
        <v>495760</v>
      </c>
      <c r="BW46" s="155">
        <v>493885</v>
      </c>
      <c r="BX46" s="155">
        <v>491881</v>
      </c>
      <c r="BY46" s="155">
        <v>489851</v>
      </c>
      <c r="BZ46" s="155">
        <v>487765</v>
      </c>
      <c r="CA46" s="155">
        <v>485654</v>
      </c>
      <c r="CB46" s="155">
        <v>483684</v>
      </c>
      <c r="CC46" s="155">
        <v>482013</v>
      </c>
      <c r="CD46" s="155">
        <v>480617</v>
      </c>
      <c r="CE46" s="155">
        <v>479440</v>
      </c>
      <c r="CF46" s="155">
        <v>478462</v>
      </c>
      <c r="CG46" s="155">
        <v>477765</v>
      </c>
      <c r="CH46" s="155">
        <v>477300</v>
      </c>
      <c r="CI46" s="155">
        <v>477072</v>
      </c>
      <c r="CJ46" s="155">
        <v>476972</v>
      </c>
      <c r="CK46" s="155">
        <v>476965</v>
      </c>
      <c r="CL46" s="155">
        <v>477143</v>
      </c>
      <c r="CM46" s="155">
        <v>477463</v>
      </c>
      <c r="CN46" s="155">
        <v>477860</v>
      </c>
      <c r="CO46" s="155">
        <v>478310</v>
      </c>
      <c r="CP46" s="155">
        <v>478764</v>
      </c>
      <c r="CQ46" s="155">
        <v>479204</v>
      </c>
      <c r="CR46" s="155">
        <v>479645</v>
      </c>
      <c r="CS46" s="155">
        <v>480037</v>
      </c>
      <c r="CT46" s="155">
        <v>480367</v>
      </c>
      <c r="CU46" s="155">
        <v>480608</v>
      </c>
      <c r="CV46" s="155">
        <v>480764</v>
      </c>
      <c r="CW46" s="155">
        <v>480816</v>
      </c>
      <c r="CX46" s="155">
        <v>480752</v>
      </c>
      <c r="CY46" s="154">
        <v>480578</v>
      </c>
    </row>
    <row r="47" spans="1:103">
      <c r="A47" s="155" t="s">
        <v>1136</v>
      </c>
      <c r="B47" s="154">
        <v>45</v>
      </c>
      <c r="C47" s="155">
        <v>398806</v>
      </c>
      <c r="D47" s="155">
        <v>409965</v>
      </c>
      <c r="E47" s="155">
        <v>443251</v>
      </c>
      <c r="F47" s="155">
        <v>465226</v>
      </c>
      <c r="G47" s="155">
        <v>468146</v>
      </c>
      <c r="H47" s="155">
        <v>465159</v>
      </c>
      <c r="I47" s="155">
        <v>471075</v>
      </c>
      <c r="J47" s="155">
        <v>473006</v>
      </c>
      <c r="K47" s="155">
        <v>490436</v>
      </c>
      <c r="L47" s="155">
        <v>495729</v>
      </c>
      <c r="M47" s="155">
        <v>505244</v>
      </c>
      <c r="N47" s="155">
        <v>520337</v>
      </c>
      <c r="O47" s="155">
        <v>517328</v>
      </c>
      <c r="P47" s="155">
        <v>524530</v>
      </c>
      <c r="Q47" s="155">
        <v>530315</v>
      </c>
      <c r="R47" s="155">
        <v>530244</v>
      </c>
      <c r="S47" s="155">
        <v>521961</v>
      </c>
      <c r="T47" s="155">
        <v>526529</v>
      </c>
      <c r="U47" s="155">
        <v>519389</v>
      </c>
      <c r="V47" s="155">
        <v>517626</v>
      </c>
      <c r="W47" s="155">
        <v>530185</v>
      </c>
      <c r="X47" s="155">
        <v>524716</v>
      </c>
      <c r="Y47" s="155">
        <v>525400</v>
      </c>
      <c r="Z47" s="155">
        <v>517337</v>
      </c>
      <c r="AA47" s="155">
        <v>512988</v>
      </c>
      <c r="AB47" s="155">
        <v>512951</v>
      </c>
      <c r="AC47" s="155">
        <v>514041</v>
      </c>
      <c r="AD47" s="155">
        <v>519395</v>
      </c>
      <c r="AE47" s="155">
        <v>517055</v>
      </c>
      <c r="AF47" s="155">
        <v>517366</v>
      </c>
      <c r="AG47" s="155">
        <v>523385</v>
      </c>
      <c r="AH47" s="155">
        <v>539234</v>
      </c>
      <c r="AI47" s="155">
        <v>535239</v>
      </c>
      <c r="AJ47" s="155">
        <v>539146</v>
      </c>
      <c r="AK47" s="155">
        <v>544207</v>
      </c>
      <c r="AL47" s="155">
        <v>545305</v>
      </c>
      <c r="AM47" s="155">
        <v>536075</v>
      </c>
      <c r="AN47" s="155">
        <v>528226</v>
      </c>
      <c r="AO47" s="155">
        <v>527470</v>
      </c>
      <c r="AP47" s="155">
        <v>531124</v>
      </c>
      <c r="AQ47" s="155">
        <v>522260</v>
      </c>
      <c r="AR47" s="155">
        <v>515045</v>
      </c>
      <c r="AS47" s="155">
        <v>511299</v>
      </c>
      <c r="AT47" s="155">
        <v>506484</v>
      </c>
      <c r="AU47" s="155">
        <v>496560</v>
      </c>
      <c r="AV47" s="155">
        <v>499996</v>
      </c>
      <c r="AW47" s="155">
        <v>483374</v>
      </c>
      <c r="AX47" s="155">
        <v>482922</v>
      </c>
      <c r="AY47" s="155">
        <v>484730</v>
      </c>
      <c r="AZ47" s="155">
        <v>485984</v>
      </c>
      <c r="BA47" s="155">
        <v>486719</v>
      </c>
      <c r="BB47" s="155">
        <v>487152</v>
      </c>
      <c r="BC47" s="155">
        <v>487535</v>
      </c>
      <c r="BD47" s="155">
        <v>487873</v>
      </c>
      <c r="BE47" s="155">
        <v>488215</v>
      </c>
      <c r="BF47" s="155">
        <v>488546</v>
      </c>
      <c r="BG47" s="155">
        <v>489069</v>
      </c>
      <c r="BH47" s="155">
        <v>489841</v>
      </c>
      <c r="BI47" s="155">
        <v>490713</v>
      </c>
      <c r="BJ47" s="155">
        <v>491668</v>
      </c>
      <c r="BK47" s="155">
        <v>492781</v>
      </c>
      <c r="BL47" s="155">
        <v>494058</v>
      </c>
      <c r="BM47" s="155">
        <v>495390</v>
      </c>
      <c r="BN47" s="155">
        <v>496643</v>
      </c>
      <c r="BO47" s="155">
        <v>497782</v>
      </c>
      <c r="BP47" s="155">
        <v>498812</v>
      </c>
      <c r="BQ47" s="155">
        <v>499508</v>
      </c>
      <c r="BR47" s="155">
        <v>499764</v>
      </c>
      <c r="BS47" s="155">
        <v>499738</v>
      </c>
      <c r="BT47" s="155">
        <v>499514</v>
      </c>
      <c r="BU47" s="155">
        <v>499135</v>
      </c>
      <c r="BV47" s="155">
        <v>498139</v>
      </c>
      <c r="BW47" s="155">
        <v>496449</v>
      </c>
      <c r="BX47" s="155">
        <v>494579</v>
      </c>
      <c r="BY47" s="155">
        <v>492581</v>
      </c>
      <c r="BZ47" s="155">
        <v>490554</v>
      </c>
      <c r="CA47" s="155">
        <v>488471</v>
      </c>
      <c r="CB47" s="155">
        <v>486366</v>
      </c>
      <c r="CC47" s="155">
        <v>484400</v>
      </c>
      <c r="CD47" s="155">
        <v>482734</v>
      </c>
      <c r="CE47" s="155">
        <v>481342</v>
      </c>
      <c r="CF47" s="155">
        <v>480168</v>
      </c>
      <c r="CG47" s="155">
        <v>479195</v>
      </c>
      <c r="CH47" s="155">
        <v>478500</v>
      </c>
      <c r="CI47" s="155">
        <v>478039</v>
      </c>
      <c r="CJ47" s="155">
        <v>477813</v>
      </c>
      <c r="CK47" s="155">
        <v>477716</v>
      </c>
      <c r="CL47" s="155">
        <v>477712</v>
      </c>
      <c r="CM47" s="155">
        <v>477893</v>
      </c>
      <c r="CN47" s="155">
        <v>478216</v>
      </c>
      <c r="CO47" s="155">
        <v>478615</v>
      </c>
      <c r="CP47" s="155">
        <v>479068</v>
      </c>
      <c r="CQ47" s="155">
        <v>479524</v>
      </c>
      <c r="CR47" s="155">
        <v>479966</v>
      </c>
      <c r="CS47" s="155">
        <v>480410</v>
      </c>
      <c r="CT47" s="155">
        <v>480805</v>
      </c>
      <c r="CU47" s="155">
        <v>481137</v>
      </c>
      <c r="CV47" s="155">
        <v>481382</v>
      </c>
      <c r="CW47" s="155">
        <v>481540</v>
      </c>
      <c r="CX47" s="155">
        <v>481594</v>
      </c>
      <c r="CY47" s="154">
        <v>481533</v>
      </c>
    </row>
    <row r="48" spans="1:103">
      <c r="A48" s="155" t="s">
        <v>1136</v>
      </c>
      <c r="B48" s="154">
        <v>46</v>
      </c>
      <c r="C48" s="155">
        <v>408190</v>
      </c>
      <c r="D48" s="155">
        <v>400842</v>
      </c>
      <c r="E48" s="155">
        <v>411430</v>
      </c>
      <c r="F48" s="155">
        <v>444366</v>
      </c>
      <c r="G48" s="155">
        <v>466008</v>
      </c>
      <c r="H48" s="155">
        <v>468624</v>
      </c>
      <c r="I48" s="155">
        <v>465343</v>
      </c>
      <c r="J48" s="155">
        <v>471257</v>
      </c>
      <c r="K48" s="155">
        <v>473195</v>
      </c>
      <c r="L48" s="155">
        <v>490609</v>
      </c>
      <c r="M48" s="155">
        <v>495906</v>
      </c>
      <c r="N48" s="155">
        <v>505419</v>
      </c>
      <c r="O48" s="155">
        <v>520500</v>
      </c>
      <c r="P48" s="155">
        <v>517507</v>
      </c>
      <c r="Q48" s="155">
        <v>524710</v>
      </c>
      <c r="R48" s="155">
        <v>530493</v>
      </c>
      <c r="S48" s="155">
        <v>530433</v>
      </c>
      <c r="T48" s="155">
        <v>522167</v>
      </c>
      <c r="U48" s="155">
        <v>526741</v>
      </c>
      <c r="V48" s="155">
        <v>519615</v>
      </c>
      <c r="W48" s="155">
        <v>517862</v>
      </c>
      <c r="X48" s="155">
        <v>530411</v>
      </c>
      <c r="Y48" s="155">
        <v>524956</v>
      </c>
      <c r="Z48" s="155">
        <v>525645</v>
      </c>
      <c r="AA48" s="155">
        <v>517597</v>
      </c>
      <c r="AB48" s="155">
        <v>513260</v>
      </c>
      <c r="AC48" s="155">
        <v>513229</v>
      </c>
      <c r="AD48" s="155">
        <v>514325</v>
      </c>
      <c r="AE48" s="155">
        <v>519680</v>
      </c>
      <c r="AF48" s="155">
        <v>517352</v>
      </c>
      <c r="AG48" s="155">
        <v>517667</v>
      </c>
      <c r="AH48" s="155">
        <v>523687</v>
      </c>
      <c r="AI48" s="155">
        <v>539525</v>
      </c>
      <c r="AJ48" s="155">
        <v>535539</v>
      </c>
      <c r="AK48" s="155">
        <v>539450</v>
      </c>
      <c r="AL48" s="155">
        <v>544512</v>
      </c>
      <c r="AM48" s="155">
        <v>545616</v>
      </c>
      <c r="AN48" s="155">
        <v>536402</v>
      </c>
      <c r="AO48" s="155">
        <v>528566</v>
      </c>
      <c r="AP48" s="155">
        <v>527816</v>
      </c>
      <c r="AQ48" s="155">
        <v>531473</v>
      </c>
      <c r="AR48" s="155">
        <v>522625</v>
      </c>
      <c r="AS48" s="155">
        <v>515423</v>
      </c>
      <c r="AT48" s="155">
        <v>511685</v>
      </c>
      <c r="AU48" s="155">
        <v>506879</v>
      </c>
      <c r="AV48" s="155">
        <v>496970</v>
      </c>
      <c r="AW48" s="155">
        <v>500408</v>
      </c>
      <c r="AX48" s="155">
        <v>483807</v>
      </c>
      <c r="AY48" s="155">
        <v>483360</v>
      </c>
      <c r="AZ48" s="155">
        <v>485171</v>
      </c>
      <c r="BA48" s="155">
        <v>486429</v>
      </c>
      <c r="BB48" s="155">
        <v>487167</v>
      </c>
      <c r="BC48" s="155">
        <v>487605</v>
      </c>
      <c r="BD48" s="155">
        <v>487993</v>
      </c>
      <c r="BE48" s="155">
        <v>488336</v>
      </c>
      <c r="BF48" s="155">
        <v>488680</v>
      </c>
      <c r="BG48" s="155">
        <v>489017</v>
      </c>
      <c r="BH48" s="155">
        <v>489544</v>
      </c>
      <c r="BI48" s="155">
        <v>490318</v>
      </c>
      <c r="BJ48" s="155">
        <v>491195</v>
      </c>
      <c r="BK48" s="155">
        <v>492152</v>
      </c>
      <c r="BL48" s="155">
        <v>493271</v>
      </c>
      <c r="BM48" s="155">
        <v>494551</v>
      </c>
      <c r="BN48" s="155">
        <v>495886</v>
      </c>
      <c r="BO48" s="155">
        <v>497142</v>
      </c>
      <c r="BP48" s="155">
        <v>498285</v>
      </c>
      <c r="BQ48" s="155">
        <v>499317</v>
      </c>
      <c r="BR48" s="155">
        <v>500016</v>
      </c>
      <c r="BS48" s="155">
        <v>500278</v>
      </c>
      <c r="BT48" s="155">
        <v>500254</v>
      </c>
      <c r="BU48" s="155">
        <v>500035</v>
      </c>
      <c r="BV48" s="155">
        <v>499660</v>
      </c>
      <c r="BW48" s="155">
        <v>498670</v>
      </c>
      <c r="BX48" s="155">
        <v>496984</v>
      </c>
      <c r="BY48" s="155">
        <v>495118</v>
      </c>
      <c r="BZ48" s="155">
        <v>493126</v>
      </c>
      <c r="CA48" s="155">
        <v>491106</v>
      </c>
      <c r="CB48" s="155">
        <v>489026</v>
      </c>
      <c r="CC48" s="155">
        <v>486927</v>
      </c>
      <c r="CD48" s="155">
        <v>484965</v>
      </c>
      <c r="CE48" s="155">
        <v>483304</v>
      </c>
      <c r="CF48" s="155">
        <v>481915</v>
      </c>
      <c r="CG48" s="155">
        <v>480747</v>
      </c>
      <c r="CH48" s="155">
        <v>479777</v>
      </c>
      <c r="CI48" s="155">
        <v>479086</v>
      </c>
      <c r="CJ48" s="155">
        <v>478629</v>
      </c>
      <c r="CK48" s="155">
        <v>478405</v>
      </c>
      <c r="CL48" s="155">
        <v>478312</v>
      </c>
      <c r="CM48" s="155">
        <v>478311</v>
      </c>
      <c r="CN48" s="155">
        <v>478495</v>
      </c>
      <c r="CO48" s="155">
        <v>478821</v>
      </c>
      <c r="CP48" s="155">
        <v>479222</v>
      </c>
      <c r="CQ48" s="155">
        <v>479678</v>
      </c>
      <c r="CR48" s="155">
        <v>480137</v>
      </c>
      <c r="CS48" s="155">
        <v>480582</v>
      </c>
      <c r="CT48" s="155">
        <v>481027</v>
      </c>
      <c r="CU48" s="155">
        <v>481425</v>
      </c>
      <c r="CV48" s="155">
        <v>481760</v>
      </c>
      <c r="CW48" s="155">
        <v>482008</v>
      </c>
      <c r="CX48" s="155">
        <v>482170</v>
      </c>
      <c r="CY48" s="154">
        <v>482226</v>
      </c>
    </row>
    <row r="49" spans="1:103">
      <c r="A49" s="155" t="s">
        <v>1136</v>
      </c>
      <c r="B49" s="154">
        <v>47</v>
      </c>
      <c r="C49" s="155">
        <v>415990</v>
      </c>
      <c r="D49" s="155">
        <v>409953</v>
      </c>
      <c r="E49" s="155">
        <v>402114</v>
      </c>
      <c r="F49" s="155">
        <v>412412</v>
      </c>
      <c r="G49" s="155">
        <v>445019</v>
      </c>
      <c r="H49" s="155">
        <v>466351</v>
      </c>
      <c r="I49" s="155">
        <v>468687</v>
      </c>
      <c r="J49" s="155">
        <v>465417</v>
      </c>
      <c r="K49" s="155">
        <v>471330</v>
      </c>
      <c r="L49" s="155">
        <v>473274</v>
      </c>
      <c r="M49" s="155">
        <v>490671</v>
      </c>
      <c r="N49" s="155">
        <v>495972</v>
      </c>
      <c r="O49" s="155">
        <v>505483</v>
      </c>
      <c r="P49" s="155">
        <v>520551</v>
      </c>
      <c r="Q49" s="155">
        <v>517574</v>
      </c>
      <c r="R49" s="155">
        <v>524778</v>
      </c>
      <c r="S49" s="155">
        <v>530563</v>
      </c>
      <c r="T49" s="155">
        <v>530510</v>
      </c>
      <c r="U49" s="155">
        <v>522267</v>
      </c>
      <c r="V49" s="155">
        <v>526842</v>
      </c>
      <c r="W49" s="155">
        <v>519736</v>
      </c>
      <c r="X49" s="155">
        <v>517991</v>
      </c>
      <c r="Y49" s="155">
        <v>530530</v>
      </c>
      <c r="Z49" s="155">
        <v>525090</v>
      </c>
      <c r="AA49" s="155">
        <v>525784</v>
      </c>
      <c r="AB49" s="155">
        <v>517753</v>
      </c>
      <c r="AC49" s="155">
        <v>513429</v>
      </c>
      <c r="AD49" s="155">
        <v>513405</v>
      </c>
      <c r="AE49" s="155">
        <v>514506</v>
      </c>
      <c r="AF49" s="155">
        <v>519865</v>
      </c>
      <c r="AG49" s="155">
        <v>517548</v>
      </c>
      <c r="AH49" s="155">
        <v>517869</v>
      </c>
      <c r="AI49" s="155">
        <v>523887</v>
      </c>
      <c r="AJ49" s="155">
        <v>539714</v>
      </c>
      <c r="AK49" s="155">
        <v>535739</v>
      </c>
      <c r="AL49" s="155">
        <v>539653</v>
      </c>
      <c r="AM49" s="155">
        <v>544715</v>
      </c>
      <c r="AN49" s="155">
        <v>545825</v>
      </c>
      <c r="AO49" s="155">
        <v>536628</v>
      </c>
      <c r="AP49" s="155">
        <v>528808</v>
      </c>
      <c r="AQ49" s="155">
        <v>528066</v>
      </c>
      <c r="AR49" s="155">
        <v>531726</v>
      </c>
      <c r="AS49" s="155">
        <v>522894</v>
      </c>
      <c r="AT49" s="155">
        <v>515704</v>
      </c>
      <c r="AU49" s="155">
        <v>511977</v>
      </c>
      <c r="AV49" s="155">
        <v>507182</v>
      </c>
      <c r="AW49" s="155">
        <v>497289</v>
      </c>
      <c r="AX49" s="155">
        <v>500728</v>
      </c>
      <c r="AY49" s="155">
        <v>484152</v>
      </c>
      <c r="AZ49" s="155">
        <v>483708</v>
      </c>
      <c r="BA49" s="155">
        <v>485524</v>
      </c>
      <c r="BB49" s="155">
        <v>486785</v>
      </c>
      <c r="BC49" s="155">
        <v>487528</v>
      </c>
      <c r="BD49" s="155">
        <v>487971</v>
      </c>
      <c r="BE49" s="155">
        <v>488363</v>
      </c>
      <c r="BF49" s="155">
        <v>488711</v>
      </c>
      <c r="BG49" s="155">
        <v>489060</v>
      </c>
      <c r="BH49" s="155">
        <v>489401</v>
      </c>
      <c r="BI49" s="155">
        <v>489932</v>
      </c>
      <c r="BJ49" s="155">
        <v>490711</v>
      </c>
      <c r="BK49" s="155">
        <v>491590</v>
      </c>
      <c r="BL49" s="155">
        <v>492553</v>
      </c>
      <c r="BM49" s="155">
        <v>493675</v>
      </c>
      <c r="BN49" s="155">
        <v>494959</v>
      </c>
      <c r="BO49" s="155">
        <v>496297</v>
      </c>
      <c r="BP49" s="155">
        <v>497557</v>
      </c>
      <c r="BQ49" s="155">
        <v>498705</v>
      </c>
      <c r="BR49" s="155">
        <v>499740</v>
      </c>
      <c r="BS49" s="155">
        <v>500442</v>
      </c>
      <c r="BT49" s="155">
        <v>500708</v>
      </c>
      <c r="BU49" s="155">
        <v>500688</v>
      </c>
      <c r="BV49" s="155">
        <v>500474</v>
      </c>
      <c r="BW49" s="155">
        <v>500103</v>
      </c>
      <c r="BX49" s="155">
        <v>499119</v>
      </c>
      <c r="BY49" s="155">
        <v>497439</v>
      </c>
      <c r="BZ49" s="155">
        <v>495577</v>
      </c>
      <c r="CA49" s="155">
        <v>493592</v>
      </c>
      <c r="CB49" s="155">
        <v>491577</v>
      </c>
      <c r="CC49" s="155">
        <v>489502</v>
      </c>
      <c r="CD49" s="155">
        <v>487408</v>
      </c>
      <c r="CE49" s="155">
        <v>485452</v>
      </c>
      <c r="CF49" s="155">
        <v>483797</v>
      </c>
      <c r="CG49" s="155">
        <v>482411</v>
      </c>
      <c r="CH49" s="155">
        <v>481248</v>
      </c>
      <c r="CI49" s="155">
        <v>480282</v>
      </c>
      <c r="CJ49" s="155">
        <v>479596</v>
      </c>
      <c r="CK49" s="155">
        <v>479143</v>
      </c>
      <c r="CL49" s="155">
        <v>478921</v>
      </c>
      <c r="CM49" s="155">
        <v>478831</v>
      </c>
      <c r="CN49" s="155">
        <v>478833</v>
      </c>
      <c r="CO49" s="155">
        <v>479021</v>
      </c>
      <c r="CP49" s="155">
        <v>479350</v>
      </c>
      <c r="CQ49" s="155">
        <v>479756</v>
      </c>
      <c r="CR49" s="155">
        <v>480214</v>
      </c>
      <c r="CS49" s="155">
        <v>480675</v>
      </c>
      <c r="CT49" s="155">
        <v>481124</v>
      </c>
      <c r="CU49" s="155">
        <v>481571</v>
      </c>
      <c r="CV49" s="155">
        <v>481973</v>
      </c>
      <c r="CW49" s="155">
        <v>482311</v>
      </c>
      <c r="CX49" s="155">
        <v>482561</v>
      </c>
      <c r="CY49" s="154">
        <v>482726</v>
      </c>
    </row>
    <row r="50" spans="1:103">
      <c r="A50" s="155" t="s">
        <v>1136</v>
      </c>
      <c r="B50" s="154">
        <v>48</v>
      </c>
      <c r="C50" s="155">
        <v>421785</v>
      </c>
      <c r="D50" s="155">
        <v>417469</v>
      </c>
      <c r="E50" s="155">
        <v>410985</v>
      </c>
      <c r="F50" s="155">
        <v>402911</v>
      </c>
      <c r="G50" s="155">
        <v>412939</v>
      </c>
      <c r="H50" s="155">
        <v>445239</v>
      </c>
      <c r="I50" s="155">
        <v>466282</v>
      </c>
      <c r="J50" s="155">
        <v>468617</v>
      </c>
      <c r="K50" s="155">
        <v>465360</v>
      </c>
      <c r="L50" s="155">
        <v>471272</v>
      </c>
      <c r="M50" s="155">
        <v>473224</v>
      </c>
      <c r="N50" s="155">
        <v>490602</v>
      </c>
      <c r="O50" s="155">
        <v>495906</v>
      </c>
      <c r="P50" s="155">
        <v>505415</v>
      </c>
      <c r="Q50" s="155">
        <v>520468</v>
      </c>
      <c r="R50" s="155">
        <v>517509</v>
      </c>
      <c r="S50" s="155">
        <v>524713</v>
      </c>
      <c r="T50" s="155">
        <v>530499</v>
      </c>
      <c r="U50" s="155">
        <v>530454</v>
      </c>
      <c r="V50" s="155">
        <v>522235</v>
      </c>
      <c r="W50" s="155">
        <v>526811</v>
      </c>
      <c r="X50" s="155">
        <v>519726</v>
      </c>
      <c r="Y50" s="155">
        <v>517991</v>
      </c>
      <c r="Z50" s="155">
        <v>530519</v>
      </c>
      <c r="AA50" s="155">
        <v>525094</v>
      </c>
      <c r="AB50" s="155">
        <v>525794</v>
      </c>
      <c r="AC50" s="155">
        <v>517781</v>
      </c>
      <c r="AD50" s="155">
        <v>513472</v>
      </c>
      <c r="AE50" s="155">
        <v>513456</v>
      </c>
      <c r="AF50" s="155">
        <v>514563</v>
      </c>
      <c r="AG50" s="155">
        <v>519925</v>
      </c>
      <c r="AH50" s="155">
        <v>517618</v>
      </c>
      <c r="AI50" s="155">
        <v>517946</v>
      </c>
      <c r="AJ50" s="155">
        <v>523965</v>
      </c>
      <c r="AK50" s="155">
        <v>539780</v>
      </c>
      <c r="AL50" s="155">
        <v>535817</v>
      </c>
      <c r="AM50" s="155">
        <v>539732</v>
      </c>
      <c r="AN50" s="155">
        <v>544797</v>
      </c>
      <c r="AO50" s="155">
        <v>545912</v>
      </c>
      <c r="AP50" s="155">
        <v>536734</v>
      </c>
      <c r="AQ50" s="155">
        <v>528930</v>
      </c>
      <c r="AR50" s="155">
        <v>528196</v>
      </c>
      <c r="AS50" s="155">
        <v>531859</v>
      </c>
      <c r="AT50" s="155">
        <v>523044</v>
      </c>
      <c r="AU50" s="155">
        <v>515870</v>
      </c>
      <c r="AV50" s="155">
        <v>512154</v>
      </c>
      <c r="AW50" s="155">
        <v>507370</v>
      </c>
      <c r="AX50" s="155">
        <v>497494</v>
      </c>
      <c r="AY50" s="155">
        <v>500936</v>
      </c>
      <c r="AZ50" s="155">
        <v>484384</v>
      </c>
      <c r="BA50" s="155">
        <v>483946</v>
      </c>
      <c r="BB50" s="155">
        <v>485765</v>
      </c>
      <c r="BC50" s="155">
        <v>487031</v>
      </c>
      <c r="BD50" s="155">
        <v>487778</v>
      </c>
      <c r="BE50" s="155">
        <v>488227</v>
      </c>
      <c r="BF50" s="155">
        <v>488622</v>
      </c>
      <c r="BG50" s="155">
        <v>488978</v>
      </c>
      <c r="BH50" s="155">
        <v>489330</v>
      </c>
      <c r="BI50" s="155">
        <v>489677</v>
      </c>
      <c r="BJ50" s="155">
        <v>490214</v>
      </c>
      <c r="BK50" s="155">
        <v>490997</v>
      </c>
      <c r="BL50" s="155">
        <v>491880</v>
      </c>
      <c r="BM50" s="155">
        <v>492847</v>
      </c>
      <c r="BN50" s="155">
        <v>493973</v>
      </c>
      <c r="BO50" s="155">
        <v>495260</v>
      </c>
      <c r="BP50" s="155">
        <v>496602</v>
      </c>
      <c r="BQ50" s="155">
        <v>497866</v>
      </c>
      <c r="BR50" s="155">
        <v>499018</v>
      </c>
      <c r="BS50" s="155">
        <v>500058</v>
      </c>
      <c r="BT50" s="155">
        <v>500763</v>
      </c>
      <c r="BU50" s="155">
        <v>501035</v>
      </c>
      <c r="BV50" s="155">
        <v>501019</v>
      </c>
      <c r="BW50" s="155">
        <v>500809</v>
      </c>
      <c r="BX50" s="155">
        <v>500444</v>
      </c>
      <c r="BY50" s="155">
        <v>499465</v>
      </c>
      <c r="BZ50" s="155">
        <v>497791</v>
      </c>
      <c r="CA50" s="155">
        <v>495935</v>
      </c>
      <c r="CB50" s="155">
        <v>493956</v>
      </c>
      <c r="CC50" s="155">
        <v>491947</v>
      </c>
      <c r="CD50" s="155">
        <v>489877</v>
      </c>
      <c r="CE50" s="155">
        <v>487791</v>
      </c>
      <c r="CF50" s="155">
        <v>485840</v>
      </c>
      <c r="CG50" s="155">
        <v>484189</v>
      </c>
      <c r="CH50" s="155">
        <v>482809</v>
      </c>
      <c r="CI50" s="155">
        <v>481650</v>
      </c>
      <c r="CJ50" s="155">
        <v>480689</v>
      </c>
      <c r="CK50" s="155">
        <v>480007</v>
      </c>
      <c r="CL50" s="155">
        <v>479559</v>
      </c>
      <c r="CM50" s="155">
        <v>479341</v>
      </c>
      <c r="CN50" s="155">
        <v>479255</v>
      </c>
      <c r="CO50" s="155">
        <v>479260</v>
      </c>
      <c r="CP50" s="155">
        <v>479451</v>
      </c>
      <c r="CQ50" s="155">
        <v>479784</v>
      </c>
      <c r="CR50" s="155">
        <v>480193</v>
      </c>
      <c r="CS50" s="155">
        <v>480655</v>
      </c>
      <c r="CT50" s="155">
        <v>481119</v>
      </c>
      <c r="CU50" s="155">
        <v>481570</v>
      </c>
      <c r="CV50" s="155">
        <v>482021</v>
      </c>
      <c r="CW50" s="155">
        <v>482425</v>
      </c>
      <c r="CX50" s="155">
        <v>482767</v>
      </c>
      <c r="CY50" s="154">
        <v>483020</v>
      </c>
    </row>
    <row r="51" spans="1:103">
      <c r="A51" s="155" t="s">
        <v>1136</v>
      </c>
      <c r="B51" s="154">
        <v>49</v>
      </c>
      <c r="C51" s="155">
        <v>438545</v>
      </c>
      <c r="D51" s="155">
        <v>422973</v>
      </c>
      <c r="E51" s="155">
        <v>418252</v>
      </c>
      <c r="F51" s="155">
        <v>411552</v>
      </c>
      <c r="G51" s="155">
        <v>403268</v>
      </c>
      <c r="H51" s="155">
        <v>413051</v>
      </c>
      <c r="I51" s="155">
        <v>445061</v>
      </c>
      <c r="J51" s="155">
        <v>466069</v>
      </c>
      <c r="K51" s="155">
        <v>468406</v>
      </c>
      <c r="L51" s="155">
        <v>465164</v>
      </c>
      <c r="M51" s="155">
        <v>471074</v>
      </c>
      <c r="N51" s="155">
        <v>473032</v>
      </c>
      <c r="O51" s="155">
        <v>490391</v>
      </c>
      <c r="P51" s="155">
        <v>495699</v>
      </c>
      <c r="Q51" s="155">
        <v>505205</v>
      </c>
      <c r="R51" s="155">
        <v>520243</v>
      </c>
      <c r="S51" s="155">
        <v>517301</v>
      </c>
      <c r="T51" s="155">
        <v>524504</v>
      </c>
      <c r="U51" s="155">
        <v>530290</v>
      </c>
      <c r="V51" s="155">
        <v>530256</v>
      </c>
      <c r="W51" s="155">
        <v>522061</v>
      </c>
      <c r="X51" s="155">
        <v>526639</v>
      </c>
      <c r="Y51" s="155">
        <v>519575</v>
      </c>
      <c r="Z51" s="155">
        <v>517852</v>
      </c>
      <c r="AA51" s="155">
        <v>530369</v>
      </c>
      <c r="AB51" s="155">
        <v>524961</v>
      </c>
      <c r="AC51" s="155">
        <v>525667</v>
      </c>
      <c r="AD51" s="155">
        <v>517673</v>
      </c>
      <c r="AE51" s="155">
        <v>513380</v>
      </c>
      <c r="AF51" s="155">
        <v>513373</v>
      </c>
      <c r="AG51" s="155">
        <v>514487</v>
      </c>
      <c r="AH51" s="155">
        <v>519851</v>
      </c>
      <c r="AI51" s="155">
        <v>517557</v>
      </c>
      <c r="AJ51" s="155">
        <v>517891</v>
      </c>
      <c r="AK51" s="155">
        <v>523910</v>
      </c>
      <c r="AL51" s="155">
        <v>539713</v>
      </c>
      <c r="AM51" s="155">
        <v>535762</v>
      </c>
      <c r="AN51" s="155">
        <v>539679</v>
      </c>
      <c r="AO51" s="155">
        <v>544747</v>
      </c>
      <c r="AP51" s="155">
        <v>545869</v>
      </c>
      <c r="AQ51" s="155">
        <v>536710</v>
      </c>
      <c r="AR51" s="155">
        <v>528924</v>
      </c>
      <c r="AS51" s="155">
        <v>528200</v>
      </c>
      <c r="AT51" s="155">
        <v>531865</v>
      </c>
      <c r="AU51" s="155">
        <v>523069</v>
      </c>
      <c r="AV51" s="155">
        <v>515911</v>
      </c>
      <c r="AW51" s="155">
        <v>512207</v>
      </c>
      <c r="AX51" s="155">
        <v>507437</v>
      </c>
      <c r="AY51" s="155">
        <v>497579</v>
      </c>
      <c r="AZ51" s="155">
        <v>501023</v>
      </c>
      <c r="BA51" s="155">
        <v>484495</v>
      </c>
      <c r="BB51" s="155">
        <v>484066</v>
      </c>
      <c r="BC51" s="155">
        <v>485888</v>
      </c>
      <c r="BD51" s="155">
        <v>487159</v>
      </c>
      <c r="BE51" s="155">
        <v>487912</v>
      </c>
      <c r="BF51" s="155">
        <v>488367</v>
      </c>
      <c r="BG51" s="155">
        <v>488766</v>
      </c>
      <c r="BH51" s="155">
        <v>489129</v>
      </c>
      <c r="BI51" s="155">
        <v>489485</v>
      </c>
      <c r="BJ51" s="155">
        <v>489837</v>
      </c>
      <c r="BK51" s="155">
        <v>490379</v>
      </c>
      <c r="BL51" s="155">
        <v>491168</v>
      </c>
      <c r="BM51" s="155">
        <v>492057</v>
      </c>
      <c r="BN51" s="155">
        <v>493027</v>
      </c>
      <c r="BO51" s="155">
        <v>494158</v>
      </c>
      <c r="BP51" s="155">
        <v>495448</v>
      </c>
      <c r="BQ51" s="155">
        <v>496794</v>
      </c>
      <c r="BR51" s="155">
        <v>498063</v>
      </c>
      <c r="BS51" s="155">
        <v>499218</v>
      </c>
      <c r="BT51" s="155">
        <v>500262</v>
      </c>
      <c r="BU51" s="155">
        <v>500974</v>
      </c>
      <c r="BV51" s="155">
        <v>501249</v>
      </c>
      <c r="BW51" s="155">
        <v>501240</v>
      </c>
      <c r="BX51" s="155">
        <v>501035</v>
      </c>
      <c r="BY51" s="155">
        <v>500675</v>
      </c>
      <c r="BZ51" s="155">
        <v>499702</v>
      </c>
      <c r="CA51" s="155">
        <v>498033</v>
      </c>
      <c r="CB51" s="155">
        <v>496185</v>
      </c>
      <c r="CC51" s="155">
        <v>494213</v>
      </c>
      <c r="CD51" s="155">
        <v>492212</v>
      </c>
      <c r="CE51" s="155">
        <v>490146</v>
      </c>
      <c r="CF51" s="155">
        <v>488066</v>
      </c>
      <c r="CG51" s="155">
        <v>486123</v>
      </c>
      <c r="CH51" s="155">
        <v>484476</v>
      </c>
      <c r="CI51" s="155">
        <v>483102</v>
      </c>
      <c r="CJ51" s="155">
        <v>481949</v>
      </c>
      <c r="CK51" s="155">
        <v>480993</v>
      </c>
      <c r="CL51" s="155">
        <v>480316</v>
      </c>
      <c r="CM51" s="155">
        <v>479871</v>
      </c>
      <c r="CN51" s="155">
        <v>479658</v>
      </c>
      <c r="CO51" s="155">
        <v>479576</v>
      </c>
      <c r="CP51" s="155">
        <v>479583</v>
      </c>
      <c r="CQ51" s="155">
        <v>479779</v>
      </c>
      <c r="CR51" s="155">
        <v>480115</v>
      </c>
      <c r="CS51" s="155">
        <v>480528</v>
      </c>
      <c r="CT51" s="155">
        <v>480994</v>
      </c>
      <c r="CU51" s="155">
        <v>481462</v>
      </c>
      <c r="CV51" s="155">
        <v>481917</v>
      </c>
      <c r="CW51" s="155">
        <v>482371</v>
      </c>
      <c r="CX51" s="155">
        <v>482778</v>
      </c>
      <c r="CY51" s="154">
        <v>483123</v>
      </c>
    </row>
    <row r="52" spans="1:103">
      <c r="A52" s="155" t="s">
        <v>1136</v>
      </c>
      <c r="B52" s="154">
        <v>50</v>
      </c>
      <c r="C52" s="155">
        <v>456006</v>
      </c>
      <c r="D52" s="155">
        <v>439443</v>
      </c>
      <c r="E52" s="155">
        <v>423530</v>
      </c>
      <c r="F52" s="155">
        <v>418613</v>
      </c>
      <c r="G52" s="155">
        <v>411719</v>
      </c>
      <c r="H52" s="155">
        <v>403245</v>
      </c>
      <c r="I52" s="155">
        <v>412799</v>
      </c>
      <c r="J52" s="155">
        <v>444750</v>
      </c>
      <c r="K52" s="155">
        <v>465722</v>
      </c>
      <c r="L52" s="155">
        <v>468060</v>
      </c>
      <c r="M52" s="155">
        <v>464834</v>
      </c>
      <c r="N52" s="155">
        <v>470742</v>
      </c>
      <c r="O52" s="155">
        <v>472707</v>
      </c>
      <c r="P52" s="155">
        <v>490044</v>
      </c>
      <c r="Q52" s="155">
        <v>495356</v>
      </c>
      <c r="R52" s="155">
        <v>504858</v>
      </c>
      <c r="S52" s="155">
        <v>519880</v>
      </c>
      <c r="T52" s="155">
        <v>516956</v>
      </c>
      <c r="U52" s="155">
        <v>524158</v>
      </c>
      <c r="V52" s="155">
        <v>529945</v>
      </c>
      <c r="W52" s="155">
        <v>529922</v>
      </c>
      <c r="X52" s="155">
        <v>521753</v>
      </c>
      <c r="Y52" s="155">
        <v>526334</v>
      </c>
      <c r="Z52" s="155">
        <v>519292</v>
      </c>
      <c r="AA52" s="155">
        <v>517581</v>
      </c>
      <c r="AB52" s="155">
        <v>530087</v>
      </c>
      <c r="AC52" s="155">
        <v>524696</v>
      </c>
      <c r="AD52" s="155">
        <v>525409</v>
      </c>
      <c r="AE52" s="155">
        <v>517436</v>
      </c>
      <c r="AF52" s="155">
        <v>513161</v>
      </c>
      <c r="AG52" s="155">
        <v>513164</v>
      </c>
      <c r="AH52" s="155">
        <v>514284</v>
      </c>
      <c r="AI52" s="155">
        <v>519650</v>
      </c>
      <c r="AJ52" s="155">
        <v>517371</v>
      </c>
      <c r="AK52" s="155">
        <v>517711</v>
      </c>
      <c r="AL52" s="155">
        <v>523731</v>
      </c>
      <c r="AM52" s="155">
        <v>539519</v>
      </c>
      <c r="AN52" s="155">
        <v>535581</v>
      </c>
      <c r="AO52" s="155">
        <v>539503</v>
      </c>
      <c r="AP52" s="155">
        <v>544573</v>
      </c>
      <c r="AQ52" s="155">
        <v>545702</v>
      </c>
      <c r="AR52" s="155">
        <v>536564</v>
      </c>
      <c r="AS52" s="155">
        <v>528798</v>
      </c>
      <c r="AT52" s="155">
        <v>528083</v>
      </c>
      <c r="AU52" s="155">
        <v>531751</v>
      </c>
      <c r="AV52" s="155">
        <v>522975</v>
      </c>
      <c r="AW52" s="155">
        <v>515835</v>
      </c>
      <c r="AX52" s="155">
        <v>512142</v>
      </c>
      <c r="AY52" s="155">
        <v>507387</v>
      </c>
      <c r="AZ52" s="155">
        <v>497550</v>
      </c>
      <c r="BA52" s="155">
        <v>500996</v>
      </c>
      <c r="BB52" s="155">
        <v>484495</v>
      </c>
      <c r="BC52" s="155">
        <v>484075</v>
      </c>
      <c r="BD52" s="155">
        <v>485902</v>
      </c>
      <c r="BE52" s="155">
        <v>487176</v>
      </c>
      <c r="BF52" s="155">
        <v>487935</v>
      </c>
      <c r="BG52" s="155">
        <v>488396</v>
      </c>
      <c r="BH52" s="155">
        <v>488802</v>
      </c>
      <c r="BI52" s="155">
        <v>489171</v>
      </c>
      <c r="BJ52" s="155">
        <v>489533</v>
      </c>
      <c r="BK52" s="155">
        <v>489891</v>
      </c>
      <c r="BL52" s="155">
        <v>490438</v>
      </c>
      <c r="BM52" s="155">
        <v>491232</v>
      </c>
      <c r="BN52" s="155">
        <v>492126</v>
      </c>
      <c r="BO52" s="155">
        <v>493101</v>
      </c>
      <c r="BP52" s="155">
        <v>494237</v>
      </c>
      <c r="BQ52" s="155">
        <v>495532</v>
      </c>
      <c r="BR52" s="155">
        <v>496881</v>
      </c>
      <c r="BS52" s="155">
        <v>498156</v>
      </c>
      <c r="BT52" s="155">
        <v>499313</v>
      </c>
      <c r="BU52" s="155">
        <v>500365</v>
      </c>
      <c r="BV52" s="155">
        <v>501082</v>
      </c>
      <c r="BW52" s="155">
        <v>501361</v>
      </c>
      <c r="BX52" s="155">
        <v>501357</v>
      </c>
      <c r="BY52" s="155">
        <v>501158</v>
      </c>
      <c r="BZ52" s="155">
        <v>500805</v>
      </c>
      <c r="CA52" s="155">
        <v>499838</v>
      </c>
      <c r="CB52" s="155">
        <v>498176</v>
      </c>
      <c r="CC52" s="155">
        <v>496336</v>
      </c>
      <c r="CD52" s="155">
        <v>494370</v>
      </c>
      <c r="CE52" s="155">
        <v>492375</v>
      </c>
      <c r="CF52" s="155">
        <v>490316</v>
      </c>
      <c r="CG52" s="155">
        <v>488243</v>
      </c>
      <c r="CH52" s="155">
        <v>486307</v>
      </c>
      <c r="CI52" s="155">
        <v>484665</v>
      </c>
      <c r="CJ52" s="155">
        <v>483298</v>
      </c>
      <c r="CK52" s="155">
        <v>482152</v>
      </c>
      <c r="CL52" s="155">
        <v>481200</v>
      </c>
      <c r="CM52" s="155">
        <v>480529</v>
      </c>
      <c r="CN52" s="155">
        <v>480087</v>
      </c>
      <c r="CO52" s="155">
        <v>479879</v>
      </c>
      <c r="CP52" s="155">
        <v>479803</v>
      </c>
      <c r="CQ52" s="155">
        <v>479815</v>
      </c>
      <c r="CR52" s="155">
        <v>480013</v>
      </c>
      <c r="CS52" s="155">
        <v>480353</v>
      </c>
      <c r="CT52" s="155">
        <v>480770</v>
      </c>
      <c r="CU52" s="155">
        <v>481239</v>
      </c>
      <c r="CV52" s="155">
        <v>481711</v>
      </c>
      <c r="CW52" s="155">
        <v>482170</v>
      </c>
      <c r="CX52" s="155">
        <v>482628</v>
      </c>
      <c r="CY52" s="154">
        <v>483038</v>
      </c>
    </row>
    <row r="53" spans="1:103">
      <c r="A53" s="155" t="s">
        <v>1136</v>
      </c>
      <c r="B53" s="154">
        <v>51</v>
      </c>
      <c r="C53" s="155">
        <v>475402</v>
      </c>
      <c r="D53" s="155">
        <v>456570</v>
      </c>
      <c r="E53" s="155">
        <v>439697</v>
      </c>
      <c r="F53" s="155">
        <v>423633</v>
      </c>
      <c r="G53" s="155">
        <v>418537</v>
      </c>
      <c r="H53" s="155">
        <v>411470</v>
      </c>
      <c r="I53" s="155">
        <v>402826</v>
      </c>
      <c r="J53" s="155">
        <v>412366</v>
      </c>
      <c r="K53" s="155">
        <v>444253</v>
      </c>
      <c r="L53" s="155">
        <v>465186</v>
      </c>
      <c r="M53" s="155">
        <v>467527</v>
      </c>
      <c r="N53" s="155">
        <v>464318</v>
      </c>
      <c r="O53" s="155">
        <v>470225</v>
      </c>
      <c r="P53" s="155">
        <v>472198</v>
      </c>
      <c r="Q53" s="155">
        <v>489511</v>
      </c>
      <c r="R53" s="155">
        <v>494825</v>
      </c>
      <c r="S53" s="155">
        <v>504323</v>
      </c>
      <c r="T53" s="155">
        <v>519328</v>
      </c>
      <c r="U53" s="155">
        <v>516423</v>
      </c>
      <c r="V53" s="155">
        <v>523623</v>
      </c>
      <c r="W53" s="155">
        <v>529410</v>
      </c>
      <c r="X53" s="155">
        <v>529398</v>
      </c>
      <c r="Y53" s="155">
        <v>521257</v>
      </c>
      <c r="Z53" s="155">
        <v>525842</v>
      </c>
      <c r="AA53" s="155">
        <v>518824</v>
      </c>
      <c r="AB53" s="155">
        <v>517126</v>
      </c>
      <c r="AC53" s="155">
        <v>529620</v>
      </c>
      <c r="AD53" s="155">
        <v>524249</v>
      </c>
      <c r="AE53" s="155">
        <v>524970</v>
      </c>
      <c r="AF53" s="155">
        <v>517018</v>
      </c>
      <c r="AG53" s="155">
        <v>512762</v>
      </c>
      <c r="AH53" s="155">
        <v>512777</v>
      </c>
      <c r="AI53" s="155">
        <v>513901</v>
      </c>
      <c r="AJ53" s="155">
        <v>519272</v>
      </c>
      <c r="AK53" s="155">
        <v>517006</v>
      </c>
      <c r="AL53" s="155">
        <v>517355</v>
      </c>
      <c r="AM53" s="155">
        <v>523376</v>
      </c>
      <c r="AN53" s="155">
        <v>539146</v>
      </c>
      <c r="AO53" s="155">
        <v>535225</v>
      </c>
      <c r="AP53" s="155">
        <v>539149</v>
      </c>
      <c r="AQ53" s="155">
        <v>544222</v>
      </c>
      <c r="AR53" s="155">
        <v>545360</v>
      </c>
      <c r="AS53" s="155">
        <v>536244</v>
      </c>
      <c r="AT53" s="155">
        <v>528499</v>
      </c>
      <c r="AU53" s="155">
        <v>527796</v>
      </c>
      <c r="AV53" s="155">
        <v>531465</v>
      </c>
      <c r="AW53" s="155">
        <v>522710</v>
      </c>
      <c r="AX53" s="155">
        <v>515590</v>
      </c>
      <c r="AY53" s="155">
        <v>511910</v>
      </c>
      <c r="AZ53" s="155">
        <v>507171</v>
      </c>
      <c r="BA53" s="155">
        <v>497356</v>
      </c>
      <c r="BB53" s="155">
        <v>500804</v>
      </c>
      <c r="BC53" s="155">
        <v>484335</v>
      </c>
      <c r="BD53" s="155">
        <v>483921</v>
      </c>
      <c r="BE53" s="155">
        <v>485755</v>
      </c>
      <c r="BF53" s="155">
        <v>487033</v>
      </c>
      <c r="BG53" s="155">
        <v>487797</v>
      </c>
      <c r="BH53" s="155">
        <v>488265</v>
      </c>
      <c r="BI53" s="155">
        <v>488678</v>
      </c>
      <c r="BJ53" s="155">
        <v>489052</v>
      </c>
      <c r="BK53" s="155">
        <v>489422</v>
      </c>
      <c r="BL53" s="155">
        <v>489786</v>
      </c>
      <c r="BM53" s="155">
        <v>490340</v>
      </c>
      <c r="BN53" s="155">
        <v>491139</v>
      </c>
      <c r="BO53" s="155">
        <v>492038</v>
      </c>
      <c r="BP53" s="155">
        <v>493018</v>
      </c>
      <c r="BQ53" s="155">
        <v>494159</v>
      </c>
      <c r="BR53" s="155">
        <v>495459</v>
      </c>
      <c r="BS53" s="155">
        <v>496814</v>
      </c>
      <c r="BT53" s="155">
        <v>498094</v>
      </c>
      <c r="BU53" s="155">
        <v>499255</v>
      </c>
      <c r="BV53" s="155">
        <v>500314</v>
      </c>
      <c r="BW53" s="155">
        <v>501035</v>
      </c>
      <c r="BX53" s="155">
        <v>501321</v>
      </c>
      <c r="BY53" s="155">
        <v>501322</v>
      </c>
      <c r="BZ53" s="155">
        <v>501128</v>
      </c>
      <c r="CA53" s="155">
        <v>500782</v>
      </c>
      <c r="CB53" s="155">
        <v>499823</v>
      </c>
      <c r="CC53" s="155">
        <v>498168</v>
      </c>
      <c r="CD53" s="155">
        <v>496335</v>
      </c>
      <c r="CE53" s="155">
        <v>494377</v>
      </c>
      <c r="CF53" s="155">
        <v>492389</v>
      </c>
      <c r="CG53" s="155">
        <v>490338</v>
      </c>
      <c r="CH53" s="155">
        <v>488273</v>
      </c>
      <c r="CI53" s="155">
        <v>486343</v>
      </c>
      <c r="CJ53" s="155">
        <v>484708</v>
      </c>
      <c r="CK53" s="155">
        <v>483347</v>
      </c>
      <c r="CL53" s="155">
        <v>482208</v>
      </c>
      <c r="CM53" s="155">
        <v>481262</v>
      </c>
      <c r="CN53" s="155">
        <v>480596</v>
      </c>
      <c r="CO53" s="155">
        <v>480158</v>
      </c>
      <c r="CP53" s="155">
        <v>479956</v>
      </c>
      <c r="CQ53" s="155">
        <v>479884</v>
      </c>
      <c r="CR53" s="155">
        <v>479901</v>
      </c>
      <c r="CS53" s="155">
        <v>480103</v>
      </c>
      <c r="CT53" s="155">
        <v>480447</v>
      </c>
      <c r="CU53" s="155">
        <v>480869</v>
      </c>
      <c r="CV53" s="155">
        <v>481343</v>
      </c>
      <c r="CW53" s="155">
        <v>481818</v>
      </c>
      <c r="CX53" s="155">
        <v>482282</v>
      </c>
      <c r="CY53" s="154">
        <v>482743</v>
      </c>
    </row>
    <row r="54" spans="1:103">
      <c r="A54" s="155" t="s">
        <v>1136</v>
      </c>
      <c r="B54" s="154">
        <v>52</v>
      </c>
      <c r="C54" s="155">
        <v>463466</v>
      </c>
      <c r="D54" s="155">
        <v>475621</v>
      </c>
      <c r="E54" s="155">
        <v>456516</v>
      </c>
      <c r="F54" s="155">
        <v>439510</v>
      </c>
      <c r="G54" s="155">
        <v>423314</v>
      </c>
      <c r="H54" s="155">
        <v>418057</v>
      </c>
      <c r="I54" s="155">
        <v>410833</v>
      </c>
      <c r="J54" s="155">
        <v>402221</v>
      </c>
      <c r="K54" s="155">
        <v>411748</v>
      </c>
      <c r="L54" s="155">
        <v>443565</v>
      </c>
      <c r="M54" s="155">
        <v>464458</v>
      </c>
      <c r="N54" s="155">
        <v>466801</v>
      </c>
      <c r="O54" s="155">
        <v>463610</v>
      </c>
      <c r="P54" s="155">
        <v>469515</v>
      </c>
      <c r="Q54" s="155">
        <v>471497</v>
      </c>
      <c r="R54" s="155">
        <v>488786</v>
      </c>
      <c r="S54" s="155">
        <v>494102</v>
      </c>
      <c r="T54" s="155">
        <v>503594</v>
      </c>
      <c r="U54" s="155">
        <v>518580</v>
      </c>
      <c r="V54" s="155">
        <v>515695</v>
      </c>
      <c r="W54" s="155">
        <v>522893</v>
      </c>
      <c r="X54" s="155">
        <v>528680</v>
      </c>
      <c r="Y54" s="155">
        <v>528680</v>
      </c>
      <c r="Z54" s="155">
        <v>520569</v>
      </c>
      <c r="AA54" s="155">
        <v>525158</v>
      </c>
      <c r="AB54" s="155">
        <v>518166</v>
      </c>
      <c r="AC54" s="155">
        <v>516480</v>
      </c>
      <c r="AD54" s="155">
        <v>528962</v>
      </c>
      <c r="AE54" s="155">
        <v>523614</v>
      </c>
      <c r="AF54" s="155">
        <v>524340</v>
      </c>
      <c r="AG54" s="155">
        <v>516414</v>
      </c>
      <c r="AH54" s="155">
        <v>512177</v>
      </c>
      <c r="AI54" s="155">
        <v>512203</v>
      </c>
      <c r="AJ54" s="155">
        <v>513336</v>
      </c>
      <c r="AK54" s="155">
        <v>518709</v>
      </c>
      <c r="AL54" s="155">
        <v>516459</v>
      </c>
      <c r="AM54" s="155">
        <v>516817</v>
      </c>
      <c r="AN54" s="155">
        <v>522838</v>
      </c>
      <c r="AO54" s="155">
        <v>538590</v>
      </c>
      <c r="AP54" s="155">
        <v>534688</v>
      </c>
      <c r="AQ54" s="155">
        <v>538615</v>
      </c>
      <c r="AR54" s="155">
        <v>543689</v>
      </c>
      <c r="AS54" s="155">
        <v>544835</v>
      </c>
      <c r="AT54" s="155">
        <v>535745</v>
      </c>
      <c r="AU54" s="155">
        <v>528023</v>
      </c>
      <c r="AV54" s="155">
        <v>527329</v>
      </c>
      <c r="AW54" s="155">
        <v>531002</v>
      </c>
      <c r="AX54" s="155">
        <v>522271</v>
      </c>
      <c r="AY54" s="155">
        <v>515171</v>
      </c>
      <c r="AZ54" s="155">
        <v>511507</v>
      </c>
      <c r="BA54" s="155">
        <v>506785</v>
      </c>
      <c r="BB54" s="155">
        <v>496992</v>
      </c>
      <c r="BC54" s="155">
        <v>500443</v>
      </c>
      <c r="BD54" s="155">
        <v>484007</v>
      </c>
      <c r="BE54" s="155">
        <v>483601</v>
      </c>
      <c r="BF54" s="155">
        <v>485440</v>
      </c>
      <c r="BG54" s="155">
        <v>486724</v>
      </c>
      <c r="BH54" s="155">
        <v>487494</v>
      </c>
      <c r="BI54" s="155">
        <v>487969</v>
      </c>
      <c r="BJ54" s="155">
        <v>488389</v>
      </c>
      <c r="BK54" s="155">
        <v>488770</v>
      </c>
      <c r="BL54" s="155">
        <v>489147</v>
      </c>
      <c r="BM54" s="155">
        <v>489518</v>
      </c>
      <c r="BN54" s="155">
        <v>490078</v>
      </c>
      <c r="BO54" s="155">
        <v>490883</v>
      </c>
      <c r="BP54" s="155">
        <v>491789</v>
      </c>
      <c r="BQ54" s="155">
        <v>492775</v>
      </c>
      <c r="BR54" s="155">
        <v>493922</v>
      </c>
      <c r="BS54" s="155">
        <v>495226</v>
      </c>
      <c r="BT54" s="155">
        <v>496587</v>
      </c>
      <c r="BU54" s="155">
        <v>497873</v>
      </c>
      <c r="BV54" s="155">
        <v>499038</v>
      </c>
      <c r="BW54" s="155">
        <v>500102</v>
      </c>
      <c r="BX54" s="155">
        <v>500829</v>
      </c>
      <c r="BY54" s="155">
        <v>501122</v>
      </c>
      <c r="BZ54" s="155">
        <v>501129</v>
      </c>
      <c r="CA54" s="155">
        <v>500942</v>
      </c>
      <c r="CB54" s="155">
        <v>500602</v>
      </c>
      <c r="CC54" s="155">
        <v>499653</v>
      </c>
      <c r="CD54" s="155">
        <v>498004</v>
      </c>
      <c r="CE54" s="155">
        <v>496180</v>
      </c>
      <c r="CF54" s="155">
        <v>494230</v>
      </c>
      <c r="CG54" s="155">
        <v>492249</v>
      </c>
      <c r="CH54" s="155">
        <v>490207</v>
      </c>
      <c r="CI54" s="155">
        <v>488149</v>
      </c>
      <c r="CJ54" s="155">
        <v>486227</v>
      </c>
      <c r="CK54" s="155">
        <v>484599</v>
      </c>
      <c r="CL54" s="155">
        <v>483245</v>
      </c>
      <c r="CM54" s="155">
        <v>482113</v>
      </c>
      <c r="CN54" s="155">
        <v>481174</v>
      </c>
      <c r="CO54" s="155">
        <v>480512</v>
      </c>
      <c r="CP54" s="155">
        <v>480080</v>
      </c>
      <c r="CQ54" s="155">
        <v>479883</v>
      </c>
      <c r="CR54" s="155">
        <v>479816</v>
      </c>
      <c r="CS54" s="155">
        <v>479840</v>
      </c>
      <c r="CT54" s="155">
        <v>480046</v>
      </c>
      <c r="CU54" s="155">
        <v>480394</v>
      </c>
      <c r="CV54" s="155">
        <v>480820</v>
      </c>
      <c r="CW54" s="155">
        <v>481299</v>
      </c>
      <c r="CX54" s="155">
        <v>481778</v>
      </c>
      <c r="CY54" s="154">
        <v>482247</v>
      </c>
    </row>
    <row r="55" spans="1:103">
      <c r="A55" s="155" t="s">
        <v>1136</v>
      </c>
      <c r="B55" s="154">
        <v>53</v>
      </c>
      <c r="C55" s="155">
        <v>474021</v>
      </c>
      <c r="D55" s="155">
        <v>463498</v>
      </c>
      <c r="E55" s="155">
        <v>475319</v>
      </c>
      <c r="F55" s="155">
        <v>456102</v>
      </c>
      <c r="G55" s="155">
        <v>438981</v>
      </c>
      <c r="H55" s="155">
        <v>422668</v>
      </c>
      <c r="I55" s="155">
        <v>417263</v>
      </c>
      <c r="J55" s="155">
        <v>410071</v>
      </c>
      <c r="K55" s="155">
        <v>401495</v>
      </c>
      <c r="L55" s="155">
        <v>411005</v>
      </c>
      <c r="M55" s="155">
        <v>442751</v>
      </c>
      <c r="N55" s="155">
        <v>463599</v>
      </c>
      <c r="O55" s="155">
        <v>465944</v>
      </c>
      <c r="P55" s="155">
        <v>462774</v>
      </c>
      <c r="Q55" s="155">
        <v>468677</v>
      </c>
      <c r="R55" s="155">
        <v>470669</v>
      </c>
      <c r="S55" s="155">
        <v>487928</v>
      </c>
      <c r="T55" s="155">
        <v>493248</v>
      </c>
      <c r="U55" s="155">
        <v>502733</v>
      </c>
      <c r="V55" s="155">
        <v>517697</v>
      </c>
      <c r="W55" s="155">
        <v>514834</v>
      </c>
      <c r="X55" s="155">
        <v>522029</v>
      </c>
      <c r="Y55" s="155">
        <v>527816</v>
      </c>
      <c r="Z55" s="155">
        <v>527830</v>
      </c>
      <c r="AA55" s="155">
        <v>519750</v>
      </c>
      <c r="AB55" s="155">
        <v>524341</v>
      </c>
      <c r="AC55" s="155">
        <v>517379</v>
      </c>
      <c r="AD55" s="155">
        <v>515708</v>
      </c>
      <c r="AE55" s="155">
        <v>528177</v>
      </c>
      <c r="AF55" s="155">
        <v>522851</v>
      </c>
      <c r="AG55" s="155">
        <v>523586</v>
      </c>
      <c r="AH55" s="155">
        <v>515686</v>
      </c>
      <c r="AI55" s="155">
        <v>511470</v>
      </c>
      <c r="AJ55" s="155">
        <v>511506</v>
      </c>
      <c r="AK55" s="155">
        <v>512650</v>
      </c>
      <c r="AL55" s="155">
        <v>518027</v>
      </c>
      <c r="AM55" s="155">
        <v>515793</v>
      </c>
      <c r="AN55" s="155">
        <v>516161</v>
      </c>
      <c r="AO55" s="155">
        <v>522181</v>
      </c>
      <c r="AP55" s="155">
        <v>537913</v>
      </c>
      <c r="AQ55" s="155">
        <v>534030</v>
      </c>
      <c r="AR55" s="155">
        <v>537961</v>
      </c>
      <c r="AS55" s="155">
        <v>543038</v>
      </c>
      <c r="AT55" s="155">
        <v>544192</v>
      </c>
      <c r="AU55" s="155">
        <v>535130</v>
      </c>
      <c r="AV55" s="155">
        <v>527432</v>
      </c>
      <c r="AW55" s="155">
        <v>526747</v>
      </c>
      <c r="AX55" s="155">
        <v>530426</v>
      </c>
      <c r="AY55" s="155">
        <v>521721</v>
      </c>
      <c r="AZ55" s="155">
        <v>514643</v>
      </c>
      <c r="BA55" s="155">
        <v>510993</v>
      </c>
      <c r="BB55" s="155">
        <v>506289</v>
      </c>
      <c r="BC55" s="155">
        <v>496523</v>
      </c>
      <c r="BD55" s="155">
        <v>499976</v>
      </c>
      <c r="BE55" s="155">
        <v>483575</v>
      </c>
      <c r="BF55" s="155">
        <v>483178</v>
      </c>
      <c r="BG55" s="155">
        <v>485022</v>
      </c>
      <c r="BH55" s="155">
        <v>486312</v>
      </c>
      <c r="BI55" s="155">
        <v>487091</v>
      </c>
      <c r="BJ55" s="155">
        <v>487575</v>
      </c>
      <c r="BK55" s="155">
        <v>488000</v>
      </c>
      <c r="BL55" s="155">
        <v>488388</v>
      </c>
      <c r="BM55" s="155">
        <v>488773</v>
      </c>
      <c r="BN55" s="155">
        <v>489152</v>
      </c>
      <c r="BO55" s="155">
        <v>489718</v>
      </c>
      <c r="BP55" s="155">
        <v>490530</v>
      </c>
      <c r="BQ55" s="155">
        <v>491442</v>
      </c>
      <c r="BR55" s="155">
        <v>492433</v>
      </c>
      <c r="BS55" s="155">
        <v>493586</v>
      </c>
      <c r="BT55" s="155">
        <v>494898</v>
      </c>
      <c r="BU55" s="155">
        <v>496264</v>
      </c>
      <c r="BV55" s="155">
        <v>497556</v>
      </c>
      <c r="BW55" s="155">
        <v>498726</v>
      </c>
      <c r="BX55" s="155">
        <v>499796</v>
      </c>
      <c r="BY55" s="155">
        <v>500529</v>
      </c>
      <c r="BZ55" s="155">
        <v>500829</v>
      </c>
      <c r="CA55" s="155">
        <v>500843</v>
      </c>
      <c r="CB55" s="155">
        <v>500662</v>
      </c>
      <c r="CC55" s="155">
        <v>500330</v>
      </c>
      <c r="CD55" s="155">
        <v>499390</v>
      </c>
      <c r="CE55" s="155">
        <v>497750</v>
      </c>
      <c r="CF55" s="155">
        <v>495934</v>
      </c>
      <c r="CG55" s="155">
        <v>493993</v>
      </c>
      <c r="CH55" s="155">
        <v>492020</v>
      </c>
      <c r="CI55" s="155">
        <v>489987</v>
      </c>
      <c r="CJ55" s="155">
        <v>487936</v>
      </c>
      <c r="CK55" s="155">
        <v>486024</v>
      </c>
      <c r="CL55" s="155">
        <v>484404</v>
      </c>
      <c r="CM55" s="155">
        <v>483057</v>
      </c>
      <c r="CN55" s="155">
        <v>481932</v>
      </c>
      <c r="CO55" s="155">
        <v>481000</v>
      </c>
      <c r="CP55" s="155">
        <v>480346</v>
      </c>
      <c r="CQ55" s="155">
        <v>479918</v>
      </c>
      <c r="CR55" s="155">
        <v>479729</v>
      </c>
      <c r="CS55" s="155">
        <v>479666</v>
      </c>
      <c r="CT55" s="155">
        <v>479696</v>
      </c>
      <c r="CU55" s="155">
        <v>479906</v>
      </c>
      <c r="CV55" s="155">
        <v>480259</v>
      </c>
      <c r="CW55" s="155">
        <v>480690</v>
      </c>
      <c r="CX55" s="155">
        <v>481174</v>
      </c>
      <c r="CY55" s="154">
        <v>481656</v>
      </c>
    </row>
    <row r="56" spans="1:103">
      <c r="A56" s="155" t="s">
        <v>1136</v>
      </c>
      <c r="B56" s="154">
        <v>54</v>
      </c>
      <c r="C56" s="155">
        <v>473096</v>
      </c>
      <c r="D56" s="155">
        <v>473772</v>
      </c>
      <c r="E56" s="155">
        <v>463001</v>
      </c>
      <c r="F56" s="155">
        <v>474634</v>
      </c>
      <c r="G56" s="155">
        <v>455323</v>
      </c>
      <c r="H56" s="155">
        <v>438105</v>
      </c>
      <c r="I56" s="155">
        <v>421690</v>
      </c>
      <c r="J56" s="155">
        <v>416313</v>
      </c>
      <c r="K56" s="155">
        <v>409153</v>
      </c>
      <c r="L56" s="155">
        <v>400616</v>
      </c>
      <c r="M56" s="155">
        <v>410110</v>
      </c>
      <c r="N56" s="155">
        <v>441779</v>
      </c>
      <c r="O56" s="155">
        <v>462580</v>
      </c>
      <c r="P56" s="155">
        <v>464928</v>
      </c>
      <c r="Q56" s="155">
        <v>461779</v>
      </c>
      <c r="R56" s="155">
        <v>467680</v>
      </c>
      <c r="S56" s="155">
        <v>469682</v>
      </c>
      <c r="T56" s="155">
        <v>486911</v>
      </c>
      <c r="U56" s="155">
        <v>492233</v>
      </c>
      <c r="V56" s="155">
        <v>501712</v>
      </c>
      <c r="W56" s="155">
        <v>516651</v>
      </c>
      <c r="X56" s="155">
        <v>513811</v>
      </c>
      <c r="Y56" s="155">
        <v>521002</v>
      </c>
      <c r="Z56" s="155">
        <v>526788</v>
      </c>
      <c r="AA56" s="155">
        <v>526817</v>
      </c>
      <c r="AB56" s="155">
        <v>518771</v>
      </c>
      <c r="AC56" s="155">
        <v>523367</v>
      </c>
      <c r="AD56" s="155">
        <v>516435</v>
      </c>
      <c r="AE56" s="155">
        <v>514780</v>
      </c>
      <c r="AF56" s="155">
        <v>527233</v>
      </c>
      <c r="AG56" s="155">
        <v>521932</v>
      </c>
      <c r="AH56" s="155">
        <v>522677</v>
      </c>
      <c r="AI56" s="155">
        <v>514806</v>
      </c>
      <c r="AJ56" s="155">
        <v>510612</v>
      </c>
      <c r="AK56" s="155">
        <v>510661</v>
      </c>
      <c r="AL56" s="155">
        <v>511812</v>
      </c>
      <c r="AM56" s="155">
        <v>517193</v>
      </c>
      <c r="AN56" s="155">
        <v>514977</v>
      </c>
      <c r="AO56" s="155">
        <v>515356</v>
      </c>
      <c r="AP56" s="155">
        <v>521375</v>
      </c>
      <c r="AQ56" s="155">
        <v>537087</v>
      </c>
      <c r="AR56" s="155">
        <v>533224</v>
      </c>
      <c r="AS56" s="155">
        <v>537159</v>
      </c>
      <c r="AT56" s="155">
        <v>542238</v>
      </c>
      <c r="AU56" s="155">
        <v>543401</v>
      </c>
      <c r="AV56" s="155">
        <v>534369</v>
      </c>
      <c r="AW56" s="155">
        <v>526696</v>
      </c>
      <c r="AX56" s="155">
        <v>526023</v>
      </c>
      <c r="AY56" s="155">
        <v>529708</v>
      </c>
      <c r="AZ56" s="155">
        <v>521031</v>
      </c>
      <c r="BA56" s="155">
        <v>513977</v>
      </c>
      <c r="BB56" s="155">
        <v>510343</v>
      </c>
      <c r="BC56" s="155">
        <v>505657</v>
      </c>
      <c r="BD56" s="155">
        <v>495918</v>
      </c>
      <c r="BE56" s="155">
        <v>499375</v>
      </c>
      <c r="BF56" s="155">
        <v>483011</v>
      </c>
      <c r="BG56" s="155">
        <v>482626</v>
      </c>
      <c r="BH56" s="155">
        <v>484474</v>
      </c>
      <c r="BI56" s="155">
        <v>485771</v>
      </c>
      <c r="BJ56" s="155">
        <v>486558</v>
      </c>
      <c r="BK56" s="155">
        <v>487050</v>
      </c>
      <c r="BL56" s="155">
        <v>487483</v>
      </c>
      <c r="BM56" s="155">
        <v>487878</v>
      </c>
      <c r="BN56" s="155">
        <v>488273</v>
      </c>
      <c r="BO56" s="155">
        <v>488659</v>
      </c>
      <c r="BP56" s="155">
        <v>489233</v>
      </c>
      <c r="BQ56" s="155">
        <v>490051</v>
      </c>
      <c r="BR56" s="155">
        <v>490970</v>
      </c>
      <c r="BS56" s="155">
        <v>491968</v>
      </c>
      <c r="BT56" s="155">
        <v>493127</v>
      </c>
      <c r="BU56" s="155">
        <v>494445</v>
      </c>
      <c r="BV56" s="155">
        <v>495816</v>
      </c>
      <c r="BW56" s="155">
        <v>497117</v>
      </c>
      <c r="BX56" s="155">
        <v>498292</v>
      </c>
      <c r="BY56" s="155">
        <v>499368</v>
      </c>
      <c r="BZ56" s="155">
        <v>500109</v>
      </c>
      <c r="CA56" s="155">
        <v>500416</v>
      </c>
      <c r="CB56" s="155">
        <v>500438</v>
      </c>
      <c r="CC56" s="155">
        <v>500264</v>
      </c>
      <c r="CD56" s="155">
        <v>499940</v>
      </c>
      <c r="CE56" s="155">
        <v>499009</v>
      </c>
      <c r="CF56" s="155">
        <v>497377</v>
      </c>
      <c r="CG56" s="155">
        <v>495571</v>
      </c>
      <c r="CH56" s="155">
        <v>493639</v>
      </c>
      <c r="CI56" s="155">
        <v>491676</v>
      </c>
      <c r="CJ56" s="155">
        <v>489652</v>
      </c>
      <c r="CK56" s="155">
        <v>487610</v>
      </c>
      <c r="CL56" s="155">
        <v>485707</v>
      </c>
      <c r="CM56" s="155">
        <v>484096</v>
      </c>
      <c r="CN56" s="155">
        <v>482757</v>
      </c>
      <c r="CO56" s="155">
        <v>481639</v>
      </c>
      <c r="CP56" s="155">
        <v>480715</v>
      </c>
      <c r="CQ56" s="155">
        <v>480067</v>
      </c>
      <c r="CR56" s="155">
        <v>479647</v>
      </c>
      <c r="CS56" s="155">
        <v>479463</v>
      </c>
      <c r="CT56" s="155">
        <v>479406</v>
      </c>
      <c r="CU56" s="155">
        <v>479441</v>
      </c>
      <c r="CV56" s="155">
        <v>479656</v>
      </c>
      <c r="CW56" s="155">
        <v>480014</v>
      </c>
      <c r="CX56" s="155">
        <v>480451</v>
      </c>
      <c r="CY56" s="154">
        <v>480942</v>
      </c>
    </row>
    <row r="57" spans="1:103">
      <c r="A57" s="155" t="s">
        <v>1136</v>
      </c>
      <c r="B57" s="154">
        <v>55</v>
      </c>
      <c r="C57" s="155">
        <v>474374</v>
      </c>
      <c r="D57" s="155">
        <v>472631</v>
      </c>
      <c r="E57" s="155">
        <v>473044</v>
      </c>
      <c r="F57" s="155">
        <v>462164</v>
      </c>
      <c r="G57" s="155">
        <v>473616</v>
      </c>
      <c r="H57" s="155">
        <v>454224</v>
      </c>
      <c r="I57" s="155">
        <v>436922</v>
      </c>
      <c r="J57" s="155">
        <v>420571</v>
      </c>
      <c r="K57" s="155">
        <v>415223</v>
      </c>
      <c r="L57" s="155">
        <v>408101</v>
      </c>
      <c r="M57" s="155">
        <v>399604</v>
      </c>
      <c r="N57" s="155">
        <v>409080</v>
      </c>
      <c r="O57" s="155">
        <v>440666</v>
      </c>
      <c r="P57" s="155">
        <v>461419</v>
      </c>
      <c r="Q57" s="155">
        <v>463769</v>
      </c>
      <c r="R57" s="155">
        <v>460644</v>
      </c>
      <c r="S57" s="155">
        <v>466542</v>
      </c>
      <c r="T57" s="155">
        <v>468554</v>
      </c>
      <c r="U57" s="155">
        <v>485750</v>
      </c>
      <c r="V57" s="155">
        <v>491074</v>
      </c>
      <c r="W57" s="155">
        <v>500544</v>
      </c>
      <c r="X57" s="155">
        <v>515460</v>
      </c>
      <c r="Y57" s="155">
        <v>512643</v>
      </c>
      <c r="Z57" s="155">
        <v>519831</v>
      </c>
      <c r="AA57" s="155">
        <v>525615</v>
      </c>
      <c r="AB57" s="155">
        <v>525661</v>
      </c>
      <c r="AC57" s="155">
        <v>517651</v>
      </c>
      <c r="AD57" s="155">
        <v>522250</v>
      </c>
      <c r="AE57" s="155">
        <v>515350</v>
      </c>
      <c r="AF57" s="155">
        <v>513714</v>
      </c>
      <c r="AG57" s="155">
        <v>526149</v>
      </c>
      <c r="AH57" s="155">
        <v>520875</v>
      </c>
      <c r="AI57" s="155">
        <v>521631</v>
      </c>
      <c r="AJ57" s="155">
        <v>513789</v>
      </c>
      <c r="AK57" s="155">
        <v>509621</v>
      </c>
      <c r="AL57" s="155">
        <v>509684</v>
      </c>
      <c r="AM57" s="155">
        <v>510844</v>
      </c>
      <c r="AN57" s="155">
        <v>516229</v>
      </c>
      <c r="AO57" s="155">
        <v>514032</v>
      </c>
      <c r="AP57" s="155">
        <v>514421</v>
      </c>
      <c r="AQ57" s="155">
        <v>520441</v>
      </c>
      <c r="AR57" s="155">
        <v>536131</v>
      </c>
      <c r="AS57" s="155">
        <v>532289</v>
      </c>
      <c r="AT57" s="155">
        <v>536227</v>
      </c>
      <c r="AU57" s="155">
        <v>541309</v>
      </c>
      <c r="AV57" s="155">
        <v>542484</v>
      </c>
      <c r="AW57" s="155">
        <v>533482</v>
      </c>
      <c r="AX57" s="155">
        <v>525836</v>
      </c>
      <c r="AY57" s="155">
        <v>525177</v>
      </c>
      <c r="AZ57" s="155">
        <v>528868</v>
      </c>
      <c r="BA57" s="155">
        <v>520219</v>
      </c>
      <c r="BB57" s="155">
        <v>513191</v>
      </c>
      <c r="BC57" s="155">
        <v>509573</v>
      </c>
      <c r="BD57" s="155">
        <v>504909</v>
      </c>
      <c r="BE57" s="155">
        <v>495199</v>
      </c>
      <c r="BF57" s="155">
        <v>498662</v>
      </c>
      <c r="BG57" s="155">
        <v>482338</v>
      </c>
      <c r="BH57" s="155">
        <v>481962</v>
      </c>
      <c r="BI57" s="155">
        <v>483816</v>
      </c>
      <c r="BJ57" s="155">
        <v>485121</v>
      </c>
      <c r="BK57" s="155">
        <v>485916</v>
      </c>
      <c r="BL57" s="155">
        <v>486416</v>
      </c>
      <c r="BM57" s="155">
        <v>486858</v>
      </c>
      <c r="BN57" s="155">
        <v>487261</v>
      </c>
      <c r="BO57" s="155">
        <v>487666</v>
      </c>
      <c r="BP57" s="155">
        <v>488059</v>
      </c>
      <c r="BQ57" s="155">
        <v>488642</v>
      </c>
      <c r="BR57" s="155">
        <v>489467</v>
      </c>
      <c r="BS57" s="155">
        <v>490394</v>
      </c>
      <c r="BT57" s="155">
        <v>491400</v>
      </c>
      <c r="BU57" s="155">
        <v>492565</v>
      </c>
      <c r="BV57" s="155">
        <v>493890</v>
      </c>
      <c r="BW57" s="155">
        <v>495268</v>
      </c>
      <c r="BX57" s="155">
        <v>496574</v>
      </c>
      <c r="BY57" s="155">
        <v>497755</v>
      </c>
      <c r="BZ57" s="155">
        <v>498840</v>
      </c>
      <c r="CA57" s="155">
        <v>499587</v>
      </c>
      <c r="CB57" s="155">
        <v>499903</v>
      </c>
      <c r="CC57" s="155">
        <v>499932</v>
      </c>
      <c r="CD57" s="155">
        <v>499767</v>
      </c>
      <c r="CE57" s="155">
        <v>499451</v>
      </c>
      <c r="CF57" s="155">
        <v>498528</v>
      </c>
      <c r="CG57" s="155">
        <v>496907</v>
      </c>
      <c r="CH57" s="155">
        <v>495112</v>
      </c>
      <c r="CI57" s="155">
        <v>493189</v>
      </c>
      <c r="CJ57" s="155">
        <v>491236</v>
      </c>
      <c r="CK57" s="155">
        <v>489223</v>
      </c>
      <c r="CL57" s="155">
        <v>487191</v>
      </c>
      <c r="CM57" s="155">
        <v>485297</v>
      </c>
      <c r="CN57" s="155">
        <v>483695</v>
      </c>
      <c r="CO57" s="155">
        <v>482364</v>
      </c>
      <c r="CP57" s="155">
        <v>481255</v>
      </c>
      <c r="CQ57" s="155">
        <v>480338</v>
      </c>
      <c r="CR57" s="155">
        <v>479697</v>
      </c>
      <c r="CS57" s="155">
        <v>479286</v>
      </c>
      <c r="CT57" s="155">
        <v>479107</v>
      </c>
      <c r="CU57" s="155">
        <v>479057</v>
      </c>
      <c r="CV57" s="155">
        <v>479098</v>
      </c>
      <c r="CW57" s="155">
        <v>479319</v>
      </c>
      <c r="CX57" s="155">
        <v>479684</v>
      </c>
      <c r="CY57" s="154">
        <v>480126</v>
      </c>
    </row>
    <row r="58" spans="1:103">
      <c r="A58" s="155" t="s">
        <v>1136</v>
      </c>
      <c r="B58" s="154">
        <v>56</v>
      </c>
      <c r="C58" s="155">
        <v>474216</v>
      </c>
      <c r="D58" s="155">
        <v>473725</v>
      </c>
      <c r="E58" s="155">
        <v>471748</v>
      </c>
      <c r="F58" s="155">
        <v>472023</v>
      </c>
      <c r="G58" s="155">
        <v>461044</v>
      </c>
      <c r="H58" s="155">
        <v>472323</v>
      </c>
      <c r="I58" s="155">
        <v>452867</v>
      </c>
      <c r="J58" s="155">
        <v>435638</v>
      </c>
      <c r="K58" s="155">
        <v>419358</v>
      </c>
      <c r="L58" s="155">
        <v>414040</v>
      </c>
      <c r="M58" s="155">
        <v>406958</v>
      </c>
      <c r="N58" s="155">
        <v>398503</v>
      </c>
      <c r="O58" s="155">
        <v>407961</v>
      </c>
      <c r="P58" s="155">
        <v>439457</v>
      </c>
      <c r="Q58" s="155">
        <v>460158</v>
      </c>
      <c r="R58" s="155">
        <v>462514</v>
      </c>
      <c r="S58" s="155">
        <v>459412</v>
      </c>
      <c r="T58" s="155">
        <v>465309</v>
      </c>
      <c r="U58" s="155">
        <v>467332</v>
      </c>
      <c r="V58" s="155">
        <v>484491</v>
      </c>
      <c r="W58" s="155">
        <v>489817</v>
      </c>
      <c r="X58" s="155">
        <v>499277</v>
      </c>
      <c r="Y58" s="155">
        <v>514166</v>
      </c>
      <c r="Z58" s="155">
        <v>511375</v>
      </c>
      <c r="AA58" s="155">
        <v>518558</v>
      </c>
      <c r="AB58" s="155">
        <v>524341</v>
      </c>
      <c r="AC58" s="155">
        <v>524403</v>
      </c>
      <c r="AD58" s="155">
        <v>516434</v>
      </c>
      <c r="AE58" s="155">
        <v>521034</v>
      </c>
      <c r="AF58" s="155">
        <v>514171</v>
      </c>
      <c r="AG58" s="155">
        <v>512554</v>
      </c>
      <c r="AH58" s="155">
        <v>524972</v>
      </c>
      <c r="AI58" s="155">
        <v>519726</v>
      </c>
      <c r="AJ58" s="155">
        <v>520492</v>
      </c>
      <c r="AK58" s="155">
        <v>512684</v>
      </c>
      <c r="AL58" s="155">
        <v>508542</v>
      </c>
      <c r="AM58" s="155">
        <v>508621</v>
      </c>
      <c r="AN58" s="155">
        <v>509789</v>
      </c>
      <c r="AO58" s="155">
        <v>515180</v>
      </c>
      <c r="AP58" s="155">
        <v>513003</v>
      </c>
      <c r="AQ58" s="155">
        <v>513403</v>
      </c>
      <c r="AR58" s="155">
        <v>519422</v>
      </c>
      <c r="AS58" s="155">
        <v>535090</v>
      </c>
      <c r="AT58" s="155">
        <v>531271</v>
      </c>
      <c r="AU58" s="155">
        <v>535213</v>
      </c>
      <c r="AV58" s="155">
        <v>540297</v>
      </c>
      <c r="AW58" s="155">
        <v>541484</v>
      </c>
      <c r="AX58" s="155">
        <v>532515</v>
      </c>
      <c r="AY58" s="155">
        <v>524899</v>
      </c>
      <c r="AZ58" s="155">
        <v>524255</v>
      </c>
      <c r="BA58" s="155">
        <v>527949</v>
      </c>
      <c r="BB58" s="155">
        <v>519331</v>
      </c>
      <c r="BC58" s="155">
        <v>512333</v>
      </c>
      <c r="BD58" s="155">
        <v>508732</v>
      </c>
      <c r="BE58" s="155">
        <v>504090</v>
      </c>
      <c r="BF58" s="155">
        <v>494413</v>
      </c>
      <c r="BG58" s="155">
        <v>497880</v>
      </c>
      <c r="BH58" s="155">
        <v>481600</v>
      </c>
      <c r="BI58" s="155">
        <v>481235</v>
      </c>
      <c r="BJ58" s="155">
        <v>483094</v>
      </c>
      <c r="BK58" s="155">
        <v>484408</v>
      </c>
      <c r="BL58" s="155">
        <v>485212</v>
      </c>
      <c r="BM58" s="155">
        <v>485721</v>
      </c>
      <c r="BN58" s="155">
        <v>486172</v>
      </c>
      <c r="BO58" s="155">
        <v>486584</v>
      </c>
      <c r="BP58" s="155">
        <v>486998</v>
      </c>
      <c r="BQ58" s="155">
        <v>487401</v>
      </c>
      <c r="BR58" s="155">
        <v>487991</v>
      </c>
      <c r="BS58" s="155">
        <v>488826</v>
      </c>
      <c r="BT58" s="155">
        <v>489760</v>
      </c>
      <c r="BU58" s="155">
        <v>490773</v>
      </c>
      <c r="BV58" s="155">
        <v>491946</v>
      </c>
      <c r="BW58" s="155">
        <v>493278</v>
      </c>
      <c r="BX58" s="155">
        <v>494662</v>
      </c>
      <c r="BY58" s="155">
        <v>495977</v>
      </c>
      <c r="BZ58" s="155">
        <v>497165</v>
      </c>
      <c r="CA58" s="155">
        <v>498258</v>
      </c>
      <c r="CB58" s="155">
        <v>499013</v>
      </c>
      <c r="CC58" s="155">
        <v>499335</v>
      </c>
      <c r="CD58" s="155">
        <v>499373</v>
      </c>
      <c r="CE58" s="155">
        <v>499216</v>
      </c>
      <c r="CF58" s="155">
        <v>498911</v>
      </c>
      <c r="CG58" s="155">
        <v>497997</v>
      </c>
      <c r="CH58" s="155">
        <v>496388</v>
      </c>
      <c r="CI58" s="155">
        <v>494603</v>
      </c>
      <c r="CJ58" s="155">
        <v>492692</v>
      </c>
      <c r="CK58" s="155">
        <v>490748</v>
      </c>
      <c r="CL58" s="155">
        <v>488747</v>
      </c>
      <c r="CM58" s="155">
        <v>486726</v>
      </c>
      <c r="CN58" s="155">
        <v>484843</v>
      </c>
      <c r="CO58" s="155">
        <v>483249</v>
      </c>
      <c r="CP58" s="155">
        <v>481928</v>
      </c>
      <c r="CQ58" s="155">
        <v>480829</v>
      </c>
      <c r="CR58" s="155">
        <v>479919</v>
      </c>
      <c r="CS58" s="155">
        <v>479285</v>
      </c>
      <c r="CT58" s="155">
        <v>478883</v>
      </c>
      <c r="CU58" s="155">
        <v>478712</v>
      </c>
      <c r="CV58" s="155">
        <v>478667</v>
      </c>
      <c r="CW58" s="155">
        <v>478715</v>
      </c>
      <c r="CX58" s="155">
        <v>478944</v>
      </c>
      <c r="CY58" s="154">
        <v>479313</v>
      </c>
    </row>
    <row r="59" spans="1:103">
      <c r="A59" s="155" t="s">
        <v>1136</v>
      </c>
      <c r="B59" s="154">
        <v>57</v>
      </c>
      <c r="C59" s="155">
        <v>476348</v>
      </c>
      <c r="D59" s="155">
        <v>473346</v>
      </c>
      <c r="E59" s="155">
        <v>472638</v>
      </c>
      <c r="F59" s="155">
        <v>470542</v>
      </c>
      <c r="G59" s="155">
        <v>470687</v>
      </c>
      <c r="H59" s="155">
        <v>459626</v>
      </c>
      <c r="I59" s="155">
        <v>470736</v>
      </c>
      <c r="J59" s="155">
        <v>451365</v>
      </c>
      <c r="K59" s="155">
        <v>434215</v>
      </c>
      <c r="L59" s="155">
        <v>418011</v>
      </c>
      <c r="M59" s="155">
        <v>412727</v>
      </c>
      <c r="N59" s="155">
        <v>405687</v>
      </c>
      <c r="O59" s="155">
        <v>397278</v>
      </c>
      <c r="P59" s="155">
        <v>406719</v>
      </c>
      <c r="Q59" s="155">
        <v>438119</v>
      </c>
      <c r="R59" s="155">
        <v>458761</v>
      </c>
      <c r="S59" s="155">
        <v>461124</v>
      </c>
      <c r="T59" s="155">
        <v>458048</v>
      </c>
      <c r="U59" s="155">
        <v>463942</v>
      </c>
      <c r="V59" s="155">
        <v>465978</v>
      </c>
      <c r="W59" s="155">
        <v>483097</v>
      </c>
      <c r="X59" s="155">
        <v>488426</v>
      </c>
      <c r="Y59" s="155">
        <v>497875</v>
      </c>
      <c r="Z59" s="155">
        <v>512734</v>
      </c>
      <c r="AA59" s="155">
        <v>509970</v>
      </c>
      <c r="AB59" s="155">
        <v>517148</v>
      </c>
      <c r="AC59" s="155">
        <v>522932</v>
      </c>
      <c r="AD59" s="155">
        <v>523010</v>
      </c>
      <c r="AE59" s="155">
        <v>515083</v>
      </c>
      <c r="AF59" s="155">
        <v>519687</v>
      </c>
      <c r="AG59" s="155">
        <v>512863</v>
      </c>
      <c r="AH59" s="155">
        <v>511265</v>
      </c>
      <c r="AI59" s="155">
        <v>523663</v>
      </c>
      <c r="AJ59" s="155">
        <v>518449</v>
      </c>
      <c r="AK59" s="155">
        <v>519227</v>
      </c>
      <c r="AL59" s="155">
        <v>511453</v>
      </c>
      <c r="AM59" s="155">
        <v>507341</v>
      </c>
      <c r="AN59" s="155">
        <v>507435</v>
      </c>
      <c r="AO59" s="155">
        <v>508614</v>
      </c>
      <c r="AP59" s="155">
        <v>514009</v>
      </c>
      <c r="AQ59" s="155">
        <v>511855</v>
      </c>
      <c r="AR59" s="155">
        <v>512267</v>
      </c>
      <c r="AS59" s="155">
        <v>518286</v>
      </c>
      <c r="AT59" s="155">
        <v>533928</v>
      </c>
      <c r="AU59" s="155">
        <v>530132</v>
      </c>
      <c r="AV59" s="155">
        <v>534080</v>
      </c>
      <c r="AW59" s="155">
        <v>539166</v>
      </c>
      <c r="AX59" s="155">
        <v>540365</v>
      </c>
      <c r="AY59" s="155">
        <v>531432</v>
      </c>
      <c r="AZ59" s="155">
        <v>523850</v>
      </c>
      <c r="BA59" s="155">
        <v>523220</v>
      </c>
      <c r="BB59" s="155">
        <v>526920</v>
      </c>
      <c r="BC59" s="155">
        <v>518336</v>
      </c>
      <c r="BD59" s="155">
        <v>511367</v>
      </c>
      <c r="BE59" s="155">
        <v>507787</v>
      </c>
      <c r="BF59" s="155">
        <v>503168</v>
      </c>
      <c r="BG59" s="155">
        <v>493526</v>
      </c>
      <c r="BH59" s="155">
        <v>496996</v>
      </c>
      <c r="BI59" s="155">
        <v>480762</v>
      </c>
      <c r="BJ59" s="155">
        <v>480410</v>
      </c>
      <c r="BK59" s="155">
        <v>482276</v>
      </c>
      <c r="BL59" s="155">
        <v>483600</v>
      </c>
      <c r="BM59" s="155">
        <v>484411</v>
      </c>
      <c r="BN59" s="155">
        <v>484931</v>
      </c>
      <c r="BO59" s="155">
        <v>485392</v>
      </c>
      <c r="BP59" s="155">
        <v>485815</v>
      </c>
      <c r="BQ59" s="155">
        <v>486238</v>
      </c>
      <c r="BR59" s="155">
        <v>486651</v>
      </c>
      <c r="BS59" s="155">
        <v>487250</v>
      </c>
      <c r="BT59" s="155">
        <v>488094</v>
      </c>
      <c r="BU59" s="155">
        <v>489035</v>
      </c>
      <c r="BV59" s="155">
        <v>490057</v>
      </c>
      <c r="BW59" s="155">
        <v>491239</v>
      </c>
      <c r="BX59" s="155">
        <v>492579</v>
      </c>
      <c r="BY59" s="155">
        <v>493971</v>
      </c>
      <c r="BZ59" s="155">
        <v>495292</v>
      </c>
      <c r="CA59" s="155">
        <v>496489</v>
      </c>
      <c r="CB59" s="155">
        <v>497589</v>
      </c>
      <c r="CC59" s="155">
        <v>498353</v>
      </c>
      <c r="CD59" s="155">
        <v>498682</v>
      </c>
      <c r="CE59" s="155">
        <v>498731</v>
      </c>
      <c r="CF59" s="155">
        <v>498583</v>
      </c>
      <c r="CG59" s="155">
        <v>498287</v>
      </c>
      <c r="CH59" s="155">
        <v>497383</v>
      </c>
      <c r="CI59" s="155">
        <v>495787</v>
      </c>
      <c r="CJ59" s="155">
        <v>494013</v>
      </c>
      <c r="CK59" s="155">
        <v>492114</v>
      </c>
      <c r="CL59" s="155">
        <v>490182</v>
      </c>
      <c r="CM59" s="155">
        <v>488192</v>
      </c>
      <c r="CN59" s="155">
        <v>486182</v>
      </c>
      <c r="CO59" s="155">
        <v>484312</v>
      </c>
      <c r="CP59" s="155">
        <v>482729</v>
      </c>
      <c r="CQ59" s="155">
        <v>481416</v>
      </c>
      <c r="CR59" s="155">
        <v>480327</v>
      </c>
      <c r="CS59" s="155">
        <v>479426</v>
      </c>
      <c r="CT59" s="155">
        <v>478800</v>
      </c>
      <c r="CU59" s="155">
        <v>478406</v>
      </c>
      <c r="CV59" s="155">
        <v>478244</v>
      </c>
      <c r="CW59" s="155">
        <v>478206</v>
      </c>
      <c r="CX59" s="155">
        <v>478261</v>
      </c>
      <c r="CY59" s="154">
        <v>478498</v>
      </c>
    </row>
    <row r="60" spans="1:103">
      <c r="A60" s="155" t="s">
        <v>1136</v>
      </c>
      <c r="B60" s="154">
        <v>58</v>
      </c>
      <c r="C60" s="155">
        <v>469993</v>
      </c>
      <c r="D60" s="155">
        <v>475289</v>
      </c>
      <c r="E60" s="155">
        <v>472106</v>
      </c>
      <c r="F60" s="155">
        <v>471282</v>
      </c>
      <c r="G60" s="155">
        <v>469077</v>
      </c>
      <c r="H60" s="155">
        <v>469105</v>
      </c>
      <c r="I60" s="155">
        <v>457971</v>
      </c>
      <c r="J60" s="155">
        <v>469046</v>
      </c>
      <c r="K60" s="155">
        <v>449768</v>
      </c>
      <c r="L60" s="155">
        <v>432702</v>
      </c>
      <c r="M60" s="155">
        <v>416581</v>
      </c>
      <c r="N60" s="155">
        <v>411333</v>
      </c>
      <c r="O60" s="155">
        <v>404338</v>
      </c>
      <c r="P60" s="155">
        <v>395978</v>
      </c>
      <c r="Q60" s="155">
        <v>405399</v>
      </c>
      <c r="R60" s="155">
        <v>436695</v>
      </c>
      <c r="S60" s="155">
        <v>457278</v>
      </c>
      <c r="T60" s="155">
        <v>459648</v>
      </c>
      <c r="U60" s="155">
        <v>456601</v>
      </c>
      <c r="V60" s="155">
        <v>462491</v>
      </c>
      <c r="W60" s="155">
        <v>464540</v>
      </c>
      <c r="X60" s="155">
        <v>481617</v>
      </c>
      <c r="Y60" s="155">
        <v>486949</v>
      </c>
      <c r="Z60" s="155">
        <v>496384</v>
      </c>
      <c r="AA60" s="155">
        <v>511211</v>
      </c>
      <c r="AB60" s="155">
        <v>508476</v>
      </c>
      <c r="AC60" s="155">
        <v>515649</v>
      </c>
      <c r="AD60" s="155">
        <v>521432</v>
      </c>
      <c r="AE60" s="155">
        <v>521530</v>
      </c>
      <c r="AF60" s="155">
        <v>513645</v>
      </c>
      <c r="AG60" s="155">
        <v>518255</v>
      </c>
      <c r="AH60" s="155">
        <v>511472</v>
      </c>
      <c r="AI60" s="155">
        <v>509895</v>
      </c>
      <c r="AJ60" s="155">
        <v>522272</v>
      </c>
      <c r="AK60" s="155">
        <v>517091</v>
      </c>
      <c r="AL60" s="155">
        <v>517884</v>
      </c>
      <c r="AM60" s="155">
        <v>510147</v>
      </c>
      <c r="AN60" s="155">
        <v>506065</v>
      </c>
      <c r="AO60" s="155">
        <v>506176</v>
      </c>
      <c r="AP60" s="155">
        <v>507367</v>
      </c>
      <c r="AQ60" s="155">
        <v>512765</v>
      </c>
      <c r="AR60" s="155">
        <v>510635</v>
      </c>
      <c r="AS60" s="155">
        <v>511061</v>
      </c>
      <c r="AT60" s="155">
        <v>517077</v>
      </c>
      <c r="AU60" s="155">
        <v>532693</v>
      </c>
      <c r="AV60" s="155">
        <v>528924</v>
      </c>
      <c r="AW60" s="155">
        <v>532877</v>
      </c>
      <c r="AX60" s="155">
        <v>537966</v>
      </c>
      <c r="AY60" s="155">
        <v>539178</v>
      </c>
      <c r="AZ60" s="155">
        <v>530282</v>
      </c>
      <c r="BA60" s="155">
        <v>522736</v>
      </c>
      <c r="BB60" s="155">
        <v>522123</v>
      </c>
      <c r="BC60" s="155">
        <v>525827</v>
      </c>
      <c r="BD60" s="155">
        <v>517281</v>
      </c>
      <c r="BE60" s="155">
        <v>510343</v>
      </c>
      <c r="BF60" s="155">
        <v>506785</v>
      </c>
      <c r="BG60" s="155">
        <v>502191</v>
      </c>
      <c r="BH60" s="155">
        <v>492586</v>
      </c>
      <c r="BI60" s="155">
        <v>496060</v>
      </c>
      <c r="BJ60" s="155">
        <v>479877</v>
      </c>
      <c r="BK60" s="155">
        <v>479537</v>
      </c>
      <c r="BL60" s="155">
        <v>481411</v>
      </c>
      <c r="BM60" s="155">
        <v>482745</v>
      </c>
      <c r="BN60" s="155">
        <v>483565</v>
      </c>
      <c r="BO60" s="155">
        <v>484097</v>
      </c>
      <c r="BP60" s="155">
        <v>484567</v>
      </c>
      <c r="BQ60" s="155">
        <v>485001</v>
      </c>
      <c r="BR60" s="155">
        <v>485435</v>
      </c>
      <c r="BS60" s="155">
        <v>485857</v>
      </c>
      <c r="BT60" s="155">
        <v>486467</v>
      </c>
      <c r="BU60" s="155">
        <v>487321</v>
      </c>
      <c r="BV60" s="155">
        <v>488271</v>
      </c>
      <c r="BW60" s="155">
        <v>489302</v>
      </c>
      <c r="BX60" s="155">
        <v>490493</v>
      </c>
      <c r="BY60" s="155">
        <v>491841</v>
      </c>
      <c r="BZ60" s="155">
        <v>493240</v>
      </c>
      <c r="CA60" s="155">
        <v>494569</v>
      </c>
      <c r="CB60" s="155">
        <v>495774</v>
      </c>
      <c r="CC60" s="155">
        <v>496882</v>
      </c>
      <c r="CD60" s="155">
        <v>497656</v>
      </c>
      <c r="CE60" s="155">
        <v>497994</v>
      </c>
      <c r="CF60" s="155">
        <v>498053</v>
      </c>
      <c r="CG60" s="155">
        <v>497915</v>
      </c>
      <c r="CH60" s="155">
        <v>497630</v>
      </c>
      <c r="CI60" s="155">
        <v>496739</v>
      </c>
      <c r="CJ60" s="155">
        <v>495154</v>
      </c>
      <c r="CK60" s="155">
        <v>493391</v>
      </c>
      <c r="CL60" s="155">
        <v>491507</v>
      </c>
      <c r="CM60" s="155">
        <v>489586</v>
      </c>
      <c r="CN60" s="155">
        <v>487610</v>
      </c>
      <c r="CO60" s="155">
        <v>485611</v>
      </c>
      <c r="CP60" s="155">
        <v>483753</v>
      </c>
      <c r="CQ60" s="155">
        <v>482182</v>
      </c>
      <c r="CR60" s="155">
        <v>480880</v>
      </c>
      <c r="CS60" s="155">
        <v>479801</v>
      </c>
      <c r="CT60" s="155">
        <v>478909</v>
      </c>
      <c r="CU60" s="155">
        <v>478292</v>
      </c>
      <c r="CV60" s="155">
        <v>477906</v>
      </c>
      <c r="CW60" s="155">
        <v>477753</v>
      </c>
      <c r="CX60" s="155">
        <v>477723</v>
      </c>
      <c r="CY60" s="154">
        <v>477786</v>
      </c>
    </row>
    <row r="61" spans="1:103">
      <c r="A61" s="155" t="s">
        <v>1136</v>
      </c>
      <c r="B61" s="154">
        <v>59</v>
      </c>
      <c r="C61" s="155">
        <v>458236</v>
      </c>
      <c r="D61" s="155">
        <v>468726</v>
      </c>
      <c r="E61" s="155">
        <v>473832</v>
      </c>
      <c r="F61" s="155">
        <v>470557</v>
      </c>
      <c r="G61" s="155">
        <v>469629</v>
      </c>
      <c r="H61" s="155">
        <v>467326</v>
      </c>
      <c r="I61" s="155">
        <v>467245</v>
      </c>
      <c r="J61" s="155">
        <v>456172</v>
      </c>
      <c r="K61" s="155">
        <v>467213</v>
      </c>
      <c r="L61" s="155">
        <v>448034</v>
      </c>
      <c r="M61" s="155">
        <v>431059</v>
      </c>
      <c r="N61" s="155">
        <v>415026</v>
      </c>
      <c r="O61" s="155">
        <v>409818</v>
      </c>
      <c r="P61" s="155">
        <v>402871</v>
      </c>
      <c r="Q61" s="155">
        <v>394565</v>
      </c>
      <c r="R61" s="155">
        <v>403963</v>
      </c>
      <c r="S61" s="155">
        <v>435151</v>
      </c>
      <c r="T61" s="155">
        <v>455670</v>
      </c>
      <c r="U61" s="155">
        <v>458047</v>
      </c>
      <c r="V61" s="155">
        <v>455031</v>
      </c>
      <c r="W61" s="155">
        <v>460917</v>
      </c>
      <c r="X61" s="155">
        <v>462981</v>
      </c>
      <c r="Y61" s="155">
        <v>480011</v>
      </c>
      <c r="Z61" s="155">
        <v>485345</v>
      </c>
      <c r="AA61" s="155">
        <v>494766</v>
      </c>
      <c r="AB61" s="155">
        <v>509557</v>
      </c>
      <c r="AC61" s="155">
        <v>506854</v>
      </c>
      <c r="AD61" s="155">
        <v>514021</v>
      </c>
      <c r="AE61" s="155">
        <v>519803</v>
      </c>
      <c r="AF61" s="155">
        <v>519923</v>
      </c>
      <c r="AG61" s="155">
        <v>512085</v>
      </c>
      <c r="AH61" s="155">
        <v>516697</v>
      </c>
      <c r="AI61" s="155">
        <v>509960</v>
      </c>
      <c r="AJ61" s="155">
        <v>508405</v>
      </c>
      <c r="AK61" s="155">
        <v>520760</v>
      </c>
      <c r="AL61" s="155">
        <v>515615</v>
      </c>
      <c r="AM61" s="155">
        <v>516421</v>
      </c>
      <c r="AN61" s="155">
        <v>508725</v>
      </c>
      <c r="AO61" s="155">
        <v>504675</v>
      </c>
      <c r="AP61" s="155">
        <v>504805</v>
      </c>
      <c r="AQ61" s="155">
        <v>506009</v>
      </c>
      <c r="AR61" s="155">
        <v>511410</v>
      </c>
      <c r="AS61" s="155">
        <v>509306</v>
      </c>
      <c r="AT61" s="155">
        <v>509746</v>
      </c>
      <c r="AU61" s="155">
        <v>515762</v>
      </c>
      <c r="AV61" s="155">
        <v>531347</v>
      </c>
      <c r="AW61" s="155">
        <v>527606</v>
      </c>
      <c r="AX61" s="155">
        <v>531565</v>
      </c>
      <c r="AY61" s="155">
        <v>536656</v>
      </c>
      <c r="AZ61" s="155">
        <v>537883</v>
      </c>
      <c r="BA61" s="155">
        <v>529029</v>
      </c>
      <c r="BB61" s="155">
        <v>521519</v>
      </c>
      <c r="BC61" s="155">
        <v>520924</v>
      </c>
      <c r="BD61" s="155">
        <v>524635</v>
      </c>
      <c r="BE61" s="155">
        <v>516126</v>
      </c>
      <c r="BF61" s="155">
        <v>509224</v>
      </c>
      <c r="BG61" s="155">
        <v>505688</v>
      </c>
      <c r="BH61" s="155">
        <v>501122</v>
      </c>
      <c r="BI61" s="155">
        <v>491556</v>
      </c>
      <c r="BJ61" s="155">
        <v>495034</v>
      </c>
      <c r="BK61" s="155">
        <v>478906</v>
      </c>
      <c r="BL61" s="155">
        <v>478579</v>
      </c>
      <c r="BM61" s="155">
        <v>480461</v>
      </c>
      <c r="BN61" s="155">
        <v>481806</v>
      </c>
      <c r="BO61" s="155">
        <v>482636</v>
      </c>
      <c r="BP61" s="155">
        <v>483180</v>
      </c>
      <c r="BQ61" s="155">
        <v>483661</v>
      </c>
      <c r="BR61" s="155">
        <v>484106</v>
      </c>
      <c r="BS61" s="155">
        <v>484551</v>
      </c>
      <c r="BT61" s="155">
        <v>484985</v>
      </c>
      <c r="BU61" s="155">
        <v>485605</v>
      </c>
      <c r="BV61" s="155">
        <v>486470</v>
      </c>
      <c r="BW61" s="155">
        <v>487430</v>
      </c>
      <c r="BX61" s="155">
        <v>488470</v>
      </c>
      <c r="BY61" s="155">
        <v>489670</v>
      </c>
      <c r="BZ61" s="155">
        <v>491027</v>
      </c>
      <c r="CA61" s="155">
        <v>492436</v>
      </c>
      <c r="CB61" s="155">
        <v>493772</v>
      </c>
      <c r="CC61" s="155">
        <v>494986</v>
      </c>
      <c r="CD61" s="155">
        <v>496103</v>
      </c>
      <c r="CE61" s="155">
        <v>496887</v>
      </c>
      <c r="CF61" s="155">
        <v>497235</v>
      </c>
      <c r="CG61" s="155">
        <v>497305</v>
      </c>
      <c r="CH61" s="155">
        <v>497178</v>
      </c>
      <c r="CI61" s="155">
        <v>496904</v>
      </c>
      <c r="CJ61" s="155">
        <v>496025</v>
      </c>
      <c r="CK61" s="155">
        <v>494453</v>
      </c>
      <c r="CL61" s="155">
        <v>492703</v>
      </c>
      <c r="CM61" s="155">
        <v>490832</v>
      </c>
      <c r="CN61" s="155">
        <v>488925</v>
      </c>
      <c r="CO61" s="155">
        <v>486963</v>
      </c>
      <c r="CP61" s="155">
        <v>484978</v>
      </c>
      <c r="CQ61" s="155">
        <v>483133</v>
      </c>
      <c r="CR61" s="155">
        <v>481571</v>
      </c>
      <c r="CS61" s="155">
        <v>480282</v>
      </c>
      <c r="CT61" s="155">
        <v>479216</v>
      </c>
      <c r="CU61" s="155">
        <v>478331</v>
      </c>
      <c r="CV61" s="155">
        <v>477726</v>
      </c>
      <c r="CW61" s="155">
        <v>477348</v>
      </c>
      <c r="CX61" s="155">
        <v>477205</v>
      </c>
      <c r="CY61" s="154">
        <v>477183</v>
      </c>
    </row>
    <row r="62" spans="1:103">
      <c r="A62" s="155" t="s">
        <v>1136</v>
      </c>
      <c r="B62" s="154">
        <v>60</v>
      </c>
      <c r="C62" s="155">
        <v>446134</v>
      </c>
      <c r="D62" s="155">
        <v>456759</v>
      </c>
      <c r="E62" s="155">
        <v>467061</v>
      </c>
      <c r="F62" s="155">
        <v>472052</v>
      </c>
      <c r="G62" s="155">
        <v>468699</v>
      </c>
      <c r="H62" s="155">
        <v>467677</v>
      </c>
      <c r="I62" s="155">
        <v>465286</v>
      </c>
      <c r="J62" s="155">
        <v>465218</v>
      </c>
      <c r="K62" s="155">
        <v>454210</v>
      </c>
      <c r="L62" s="155">
        <v>465215</v>
      </c>
      <c r="M62" s="155">
        <v>446142</v>
      </c>
      <c r="N62" s="155">
        <v>429268</v>
      </c>
      <c r="O62" s="155">
        <v>413327</v>
      </c>
      <c r="P62" s="155">
        <v>408162</v>
      </c>
      <c r="Q62" s="155">
        <v>401268</v>
      </c>
      <c r="R62" s="155">
        <v>393019</v>
      </c>
      <c r="S62" s="155">
        <v>402394</v>
      </c>
      <c r="T62" s="155">
        <v>433465</v>
      </c>
      <c r="U62" s="155">
        <v>453917</v>
      </c>
      <c r="V62" s="155">
        <v>456300</v>
      </c>
      <c r="W62" s="155">
        <v>453320</v>
      </c>
      <c r="X62" s="155">
        <v>459200</v>
      </c>
      <c r="Y62" s="155">
        <v>461278</v>
      </c>
      <c r="Z62" s="155">
        <v>478261</v>
      </c>
      <c r="AA62" s="155">
        <v>483595</v>
      </c>
      <c r="AB62" s="155">
        <v>493001</v>
      </c>
      <c r="AC62" s="155">
        <v>507754</v>
      </c>
      <c r="AD62" s="155">
        <v>505084</v>
      </c>
      <c r="AE62" s="155">
        <v>512245</v>
      </c>
      <c r="AF62" s="155">
        <v>518028</v>
      </c>
      <c r="AG62" s="155">
        <v>518166</v>
      </c>
      <c r="AH62" s="155">
        <v>510381</v>
      </c>
      <c r="AI62" s="155">
        <v>514997</v>
      </c>
      <c r="AJ62" s="155">
        <v>508306</v>
      </c>
      <c r="AK62" s="155">
        <v>506777</v>
      </c>
      <c r="AL62" s="155">
        <v>519108</v>
      </c>
      <c r="AM62" s="155">
        <v>513999</v>
      </c>
      <c r="AN62" s="155">
        <v>514822</v>
      </c>
      <c r="AO62" s="155">
        <v>507170</v>
      </c>
      <c r="AP62" s="155">
        <v>503154</v>
      </c>
      <c r="AQ62" s="155">
        <v>503303</v>
      </c>
      <c r="AR62" s="155">
        <v>504523</v>
      </c>
      <c r="AS62" s="155">
        <v>509924</v>
      </c>
      <c r="AT62" s="155">
        <v>507848</v>
      </c>
      <c r="AU62" s="155">
        <v>508303</v>
      </c>
      <c r="AV62" s="155">
        <v>514319</v>
      </c>
      <c r="AW62" s="155">
        <v>529873</v>
      </c>
      <c r="AX62" s="155">
        <v>526162</v>
      </c>
      <c r="AY62" s="155">
        <v>530127</v>
      </c>
      <c r="AZ62" s="155">
        <v>535220</v>
      </c>
      <c r="BA62" s="155">
        <v>536463</v>
      </c>
      <c r="BB62" s="155">
        <v>527652</v>
      </c>
      <c r="BC62" s="155">
        <v>520182</v>
      </c>
      <c r="BD62" s="155">
        <v>519604</v>
      </c>
      <c r="BE62" s="155">
        <v>523324</v>
      </c>
      <c r="BF62" s="155">
        <v>514856</v>
      </c>
      <c r="BG62" s="155">
        <v>507990</v>
      </c>
      <c r="BH62" s="155">
        <v>504479</v>
      </c>
      <c r="BI62" s="155">
        <v>499943</v>
      </c>
      <c r="BJ62" s="155">
        <v>490418</v>
      </c>
      <c r="BK62" s="155">
        <v>493902</v>
      </c>
      <c r="BL62" s="155">
        <v>477831</v>
      </c>
      <c r="BM62" s="155">
        <v>477519</v>
      </c>
      <c r="BN62" s="155">
        <v>479411</v>
      </c>
      <c r="BO62" s="155">
        <v>480766</v>
      </c>
      <c r="BP62" s="155">
        <v>481606</v>
      </c>
      <c r="BQ62" s="155">
        <v>482163</v>
      </c>
      <c r="BR62" s="155">
        <v>482656</v>
      </c>
      <c r="BS62" s="155">
        <v>483112</v>
      </c>
      <c r="BT62" s="155">
        <v>483571</v>
      </c>
      <c r="BU62" s="155">
        <v>484016</v>
      </c>
      <c r="BV62" s="155">
        <v>484648</v>
      </c>
      <c r="BW62" s="155">
        <v>485524</v>
      </c>
      <c r="BX62" s="155">
        <v>486494</v>
      </c>
      <c r="BY62" s="155">
        <v>487545</v>
      </c>
      <c r="BZ62" s="155">
        <v>488754</v>
      </c>
      <c r="CA62" s="155">
        <v>490120</v>
      </c>
      <c r="CB62" s="155">
        <v>491538</v>
      </c>
      <c r="CC62" s="155">
        <v>492882</v>
      </c>
      <c r="CD62" s="155">
        <v>494108</v>
      </c>
      <c r="CE62" s="155">
        <v>495234</v>
      </c>
      <c r="CF62" s="155">
        <v>496027</v>
      </c>
      <c r="CG62" s="155">
        <v>496387</v>
      </c>
      <c r="CH62" s="155">
        <v>496467</v>
      </c>
      <c r="CI62" s="155">
        <v>496353</v>
      </c>
      <c r="CJ62" s="155">
        <v>496091</v>
      </c>
      <c r="CK62" s="155">
        <v>495225</v>
      </c>
      <c r="CL62" s="155">
        <v>493667</v>
      </c>
      <c r="CM62" s="155">
        <v>491933</v>
      </c>
      <c r="CN62" s="155">
        <v>490075</v>
      </c>
      <c r="CO62" s="155">
        <v>488184</v>
      </c>
      <c r="CP62" s="155">
        <v>486234</v>
      </c>
      <c r="CQ62" s="155">
        <v>484265</v>
      </c>
      <c r="CR62" s="155">
        <v>482434</v>
      </c>
      <c r="CS62" s="155">
        <v>480883</v>
      </c>
      <c r="CT62" s="155">
        <v>479606</v>
      </c>
      <c r="CU62" s="155">
        <v>478552</v>
      </c>
      <c r="CV62" s="155">
        <v>477679</v>
      </c>
      <c r="CW62" s="155">
        <v>477084</v>
      </c>
      <c r="CX62" s="155">
        <v>476717</v>
      </c>
      <c r="CY62" s="154">
        <v>476581</v>
      </c>
    </row>
    <row r="63" spans="1:103">
      <c r="A63" s="155" t="s">
        <v>1136</v>
      </c>
      <c r="B63" s="154">
        <v>61</v>
      </c>
      <c r="C63" s="155">
        <v>428553</v>
      </c>
      <c r="D63" s="155">
        <v>444501</v>
      </c>
      <c r="E63" s="155">
        <v>454955</v>
      </c>
      <c r="F63" s="155">
        <v>465124</v>
      </c>
      <c r="G63" s="155">
        <v>470007</v>
      </c>
      <c r="H63" s="155">
        <v>466588</v>
      </c>
      <c r="I63" s="155">
        <v>465479</v>
      </c>
      <c r="J63" s="155">
        <v>463112</v>
      </c>
      <c r="K63" s="155">
        <v>463059</v>
      </c>
      <c r="L63" s="155">
        <v>452122</v>
      </c>
      <c r="M63" s="155">
        <v>463089</v>
      </c>
      <c r="N63" s="155">
        <v>444133</v>
      </c>
      <c r="O63" s="155">
        <v>427363</v>
      </c>
      <c r="P63" s="155">
        <v>411523</v>
      </c>
      <c r="Q63" s="155">
        <v>406404</v>
      </c>
      <c r="R63" s="155">
        <v>399566</v>
      </c>
      <c r="S63" s="155">
        <v>391378</v>
      </c>
      <c r="T63" s="155">
        <v>400729</v>
      </c>
      <c r="U63" s="155">
        <v>431675</v>
      </c>
      <c r="V63" s="155">
        <v>452054</v>
      </c>
      <c r="W63" s="155">
        <v>454446</v>
      </c>
      <c r="X63" s="155">
        <v>451501</v>
      </c>
      <c r="Y63" s="155">
        <v>457378</v>
      </c>
      <c r="Z63" s="155">
        <v>459471</v>
      </c>
      <c r="AA63" s="155">
        <v>476404</v>
      </c>
      <c r="AB63" s="155">
        <v>481737</v>
      </c>
      <c r="AC63" s="155">
        <v>491126</v>
      </c>
      <c r="AD63" s="155">
        <v>505838</v>
      </c>
      <c r="AE63" s="155">
        <v>503204</v>
      </c>
      <c r="AF63" s="155">
        <v>510359</v>
      </c>
      <c r="AG63" s="155">
        <v>516139</v>
      </c>
      <c r="AH63" s="155">
        <v>516301</v>
      </c>
      <c r="AI63" s="155">
        <v>508570</v>
      </c>
      <c r="AJ63" s="155">
        <v>513190</v>
      </c>
      <c r="AK63" s="155">
        <v>506549</v>
      </c>
      <c r="AL63" s="155">
        <v>505047</v>
      </c>
      <c r="AM63" s="155">
        <v>517353</v>
      </c>
      <c r="AN63" s="155">
        <v>512284</v>
      </c>
      <c r="AO63" s="155">
        <v>513124</v>
      </c>
      <c r="AP63" s="155">
        <v>505519</v>
      </c>
      <c r="AQ63" s="155">
        <v>501539</v>
      </c>
      <c r="AR63" s="155">
        <v>501708</v>
      </c>
      <c r="AS63" s="155">
        <v>502943</v>
      </c>
      <c r="AT63" s="155">
        <v>508347</v>
      </c>
      <c r="AU63" s="155">
        <v>506299</v>
      </c>
      <c r="AV63" s="155">
        <v>506771</v>
      </c>
      <c r="AW63" s="155">
        <v>512787</v>
      </c>
      <c r="AX63" s="155">
        <v>528307</v>
      </c>
      <c r="AY63" s="155">
        <v>524628</v>
      </c>
      <c r="AZ63" s="155">
        <v>528600</v>
      </c>
      <c r="BA63" s="155">
        <v>533696</v>
      </c>
      <c r="BB63" s="155">
        <v>534955</v>
      </c>
      <c r="BC63" s="155">
        <v>526190</v>
      </c>
      <c r="BD63" s="155">
        <v>518763</v>
      </c>
      <c r="BE63" s="155">
        <v>518204</v>
      </c>
      <c r="BF63" s="155">
        <v>521932</v>
      </c>
      <c r="BG63" s="155">
        <v>513507</v>
      </c>
      <c r="BH63" s="155">
        <v>506681</v>
      </c>
      <c r="BI63" s="155">
        <v>503197</v>
      </c>
      <c r="BJ63" s="155">
        <v>498691</v>
      </c>
      <c r="BK63" s="155">
        <v>489211</v>
      </c>
      <c r="BL63" s="155">
        <v>492701</v>
      </c>
      <c r="BM63" s="155">
        <v>476693</v>
      </c>
      <c r="BN63" s="155">
        <v>476395</v>
      </c>
      <c r="BO63" s="155">
        <v>478299</v>
      </c>
      <c r="BP63" s="155">
        <v>479663</v>
      </c>
      <c r="BQ63" s="155">
        <v>480515</v>
      </c>
      <c r="BR63" s="155">
        <v>481085</v>
      </c>
      <c r="BS63" s="155">
        <v>481591</v>
      </c>
      <c r="BT63" s="155">
        <v>482060</v>
      </c>
      <c r="BU63" s="155">
        <v>482532</v>
      </c>
      <c r="BV63" s="155">
        <v>482990</v>
      </c>
      <c r="BW63" s="155">
        <v>483633</v>
      </c>
      <c r="BX63" s="155">
        <v>484523</v>
      </c>
      <c r="BY63" s="155">
        <v>485504</v>
      </c>
      <c r="BZ63" s="155">
        <v>486565</v>
      </c>
      <c r="CA63" s="155">
        <v>487786</v>
      </c>
      <c r="CB63" s="155">
        <v>489160</v>
      </c>
      <c r="CC63" s="155">
        <v>490588</v>
      </c>
      <c r="CD63" s="155">
        <v>491943</v>
      </c>
      <c r="CE63" s="155">
        <v>493178</v>
      </c>
      <c r="CF63" s="155">
        <v>494314</v>
      </c>
      <c r="CG63" s="155">
        <v>495117</v>
      </c>
      <c r="CH63" s="155">
        <v>495490</v>
      </c>
      <c r="CI63" s="155">
        <v>495582</v>
      </c>
      <c r="CJ63" s="155">
        <v>495480</v>
      </c>
      <c r="CK63" s="155">
        <v>495232</v>
      </c>
      <c r="CL63" s="155">
        <v>494378</v>
      </c>
      <c r="CM63" s="155">
        <v>492837</v>
      </c>
      <c r="CN63" s="155">
        <v>491118</v>
      </c>
      <c r="CO63" s="155">
        <v>489275</v>
      </c>
      <c r="CP63" s="155">
        <v>487402</v>
      </c>
      <c r="CQ63" s="155">
        <v>485465</v>
      </c>
      <c r="CR63" s="155">
        <v>483511</v>
      </c>
      <c r="CS63" s="155">
        <v>481694</v>
      </c>
      <c r="CT63" s="155">
        <v>480157</v>
      </c>
      <c r="CU63" s="155">
        <v>478893</v>
      </c>
      <c r="CV63" s="155">
        <v>477852</v>
      </c>
      <c r="CW63" s="155">
        <v>476991</v>
      </c>
      <c r="CX63" s="155">
        <v>476407</v>
      </c>
      <c r="CY63" s="154">
        <v>476052</v>
      </c>
    </row>
    <row r="64" spans="1:103">
      <c r="A64" s="155" t="s">
        <v>1136</v>
      </c>
      <c r="B64" s="154">
        <v>62</v>
      </c>
      <c r="C64" s="155">
        <v>411352</v>
      </c>
      <c r="D64" s="155">
        <v>426739</v>
      </c>
      <c r="E64" s="155">
        <v>442509</v>
      </c>
      <c r="F64" s="155">
        <v>452838</v>
      </c>
      <c r="G64" s="155">
        <v>462881</v>
      </c>
      <c r="H64" s="155">
        <v>467661</v>
      </c>
      <c r="I64" s="155">
        <v>464184</v>
      </c>
      <c r="J64" s="155">
        <v>463096</v>
      </c>
      <c r="K64" s="155">
        <v>460757</v>
      </c>
      <c r="L64" s="155">
        <v>460720</v>
      </c>
      <c r="M64" s="155">
        <v>449861</v>
      </c>
      <c r="N64" s="155">
        <v>460789</v>
      </c>
      <c r="O64" s="155">
        <v>441956</v>
      </c>
      <c r="P64" s="155">
        <v>425302</v>
      </c>
      <c r="Q64" s="155">
        <v>409568</v>
      </c>
      <c r="R64" s="155">
        <v>404500</v>
      </c>
      <c r="S64" s="155">
        <v>397719</v>
      </c>
      <c r="T64" s="155">
        <v>389598</v>
      </c>
      <c r="U64" s="155">
        <v>398923</v>
      </c>
      <c r="V64" s="155">
        <v>429735</v>
      </c>
      <c r="W64" s="155">
        <v>450037</v>
      </c>
      <c r="X64" s="155">
        <v>452439</v>
      </c>
      <c r="Y64" s="155">
        <v>449533</v>
      </c>
      <c r="Z64" s="155">
        <v>455406</v>
      </c>
      <c r="AA64" s="155">
        <v>457515</v>
      </c>
      <c r="AB64" s="155">
        <v>474391</v>
      </c>
      <c r="AC64" s="155">
        <v>479723</v>
      </c>
      <c r="AD64" s="155">
        <v>489095</v>
      </c>
      <c r="AE64" s="155">
        <v>503765</v>
      </c>
      <c r="AF64" s="155">
        <v>501167</v>
      </c>
      <c r="AG64" s="155">
        <v>508316</v>
      </c>
      <c r="AH64" s="155">
        <v>514094</v>
      </c>
      <c r="AI64" s="155">
        <v>514279</v>
      </c>
      <c r="AJ64" s="155">
        <v>506608</v>
      </c>
      <c r="AK64" s="155">
        <v>511234</v>
      </c>
      <c r="AL64" s="155">
        <v>504645</v>
      </c>
      <c r="AM64" s="155">
        <v>503170</v>
      </c>
      <c r="AN64" s="155">
        <v>515449</v>
      </c>
      <c r="AO64" s="155">
        <v>510423</v>
      </c>
      <c r="AP64" s="155">
        <v>511281</v>
      </c>
      <c r="AQ64" s="155">
        <v>503727</v>
      </c>
      <c r="AR64" s="155">
        <v>499785</v>
      </c>
      <c r="AS64" s="155">
        <v>499976</v>
      </c>
      <c r="AT64" s="155">
        <v>501226</v>
      </c>
      <c r="AU64" s="155">
        <v>506633</v>
      </c>
      <c r="AV64" s="155">
        <v>504615</v>
      </c>
      <c r="AW64" s="155">
        <v>505106</v>
      </c>
      <c r="AX64" s="155">
        <v>511122</v>
      </c>
      <c r="AY64" s="155">
        <v>526604</v>
      </c>
      <c r="AZ64" s="155">
        <v>522960</v>
      </c>
      <c r="BA64" s="155">
        <v>526938</v>
      </c>
      <c r="BB64" s="155">
        <v>532037</v>
      </c>
      <c r="BC64" s="155">
        <v>533312</v>
      </c>
      <c r="BD64" s="155">
        <v>524598</v>
      </c>
      <c r="BE64" s="155">
        <v>517216</v>
      </c>
      <c r="BF64" s="155">
        <v>516680</v>
      </c>
      <c r="BG64" s="155">
        <v>520415</v>
      </c>
      <c r="BH64" s="155">
        <v>512038</v>
      </c>
      <c r="BI64" s="155">
        <v>505251</v>
      </c>
      <c r="BJ64" s="155">
        <v>501799</v>
      </c>
      <c r="BK64" s="155">
        <v>497323</v>
      </c>
      <c r="BL64" s="155">
        <v>487891</v>
      </c>
      <c r="BM64" s="155">
        <v>491388</v>
      </c>
      <c r="BN64" s="155">
        <v>475445</v>
      </c>
      <c r="BO64" s="155">
        <v>475164</v>
      </c>
      <c r="BP64" s="155">
        <v>477078</v>
      </c>
      <c r="BQ64" s="155">
        <v>478455</v>
      </c>
      <c r="BR64" s="155">
        <v>479319</v>
      </c>
      <c r="BS64" s="155">
        <v>479902</v>
      </c>
      <c r="BT64" s="155">
        <v>480424</v>
      </c>
      <c r="BU64" s="155">
        <v>480905</v>
      </c>
      <c r="BV64" s="155">
        <v>481392</v>
      </c>
      <c r="BW64" s="155">
        <v>481863</v>
      </c>
      <c r="BX64" s="155">
        <v>482519</v>
      </c>
      <c r="BY64" s="155">
        <v>483421</v>
      </c>
      <c r="BZ64" s="155">
        <v>484414</v>
      </c>
      <c r="CA64" s="155">
        <v>485488</v>
      </c>
      <c r="CB64" s="155">
        <v>486719</v>
      </c>
      <c r="CC64" s="155">
        <v>488103</v>
      </c>
      <c r="CD64" s="155">
        <v>489542</v>
      </c>
      <c r="CE64" s="155">
        <v>490909</v>
      </c>
      <c r="CF64" s="155">
        <v>492152</v>
      </c>
      <c r="CG64" s="155">
        <v>493300</v>
      </c>
      <c r="CH64" s="155">
        <v>494114</v>
      </c>
      <c r="CI64" s="155">
        <v>494500</v>
      </c>
      <c r="CJ64" s="155">
        <v>494605</v>
      </c>
      <c r="CK64" s="155">
        <v>494517</v>
      </c>
      <c r="CL64" s="155">
        <v>494283</v>
      </c>
      <c r="CM64" s="155">
        <v>493445</v>
      </c>
      <c r="CN64" s="155">
        <v>491920</v>
      </c>
      <c r="CO64" s="155">
        <v>490217</v>
      </c>
      <c r="CP64" s="155">
        <v>488390</v>
      </c>
      <c r="CQ64" s="155">
        <v>486533</v>
      </c>
      <c r="CR64" s="155">
        <v>484614</v>
      </c>
      <c r="CS64" s="155">
        <v>482675</v>
      </c>
      <c r="CT64" s="155">
        <v>480874</v>
      </c>
      <c r="CU64" s="155">
        <v>479351</v>
      </c>
      <c r="CV64" s="155">
        <v>478103</v>
      </c>
      <c r="CW64" s="155">
        <v>477073</v>
      </c>
      <c r="CX64" s="155">
        <v>476224</v>
      </c>
      <c r="CY64" s="154">
        <v>475653</v>
      </c>
    </row>
    <row r="65" spans="1:103">
      <c r="A65" s="155" t="s">
        <v>1136</v>
      </c>
      <c r="B65" s="154">
        <v>63</v>
      </c>
      <c r="C65" s="155">
        <v>400981</v>
      </c>
      <c r="D65" s="155">
        <v>409319</v>
      </c>
      <c r="E65" s="155">
        <v>424548</v>
      </c>
      <c r="F65" s="155">
        <v>440174</v>
      </c>
      <c r="G65" s="155">
        <v>450386</v>
      </c>
      <c r="H65" s="155">
        <v>460309</v>
      </c>
      <c r="I65" s="155">
        <v>464994</v>
      </c>
      <c r="J65" s="155">
        <v>461559</v>
      </c>
      <c r="K65" s="155">
        <v>460495</v>
      </c>
      <c r="L65" s="155">
        <v>458186</v>
      </c>
      <c r="M65" s="155">
        <v>458168</v>
      </c>
      <c r="N65" s="155">
        <v>447394</v>
      </c>
      <c r="O65" s="155">
        <v>458281</v>
      </c>
      <c r="P65" s="155">
        <v>439581</v>
      </c>
      <c r="Q65" s="155">
        <v>423048</v>
      </c>
      <c r="R65" s="155">
        <v>407430</v>
      </c>
      <c r="S65" s="155">
        <v>402417</v>
      </c>
      <c r="T65" s="155">
        <v>395697</v>
      </c>
      <c r="U65" s="155">
        <v>387646</v>
      </c>
      <c r="V65" s="155">
        <v>396943</v>
      </c>
      <c r="W65" s="155">
        <v>427614</v>
      </c>
      <c r="X65" s="155">
        <v>447833</v>
      </c>
      <c r="Y65" s="155">
        <v>450247</v>
      </c>
      <c r="Z65" s="155">
        <v>447380</v>
      </c>
      <c r="AA65" s="155">
        <v>453250</v>
      </c>
      <c r="AB65" s="155">
        <v>455376</v>
      </c>
      <c r="AC65" s="155">
        <v>472191</v>
      </c>
      <c r="AD65" s="155">
        <v>477523</v>
      </c>
      <c r="AE65" s="155">
        <v>486877</v>
      </c>
      <c r="AF65" s="155">
        <v>501500</v>
      </c>
      <c r="AG65" s="155">
        <v>498941</v>
      </c>
      <c r="AH65" s="155">
        <v>506084</v>
      </c>
      <c r="AI65" s="155">
        <v>511861</v>
      </c>
      <c r="AJ65" s="155">
        <v>512070</v>
      </c>
      <c r="AK65" s="155">
        <v>504460</v>
      </c>
      <c r="AL65" s="155">
        <v>509092</v>
      </c>
      <c r="AM65" s="155">
        <v>502560</v>
      </c>
      <c r="AN65" s="155">
        <v>501116</v>
      </c>
      <c r="AO65" s="155">
        <v>513365</v>
      </c>
      <c r="AP65" s="155">
        <v>508383</v>
      </c>
      <c r="AQ65" s="155">
        <v>509262</v>
      </c>
      <c r="AR65" s="155">
        <v>501760</v>
      </c>
      <c r="AS65" s="155">
        <v>497861</v>
      </c>
      <c r="AT65" s="155">
        <v>498073</v>
      </c>
      <c r="AU65" s="155">
        <v>499340</v>
      </c>
      <c r="AV65" s="155">
        <v>504753</v>
      </c>
      <c r="AW65" s="155">
        <v>502764</v>
      </c>
      <c r="AX65" s="155">
        <v>503276</v>
      </c>
      <c r="AY65" s="155">
        <v>509291</v>
      </c>
      <c r="AZ65" s="155">
        <v>524733</v>
      </c>
      <c r="BA65" s="155">
        <v>521126</v>
      </c>
      <c r="BB65" s="155">
        <v>525110</v>
      </c>
      <c r="BC65" s="155">
        <v>530214</v>
      </c>
      <c r="BD65" s="155">
        <v>531505</v>
      </c>
      <c r="BE65" s="155">
        <v>522844</v>
      </c>
      <c r="BF65" s="155">
        <v>515512</v>
      </c>
      <c r="BG65" s="155">
        <v>514999</v>
      </c>
      <c r="BH65" s="155">
        <v>518741</v>
      </c>
      <c r="BI65" s="155">
        <v>510414</v>
      </c>
      <c r="BJ65" s="155">
        <v>503671</v>
      </c>
      <c r="BK65" s="155">
        <v>500250</v>
      </c>
      <c r="BL65" s="155">
        <v>495809</v>
      </c>
      <c r="BM65" s="155">
        <v>486428</v>
      </c>
      <c r="BN65" s="155">
        <v>489933</v>
      </c>
      <c r="BO65" s="155">
        <v>474060</v>
      </c>
      <c r="BP65" s="155">
        <v>473795</v>
      </c>
      <c r="BQ65" s="155">
        <v>475721</v>
      </c>
      <c r="BR65" s="155">
        <v>477110</v>
      </c>
      <c r="BS65" s="155">
        <v>477988</v>
      </c>
      <c r="BT65" s="155">
        <v>478586</v>
      </c>
      <c r="BU65" s="155">
        <v>479123</v>
      </c>
      <c r="BV65" s="155">
        <v>479619</v>
      </c>
      <c r="BW65" s="155">
        <v>480121</v>
      </c>
      <c r="BX65" s="155">
        <v>480607</v>
      </c>
      <c r="BY65" s="155">
        <v>481276</v>
      </c>
      <c r="BZ65" s="155">
        <v>482191</v>
      </c>
      <c r="CA65" s="155">
        <v>483197</v>
      </c>
      <c r="CB65" s="155">
        <v>484282</v>
      </c>
      <c r="CC65" s="155">
        <v>485524</v>
      </c>
      <c r="CD65" s="155">
        <v>486920</v>
      </c>
      <c r="CE65" s="155">
        <v>488369</v>
      </c>
      <c r="CF65" s="155">
        <v>489748</v>
      </c>
      <c r="CG65" s="155">
        <v>491003</v>
      </c>
      <c r="CH65" s="155">
        <v>492162</v>
      </c>
      <c r="CI65" s="155">
        <v>492988</v>
      </c>
      <c r="CJ65" s="155">
        <v>493390</v>
      </c>
      <c r="CK65" s="155">
        <v>493508</v>
      </c>
      <c r="CL65" s="155">
        <v>493434</v>
      </c>
      <c r="CM65" s="155">
        <v>493216</v>
      </c>
      <c r="CN65" s="155">
        <v>492393</v>
      </c>
      <c r="CO65" s="155">
        <v>490885</v>
      </c>
      <c r="CP65" s="155">
        <v>489200</v>
      </c>
      <c r="CQ65" s="155">
        <v>487391</v>
      </c>
      <c r="CR65" s="155">
        <v>485551</v>
      </c>
      <c r="CS65" s="155">
        <v>483648</v>
      </c>
      <c r="CT65" s="155">
        <v>481727</v>
      </c>
      <c r="CU65" s="155">
        <v>479944</v>
      </c>
      <c r="CV65" s="155">
        <v>478435</v>
      </c>
      <c r="CW65" s="155">
        <v>477202</v>
      </c>
      <c r="CX65" s="155">
        <v>476188</v>
      </c>
      <c r="CY65" s="154">
        <v>475351</v>
      </c>
    </row>
    <row r="66" spans="1:103">
      <c r="A66" s="155" t="s">
        <v>1136</v>
      </c>
      <c r="B66" s="154">
        <v>64</v>
      </c>
      <c r="C66" s="155">
        <v>389534</v>
      </c>
      <c r="D66" s="155">
        <v>398721</v>
      </c>
      <c r="E66" s="155">
        <v>406964</v>
      </c>
      <c r="F66" s="155">
        <v>422058</v>
      </c>
      <c r="G66" s="155">
        <v>437542</v>
      </c>
      <c r="H66" s="155">
        <v>447641</v>
      </c>
      <c r="I66" s="155">
        <v>457445</v>
      </c>
      <c r="J66" s="155">
        <v>462126</v>
      </c>
      <c r="K66" s="155">
        <v>458736</v>
      </c>
      <c r="L66" s="155">
        <v>457698</v>
      </c>
      <c r="M66" s="155">
        <v>455423</v>
      </c>
      <c r="N66" s="155">
        <v>455428</v>
      </c>
      <c r="O66" s="155">
        <v>444746</v>
      </c>
      <c r="P66" s="155">
        <v>455590</v>
      </c>
      <c r="Q66" s="155">
        <v>437033</v>
      </c>
      <c r="R66" s="155">
        <v>420630</v>
      </c>
      <c r="S66" s="155">
        <v>405136</v>
      </c>
      <c r="T66" s="155">
        <v>400179</v>
      </c>
      <c r="U66" s="155">
        <v>393525</v>
      </c>
      <c r="V66" s="155">
        <v>385550</v>
      </c>
      <c r="W66" s="155">
        <v>394817</v>
      </c>
      <c r="X66" s="155">
        <v>425335</v>
      </c>
      <c r="Y66" s="155">
        <v>445468</v>
      </c>
      <c r="Z66" s="155">
        <v>447894</v>
      </c>
      <c r="AA66" s="155">
        <v>445070</v>
      </c>
      <c r="AB66" s="155">
        <v>450934</v>
      </c>
      <c r="AC66" s="155">
        <v>453079</v>
      </c>
      <c r="AD66" s="155">
        <v>469830</v>
      </c>
      <c r="AE66" s="155">
        <v>475162</v>
      </c>
      <c r="AF66" s="155">
        <v>484495</v>
      </c>
      <c r="AG66" s="155">
        <v>499070</v>
      </c>
      <c r="AH66" s="155">
        <v>496552</v>
      </c>
      <c r="AI66" s="155">
        <v>503688</v>
      </c>
      <c r="AJ66" s="155">
        <v>509461</v>
      </c>
      <c r="AK66" s="155">
        <v>509697</v>
      </c>
      <c r="AL66" s="155">
        <v>502155</v>
      </c>
      <c r="AM66" s="155">
        <v>506792</v>
      </c>
      <c r="AN66" s="155">
        <v>500318</v>
      </c>
      <c r="AO66" s="155">
        <v>498908</v>
      </c>
      <c r="AP66" s="155">
        <v>511125</v>
      </c>
      <c r="AQ66" s="155">
        <v>506191</v>
      </c>
      <c r="AR66" s="155">
        <v>507089</v>
      </c>
      <c r="AS66" s="155">
        <v>499646</v>
      </c>
      <c r="AT66" s="155">
        <v>495791</v>
      </c>
      <c r="AU66" s="155">
        <v>496026</v>
      </c>
      <c r="AV66" s="155">
        <v>497312</v>
      </c>
      <c r="AW66" s="155">
        <v>502729</v>
      </c>
      <c r="AX66" s="155">
        <v>500773</v>
      </c>
      <c r="AY66" s="155">
        <v>501304</v>
      </c>
      <c r="AZ66" s="155">
        <v>507319</v>
      </c>
      <c r="BA66" s="155">
        <v>522719</v>
      </c>
      <c r="BB66" s="155">
        <v>519153</v>
      </c>
      <c r="BC66" s="155">
        <v>523142</v>
      </c>
      <c r="BD66" s="155">
        <v>528251</v>
      </c>
      <c r="BE66" s="155">
        <v>529560</v>
      </c>
      <c r="BF66" s="155">
        <v>520955</v>
      </c>
      <c r="BG66" s="155">
        <v>513677</v>
      </c>
      <c r="BH66" s="155">
        <v>513188</v>
      </c>
      <c r="BI66" s="155">
        <v>516938</v>
      </c>
      <c r="BJ66" s="155">
        <v>508663</v>
      </c>
      <c r="BK66" s="155">
        <v>501966</v>
      </c>
      <c r="BL66" s="155">
        <v>498578</v>
      </c>
      <c r="BM66" s="155">
        <v>494176</v>
      </c>
      <c r="BN66" s="155">
        <v>484847</v>
      </c>
      <c r="BO66" s="155">
        <v>488360</v>
      </c>
      <c r="BP66" s="155">
        <v>472561</v>
      </c>
      <c r="BQ66" s="155">
        <v>472318</v>
      </c>
      <c r="BR66" s="155">
        <v>474255</v>
      </c>
      <c r="BS66" s="155">
        <v>475656</v>
      </c>
      <c r="BT66" s="155">
        <v>476549</v>
      </c>
      <c r="BU66" s="155">
        <v>477163</v>
      </c>
      <c r="BV66" s="155">
        <v>477715</v>
      </c>
      <c r="BW66" s="155">
        <v>478227</v>
      </c>
      <c r="BX66" s="155">
        <v>478744</v>
      </c>
      <c r="BY66" s="155">
        <v>479246</v>
      </c>
      <c r="BZ66" s="155">
        <v>479930</v>
      </c>
      <c r="CA66" s="155">
        <v>480858</v>
      </c>
      <c r="CB66" s="155">
        <v>481879</v>
      </c>
      <c r="CC66" s="155">
        <v>482977</v>
      </c>
      <c r="CD66" s="155">
        <v>484231</v>
      </c>
      <c r="CE66" s="155">
        <v>485640</v>
      </c>
      <c r="CF66" s="155">
        <v>487101</v>
      </c>
      <c r="CG66" s="155">
        <v>488491</v>
      </c>
      <c r="CH66" s="155">
        <v>489759</v>
      </c>
      <c r="CI66" s="155">
        <v>490929</v>
      </c>
      <c r="CJ66" s="155">
        <v>491768</v>
      </c>
      <c r="CK66" s="155">
        <v>492184</v>
      </c>
      <c r="CL66" s="155">
        <v>492317</v>
      </c>
      <c r="CM66" s="155">
        <v>492259</v>
      </c>
      <c r="CN66" s="155">
        <v>492057</v>
      </c>
      <c r="CO66" s="155">
        <v>491251</v>
      </c>
      <c r="CP66" s="155">
        <v>489761</v>
      </c>
      <c r="CQ66" s="155">
        <v>488095</v>
      </c>
      <c r="CR66" s="155">
        <v>486305</v>
      </c>
      <c r="CS66" s="155">
        <v>484483</v>
      </c>
      <c r="CT66" s="155">
        <v>482599</v>
      </c>
      <c r="CU66" s="155">
        <v>480697</v>
      </c>
      <c r="CV66" s="155">
        <v>478932</v>
      </c>
      <c r="CW66" s="155">
        <v>477439</v>
      </c>
      <c r="CX66" s="155">
        <v>476223</v>
      </c>
      <c r="CY66" s="154">
        <v>475223</v>
      </c>
    </row>
    <row r="67" spans="1:103">
      <c r="A67" s="155" t="s">
        <v>1136</v>
      </c>
      <c r="B67" s="154">
        <v>65</v>
      </c>
      <c r="C67" s="155">
        <v>373472</v>
      </c>
      <c r="D67" s="155">
        <v>387043</v>
      </c>
      <c r="E67" s="155">
        <v>396151</v>
      </c>
      <c r="F67" s="155">
        <v>404318</v>
      </c>
      <c r="G67" s="155">
        <v>419284</v>
      </c>
      <c r="H67" s="155">
        <v>434631</v>
      </c>
      <c r="I67" s="155">
        <v>444623</v>
      </c>
      <c r="J67" s="155">
        <v>454389</v>
      </c>
      <c r="K67" s="155">
        <v>459066</v>
      </c>
      <c r="L67" s="155">
        <v>455724</v>
      </c>
      <c r="M67" s="155">
        <v>454718</v>
      </c>
      <c r="N67" s="155">
        <v>452480</v>
      </c>
      <c r="O67" s="155">
        <v>452511</v>
      </c>
      <c r="P67" s="155">
        <v>441928</v>
      </c>
      <c r="Q67" s="155">
        <v>452727</v>
      </c>
      <c r="R67" s="155">
        <v>434323</v>
      </c>
      <c r="S67" s="155">
        <v>418061</v>
      </c>
      <c r="T67" s="155">
        <v>402696</v>
      </c>
      <c r="U67" s="155">
        <v>397800</v>
      </c>
      <c r="V67" s="155">
        <v>391217</v>
      </c>
      <c r="W67" s="155">
        <v>383321</v>
      </c>
      <c r="X67" s="155">
        <v>392556</v>
      </c>
      <c r="Y67" s="155">
        <v>422914</v>
      </c>
      <c r="Z67" s="155">
        <v>442954</v>
      </c>
      <c r="AA67" s="155">
        <v>445394</v>
      </c>
      <c r="AB67" s="155">
        <v>442614</v>
      </c>
      <c r="AC67" s="155">
        <v>448473</v>
      </c>
      <c r="AD67" s="155">
        <v>450636</v>
      </c>
      <c r="AE67" s="155">
        <v>467319</v>
      </c>
      <c r="AF67" s="155">
        <v>472651</v>
      </c>
      <c r="AG67" s="155">
        <v>481961</v>
      </c>
      <c r="AH67" s="155">
        <v>496484</v>
      </c>
      <c r="AI67" s="155">
        <v>494012</v>
      </c>
      <c r="AJ67" s="155">
        <v>501139</v>
      </c>
      <c r="AK67" s="155">
        <v>506909</v>
      </c>
      <c r="AL67" s="155">
        <v>507174</v>
      </c>
      <c r="AM67" s="155">
        <v>499701</v>
      </c>
      <c r="AN67" s="155">
        <v>504345</v>
      </c>
      <c r="AO67" s="155">
        <v>497934</v>
      </c>
      <c r="AP67" s="155">
        <v>496558</v>
      </c>
      <c r="AQ67" s="155">
        <v>508740</v>
      </c>
      <c r="AR67" s="155">
        <v>503859</v>
      </c>
      <c r="AS67" s="155">
        <v>504777</v>
      </c>
      <c r="AT67" s="155">
        <v>497395</v>
      </c>
      <c r="AU67" s="155">
        <v>493588</v>
      </c>
      <c r="AV67" s="155">
        <v>493849</v>
      </c>
      <c r="AW67" s="155">
        <v>495152</v>
      </c>
      <c r="AX67" s="155">
        <v>500574</v>
      </c>
      <c r="AY67" s="155">
        <v>498654</v>
      </c>
      <c r="AZ67" s="155">
        <v>499207</v>
      </c>
      <c r="BA67" s="155">
        <v>505221</v>
      </c>
      <c r="BB67" s="155">
        <v>520576</v>
      </c>
      <c r="BC67" s="155">
        <v>517052</v>
      </c>
      <c r="BD67" s="155">
        <v>521048</v>
      </c>
      <c r="BE67" s="155">
        <v>526162</v>
      </c>
      <c r="BF67" s="155">
        <v>527489</v>
      </c>
      <c r="BG67" s="155">
        <v>518946</v>
      </c>
      <c r="BH67" s="155">
        <v>511722</v>
      </c>
      <c r="BI67" s="155">
        <v>511260</v>
      </c>
      <c r="BJ67" s="155">
        <v>515018</v>
      </c>
      <c r="BK67" s="155">
        <v>506801</v>
      </c>
      <c r="BL67" s="155">
        <v>500152</v>
      </c>
      <c r="BM67" s="155">
        <v>496800</v>
      </c>
      <c r="BN67" s="155">
        <v>492437</v>
      </c>
      <c r="BO67" s="155">
        <v>483166</v>
      </c>
      <c r="BP67" s="155">
        <v>486687</v>
      </c>
      <c r="BQ67" s="155">
        <v>470967</v>
      </c>
      <c r="BR67" s="155">
        <v>470745</v>
      </c>
      <c r="BS67" s="155">
        <v>472695</v>
      </c>
      <c r="BT67" s="155">
        <v>474110</v>
      </c>
      <c r="BU67" s="155">
        <v>475018</v>
      </c>
      <c r="BV67" s="155">
        <v>475647</v>
      </c>
      <c r="BW67" s="155">
        <v>476218</v>
      </c>
      <c r="BX67" s="155">
        <v>476746</v>
      </c>
      <c r="BY67" s="155">
        <v>477278</v>
      </c>
      <c r="BZ67" s="155">
        <v>477798</v>
      </c>
      <c r="CA67" s="155">
        <v>478497</v>
      </c>
      <c r="CB67" s="155">
        <v>479440</v>
      </c>
      <c r="CC67" s="155">
        <v>480476</v>
      </c>
      <c r="CD67" s="155">
        <v>481587</v>
      </c>
      <c r="CE67" s="155">
        <v>482855</v>
      </c>
      <c r="CF67" s="155">
        <v>484276</v>
      </c>
      <c r="CG67" s="155">
        <v>485751</v>
      </c>
      <c r="CH67" s="155">
        <v>487153</v>
      </c>
      <c r="CI67" s="155">
        <v>488434</v>
      </c>
      <c r="CJ67" s="155">
        <v>489616</v>
      </c>
      <c r="CK67" s="155">
        <v>490469</v>
      </c>
      <c r="CL67" s="155">
        <v>490901</v>
      </c>
      <c r="CM67" s="155">
        <v>491050</v>
      </c>
      <c r="CN67" s="155">
        <v>491009</v>
      </c>
      <c r="CO67" s="155">
        <v>490823</v>
      </c>
      <c r="CP67" s="155">
        <v>490035</v>
      </c>
      <c r="CQ67" s="155">
        <v>488567</v>
      </c>
      <c r="CR67" s="155">
        <v>486919</v>
      </c>
      <c r="CS67" s="155">
        <v>485150</v>
      </c>
      <c r="CT67" s="155">
        <v>483346</v>
      </c>
      <c r="CU67" s="155">
        <v>481483</v>
      </c>
      <c r="CV67" s="155">
        <v>479602</v>
      </c>
      <c r="CW67" s="155">
        <v>477855</v>
      </c>
      <c r="CX67" s="155">
        <v>476380</v>
      </c>
      <c r="CY67" s="154">
        <v>475179</v>
      </c>
    </row>
    <row r="68" spans="1:103">
      <c r="A68" s="155" t="s">
        <v>1136</v>
      </c>
      <c r="B68" s="154">
        <v>66</v>
      </c>
      <c r="C68" s="155">
        <v>358689</v>
      </c>
      <c r="D68" s="155">
        <v>370786</v>
      </c>
      <c r="E68" s="155">
        <v>384254</v>
      </c>
      <c r="F68" s="155">
        <v>393285</v>
      </c>
      <c r="G68" s="155">
        <v>401383</v>
      </c>
      <c r="H68" s="155">
        <v>416223</v>
      </c>
      <c r="I68" s="155">
        <v>431433</v>
      </c>
      <c r="J68" s="155">
        <v>441388</v>
      </c>
      <c r="K68" s="155">
        <v>451115</v>
      </c>
      <c r="L68" s="155">
        <v>455788</v>
      </c>
      <c r="M68" s="155">
        <v>452500</v>
      </c>
      <c r="N68" s="155">
        <v>451528</v>
      </c>
      <c r="O68" s="155">
        <v>449333</v>
      </c>
      <c r="P68" s="155">
        <v>449392</v>
      </c>
      <c r="Q68" s="155">
        <v>438917</v>
      </c>
      <c r="R68" s="155">
        <v>449667</v>
      </c>
      <c r="S68" s="155">
        <v>431427</v>
      </c>
      <c r="T68" s="155">
        <v>415316</v>
      </c>
      <c r="U68" s="155">
        <v>400089</v>
      </c>
      <c r="V68" s="155">
        <v>395260</v>
      </c>
      <c r="W68" s="155">
        <v>388749</v>
      </c>
      <c r="X68" s="155">
        <v>380940</v>
      </c>
      <c r="Y68" s="155">
        <v>390141</v>
      </c>
      <c r="Z68" s="155">
        <v>420326</v>
      </c>
      <c r="AA68" s="155">
        <v>440267</v>
      </c>
      <c r="AB68" s="155">
        <v>442720</v>
      </c>
      <c r="AC68" s="155">
        <v>439990</v>
      </c>
      <c r="AD68" s="155">
        <v>445842</v>
      </c>
      <c r="AE68" s="155">
        <v>448024</v>
      </c>
      <c r="AF68" s="155">
        <v>464634</v>
      </c>
      <c r="AG68" s="155">
        <v>469967</v>
      </c>
      <c r="AH68" s="155">
        <v>479252</v>
      </c>
      <c r="AI68" s="155">
        <v>493720</v>
      </c>
      <c r="AJ68" s="155">
        <v>491296</v>
      </c>
      <c r="AK68" s="155">
        <v>498412</v>
      </c>
      <c r="AL68" s="155">
        <v>504180</v>
      </c>
      <c r="AM68" s="155">
        <v>504476</v>
      </c>
      <c r="AN68" s="155">
        <v>497076</v>
      </c>
      <c r="AO68" s="155">
        <v>501727</v>
      </c>
      <c r="AP68" s="155">
        <v>495384</v>
      </c>
      <c r="AQ68" s="155">
        <v>494044</v>
      </c>
      <c r="AR68" s="155">
        <v>506190</v>
      </c>
      <c r="AS68" s="155">
        <v>501365</v>
      </c>
      <c r="AT68" s="155">
        <v>502305</v>
      </c>
      <c r="AU68" s="155">
        <v>494987</v>
      </c>
      <c r="AV68" s="155">
        <v>491230</v>
      </c>
      <c r="AW68" s="155">
        <v>491518</v>
      </c>
      <c r="AX68" s="155">
        <v>492841</v>
      </c>
      <c r="AY68" s="155">
        <v>498267</v>
      </c>
      <c r="AZ68" s="155">
        <v>496386</v>
      </c>
      <c r="BA68" s="155">
        <v>496962</v>
      </c>
      <c r="BB68" s="155">
        <v>502975</v>
      </c>
      <c r="BC68" s="155">
        <v>518282</v>
      </c>
      <c r="BD68" s="155">
        <v>514801</v>
      </c>
      <c r="BE68" s="155">
        <v>518806</v>
      </c>
      <c r="BF68" s="155">
        <v>523924</v>
      </c>
      <c r="BG68" s="155">
        <v>525272</v>
      </c>
      <c r="BH68" s="155">
        <v>516795</v>
      </c>
      <c r="BI68" s="155">
        <v>509628</v>
      </c>
      <c r="BJ68" s="155">
        <v>509192</v>
      </c>
      <c r="BK68" s="155">
        <v>512960</v>
      </c>
      <c r="BL68" s="155">
        <v>504805</v>
      </c>
      <c r="BM68" s="155">
        <v>498208</v>
      </c>
      <c r="BN68" s="155">
        <v>494894</v>
      </c>
      <c r="BO68" s="155">
        <v>490573</v>
      </c>
      <c r="BP68" s="155">
        <v>481364</v>
      </c>
      <c r="BQ68" s="155">
        <v>484893</v>
      </c>
      <c r="BR68" s="155">
        <v>469258</v>
      </c>
      <c r="BS68" s="155">
        <v>469058</v>
      </c>
      <c r="BT68" s="155">
        <v>471021</v>
      </c>
      <c r="BU68" s="155">
        <v>472451</v>
      </c>
      <c r="BV68" s="155">
        <v>473376</v>
      </c>
      <c r="BW68" s="155">
        <v>474024</v>
      </c>
      <c r="BX68" s="155">
        <v>474611</v>
      </c>
      <c r="BY68" s="155">
        <v>475157</v>
      </c>
      <c r="BZ68" s="155">
        <v>475707</v>
      </c>
      <c r="CA68" s="155">
        <v>476244</v>
      </c>
      <c r="CB68" s="155">
        <v>476960</v>
      </c>
      <c r="CC68" s="155">
        <v>477917</v>
      </c>
      <c r="CD68" s="155">
        <v>478970</v>
      </c>
      <c r="CE68" s="155">
        <v>480094</v>
      </c>
      <c r="CF68" s="155">
        <v>481377</v>
      </c>
      <c r="CG68" s="155">
        <v>482811</v>
      </c>
      <c r="CH68" s="155">
        <v>484300</v>
      </c>
      <c r="CI68" s="155">
        <v>485716</v>
      </c>
      <c r="CJ68" s="155">
        <v>487011</v>
      </c>
      <c r="CK68" s="155">
        <v>488206</v>
      </c>
      <c r="CL68" s="155">
        <v>489074</v>
      </c>
      <c r="CM68" s="155">
        <v>489521</v>
      </c>
      <c r="CN68" s="155">
        <v>489688</v>
      </c>
      <c r="CO68" s="155">
        <v>489665</v>
      </c>
      <c r="CP68" s="155">
        <v>489498</v>
      </c>
      <c r="CQ68" s="155">
        <v>488729</v>
      </c>
      <c r="CR68" s="155">
        <v>487281</v>
      </c>
      <c r="CS68" s="155">
        <v>485653</v>
      </c>
      <c r="CT68" s="155">
        <v>483908</v>
      </c>
      <c r="CU68" s="155">
        <v>482124</v>
      </c>
      <c r="CV68" s="155">
        <v>480282</v>
      </c>
      <c r="CW68" s="155">
        <v>478423</v>
      </c>
      <c r="CX68" s="155">
        <v>476695</v>
      </c>
      <c r="CY68" s="154">
        <v>475241</v>
      </c>
    </row>
    <row r="69" spans="1:103">
      <c r="A69" s="155" t="s">
        <v>1136</v>
      </c>
      <c r="B69" s="154">
        <v>67</v>
      </c>
      <c r="C69" s="155">
        <v>345048</v>
      </c>
      <c r="D69" s="155">
        <v>355804</v>
      </c>
      <c r="E69" s="155">
        <v>367809</v>
      </c>
      <c r="F69" s="155">
        <v>381155</v>
      </c>
      <c r="G69" s="155">
        <v>390110</v>
      </c>
      <c r="H69" s="155">
        <v>398140</v>
      </c>
      <c r="I69" s="155">
        <v>412846</v>
      </c>
      <c r="J69" s="155">
        <v>427979</v>
      </c>
      <c r="K69" s="155">
        <v>437893</v>
      </c>
      <c r="L69" s="155">
        <v>447581</v>
      </c>
      <c r="M69" s="155">
        <v>452249</v>
      </c>
      <c r="N69" s="155">
        <v>449022</v>
      </c>
      <c r="O69" s="155">
        <v>448087</v>
      </c>
      <c r="P69" s="155">
        <v>445939</v>
      </c>
      <c r="Q69" s="155">
        <v>446030</v>
      </c>
      <c r="R69" s="155">
        <v>435671</v>
      </c>
      <c r="S69" s="155">
        <v>446373</v>
      </c>
      <c r="T69" s="155">
        <v>428306</v>
      </c>
      <c r="U69" s="155">
        <v>412354</v>
      </c>
      <c r="V69" s="155">
        <v>397277</v>
      </c>
      <c r="W69" s="155">
        <v>392517</v>
      </c>
      <c r="X69" s="155">
        <v>386085</v>
      </c>
      <c r="Y69" s="155">
        <v>378367</v>
      </c>
      <c r="Z69" s="155">
        <v>387532</v>
      </c>
      <c r="AA69" s="155">
        <v>417533</v>
      </c>
      <c r="AB69" s="155">
        <v>437368</v>
      </c>
      <c r="AC69" s="155">
        <v>439835</v>
      </c>
      <c r="AD69" s="155">
        <v>437156</v>
      </c>
      <c r="AE69" s="155">
        <v>443002</v>
      </c>
      <c r="AF69" s="155">
        <v>445204</v>
      </c>
      <c r="AG69" s="155">
        <v>461736</v>
      </c>
      <c r="AH69" s="155">
        <v>467069</v>
      </c>
      <c r="AI69" s="155">
        <v>476328</v>
      </c>
      <c r="AJ69" s="155">
        <v>490736</v>
      </c>
      <c r="AK69" s="155">
        <v>488365</v>
      </c>
      <c r="AL69" s="155">
        <v>495470</v>
      </c>
      <c r="AM69" s="155">
        <v>501232</v>
      </c>
      <c r="AN69" s="155">
        <v>501562</v>
      </c>
      <c r="AO69" s="155">
        <v>494240</v>
      </c>
      <c r="AP69" s="155">
        <v>498900</v>
      </c>
      <c r="AQ69" s="155">
        <v>492628</v>
      </c>
      <c r="AR69" s="155">
        <v>491327</v>
      </c>
      <c r="AS69" s="155">
        <v>503433</v>
      </c>
      <c r="AT69" s="155">
        <v>498667</v>
      </c>
      <c r="AU69" s="155">
        <v>499631</v>
      </c>
      <c r="AV69" s="155">
        <v>492382</v>
      </c>
      <c r="AW69" s="155">
        <v>488679</v>
      </c>
      <c r="AX69" s="155">
        <v>488995</v>
      </c>
      <c r="AY69" s="155">
        <v>490341</v>
      </c>
      <c r="AZ69" s="155">
        <v>495771</v>
      </c>
      <c r="BA69" s="155">
        <v>493930</v>
      </c>
      <c r="BB69" s="155">
        <v>494530</v>
      </c>
      <c r="BC69" s="155">
        <v>500541</v>
      </c>
      <c r="BD69" s="155">
        <v>515798</v>
      </c>
      <c r="BE69" s="155">
        <v>512362</v>
      </c>
      <c r="BF69" s="155">
        <v>516377</v>
      </c>
      <c r="BG69" s="155">
        <v>521498</v>
      </c>
      <c r="BH69" s="155">
        <v>522870</v>
      </c>
      <c r="BI69" s="155">
        <v>514462</v>
      </c>
      <c r="BJ69" s="155">
        <v>507357</v>
      </c>
      <c r="BK69" s="155">
        <v>506950</v>
      </c>
      <c r="BL69" s="155">
        <v>510728</v>
      </c>
      <c r="BM69" s="155">
        <v>502637</v>
      </c>
      <c r="BN69" s="155">
        <v>496097</v>
      </c>
      <c r="BO69" s="155">
        <v>492824</v>
      </c>
      <c r="BP69" s="155">
        <v>488548</v>
      </c>
      <c r="BQ69" s="155">
        <v>479403</v>
      </c>
      <c r="BR69" s="155">
        <v>482942</v>
      </c>
      <c r="BS69" s="155">
        <v>467398</v>
      </c>
      <c r="BT69" s="155">
        <v>467221</v>
      </c>
      <c r="BU69" s="155">
        <v>469197</v>
      </c>
      <c r="BV69" s="155">
        <v>470644</v>
      </c>
      <c r="BW69" s="155">
        <v>471586</v>
      </c>
      <c r="BX69" s="155">
        <v>472254</v>
      </c>
      <c r="BY69" s="155">
        <v>472857</v>
      </c>
      <c r="BZ69" s="155">
        <v>473425</v>
      </c>
      <c r="CA69" s="155">
        <v>473993</v>
      </c>
      <c r="CB69" s="155">
        <v>474550</v>
      </c>
      <c r="CC69" s="155">
        <v>475283</v>
      </c>
      <c r="CD69" s="155">
        <v>476256</v>
      </c>
      <c r="CE69" s="155">
        <v>477325</v>
      </c>
      <c r="CF69" s="155">
        <v>478464</v>
      </c>
      <c r="CG69" s="155">
        <v>479764</v>
      </c>
      <c r="CH69" s="155">
        <v>481212</v>
      </c>
      <c r="CI69" s="155">
        <v>482717</v>
      </c>
      <c r="CJ69" s="155">
        <v>484146</v>
      </c>
      <c r="CK69" s="155">
        <v>485454</v>
      </c>
      <c r="CL69" s="155">
        <v>486665</v>
      </c>
      <c r="CM69" s="155">
        <v>487550</v>
      </c>
      <c r="CN69" s="155">
        <v>488014</v>
      </c>
      <c r="CO69" s="155">
        <v>488198</v>
      </c>
      <c r="CP69" s="155">
        <v>488195</v>
      </c>
      <c r="CQ69" s="155">
        <v>488046</v>
      </c>
      <c r="CR69" s="155">
        <v>487299</v>
      </c>
      <c r="CS69" s="155">
        <v>485873</v>
      </c>
      <c r="CT69" s="155">
        <v>484267</v>
      </c>
      <c r="CU69" s="155">
        <v>482547</v>
      </c>
      <c r="CV69" s="155">
        <v>480785</v>
      </c>
      <c r="CW69" s="155">
        <v>478965</v>
      </c>
      <c r="CX69" s="155">
        <v>477128</v>
      </c>
      <c r="CY69" s="154">
        <v>475422</v>
      </c>
    </row>
    <row r="70" spans="1:103">
      <c r="A70" s="155" t="s">
        <v>1136</v>
      </c>
      <c r="B70" s="154">
        <v>68</v>
      </c>
      <c r="C70" s="155">
        <v>344616</v>
      </c>
      <c r="D70" s="155">
        <v>341905</v>
      </c>
      <c r="E70" s="155">
        <v>352591</v>
      </c>
      <c r="F70" s="155">
        <v>364482</v>
      </c>
      <c r="G70" s="155">
        <v>377707</v>
      </c>
      <c r="H70" s="155">
        <v>386593</v>
      </c>
      <c r="I70" s="155">
        <v>394554</v>
      </c>
      <c r="J70" s="155">
        <v>409185</v>
      </c>
      <c r="K70" s="155">
        <v>424235</v>
      </c>
      <c r="L70" s="155">
        <v>434106</v>
      </c>
      <c r="M70" s="155">
        <v>443748</v>
      </c>
      <c r="N70" s="155">
        <v>448414</v>
      </c>
      <c r="O70" s="155">
        <v>445254</v>
      </c>
      <c r="P70" s="155">
        <v>444358</v>
      </c>
      <c r="Q70" s="155">
        <v>442263</v>
      </c>
      <c r="R70" s="155">
        <v>442389</v>
      </c>
      <c r="S70" s="155">
        <v>432154</v>
      </c>
      <c r="T70" s="155">
        <v>442805</v>
      </c>
      <c r="U70" s="155">
        <v>424926</v>
      </c>
      <c r="V70" s="155">
        <v>409144</v>
      </c>
      <c r="W70" s="155">
        <v>394226</v>
      </c>
      <c r="X70" s="155">
        <v>389541</v>
      </c>
      <c r="Y70" s="155">
        <v>383194</v>
      </c>
      <c r="Z70" s="155">
        <v>375572</v>
      </c>
      <c r="AA70" s="155">
        <v>384697</v>
      </c>
      <c r="AB70" s="155">
        <v>414501</v>
      </c>
      <c r="AC70" s="155">
        <v>434223</v>
      </c>
      <c r="AD70" s="155">
        <v>436706</v>
      </c>
      <c r="AE70" s="155">
        <v>434082</v>
      </c>
      <c r="AF70" s="155">
        <v>439920</v>
      </c>
      <c r="AG70" s="155">
        <v>442143</v>
      </c>
      <c r="AH70" s="155">
        <v>458592</v>
      </c>
      <c r="AI70" s="155">
        <v>463924</v>
      </c>
      <c r="AJ70" s="155">
        <v>473156</v>
      </c>
      <c r="AK70" s="155">
        <v>487499</v>
      </c>
      <c r="AL70" s="155">
        <v>485181</v>
      </c>
      <c r="AM70" s="155">
        <v>492276</v>
      </c>
      <c r="AN70" s="155">
        <v>498034</v>
      </c>
      <c r="AO70" s="155">
        <v>498399</v>
      </c>
      <c r="AP70" s="155">
        <v>491161</v>
      </c>
      <c r="AQ70" s="155">
        <v>495826</v>
      </c>
      <c r="AR70" s="155">
        <v>489632</v>
      </c>
      <c r="AS70" s="155">
        <v>488373</v>
      </c>
      <c r="AT70" s="155">
        <v>500435</v>
      </c>
      <c r="AU70" s="155">
        <v>495734</v>
      </c>
      <c r="AV70" s="155">
        <v>496723</v>
      </c>
      <c r="AW70" s="155">
        <v>489550</v>
      </c>
      <c r="AX70" s="155">
        <v>485902</v>
      </c>
      <c r="AY70" s="155">
        <v>486248</v>
      </c>
      <c r="AZ70" s="155">
        <v>487618</v>
      </c>
      <c r="BA70" s="155">
        <v>493051</v>
      </c>
      <c r="BB70" s="155">
        <v>491254</v>
      </c>
      <c r="BC70" s="155">
        <v>491881</v>
      </c>
      <c r="BD70" s="155">
        <v>497889</v>
      </c>
      <c r="BE70" s="155">
        <v>513093</v>
      </c>
      <c r="BF70" s="155">
        <v>509706</v>
      </c>
      <c r="BG70" s="155">
        <v>513730</v>
      </c>
      <c r="BH70" s="155">
        <v>518855</v>
      </c>
      <c r="BI70" s="155">
        <v>520250</v>
      </c>
      <c r="BJ70" s="155">
        <v>511917</v>
      </c>
      <c r="BK70" s="155">
        <v>504880</v>
      </c>
      <c r="BL70" s="155">
        <v>504503</v>
      </c>
      <c r="BM70" s="155">
        <v>508292</v>
      </c>
      <c r="BN70" s="155">
        <v>500271</v>
      </c>
      <c r="BO70" s="155">
        <v>493790</v>
      </c>
      <c r="BP70" s="155">
        <v>490560</v>
      </c>
      <c r="BQ70" s="155">
        <v>486333</v>
      </c>
      <c r="BR70" s="155">
        <v>477258</v>
      </c>
      <c r="BS70" s="155">
        <v>480805</v>
      </c>
      <c r="BT70" s="155">
        <v>465360</v>
      </c>
      <c r="BU70" s="155">
        <v>465207</v>
      </c>
      <c r="BV70" s="155">
        <v>467199</v>
      </c>
      <c r="BW70" s="155">
        <v>468663</v>
      </c>
      <c r="BX70" s="155">
        <v>469624</v>
      </c>
      <c r="BY70" s="155">
        <v>470311</v>
      </c>
      <c r="BZ70" s="155">
        <v>470935</v>
      </c>
      <c r="CA70" s="155">
        <v>471522</v>
      </c>
      <c r="CB70" s="155">
        <v>472112</v>
      </c>
      <c r="CC70" s="155">
        <v>472690</v>
      </c>
      <c r="CD70" s="155">
        <v>473441</v>
      </c>
      <c r="CE70" s="155">
        <v>474431</v>
      </c>
      <c r="CF70" s="155">
        <v>475517</v>
      </c>
      <c r="CG70" s="155">
        <v>476674</v>
      </c>
      <c r="CH70" s="155">
        <v>477990</v>
      </c>
      <c r="CI70" s="155">
        <v>479453</v>
      </c>
      <c r="CJ70" s="155">
        <v>480974</v>
      </c>
      <c r="CK70" s="155">
        <v>482418</v>
      </c>
      <c r="CL70" s="155">
        <v>483741</v>
      </c>
      <c r="CM70" s="155">
        <v>484968</v>
      </c>
      <c r="CN70" s="155">
        <v>485870</v>
      </c>
      <c r="CO70" s="155">
        <v>486355</v>
      </c>
      <c r="CP70" s="155">
        <v>486557</v>
      </c>
      <c r="CQ70" s="155">
        <v>486574</v>
      </c>
      <c r="CR70" s="155">
        <v>486445</v>
      </c>
      <c r="CS70" s="155">
        <v>485721</v>
      </c>
      <c r="CT70" s="155">
        <v>484318</v>
      </c>
      <c r="CU70" s="155">
        <v>482737</v>
      </c>
      <c r="CV70" s="155">
        <v>481040</v>
      </c>
      <c r="CW70" s="155">
        <v>479304</v>
      </c>
      <c r="CX70" s="155">
        <v>477509</v>
      </c>
      <c r="CY70" s="154">
        <v>475696</v>
      </c>
    </row>
    <row r="71" spans="1:103">
      <c r="A71" s="155" t="s">
        <v>1136</v>
      </c>
      <c r="B71" s="154">
        <v>69</v>
      </c>
      <c r="C71" s="155">
        <v>337305</v>
      </c>
      <c r="D71" s="155">
        <v>341061</v>
      </c>
      <c r="E71" s="155">
        <v>338440</v>
      </c>
      <c r="F71" s="155">
        <v>349023</v>
      </c>
      <c r="G71" s="155">
        <v>360803</v>
      </c>
      <c r="H71" s="155">
        <v>373911</v>
      </c>
      <c r="I71" s="155">
        <v>382727</v>
      </c>
      <c r="J71" s="155">
        <v>390676</v>
      </c>
      <c r="K71" s="155">
        <v>405223</v>
      </c>
      <c r="L71" s="155">
        <v>420183</v>
      </c>
      <c r="M71" s="155">
        <v>430008</v>
      </c>
      <c r="N71" s="155">
        <v>439602</v>
      </c>
      <c r="O71" s="155">
        <v>444264</v>
      </c>
      <c r="P71" s="155">
        <v>441177</v>
      </c>
      <c r="Q71" s="155">
        <v>440327</v>
      </c>
      <c r="R71" s="155">
        <v>438288</v>
      </c>
      <c r="S71" s="155">
        <v>438452</v>
      </c>
      <c r="T71" s="155">
        <v>428352</v>
      </c>
      <c r="U71" s="155">
        <v>438947</v>
      </c>
      <c r="V71" s="155">
        <v>421271</v>
      </c>
      <c r="W71" s="155">
        <v>405672</v>
      </c>
      <c r="X71" s="155">
        <v>390924</v>
      </c>
      <c r="Y71" s="155">
        <v>386319</v>
      </c>
      <c r="Z71" s="155">
        <v>380063</v>
      </c>
      <c r="AA71" s="155">
        <v>372544</v>
      </c>
      <c r="AB71" s="155">
        <v>381628</v>
      </c>
      <c r="AC71" s="155">
        <v>411219</v>
      </c>
      <c r="AD71" s="155">
        <v>430818</v>
      </c>
      <c r="AE71" s="155">
        <v>433317</v>
      </c>
      <c r="AF71" s="155">
        <v>430754</v>
      </c>
      <c r="AG71" s="155">
        <v>436583</v>
      </c>
      <c r="AH71" s="155">
        <v>438827</v>
      </c>
      <c r="AI71" s="155">
        <v>455187</v>
      </c>
      <c r="AJ71" s="155">
        <v>460517</v>
      </c>
      <c r="AK71" s="155">
        <v>469719</v>
      </c>
      <c r="AL71" s="155">
        <v>483993</v>
      </c>
      <c r="AM71" s="155">
        <v>481733</v>
      </c>
      <c r="AN71" s="155">
        <v>488816</v>
      </c>
      <c r="AO71" s="155">
        <v>494570</v>
      </c>
      <c r="AP71" s="155">
        <v>494971</v>
      </c>
      <c r="AQ71" s="155">
        <v>487824</v>
      </c>
      <c r="AR71" s="155">
        <v>492496</v>
      </c>
      <c r="AS71" s="155">
        <v>486384</v>
      </c>
      <c r="AT71" s="155">
        <v>485169</v>
      </c>
      <c r="AU71" s="155">
        <v>497186</v>
      </c>
      <c r="AV71" s="155">
        <v>492552</v>
      </c>
      <c r="AW71" s="155">
        <v>493569</v>
      </c>
      <c r="AX71" s="155">
        <v>486476</v>
      </c>
      <c r="AY71" s="155">
        <v>482889</v>
      </c>
      <c r="AZ71" s="155">
        <v>483266</v>
      </c>
      <c r="BA71" s="155">
        <v>484662</v>
      </c>
      <c r="BB71" s="155">
        <v>490098</v>
      </c>
      <c r="BC71" s="155">
        <v>488349</v>
      </c>
      <c r="BD71" s="155">
        <v>489002</v>
      </c>
      <c r="BE71" s="155">
        <v>495007</v>
      </c>
      <c r="BF71" s="155">
        <v>510154</v>
      </c>
      <c r="BG71" s="155">
        <v>506820</v>
      </c>
      <c r="BH71" s="155">
        <v>510853</v>
      </c>
      <c r="BI71" s="155">
        <v>515982</v>
      </c>
      <c r="BJ71" s="155">
        <v>517404</v>
      </c>
      <c r="BK71" s="155">
        <v>509150</v>
      </c>
      <c r="BL71" s="155">
        <v>502184</v>
      </c>
      <c r="BM71" s="155">
        <v>501841</v>
      </c>
      <c r="BN71" s="155">
        <v>505641</v>
      </c>
      <c r="BO71" s="155">
        <v>497694</v>
      </c>
      <c r="BP71" s="155">
        <v>491280</v>
      </c>
      <c r="BQ71" s="155">
        <v>488094</v>
      </c>
      <c r="BR71" s="155">
        <v>483920</v>
      </c>
      <c r="BS71" s="155">
        <v>474921</v>
      </c>
      <c r="BT71" s="155">
        <v>478477</v>
      </c>
      <c r="BU71" s="155">
        <v>463137</v>
      </c>
      <c r="BV71" s="155">
        <v>463010</v>
      </c>
      <c r="BW71" s="155">
        <v>465019</v>
      </c>
      <c r="BX71" s="155">
        <v>466499</v>
      </c>
      <c r="BY71" s="155">
        <v>467482</v>
      </c>
      <c r="BZ71" s="155">
        <v>468192</v>
      </c>
      <c r="CA71" s="155">
        <v>468836</v>
      </c>
      <c r="CB71" s="155">
        <v>469445</v>
      </c>
      <c r="CC71" s="155">
        <v>470056</v>
      </c>
      <c r="CD71" s="155">
        <v>470657</v>
      </c>
      <c r="CE71" s="155">
        <v>471428</v>
      </c>
      <c r="CF71" s="155">
        <v>472437</v>
      </c>
      <c r="CG71" s="155">
        <v>473543</v>
      </c>
      <c r="CH71" s="155">
        <v>474717</v>
      </c>
      <c r="CI71" s="155">
        <v>476050</v>
      </c>
      <c r="CJ71" s="155">
        <v>477531</v>
      </c>
      <c r="CK71" s="155">
        <v>479067</v>
      </c>
      <c r="CL71" s="155">
        <v>480527</v>
      </c>
      <c r="CM71" s="155">
        <v>481867</v>
      </c>
      <c r="CN71" s="155">
        <v>483112</v>
      </c>
      <c r="CO71" s="155">
        <v>484031</v>
      </c>
      <c r="CP71" s="155">
        <v>484536</v>
      </c>
      <c r="CQ71" s="155">
        <v>484760</v>
      </c>
      <c r="CR71" s="155">
        <v>484798</v>
      </c>
      <c r="CS71" s="155">
        <v>484692</v>
      </c>
      <c r="CT71" s="155">
        <v>483990</v>
      </c>
      <c r="CU71" s="155">
        <v>482614</v>
      </c>
      <c r="CV71" s="155">
        <v>481059</v>
      </c>
      <c r="CW71" s="155">
        <v>479389</v>
      </c>
      <c r="CX71" s="155">
        <v>477678</v>
      </c>
      <c r="CY71" s="154">
        <v>475909</v>
      </c>
    </row>
    <row r="72" spans="1:103">
      <c r="A72" s="155" t="s">
        <v>1136</v>
      </c>
      <c r="B72" s="154">
        <v>70</v>
      </c>
      <c r="C72" s="155">
        <v>326952</v>
      </c>
      <c r="D72" s="155">
        <v>333394</v>
      </c>
      <c r="E72" s="155">
        <v>337180</v>
      </c>
      <c r="F72" s="155">
        <v>334609</v>
      </c>
      <c r="G72" s="155">
        <v>345087</v>
      </c>
      <c r="H72" s="155">
        <v>356760</v>
      </c>
      <c r="I72" s="155">
        <v>369744</v>
      </c>
      <c r="J72" s="155">
        <v>378534</v>
      </c>
      <c r="K72" s="155">
        <v>386468</v>
      </c>
      <c r="L72" s="155">
        <v>400924</v>
      </c>
      <c r="M72" s="155">
        <v>415783</v>
      </c>
      <c r="N72" s="155">
        <v>425557</v>
      </c>
      <c r="O72" s="155">
        <v>435100</v>
      </c>
      <c r="P72" s="155">
        <v>439761</v>
      </c>
      <c r="Q72" s="155">
        <v>436751</v>
      </c>
      <c r="R72" s="155">
        <v>435951</v>
      </c>
      <c r="S72" s="155">
        <v>433975</v>
      </c>
      <c r="T72" s="155">
        <v>434181</v>
      </c>
      <c r="U72" s="155">
        <v>424226</v>
      </c>
      <c r="V72" s="155">
        <v>434761</v>
      </c>
      <c r="W72" s="155">
        <v>417305</v>
      </c>
      <c r="X72" s="155">
        <v>401902</v>
      </c>
      <c r="Y72" s="155">
        <v>387337</v>
      </c>
      <c r="Z72" s="155">
        <v>382815</v>
      </c>
      <c r="AA72" s="155">
        <v>376660</v>
      </c>
      <c r="AB72" s="155">
        <v>369250</v>
      </c>
      <c r="AC72" s="155">
        <v>378288</v>
      </c>
      <c r="AD72" s="155">
        <v>407651</v>
      </c>
      <c r="AE72" s="155">
        <v>427116</v>
      </c>
      <c r="AF72" s="155">
        <v>429633</v>
      </c>
      <c r="AG72" s="155">
        <v>427134</v>
      </c>
      <c r="AH72" s="155">
        <v>432953</v>
      </c>
      <c r="AI72" s="155">
        <v>435220</v>
      </c>
      <c r="AJ72" s="155">
        <v>451484</v>
      </c>
      <c r="AK72" s="155">
        <v>456811</v>
      </c>
      <c r="AL72" s="155">
        <v>465981</v>
      </c>
      <c r="AM72" s="155">
        <v>480180</v>
      </c>
      <c r="AN72" s="155">
        <v>477981</v>
      </c>
      <c r="AO72" s="155">
        <v>485051</v>
      </c>
      <c r="AP72" s="155">
        <v>490800</v>
      </c>
      <c r="AQ72" s="155">
        <v>491241</v>
      </c>
      <c r="AR72" s="155">
        <v>484192</v>
      </c>
      <c r="AS72" s="155">
        <v>488871</v>
      </c>
      <c r="AT72" s="155">
        <v>482846</v>
      </c>
      <c r="AU72" s="155">
        <v>481678</v>
      </c>
      <c r="AV72" s="155">
        <v>493647</v>
      </c>
      <c r="AW72" s="155">
        <v>489086</v>
      </c>
      <c r="AX72" s="155">
        <v>490131</v>
      </c>
      <c r="AY72" s="155">
        <v>483125</v>
      </c>
      <c r="AZ72" s="155">
        <v>479602</v>
      </c>
      <c r="BA72" s="155">
        <v>480014</v>
      </c>
      <c r="BB72" s="155">
        <v>481437</v>
      </c>
      <c r="BC72" s="155">
        <v>486877</v>
      </c>
      <c r="BD72" s="155">
        <v>485179</v>
      </c>
      <c r="BE72" s="155">
        <v>485862</v>
      </c>
      <c r="BF72" s="155">
        <v>491864</v>
      </c>
      <c r="BG72" s="155">
        <v>506946</v>
      </c>
      <c r="BH72" s="155">
        <v>503671</v>
      </c>
      <c r="BI72" s="155">
        <v>507713</v>
      </c>
      <c r="BJ72" s="155">
        <v>512846</v>
      </c>
      <c r="BK72" s="155">
        <v>514296</v>
      </c>
      <c r="BL72" s="155">
        <v>506127</v>
      </c>
      <c r="BM72" s="155">
        <v>499239</v>
      </c>
      <c r="BN72" s="155">
        <v>498931</v>
      </c>
      <c r="BO72" s="155">
        <v>502742</v>
      </c>
      <c r="BP72" s="155">
        <v>494875</v>
      </c>
      <c r="BQ72" s="155">
        <v>488531</v>
      </c>
      <c r="BR72" s="155">
        <v>485396</v>
      </c>
      <c r="BS72" s="155">
        <v>481277</v>
      </c>
      <c r="BT72" s="155">
        <v>472360</v>
      </c>
      <c r="BU72" s="155">
        <v>475927</v>
      </c>
      <c r="BV72" s="155">
        <v>460698</v>
      </c>
      <c r="BW72" s="155">
        <v>460601</v>
      </c>
      <c r="BX72" s="155">
        <v>462626</v>
      </c>
      <c r="BY72" s="155">
        <v>464127</v>
      </c>
      <c r="BZ72" s="155">
        <v>465132</v>
      </c>
      <c r="CA72" s="155">
        <v>465865</v>
      </c>
      <c r="CB72" s="155">
        <v>466533</v>
      </c>
      <c r="CC72" s="155">
        <v>467166</v>
      </c>
      <c r="CD72" s="155">
        <v>467799</v>
      </c>
      <c r="CE72" s="155">
        <v>468424</v>
      </c>
      <c r="CF72" s="155">
        <v>469217</v>
      </c>
      <c r="CG72" s="155">
        <v>470247</v>
      </c>
      <c r="CH72" s="155">
        <v>471372</v>
      </c>
      <c r="CI72" s="155">
        <v>472565</v>
      </c>
      <c r="CJ72" s="155">
        <v>473917</v>
      </c>
      <c r="CK72" s="155">
        <v>475416</v>
      </c>
      <c r="CL72" s="155">
        <v>476970</v>
      </c>
      <c r="CM72" s="155">
        <v>478447</v>
      </c>
      <c r="CN72" s="155">
        <v>479805</v>
      </c>
      <c r="CO72" s="155">
        <v>481069</v>
      </c>
      <c r="CP72" s="155">
        <v>482007</v>
      </c>
      <c r="CQ72" s="155">
        <v>482536</v>
      </c>
      <c r="CR72" s="155">
        <v>482780</v>
      </c>
      <c r="CS72" s="155">
        <v>482841</v>
      </c>
      <c r="CT72" s="155">
        <v>482760</v>
      </c>
      <c r="CU72" s="155">
        <v>482081</v>
      </c>
      <c r="CV72" s="155">
        <v>480734</v>
      </c>
      <c r="CW72" s="155">
        <v>479207</v>
      </c>
      <c r="CX72" s="155">
        <v>477566</v>
      </c>
      <c r="CY72" s="154">
        <v>475883</v>
      </c>
    </row>
    <row r="73" spans="1:103">
      <c r="A73" s="155" t="s">
        <v>1136</v>
      </c>
      <c r="B73" s="154">
        <v>71</v>
      </c>
      <c r="C73" s="155">
        <v>327250</v>
      </c>
      <c r="D73" s="155">
        <v>322719</v>
      </c>
      <c r="E73" s="155">
        <v>329151</v>
      </c>
      <c r="F73" s="155">
        <v>332908</v>
      </c>
      <c r="G73" s="155">
        <v>330398</v>
      </c>
      <c r="H73" s="155">
        <v>340770</v>
      </c>
      <c r="I73" s="155">
        <v>352331</v>
      </c>
      <c r="J73" s="155">
        <v>365224</v>
      </c>
      <c r="K73" s="155">
        <v>373984</v>
      </c>
      <c r="L73" s="155">
        <v>381898</v>
      </c>
      <c r="M73" s="155">
        <v>396252</v>
      </c>
      <c r="N73" s="155">
        <v>411003</v>
      </c>
      <c r="O73" s="155">
        <v>420719</v>
      </c>
      <c r="P73" s="155">
        <v>430208</v>
      </c>
      <c r="Q73" s="155">
        <v>434868</v>
      </c>
      <c r="R73" s="155">
        <v>431940</v>
      </c>
      <c r="S73" s="155">
        <v>431196</v>
      </c>
      <c r="T73" s="155">
        <v>429287</v>
      </c>
      <c r="U73" s="155">
        <v>429540</v>
      </c>
      <c r="V73" s="155">
        <v>419743</v>
      </c>
      <c r="W73" s="155">
        <v>430214</v>
      </c>
      <c r="X73" s="155">
        <v>412993</v>
      </c>
      <c r="Y73" s="155">
        <v>397800</v>
      </c>
      <c r="Z73" s="155">
        <v>383433</v>
      </c>
      <c r="AA73" s="155">
        <v>379001</v>
      </c>
      <c r="AB73" s="155">
        <v>372950</v>
      </c>
      <c r="AC73" s="155">
        <v>365659</v>
      </c>
      <c r="AD73" s="155">
        <v>374648</v>
      </c>
      <c r="AE73" s="155">
        <v>403765</v>
      </c>
      <c r="AF73" s="155">
        <v>423087</v>
      </c>
      <c r="AG73" s="155">
        <v>425622</v>
      </c>
      <c r="AH73" s="155">
        <v>423191</v>
      </c>
      <c r="AI73" s="155">
        <v>429001</v>
      </c>
      <c r="AJ73" s="155">
        <v>431291</v>
      </c>
      <c r="AK73" s="155">
        <v>447450</v>
      </c>
      <c r="AL73" s="155">
        <v>452774</v>
      </c>
      <c r="AM73" s="155">
        <v>461910</v>
      </c>
      <c r="AN73" s="155">
        <v>476027</v>
      </c>
      <c r="AO73" s="155">
        <v>473894</v>
      </c>
      <c r="AP73" s="155">
        <v>480949</v>
      </c>
      <c r="AQ73" s="155">
        <v>486693</v>
      </c>
      <c r="AR73" s="155">
        <v>487176</v>
      </c>
      <c r="AS73" s="155">
        <v>480231</v>
      </c>
      <c r="AT73" s="155">
        <v>484918</v>
      </c>
      <c r="AU73" s="155">
        <v>478988</v>
      </c>
      <c r="AV73" s="155">
        <v>477871</v>
      </c>
      <c r="AW73" s="155">
        <v>489785</v>
      </c>
      <c r="AX73" s="155">
        <v>485304</v>
      </c>
      <c r="AY73" s="155">
        <v>486379</v>
      </c>
      <c r="AZ73" s="155">
        <v>479467</v>
      </c>
      <c r="BA73" s="155">
        <v>476013</v>
      </c>
      <c r="BB73" s="155">
        <v>476463</v>
      </c>
      <c r="BC73" s="155">
        <v>477914</v>
      </c>
      <c r="BD73" s="155">
        <v>483359</v>
      </c>
      <c r="BE73" s="155">
        <v>481713</v>
      </c>
      <c r="BF73" s="155">
        <v>482429</v>
      </c>
      <c r="BG73" s="155">
        <v>488428</v>
      </c>
      <c r="BH73" s="155">
        <v>503441</v>
      </c>
      <c r="BI73" s="155">
        <v>500226</v>
      </c>
      <c r="BJ73" s="155">
        <v>504279</v>
      </c>
      <c r="BK73" s="155">
        <v>509417</v>
      </c>
      <c r="BL73" s="155">
        <v>510896</v>
      </c>
      <c r="BM73" s="155">
        <v>502819</v>
      </c>
      <c r="BN73" s="155">
        <v>496013</v>
      </c>
      <c r="BO73" s="155">
        <v>495746</v>
      </c>
      <c r="BP73" s="155">
        <v>499569</v>
      </c>
      <c r="BQ73" s="155">
        <v>491788</v>
      </c>
      <c r="BR73" s="155">
        <v>485520</v>
      </c>
      <c r="BS73" s="155">
        <v>482440</v>
      </c>
      <c r="BT73" s="155">
        <v>478379</v>
      </c>
      <c r="BU73" s="155">
        <v>469551</v>
      </c>
      <c r="BV73" s="155">
        <v>473129</v>
      </c>
      <c r="BW73" s="155">
        <v>458021</v>
      </c>
      <c r="BX73" s="155">
        <v>457955</v>
      </c>
      <c r="BY73" s="155">
        <v>459999</v>
      </c>
      <c r="BZ73" s="155">
        <v>461520</v>
      </c>
      <c r="CA73" s="155">
        <v>462549</v>
      </c>
      <c r="CB73" s="155">
        <v>463308</v>
      </c>
      <c r="CC73" s="155">
        <v>464002</v>
      </c>
      <c r="CD73" s="155">
        <v>464658</v>
      </c>
      <c r="CE73" s="155">
        <v>465317</v>
      </c>
      <c r="CF73" s="155">
        <v>465968</v>
      </c>
      <c r="CG73" s="155">
        <v>466784</v>
      </c>
      <c r="CH73" s="155">
        <v>467835</v>
      </c>
      <c r="CI73" s="155">
        <v>468983</v>
      </c>
      <c r="CJ73" s="155">
        <v>470196</v>
      </c>
      <c r="CK73" s="155">
        <v>471568</v>
      </c>
      <c r="CL73" s="155">
        <v>473087</v>
      </c>
      <c r="CM73" s="155">
        <v>474659</v>
      </c>
      <c r="CN73" s="155">
        <v>476156</v>
      </c>
      <c r="CO73" s="155">
        <v>477533</v>
      </c>
      <c r="CP73" s="155">
        <v>478816</v>
      </c>
      <c r="CQ73" s="155">
        <v>479776</v>
      </c>
      <c r="CR73" s="155">
        <v>480328</v>
      </c>
      <c r="CS73" s="155">
        <v>480596</v>
      </c>
      <c r="CT73" s="155">
        <v>480682</v>
      </c>
      <c r="CU73" s="155">
        <v>480626</v>
      </c>
      <c r="CV73" s="155">
        <v>479974</v>
      </c>
      <c r="CW73" s="155">
        <v>478658</v>
      </c>
      <c r="CX73" s="155">
        <v>477162</v>
      </c>
      <c r="CY73" s="154">
        <v>475551</v>
      </c>
    </row>
    <row r="74" spans="1:103">
      <c r="A74" s="155" t="s">
        <v>1136</v>
      </c>
      <c r="B74" s="154">
        <v>72</v>
      </c>
      <c r="C74" s="155">
        <v>331056</v>
      </c>
      <c r="D74" s="155">
        <v>322528</v>
      </c>
      <c r="E74" s="155">
        <v>318156</v>
      </c>
      <c r="F74" s="155">
        <v>324510</v>
      </c>
      <c r="G74" s="155">
        <v>328242</v>
      </c>
      <c r="H74" s="155">
        <v>325805</v>
      </c>
      <c r="I74" s="155">
        <v>336066</v>
      </c>
      <c r="J74" s="155">
        <v>347543</v>
      </c>
      <c r="K74" s="155">
        <v>360336</v>
      </c>
      <c r="L74" s="155">
        <v>369061</v>
      </c>
      <c r="M74" s="155">
        <v>376949</v>
      </c>
      <c r="N74" s="155">
        <v>391192</v>
      </c>
      <c r="O74" s="155">
        <v>405822</v>
      </c>
      <c r="P74" s="155">
        <v>415476</v>
      </c>
      <c r="Q74" s="155">
        <v>424905</v>
      </c>
      <c r="R74" s="155">
        <v>429563</v>
      </c>
      <c r="S74" s="155">
        <v>426726</v>
      </c>
      <c r="T74" s="155">
        <v>426043</v>
      </c>
      <c r="U74" s="155">
        <v>424209</v>
      </c>
      <c r="V74" s="155">
        <v>424512</v>
      </c>
      <c r="W74" s="155">
        <v>414885</v>
      </c>
      <c r="X74" s="155">
        <v>425286</v>
      </c>
      <c r="Y74" s="155">
        <v>408319</v>
      </c>
      <c r="Z74" s="155">
        <v>393353</v>
      </c>
      <c r="AA74" s="155">
        <v>379198</v>
      </c>
      <c r="AB74" s="155">
        <v>374863</v>
      </c>
      <c r="AC74" s="155">
        <v>368926</v>
      </c>
      <c r="AD74" s="155">
        <v>361760</v>
      </c>
      <c r="AE74" s="155">
        <v>370697</v>
      </c>
      <c r="AF74" s="155">
        <v>399548</v>
      </c>
      <c r="AG74" s="155">
        <v>418714</v>
      </c>
      <c r="AH74" s="155">
        <v>421269</v>
      </c>
      <c r="AI74" s="155">
        <v>418911</v>
      </c>
      <c r="AJ74" s="155">
        <v>424711</v>
      </c>
      <c r="AK74" s="155">
        <v>427024</v>
      </c>
      <c r="AL74" s="155">
        <v>443071</v>
      </c>
      <c r="AM74" s="155">
        <v>448391</v>
      </c>
      <c r="AN74" s="155">
        <v>457486</v>
      </c>
      <c r="AO74" s="155">
        <v>471515</v>
      </c>
      <c r="AP74" s="155">
        <v>469455</v>
      </c>
      <c r="AQ74" s="155">
        <v>476492</v>
      </c>
      <c r="AR74" s="155">
        <v>482231</v>
      </c>
      <c r="AS74" s="155">
        <v>482759</v>
      </c>
      <c r="AT74" s="155">
        <v>475929</v>
      </c>
      <c r="AU74" s="155">
        <v>480620</v>
      </c>
      <c r="AV74" s="155">
        <v>474793</v>
      </c>
      <c r="AW74" s="155">
        <v>473731</v>
      </c>
      <c r="AX74" s="155">
        <v>485587</v>
      </c>
      <c r="AY74" s="155">
        <v>481190</v>
      </c>
      <c r="AZ74" s="155">
        <v>482299</v>
      </c>
      <c r="BA74" s="155">
        <v>475488</v>
      </c>
      <c r="BB74" s="155">
        <v>472108</v>
      </c>
      <c r="BC74" s="155">
        <v>472598</v>
      </c>
      <c r="BD74" s="155">
        <v>474079</v>
      </c>
      <c r="BE74" s="155">
        <v>479528</v>
      </c>
      <c r="BF74" s="155">
        <v>477940</v>
      </c>
      <c r="BG74" s="155">
        <v>478690</v>
      </c>
      <c r="BH74" s="155">
        <v>484684</v>
      </c>
      <c r="BI74" s="155">
        <v>499622</v>
      </c>
      <c r="BJ74" s="155">
        <v>496473</v>
      </c>
      <c r="BK74" s="155">
        <v>500538</v>
      </c>
      <c r="BL74" s="155">
        <v>505680</v>
      </c>
      <c r="BM74" s="155">
        <v>507191</v>
      </c>
      <c r="BN74" s="155">
        <v>499215</v>
      </c>
      <c r="BO74" s="155">
        <v>492498</v>
      </c>
      <c r="BP74" s="155">
        <v>492272</v>
      </c>
      <c r="BQ74" s="155">
        <v>496109</v>
      </c>
      <c r="BR74" s="155">
        <v>488422</v>
      </c>
      <c r="BS74" s="155">
        <v>482233</v>
      </c>
      <c r="BT74" s="155">
        <v>479212</v>
      </c>
      <c r="BU74" s="155">
        <v>475217</v>
      </c>
      <c r="BV74" s="155">
        <v>466481</v>
      </c>
      <c r="BW74" s="155">
        <v>470072</v>
      </c>
      <c r="BX74" s="155">
        <v>455097</v>
      </c>
      <c r="BY74" s="155">
        <v>455066</v>
      </c>
      <c r="BZ74" s="155">
        <v>457127</v>
      </c>
      <c r="CA74" s="155">
        <v>458672</v>
      </c>
      <c r="CB74" s="155">
        <v>459727</v>
      </c>
      <c r="CC74" s="155">
        <v>460513</v>
      </c>
      <c r="CD74" s="155">
        <v>461233</v>
      </c>
      <c r="CE74" s="155">
        <v>461917</v>
      </c>
      <c r="CF74" s="155">
        <v>462603</v>
      </c>
      <c r="CG74" s="155">
        <v>463280</v>
      </c>
      <c r="CH74" s="155">
        <v>464122</v>
      </c>
      <c r="CI74" s="155">
        <v>465196</v>
      </c>
      <c r="CJ74" s="155">
        <v>466366</v>
      </c>
      <c r="CK74" s="155">
        <v>467603</v>
      </c>
      <c r="CL74" s="155">
        <v>468996</v>
      </c>
      <c r="CM74" s="155">
        <v>470535</v>
      </c>
      <c r="CN74" s="155">
        <v>472129</v>
      </c>
      <c r="CO74" s="155">
        <v>473646</v>
      </c>
      <c r="CP74" s="155">
        <v>475043</v>
      </c>
      <c r="CQ74" s="155">
        <v>476348</v>
      </c>
      <c r="CR74" s="155">
        <v>477331</v>
      </c>
      <c r="CS74" s="155">
        <v>477908</v>
      </c>
      <c r="CT74" s="155">
        <v>478202</v>
      </c>
      <c r="CU74" s="155">
        <v>478315</v>
      </c>
      <c r="CV74" s="155">
        <v>478286</v>
      </c>
      <c r="CW74" s="155">
        <v>477664</v>
      </c>
      <c r="CX74" s="155">
        <v>476381</v>
      </c>
      <c r="CY74" s="154">
        <v>474918</v>
      </c>
    </row>
    <row r="75" spans="1:103">
      <c r="A75" s="155" t="s">
        <v>1136</v>
      </c>
      <c r="B75" s="154">
        <v>73</v>
      </c>
      <c r="C75" s="155">
        <v>336043</v>
      </c>
      <c r="D75" s="155">
        <v>325752</v>
      </c>
      <c r="E75" s="155">
        <v>317475</v>
      </c>
      <c r="F75" s="155">
        <v>313189</v>
      </c>
      <c r="G75" s="155">
        <v>319466</v>
      </c>
      <c r="H75" s="155">
        <v>323177</v>
      </c>
      <c r="I75" s="155">
        <v>320816</v>
      </c>
      <c r="J75" s="155">
        <v>330995</v>
      </c>
      <c r="K75" s="155">
        <v>342377</v>
      </c>
      <c r="L75" s="155">
        <v>355061</v>
      </c>
      <c r="M75" s="155">
        <v>363744</v>
      </c>
      <c r="N75" s="155">
        <v>371600</v>
      </c>
      <c r="O75" s="155">
        <v>385720</v>
      </c>
      <c r="P75" s="155">
        <v>400217</v>
      </c>
      <c r="Q75" s="155">
        <v>409805</v>
      </c>
      <c r="R75" s="155">
        <v>419168</v>
      </c>
      <c r="S75" s="155">
        <v>423823</v>
      </c>
      <c r="T75" s="155">
        <v>421084</v>
      </c>
      <c r="U75" s="155">
        <v>420468</v>
      </c>
      <c r="V75" s="155">
        <v>418715</v>
      </c>
      <c r="W75" s="155">
        <v>419072</v>
      </c>
      <c r="X75" s="155">
        <v>409628</v>
      </c>
      <c r="Y75" s="155">
        <v>419955</v>
      </c>
      <c r="Z75" s="155">
        <v>403260</v>
      </c>
      <c r="AA75" s="155">
        <v>388539</v>
      </c>
      <c r="AB75" s="155">
        <v>374612</v>
      </c>
      <c r="AC75" s="155">
        <v>370382</v>
      </c>
      <c r="AD75" s="155">
        <v>364564</v>
      </c>
      <c r="AE75" s="155">
        <v>357537</v>
      </c>
      <c r="AF75" s="155">
        <v>366413</v>
      </c>
      <c r="AG75" s="155">
        <v>394977</v>
      </c>
      <c r="AH75" s="155">
        <v>413975</v>
      </c>
      <c r="AI75" s="155">
        <v>416550</v>
      </c>
      <c r="AJ75" s="155">
        <v>414272</v>
      </c>
      <c r="AK75" s="155">
        <v>420058</v>
      </c>
      <c r="AL75" s="155">
        <v>422398</v>
      </c>
      <c r="AM75" s="155">
        <v>438322</v>
      </c>
      <c r="AN75" s="155">
        <v>443638</v>
      </c>
      <c r="AO75" s="155">
        <v>452689</v>
      </c>
      <c r="AP75" s="155">
        <v>466623</v>
      </c>
      <c r="AQ75" s="155">
        <v>464639</v>
      </c>
      <c r="AR75" s="155">
        <v>471659</v>
      </c>
      <c r="AS75" s="155">
        <v>477389</v>
      </c>
      <c r="AT75" s="155">
        <v>477966</v>
      </c>
      <c r="AU75" s="155">
        <v>471256</v>
      </c>
      <c r="AV75" s="155">
        <v>475954</v>
      </c>
      <c r="AW75" s="155">
        <v>470239</v>
      </c>
      <c r="AX75" s="155">
        <v>469236</v>
      </c>
      <c r="AY75" s="155">
        <v>481028</v>
      </c>
      <c r="AZ75" s="155">
        <v>476722</v>
      </c>
      <c r="BA75" s="155">
        <v>477868</v>
      </c>
      <c r="BB75" s="155">
        <v>471163</v>
      </c>
      <c r="BC75" s="155">
        <v>467865</v>
      </c>
      <c r="BD75" s="155">
        <v>468399</v>
      </c>
      <c r="BE75" s="155">
        <v>469912</v>
      </c>
      <c r="BF75" s="155">
        <v>475363</v>
      </c>
      <c r="BG75" s="155">
        <v>473838</v>
      </c>
      <c r="BH75" s="155">
        <v>474625</v>
      </c>
      <c r="BI75" s="155">
        <v>480613</v>
      </c>
      <c r="BJ75" s="155">
        <v>495468</v>
      </c>
      <c r="BK75" s="155">
        <v>492392</v>
      </c>
      <c r="BL75" s="155">
        <v>496469</v>
      </c>
      <c r="BM75" s="155">
        <v>501614</v>
      </c>
      <c r="BN75" s="155">
        <v>503158</v>
      </c>
      <c r="BO75" s="155">
        <v>495292</v>
      </c>
      <c r="BP75" s="155">
        <v>488672</v>
      </c>
      <c r="BQ75" s="155">
        <v>488490</v>
      </c>
      <c r="BR75" s="155">
        <v>492340</v>
      </c>
      <c r="BS75" s="155">
        <v>484757</v>
      </c>
      <c r="BT75" s="155">
        <v>478654</v>
      </c>
      <c r="BU75" s="155">
        <v>475696</v>
      </c>
      <c r="BV75" s="155">
        <v>471771</v>
      </c>
      <c r="BW75" s="155">
        <v>463136</v>
      </c>
      <c r="BX75" s="155">
        <v>466740</v>
      </c>
      <c r="BY75" s="155">
        <v>451908</v>
      </c>
      <c r="BZ75" s="155">
        <v>451914</v>
      </c>
      <c r="CA75" s="155">
        <v>453995</v>
      </c>
      <c r="CB75" s="155">
        <v>455564</v>
      </c>
      <c r="CC75" s="155">
        <v>456646</v>
      </c>
      <c r="CD75" s="155">
        <v>457462</v>
      </c>
      <c r="CE75" s="155">
        <v>458212</v>
      </c>
      <c r="CF75" s="155">
        <v>458924</v>
      </c>
      <c r="CG75" s="155">
        <v>459639</v>
      </c>
      <c r="CH75" s="155">
        <v>460346</v>
      </c>
      <c r="CI75" s="155">
        <v>461215</v>
      </c>
      <c r="CJ75" s="155">
        <v>462315</v>
      </c>
      <c r="CK75" s="155">
        <v>463509</v>
      </c>
      <c r="CL75" s="155">
        <v>464770</v>
      </c>
      <c r="CM75" s="155">
        <v>466187</v>
      </c>
      <c r="CN75" s="155">
        <v>467748</v>
      </c>
      <c r="CO75" s="155">
        <v>469364</v>
      </c>
      <c r="CP75" s="155">
        <v>470904</v>
      </c>
      <c r="CQ75" s="155">
        <v>472322</v>
      </c>
      <c r="CR75" s="155">
        <v>473649</v>
      </c>
      <c r="CS75" s="155">
        <v>474658</v>
      </c>
      <c r="CT75" s="155">
        <v>475262</v>
      </c>
      <c r="CU75" s="155">
        <v>475584</v>
      </c>
      <c r="CV75" s="155">
        <v>475726</v>
      </c>
      <c r="CW75" s="155">
        <v>475726</v>
      </c>
      <c r="CX75" s="155">
        <v>475136</v>
      </c>
      <c r="CY75" s="154">
        <v>473890</v>
      </c>
    </row>
    <row r="76" spans="1:103">
      <c r="A76" s="155" t="s">
        <v>1136</v>
      </c>
      <c r="B76" s="154">
        <v>74</v>
      </c>
      <c r="C76" s="155">
        <v>352163</v>
      </c>
      <c r="D76" s="155">
        <v>330067</v>
      </c>
      <c r="E76" s="155">
        <v>320121</v>
      </c>
      <c r="F76" s="155">
        <v>312010</v>
      </c>
      <c r="G76" s="155">
        <v>307825</v>
      </c>
      <c r="H76" s="155">
        <v>314024</v>
      </c>
      <c r="I76" s="155">
        <v>317714</v>
      </c>
      <c r="J76" s="155">
        <v>315463</v>
      </c>
      <c r="K76" s="155">
        <v>325550</v>
      </c>
      <c r="L76" s="155">
        <v>336828</v>
      </c>
      <c r="M76" s="155">
        <v>349392</v>
      </c>
      <c r="N76" s="155">
        <v>358023</v>
      </c>
      <c r="O76" s="155">
        <v>365842</v>
      </c>
      <c r="P76" s="155">
        <v>379825</v>
      </c>
      <c r="Q76" s="155">
        <v>394178</v>
      </c>
      <c r="R76" s="155">
        <v>403691</v>
      </c>
      <c r="S76" s="155">
        <v>412982</v>
      </c>
      <c r="T76" s="155">
        <v>417635</v>
      </c>
      <c r="U76" s="155">
        <v>415003</v>
      </c>
      <c r="V76" s="155">
        <v>414459</v>
      </c>
      <c r="W76" s="155">
        <v>412792</v>
      </c>
      <c r="X76" s="155">
        <v>413209</v>
      </c>
      <c r="Y76" s="155">
        <v>403962</v>
      </c>
      <c r="Z76" s="155">
        <v>414207</v>
      </c>
      <c r="AA76" s="155">
        <v>397806</v>
      </c>
      <c r="AB76" s="155">
        <v>383347</v>
      </c>
      <c r="AC76" s="155">
        <v>369666</v>
      </c>
      <c r="AD76" s="155">
        <v>365550</v>
      </c>
      <c r="AE76" s="155">
        <v>359859</v>
      </c>
      <c r="AF76" s="155">
        <v>352979</v>
      </c>
      <c r="AG76" s="155">
        <v>361791</v>
      </c>
      <c r="AH76" s="155">
        <v>390045</v>
      </c>
      <c r="AI76" s="155">
        <v>408860</v>
      </c>
      <c r="AJ76" s="155">
        <v>411457</v>
      </c>
      <c r="AK76" s="155">
        <v>409262</v>
      </c>
      <c r="AL76" s="155">
        <v>415033</v>
      </c>
      <c r="AM76" s="155">
        <v>417404</v>
      </c>
      <c r="AN76" s="155">
        <v>433193</v>
      </c>
      <c r="AO76" s="155">
        <v>438504</v>
      </c>
      <c r="AP76" s="155">
        <v>447508</v>
      </c>
      <c r="AQ76" s="155">
        <v>461337</v>
      </c>
      <c r="AR76" s="155">
        <v>459434</v>
      </c>
      <c r="AS76" s="155">
        <v>466436</v>
      </c>
      <c r="AT76" s="155">
        <v>472156</v>
      </c>
      <c r="AU76" s="155">
        <v>472785</v>
      </c>
      <c r="AV76" s="155">
        <v>466206</v>
      </c>
      <c r="AW76" s="155">
        <v>470910</v>
      </c>
      <c r="AX76" s="155">
        <v>465314</v>
      </c>
      <c r="AY76" s="155">
        <v>464374</v>
      </c>
      <c r="AZ76" s="155">
        <v>476095</v>
      </c>
      <c r="BA76" s="155">
        <v>471889</v>
      </c>
      <c r="BB76" s="155">
        <v>473074</v>
      </c>
      <c r="BC76" s="155">
        <v>466485</v>
      </c>
      <c r="BD76" s="155">
        <v>463274</v>
      </c>
      <c r="BE76" s="155">
        <v>463855</v>
      </c>
      <c r="BF76" s="155">
        <v>465400</v>
      </c>
      <c r="BG76" s="155">
        <v>470854</v>
      </c>
      <c r="BH76" s="155">
        <v>469396</v>
      </c>
      <c r="BI76" s="155">
        <v>470224</v>
      </c>
      <c r="BJ76" s="155">
        <v>476205</v>
      </c>
      <c r="BK76" s="155">
        <v>490970</v>
      </c>
      <c r="BL76" s="155">
        <v>487973</v>
      </c>
      <c r="BM76" s="155">
        <v>492062</v>
      </c>
      <c r="BN76" s="155">
        <v>497212</v>
      </c>
      <c r="BO76" s="155">
        <v>498791</v>
      </c>
      <c r="BP76" s="155">
        <v>491042</v>
      </c>
      <c r="BQ76" s="155">
        <v>484527</v>
      </c>
      <c r="BR76" s="155">
        <v>484394</v>
      </c>
      <c r="BS76" s="155">
        <v>488257</v>
      </c>
      <c r="BT76" s="155">
        <v>480782</v>
      </c>
      <c r="BU76" s="155">
        <v>474776</v>
      </c>
      <c r="BV76" s="155">
        <v>471885</v>
      </c>
      <c r="BW76" s="155">
        <v>468035</v>
      </c>
      <c r="BX76" s="155">
        <v>459512</v>
      </c>
      <c r="BY76" s="155">
        <v>463128</v>
      </c>
      <c r="BZ76" s="155">
        <v>448450</v>
      </c>
      <c r="CA76" s="155">
        <v>448496</v>
      </c>
      <c r="CB76" s="155">
        <v>450599</v>
      </c>
      <c r="CC76" s="155">
        <v>452193</v>
      </c>
      <c r="CD76" s="155">
        <v>453305</v>
      </c>
      <c r="CE76" s="155">
        <v>454152</v>
      </c>
      <c r="CF76" s="155">
        <v>454934</v>
      </c>
      <c r="CG76" s="155">
        <v>455678</v>
      </c>
      <c r="CH76" s="155">
        <v>456423</v>
      </c>
      <c r="CI76" s="155">
        <v>457162</v>
      </c>
      <c r="CJ76" s="155">
        <v>458060</v>
      </c>
      <c r="CK76" s="155">
        <v>459187</v>
      </c>
      <c r="CL76" s="155">
        <v>460410</v>
      </c>
      <c r="CM76" s="155">
        <v>461695</v>
      </c>
      <c r="CN76" s="155">
        <v>463138</v>
      </c>
      <c r="CO76" s="155">
        <v>464722</v>
      </c>
      <c r="CP76" s="155">
        <v>466361</v>
      </c>
      <c r="CQ76" s="155">
        <v>467927</v>
      </c>
      <c r="CR76" s="155">
        <v>469368</v>
      </c>
      <c r="CS76" s="155">
        <v>470721</v>
      </c>
      <c r="CT76" s="155">
        <v>471756</v>
      </c>
      <c r="CU76" s="155">
        <v>472389</v>
      </c>
      <c r="CV76" s="155">
        <v>472740</v>
      </c>
      <c r="CW76" s="155">
        <v>472913</v>
      </c>
      <c r="CX76" s="155">
        <v>472946</v>
      </c>
      <c r="CY76" s="154">
        <v>472391</v>
      </c>
    </row>
    <row r="77" spans="1:103">
      <c r="A77" s="155" t="s">
        <v>1136</v>
      </c>
      <c r="B77" s="154">
        <v>75</v>
      </c>
      <c r="C77" s="155">
        <v>376633</v>
      </c>
      <c r="D77" s="155">
        <v>345192</v>
      </c>
      <c r="E77" s="155">
        <v>323756</v>
      </c>
      <c r="F77" s="155">
        <v>314054</v>
      </c>
      <c r="G77" s="155">
        <v>306127</v>
      </c>
      <c r="H77" s="155">
        <v>302055</v>
      </c>
      <c r="I77" s="155">
        <v>308172</v>
      </c>
      <c r="J77" s="155">
        <v>311864</v>
      </c>
      <c r="K77" s="155">
        <v>309730</v>
      </c>
      <c r="L77" s="155">
        <v>319714</v>
      </c>
      <c r="M77" s="155">
        <v>330877</v>
      </c>
      <c r="N77" s="155">
        <v>343306</v>
      </c>
      <c r="O77" s="155">
        <v>351878</v>
      </c>
      <c r="P77" s="155">
        <v>359654</v>
      </c>
      <c r="Q77" s="155">
        <v>373487</v>
      </c>
      <c r="R77" s="155">
        <v>387681</v>
      </c>
      <c r="S77" s="155">
        <v>397110</v>
      </c>
      <c r="T77" s="155">
        <v>406323</v>
      </c>
      <c r="U77" s="155">
        <v>410973</v>
      </c>
      <c r="V77" s="155">
        <v>408456</v>
      </c>
      <c r="W77" s="155">
        <v>407989</v>
      </c>
      <c r="X77" s="155">
        <v>406415</v>
      </c>
      <c r="Y77" s="155">
        <v>406896</v>
      </c>
      <c r="Z77" s="155">
        <v>397861</v>
      </c>
      <c r="AA77" s="155">
        <v>408020</v>
      </c>
      <c r="AB77" s="155">
        <v>391933</v>
      </c>
      <c r="AC77" s="155">
        <v>377756</v>
      </c>
      <c r="AD77" s="155">
        <v>364340</v>
      </c>
      <c r="AE77" s="155">
        <v>360344</v>
      </c>
      <c r="AF77" s="155">
        <v>354792</v>
      </c>
      <c r="AG77" s="155">
        <v>348068</v>
      </c>
      <c r="AH77" s="155">
        <v>356812</v>
      </c>
      <c r="AI77" s="155">
        <v>384731</v>
      </c>
      <c r="AJ77" s="155">
        <v>403347</v>
      </c>
      <c r="AK77" s="155">
        <v>405965</v>
      </c>
      <c r="AL77" s="155">
        <v>403861</v>
      </c>
      <c r="AM77" s="155">
        <v>409615</v>
      </c>
      <c r="AN77" s="155">
        <v>412015</v>
      </c>
      <c r="AO77" s="155">
        <v>427660</v>
      </c>
      <c r="AP77" s="155">
        <v>432964</v>
      </c>
      <c r="AQ77" s="155">
        <v>441916</v>
      </c>
      <c r="AR77" s="155">
        <v>455631</v>
      </c>
      <c r="AS77" s="155">
        <v>453816</v>
      </c>
      <c r="AT77" s="155">
        <v>460796</v>
      </c>
      <c r="AU77" s="155">
        <v>466506</v>
      </c>
      <c r="AV77" s="155">
        <v>467190</v>
      </c>
      <c r="AW77" s="155">
        <v>460752</v>
      </c>
      <c r="AX77" s="155">
        <v>465463</v>
      </c>
      <c r="AY77" s="155">
        <v>459993</v>
      </c>
      <c r="AZ77" s="155">
        <v>459122</v>
      </c>
      <c r="BA77" s="155">
        <v>470767</v>
      </c>
      <c r="BB77" s="155">
        <v>466665</v>
      </c>
      <c r="BC77" s="155">
        <v>467892</v>
      </c>
      <c r="BD77" s="155">
        <v>461430</v>
      </c>
      <c r="BE77" s="155">
        <v>458311</v>
      </c>
      <c r="BF77" s="155">
        <v>458942</v>
      </c>
      <c r="BG77" s="155">
        <v>460524</v>
      </c>
      <c r="BH77" s="155">
        <v>465981</v>
      </c>
      <c r="BI77" s="155">
        <v>464594</v>
      </c>
      <c r="BJ77" s="155">
        <v>465466</v>
      </c>
      <c r="BK77" s="155">
        <v>471438</v>
      </c>
      <c r="BL77" s="155">
        <v>486106</v>
      </c>
      <c r="BM77" s="155">
        <v>483193</v>
      </c>
      <c r="BN77" s="155">
        <v>487295</v>
      </c>
      <c r="BO77" s="155">
        <v>492447</v>
      </c>
      <c r="BP77" s="155">
        <v>494065</v>
      </c>
      <c r="BQ77" s="155">
        <v>486442</v>
      </c>
      <c r="BR77" s="155">
        <v>480041</v>
      </c>
      <c r="BS77" s="155">
        <v>479958</v>
      </c>
      <c r="BT77" s="155">
        <v>483838</v>
      </c>
      <c r="BU77" s="155">
        <v>476480</v>
      </c>
      <c r="BV77" s="155">
        <v>470576</v>
      </c>
      <c r="BW77" s="155">
        <v>467759</v>
      </c>
      <c r="BX77" s="155">
        <v>463990</v>
      </c>
      <c r="BY77" s="155">
        <v>455586</v>
      </c>
      <c r="BZ77" s="155">
        <v>459216</v>
      </c>
      <c r="CA77" s="155">
        <v>444705</v>
      </c>
      <c r="CB77" s="155">
        <v>444794</v>
      </c>
      <c r="CC77" s="155">
        <v>446921</v>
      </c>
      <c r="CD77" s="155">
        <v>448542</v>
      </c>
      <c r="CE77" s="155">
        <v>449687</v>
      </c>
      <c r="CF77" s="155">
        <v>450567</v>
      </c>
      <c r="CG77" s="155">
        <v>451384</v>
      </c>
      <c r="CH77" s="155">
        <v>452162</v>
      </c>
      <c r="CI77" s="155">
        <v>452939</v>
      </c>
      <c r="CJ77" s="155">
        <v>453711</v>
      </c>
      <c r="CK77" s="155">
        <v>454642</v>
      </c>
      <c r="CL77" s="155">
        <v>455799</v>
      </c>
      <c r="CM77" s="155">
        <v>457051</v>
      </c>
      <c r="CN77" s="155">
        <v>458364</v>
      </c>
      <c r="CO77" s="155">
        <v>459833</v>
      </c>
      <c r="CP77" s="155">
        <v>461443</v>
      </c>
      <c r="CQ77" s="155">
        <v>463107</v>
      </c>
      <c r="CR77" s="155">
        <v>464699</v>
      </c>
      <c r="CS77" s="155">
        <v>466166</v>
      </c>
      <c r="CT77" s="155">
        <v>467545</v>
      </c>
      <c r="CU77" s="155">
        <v>468608</v>
      </c>
      <c r="CV77" s="155">
        <v>469273</v>
      </c>
      <c r="CW77" s="155">
        <v>469657</v>
      </c>
      <c r="CX77" s="155">
        <v>469864</v>
      </c>
      <c r="CY77" s="154">
        <v>469930</v>
      </c>
    </row>
    <row r="78" spans="1:103">
      <c r="A78" s="155" t="s">
        <v>1136</v>
      </c>
      <c r="B78" s="154">
        <v>76</v>
      </c>
      <c r="C78" s="155">
        <v>286485</v>
      </c>
      <c r="D78" s="155">
        <v>368256</v>
      </c>
      <c r="E78" s="155">
        <v>337822</v>
      </c>
      <c r="F78" s="155">
        <v>316935</v>
      </c>
      <c r="G78" s="155">
        <v>307498</v>
      </c>
      <c r="H78" s="155">
        <v>299774</v>
      </c>
      <c r="I78" s="155">
        <v>295823</v>
      </c>
      <c r="J78" s="155">
        <v>301872</v>
      </c>
      <c r="K78" s="155">
        <v>305567</v>
      </c>
      <c r="L78" s="155">
        <v>303556</v>
      </c>
      <c r="M78" s="155">
        <v>313425</v>
      </c>
      <c r="N78" s="155">
        <v>324462</v>
      </c>
      <c r="O78" s="155">
        <v>336741</v>
      </c>
      <c r="P78" s="155">
        <v>345246</v>
      </c>
      <c r="Q78" s="155">
        <v>352969</v>
      </c>
      <c r="R78" s="155">
        <v>366635</v>
      </c>
      <c r="S78" s="155">
        <v>380657</v>
      </c>
      <c r="T78" s="155">
        <v>389992</v>
      </c>
      <c r="U78" s="155">
        <v>399119</v>
      </c>
      <c r="V78" s="155">
        <v>403764</v>
      </c>
      <c r="W78" s="155">
        <v>401372</v>
      </c>
      <c r="X78" s="155">
        <v>400988</v>
      </c>
      <c r="Y78" s="155">
        <v>399516</v>
      </c>
      <c r="Z78" s="155">
        <v>400064</v>
      </c>
      <c r="AA78" s="155">
        <v>391258</v>
      </c>
      <c r="AB78" s="155">
        <v>401322</v>
      </c>
      <c r="AC78" s="155">
        <v>385574</v>
      </c>
      <c r="AD78" s="155">
        <v>371700</v>
      </c>
      <c r="AE78" s="155">
        <v>358569</v>
      </c>
      <c r="AF78" s="155">
        <v>354700</v>
      </c>
      <c r="AG78" s="155">
        <v>349298</v>
      </c>
      <c r="AH78" s="155">
        <v>342741</v>
      </c>
      <c r="AI78" s="155">
        <v>351409</v>
      </c>
      <c r="AJ78" s="155">
        <v>378965</v>
      </c>
      <c r="AK78" s="155">
        <v>397367</v>
      </c>
      <c r="AL78" s="155">
        <v>400007</v>
      </c>
      <c r="AM78" s="155">
        <v>397999</v>
      </c>
      <c r="AN78" s="155">
        <v>403736</v>
      </c>
      <c r="AO78" s="155">
        <v>406167</v>
      </c>
      <c r="AP78" s="155">
        <v>421653</v>
      </c>
      <c r="AQ78" s="155">
        <v>426950</v>
      </c>
      <c r="AR78" s="155">
        <v>435844</v>
      </c>
      <c r="AS78" s="155">
        <v>449436</v>
      </c>
      <c r="AT78" s="155">
        <v>447715</v>
      </c>
      <c r="AU78" s="155">
        <v>454670</v>
      </c>
      <c r="AV78" s="155">
        <v>460367</v>
      </c>
      <c r="AW78" s="155">
        <v>461110</v>
      </c>
      <c r="AX78" s="155">
        <v>454824</v>
      </c>
      <c r="AY78" s="155">
        <v>459541</v>
      </c>
      <c r="AZ78" s="155">
        <v>454208</v>
      </c>
      <c r="BA78" s="155">
        <v>453410</v>
      </c>
      <c r="BB78" s="155">
        <v>464972</v>
      </c>
      <c r="BC78" s="155">
        <v>460984</v>
      </c>
      <c r="BD78" s="155">
        <v>462256</v>
      </c>
      <c r="BE78" s="155">
        <v>455928</v>
      </c>
      <c r="BF78" s="155">
        <v>452911</v>
      </c>
      <c r="BG78" s="155">
        <v>453593</v>
      </c>
      <c r="BH78" s="155">
        <v>455214</v>
      </c>
      <c r="BI78" s="155">
        <v>460675</v>
      </c>
      <c r="BJ78" s="155">
        <v>459363</v>
      </c>
      <c r="BK78" s="155">
        <v>460280</v>
      </c>
      <c r="BL78" s="155">
        <v>466244</v>
      </c>
      <c r="BM78" s="155">
        <v>480808</v>
      </c>
      <c r="BN78" s="155">
        <v>477985</v>
      </c>
      <c r="BO78" s="155">
        <v>482100</v>
      </c>
      <c r="BP78" s="155">
        <v>487255</v>
      </c>
      <c r="BQ78" s="155">
        <v>488914</v>
      </c>
      <c r="BR78" s="155">
        <v>481428</v>
      </c>
      <c r="BS78" s="155">
        <v>475149</v>
      </c>
      <c r="BT78" s="155">
        <v>475121</v>
      </c>
      <c r="BU78" s="155">
        <v>479015</v>
      </c>
      <c r="BV78" s="155">
        <v>471785</v>
      </c>
      <c r="BW78" s="155">
        <v>465994</v>
      </c>
      <c r="BX78" s="155">
        <v>463253</v>
      </c>
      <c r="BY78" s="155">
        <v>459573</v>
      </c>
      <c r="BZ78" s="155">
        <v>451300</v>
      </c>
      <c r="CA78" s="155">
        <v>454943</v>
      </c>
      <c r="CB78" s="155">
        <v>440615</v>
      </c>
      <c r="CC78" s="155">
        <v>440748</v>
      </c>
      <c r="CD78" s="155">
        <v>442901</v>
      </c>
      <c r="CE78" s="155">
        <v>444552</v>
      </c>
      <c r="CF78" s="155">
        <v>445733</v>
      </c>
      <c r="CG78" s="155">
        <v>446647</v>
      </c>
      <c r="CH78" s="155">
        <v>447501</v>
      </c>
      <c r="CI78" s="155">
        <v>448314</v>
      </c>
      <c r="CJ78" s="155">
        <v>449128</v>
      </c>
      <c r="CK78" s="155">
        <v>449937</v>
      </c>
      <c r="CL78" s="155">
        <v>450901</v>
      </c>
      <c r="CM78" s="155">
        <v>452090</v>
      </c>
      <c r="CN78" s="155">
        <v>453374</v>
      </c>
      <c r="CO78" s="155">
        <v>454717</v>
      </c>
      <c r="CP78" s="155">
        <v>456214</v>
      </c>
      <c r="CQ78" s="155">
        <v>457854</v>
      </c>
      <c r="CR78" s="155">
        <v>459545</v>
      </c>
      <c r="CS78" s="155">
        <v>461163</v>
      </c>
      <c r="CT78" s="155">
        <v>462658</v>
      </c>
      <c r="CU78" s="155">
        <v>464066</v>
      </c>
      <c r="CV78" s="155">
        <v>465159</v>
      </c>
      <c r="CW78" s="155">
        <v>465859</v>
      </c>
      <c r="CX78" s="155">
        <v>466277</v>
      </c>
      <c r="CY78" s="154">
        <v>466521</v>
      </c>
    </row>
    <row r="79" spans="1:103">
      <c r="A79" s="155" t="s">
        <v>1136</v>
      </c>
      <c r="B79" s="154">
        <v>77</v>
      </c>
      <c r="C79" s="155">
        <v>274665</v>
      </c>
      <c r="D79" s="155">
        <v>279379</v>
      </c>
      <c r="E79" s="155">
        <v>359437</v>
      </c>
      <c r="F79" s="155">
        <v>329878</v>
      </c>
      <c r="G79" s="155">
        <v>309581</v>
      </c>
      <c r="H79" s="155">
        <v>300430</v>
      </c>
      <c r="I79" s="155">
        <v>292923</v>
      </c>
      <c r="J79" s="155">
        <v>289122</v>
      </c>
      <c r="K79" s="155">
        <v>295099</v>
      </c>
      <c r="L79" s="155">
        <v>298792</v>
      </c>
      <c r="M79" s="155">
        <v>296909</v>
      </c>
      <c r="N79" s="155">
        <v>306653</v>
      </c>
      <c r="O79" s="155">
        <v>317547</v>
      </c>
      <c r="P79" s="155">
        <v>329659</v>
      </c>
      <c r="Q79" s="155">
        <v>338087</v>
      </c>
      <c r="R79" s="155">
        <v>345747</v>
      </c>
      <c r="S79" s="155">
        <v>359228</v>
      </c>
      <c r="T79" s="155">
        <v>373060</v>
      </c>
      <c r="U79" s="155">
        <v>382293</v>
      </c>
      <c r="V79" s="155">
        <v>391323</v>
      </c>
      <c r="W79" s="155">
        <v>395965</v>
      </c>
      <c r="X79" s="155">
        <v>393705</v>
      </c>
      <c r="Y79" s="155">
        <v>393412</v>
      </c>
      <c r="Z79" s="155">
        <v>392047</v>
      </c>
      <c r="AA79" s="155">
        <v>392668</v>
      </c>
      <c r="AB79" s="155">
        <v>384107</v>
      </c>
      <c r="AC79" s="155">
        <v>394067</v>
      </c>
      <c r="AD79" s="155">
        <v>378684</v>
      </c>
      <c r="AE79" s="155">
        <v>365137</v>
      </c>
      <c r="AF79" s="155">
        <v>352314</v>
      </c>
      <c r="AG79" s="155">
        <v>348582</v>
      </c>
      <c r="AH79" s="155">
        <v>343340</v>
      </c>
      <c r="AI79" s="155">
        <v>336964</v>
      </c>
      <c r="AJ79" s="155">
        <v>345547</v>
      </c>
      <c r="AK79" s="155">
        <v>372710</v>
      </c>
      <c r="AL79" s="155">
        <v>390877</v>
      </c>
      <c r="AM79" s="155">
        <v>393541</v>
      </c>
      <c r="AN79" s="155">
        <v>391636</v>
      </c>
      <c r="AO79" s="155">
        <v>397351</v>
      </c>
      <c r="AP79" s="155">
        <v>399816</v>
      </c>
      <c r="AQ79" s="155">
        <v>415128</v>
      </c>
      <c r="AR79" s="155">
        <v>420416</v>
      </c>
      <c r="AS79" s="155">
        <v>429249</v>
      </c>
      <c r="AT79" s="155">
        <v>442706</v>
      </c>
      <c r="AU79" s="155">
        <v>441085</v>
      </c>
      <c r="AV79" s="155">
        <v>448012</v>
      </c>
      <c r="AW79" s="155">
        <v>453693</v>
      </c>
      <c r="AX79" s="155">
        <v>454499</v>
      </c>
      <c r="AY79" s="155">
        <v>448377</v>
      </c>
      <c r="AZ79" s="155">
        <v>453101</v>
      </c>
      <c r="BA79" s="155">
        <v>447916</v>
      </c>
      <c r="BB79" s="155">
        <v>447195</v>
      </c>
      <c r="BC79" s="155">
        <v>458668</v>
      </c>
      <c r="BD79" s="155">
        <v>454800</v>
      </c>
      <c r="BE79" s="155">
        <v>456120</v>
      </c>
      <c r="BF79" s="155">
        <v>449939</v>
      </c>
      <c r="BG79" s="155">
        <v>447031</v>
      </c>
      <c r="BH79" s="155">
        <v>447769</v>
      </c>
      <c r="BI79" s="155">
        <v>449430</v>
      </c>
      <c r="BJ79" s="155">
        <v>454894</v>
      </c>
      <c r="BK79" s="155">
        <v>453663</v>
      </c>
      <c r="BL79" s="155">
        <v>454631</v>
      </c>
      <c r="BM79" s="155">
        <v>460584</v>
      </c>
      <c r="BN79" s="155">
        <v>475032</v>
      </c>
      <c r="BO79" s="155">
        <v>472308</v>
      </c>
      <c r="BP79" s="155">
        <v>476436</v>
      </c>
      <c r="BQ79" s="155">
        <v>481592</v>
      </c>
      <c r="BR79" s="155">
        <v>483297</v>
      </c>
      <c r="BS79" s="155">
        <v>475957</v>
      </c>
      <c r="BT79" s="155">
        <v>469811</v>
      </c>
      <c r="BU79" s="155">
        <v>469843</v>
      </c>
      <c r="BV79" s="155">
        <v>473752</v>
      </c>
      <c r="BW79" s="155">
        <v>466662</v>
      </c>
      <c r="BX79" s="155">
        <v>460990</v>
      </c>
      <c r="BY79" s="155">
        <v>458334</v>
      </c>
      <c r="BZ79" s="155">
        <v>454750</v>
      </c>
      <c r="CA79" s="155">
        <v>446619</v>
      </c>
      <c r="CB79" s="155">
        <v>450276</v>
      </c>
      <c r="CC79" s="155">
        <v>436147</v>
      </c>
      <c r="CD79" s="155">
        <v>436327</v>
      </c>
      <c r="CE79" s="155">
        <v>438508</v>
      </c>
      <c r="CF79" s="155">
        <v>440191</v>
      </c>
      <c r="CG79" s="155">
        <v>441409</v>
      </c>
      <c r="CH79" s="155">
        <v>442361</v>
      </c>
      <c r="CI79" s="155">
        <v>443256</v>
      </c>
      <c r="CJ79" s="155">
        <v>444108</v>
      </c>
      <c r="CK79" s="155">
        <v>444961</v>
      </c>
      <c r="CL79" s="155">
        <v>445808</v>
      </c>
      <c r="CM79" s="155">
        <v>446808</v>
      </c>
      <c r="CN79" s="155">
        <v>448033</v>
      </c>
      <c r="CO79" s="155">
        <v>449349</v>
      </c>
      <c r="CP79" s="155">
        <v>450726</v>
      </c>
      <c r="CQ79" s="155">
        <v>452254</v>
      </c>
      <c r="CR79" s="155">
        <v>453924</v>
      </c>
      <c r="CS79" s="155">
        <v>455643</v>
      </c>
      <c r="CT79" s="155">
        <v>457291</v>
      </c>
      <c r="CU79" s="155">
        <v>458817</v>
      </c>
      <c r="CV79" s="155">
        <v>460255</v>
      </c>
      <c r="CW79" s="155">
        <v>461383</v>
      </c>
      <c r="CX79" s="155">
        <v>462120</v>
      </c>
      <c r="CY79" s="154">
        <v>462576</v>
      </c>
    </row>
    <row r="80" spans="1:103">
      <c r="A80" s="155" t="s">
        <v>1136</v>
      </c>
      <c r="B80" s="154">
        <v>78</v>
      </c>
      <c r="C80" s="155">
        <v>269181</v>
      </c>
      <c r="D80" s="155">
        <v>266975</v>
      </c>
      <c r="E80" s="155">
        <v>271880</v>
      </c>
      <c r="F80" s="155">
        <v>349930</v>
      </c>
      <c r="G80" s="155">
        <v>321304</v>
      </c>
      <c r="H80" s="155">
        <v>301638</v>
      </c>
      <c r="I80" s="155">
        <v>292787</v>
      </c>
      <c r="J80" s="155">
        <v>285530</v>
      </c>
      <c r="K80" s="155">
        <v>281889</v>
      </c>
      <c r="L80" s="155">
        <v>287787</v>
      </c>
      <c r="M80" s="155">
        <v>291475</v>
      </c>
      <c r="N80" s="155">
        <v>289728</v>
      </c>
      <c r="O80" s="155">
        <v>299330</v>
      </c>
      <c r="P80" s="155">
        <v>310067</v>
      </c>
      <c r="Q80" s="155">
        <v>321992</v>
      </c>
      <c r="R80" s="155">
        <v>330331</v>
      </c>
      <c r="S80" s="155">
        <v>337917</v>
      </c>
      <c r="T80" s="155">
        <v>351195</v>
      </c>
      <c r="U80" s="155">
        <v>364816</v>
      </c>
      <c r="V80" s="155">
        <v>373935</v>
      </c>
      <c r="W80" s="155">
        <v>382861</v>
      </c>
      <c r="X80" s="155">
        <v>387497</v>
      </c>
      <c r="Y80" s="155">
        <v>385378</v>
      </c>
      <c r="Z80" s="155">
        <v>385181</v>
      </c>
      <c r="AA80" s="155">
        <v>383932</v>
      </c>
      <c r="AB80" s="155">
        <v>384631</v>
      </c>
      <c r="AC80" s="155">
        <v>376334</v>
      </c>
      <c r="AD80" s="155">
        <v>386181</v>
      </c>
      <c r="AE80" s="155">
        <v>371190</v>
      </c>
      <c r="AF80" s="155">
        <v>357997</v>
      </c>
      <c r="AG80" s="155">
        <v>345504</v>
      </c>
      <c r="AH80" s="155">
        <v>341920</v>
      </c>
      <c r="AI80" s="155">
        <v>336849</v>
      </c>
      <c r="AJ80" s="155">
        <v>330669</v>
      </c>
      <c r="AK80" s="155">
        <v>339161</v>
      </c>
      <c r="AL80" s="155">
        <v>365894</v>
      </c>
      <c r="AM80" s="155">
        <v>383803</v>
      </c>
      <c r="AN80" s="155">
        <v>386493</v>
      </c>
      <c r="AO80" s="155">
        <v>384700</v>
      </c>
      <c r="AP80" s="155">
        <v>390389</v>
      </c>
      <c r="AQ80" s="155">
        <v>392889</v>
      </c>
      <c r="AR80" s="155">
        <v>408013</v>
      </c>
      <c r="AS80" s="155">
        <v>413290</v>
      </c>
      <c r="AT80" s="155">
        <v>422052</v>
      </c>
      <c r="AU80" s="155">
        <v>435362</v>
      </c>
      <c r="AV80" s="155">
        <v>433849</v>
      </c>
      <c r="AW80" s="155">
        <v>440742</v>
      </c>
      <c r="AX80" s="155">
        <v>446409</v>
      </c>
      <c r="AY80" s="155">
        <v>447282</v>
      </c>
      <c r="AZ80" s="155">
        <v>441336</v>
      </c>
      <c r="BA80" s="155">
        <v>446064</v>
      </c>
      <c r="BB80" s="155">
        <v>441039</v>
      </c>
      <c r="BC80" s="155">
        <v>440403</v>
      </c>
      <c r="BD80" s="155">
        <v>451775</v>
      </c>
      <c r="BE80" s="155">
        <v>448038</v>
      </c>
      <c r="BF80" s="155">
        <v>449409</v>
      </c>
      <c r="BG80" s="155">
        <v>443389</v>
      </c>
      <c r="BH80" s="155">
        <v>440597</v>
      </c>
      <c r="BI80" s="155">
        <v>441396</v>
      </c>
      <c r="BJ80" s="155">
        <v>443102</v>
      </c>
      <c r="BK80" s="155">
        <v>448565</v>
      </c>
      <c r="BL80" s="155">
        <v>447422</v>
      </c>
      <c r="BM80" s="155">
        <v>448443</v>
      </c>
      <c r="BN80" s="155">
        <v>454384</v>
      </c>
      <c r="BO80" s="155">
        <v>468704</v>
      </c>
      <c r="BP80" s="155">
        <v>466087</v>
      </c>
      <c r="BQ80" s="155">
        <v>470228</v>
      </c>
      <c r="BR80" s="155">
        <v>475388</v>
      </c>
      <c r="BS80" s="155">
        <v>477140</v>
      </c>
      <c r="BT80" s="155">
        <v>469960</v>
      </c>
      <c r="BU80" s="155">
        <v>463957</v>
      </c>
      <c r="BV80" s="155">
        <v>464055</v>
      </c>
      <c r="BW80" s="155">
        <v>467980</v>
      </c>
      <c r="BX80" s="155">
        <v>461041</v>
      </c>
      <c r="BY80" s="155">
        <v>455499</v>
      </c>
      <c r="BZ80" s="155">
        <v>452934</v>
      </c>
      <c r="CA80" s="155">
        <v>449454</v>
      </c>
      <c r="CB80" s="155">
        <v>441475</v>
      </c>
      <c r="CC80" s="155">
        <v>445149</v>
      </c>
      <c r="CD80" s="155">
        <v>431235</v>
      </c>
      <c r="CE80" s="155">
        <v>431467</v>
      </c>
      <c r="CF80" s="155">
        <v>433678</v>
      </c>
      <c r="CG80" s="155">
        <v>435395</v>
      </c>
      <c r="CH80" s="155">
        <v>436653</v>
      </c>
      <c r="CI80" s="155">
        <v>437647</v>
      </c>
      <c r="CJ80" s="155">
        <v>438584</v>
      </c>
      <c r="CK80" s="155">
        <v>439479</v>
      </c>
      <c r="CL80" s="155">
        <v>440374</v>
      </c>
      <c r="CM80" s="155">
        <v>441263</v>
      </c>
      <c r="CN80" s="155">
        <v>442302</v>
      </c>
      <c r="CO80" s="155">
        <v>443565</v>
      </c>
      <c r="CP80" s="155">
        <v>444916</v>
      </c>
      <c r="CQ80" s="155">
        <v>446329</v>
      </c>
      <c r="CR80" s="155">
        <v>447891</v>
      </c>
      <c r="CS80" s="155">
        <v>449594</v>
      </c>
      <c r="CT80" s="155">
        <v>451345</v>
      </c>
      <c r="CU80" s="155">
        <v>453025</v>
      </c>
      <c r="CV80" s="155">
        <v>454584</v>
      </c>
      <c r="CW80" s="155">
        <v>456054</v>
      </c>
      <c r="CX80" s="155">
        <v>457220</v>
      </c>
      <c r="CY80" s="154">
        <v>457995</v>
      </c>
    </row>
    <row r="81" spans="1:103">
      <c r="A81" s="155" t="s">
        <v>1136</v>
      </c>
      <c r="B81" s="154">
        <v>79</v>
      </c>
      <c r="C81" s="155">
        <v>247531</v>
      </c>
      <c r="D81" s="155">
        <v>260634</v>
      </c>
      <c r="E81" s="155">
        <v>258864</v>
      </c>
      <c r="F81" s="155">
        <v>263781</v>
      </c>
      <c r="G81" s="155">
        <v>339669</v>
      </c>
      <c r="H81" s="155">
        <v>312039</v>
      </c>
      <c r="I81" s="155">
        <v>293039</v>
      </c>
      <c r="J81" s="155">
        <v>284524</v>
      </c>
      <c r="K81" s="155">
        <v>277532</v>
      </c>
      <c r="L81" s="155">
        <v>274064</v>
      </c>
      <c r="M81" s="155">
        <v>279874</v>
      </c>
      <c r="N81" s="155">
        <v>283552</v>
      </c>
      <c r="O81" s="155">
        <v>281947</v>
      </c>
      <c r="P81" s="155">
        <v>291393</v>
      </c>
      <c r="Q81" s="155">
        <v>301953</v>
      </c>
      <c r="R81" s="155">
        <v>313671</v>
      </c>
      <c r="S81" s="155">
        <v>321905</v>
      </c>
      <c r="T81" s="155">
        <v>329407</v>
      </c>
      <c r="U81" s="155">
        <v>342458</v>
      </c>
      <c r="V81" s="155">
        <v>355847</v>
      </c>
      <c r="W81" s="155">
        <v>364839</v>
      </c>
      <c r="X81" s="155">
        <v>373648</v>
      </c>
      <c r="Y81" s="155">
        <v>378275</v>
      </c>
      <c r="Z81" s="155">
        <v>376310</v>
      </c>
      <c r="AA81" s="155">
        <v>376215</v>
      </c>
      <c r="AB81" s="155">
        <v>375089</v>
      </c>
      <c r="AC81" s="155">
        <v>375871</v>
      </c>
      <c r="AD81" s="155">
        <v>367858</v>
      </c>
      <c r="AE81" s="155">
        <v>377578</v>
      </c>
      <c r="AF81" s="155">
        <v>363014</v>
      </c>
      <c r="AG81" s="155">
        <v>350202</v>
      </c>
      <c r="AH81" s="155">
        <v>338067</v>
      </c>
      <c r="AI81" s="155">
        <v>334642</v>
      </c>
      <c r="AJ81" s="155">
        <v>329757</v>
      </c>
      <c r="AK81" s="155">
        <v>323788</v>
      </c>
      <c r="AL81" s="155">
        <v>332178</v>
      </c>
      <c r="AM81" s="155">
        <v>358441</v>
      </c>
      <c r="AN81" s="155">
        <v>376070</v>
      </c>
      <c r="AO81" s="155">
        <v>378786</v>
      </c>
      <c r="AP81" s="155">
        <v>377113</v>
      </c>
      <c r="AQ81" s="155">
        <v>382772</v>
      </c>
      <c r="AR81" s="155">
        <v>385308</v>
      </c>
      <c r="AS81" s="155">
        <v>400224</v>
      </c>
      <c r="AT81" s="155">
        <v>405488</v>
      </c>
      <c r="AU81" s="155">
        <v>414173</v>
      </c>
      <c r="AV81" s="155">
        <v>427319</v>
      </c>
      <c r="AW81" s="155">
        <v>425922</v>
      </c>
      <c r="AX81" s="155">
        <v>432780</v>
      </c>
      <c r="AY81" s="155">
        <v>438429</v>
      </c>
      <c r="AZ81" s="155">
        <v>439371</v>
      </c>
      <c r="BA81" s="155">
        <v>433617</v>
      </c>
      <c r="BB81" s="155">
        <v>438348</v>
      </c>
      <c r="BC81" s="155">
        <v>433497</v>
      </c>
      <c r="BD81" s="155">
        <v>432952</v>
      </c>
      <c r="BE81" s="155">
        <v>444212</v>
      </c>
      <c r="BF81" s="155">
        <v>440618</v>
      </c>
      <c r="BG81" s="155">
        <v>442044</v>
      </c>
      <c r="BH81" s="155">
        <v>436196</v>
      </c>
      <c r="BI81" s="155">
        <v>433529</v>
      </c>
      <c r="BJ81" s="155">
        <v>434394</v>
      </c>
      <c r="BK81" s="155">
        <v>436148</v>
      </c>
      <c r="BL81" s="155">
        <v>441610</v>
      </c>
      <c r="BM81" s="155">
        <v>440562</v>
      </c>
      <c r="BN81" s="155">
        <v>441640</v>
      </c>
      <c r="BO81" s="155">
        <v>447565</v>
      </c>
      <c r="BP81" s="155">
        <v>461746</v>
      </c>
      <c r="BQ81" s="155">
        <v>459244</v>
      </c>
      <c r="BR81" s="155">
        <v>463400</v>
      </c>
      <c r="BS81" s="155">
        <v>468561</v>
      </c>
      <c r="BT81" s="155">
        <v>470363</v>
      </c>
      <c r="BU81" s="155">
        <v>463357</v>
      </c>
      <c r="BV81" s="155">
        <v>457513</v>
      </c>
      <c r="BW81" s="155">
        <v>457680</v>
      </c>
      <c r="BX81" s="155">
        <v>461622</v>
      </c>
      <c r="BY81" s="155">
        <v>454847</v>
      </c>
      <c r="BZ81" s="155">
        <v>449448</v>
      </c>
      <c r="CA81" s="155">
        <v>446982</v>
      </c>
      <c r="CB81" s="155">
        <v>443613</v>
      </c>
      <c r="CC81" s="155">
        <v>435803</v>
      </c>
      <c r="CD81" s="155">
        <v>439492</v>
      </c>
      <c r="CE81" s="155">
        <v>425814</v>
      </c>
      <c r="CF81" s="155">
        <v>426102</v>
      </c>
      <c r="CG81" s="155">
        <v>428346</v>
      </c>
      <c r="CH81" s="155">
        <v>430101</v>
      </c>
      <c r="CI81" s="155">
        <v>431400</v>
      </c>
      <c r="CJ81" s="155">
        <v>432440</v>
      </c>
      <c r="CK81" s="155">
        <v>433423</v>
      </c>
      <c r="CL81" s="155">
        <v>434364</v>
      </c>
      <c r="CM81" s="155">
        <v>435304</v>
      </c>
      <c r="CN81" s="155">
        <v>436241</v>
      </c>
      <c r="CO81" s="155">
        <v>437321</v>
      </c>
      <c r="CP81" s="155">
        <v>438625</v>
      </c>
      <c r="CQ81" s="155">
        <v>440015</v>
      </c>
      <c r="CR81" s="155">
        <v>441466</v>
      </c>
      <c r="CS81" s="155">
        <v>443065</v>
      </c>
      <c r="CT81" s="155">
        <v>444802</v>
      </c>
      <c r="CU81" s="155">
        <v>446588</v>
      </c>
      <c r="CV81" s="155">
        <v>448301</v>
      </c>
      <c r="CW81" s="155">
        <v>449896</v>
      </c>
      <c r="CX81" s="155">
        <v>451404</v>
      </c>
      <c r="CY81" s="154">
        <v>452608</v>
      </c>
    </row>
    <row r="82" spans="1:103">
      <c r="A82" s="155" t="s">
        <v>1136</v>
      </c>
      <c r="B82" s="154">
        <v>80</v>
      </c>
      <c r="C82" s="155">
        <v>218249</v>
      </c>
      <c r="D82" s="155">
        <v>238587</v>
      </c>
      <c r="E82" s="155">
        <v>251633</v>
      </c>
      <c r="F82" s="155">
        <v>250113</v>
      </c>
      <c r="G82" s="155">
        <v>255034</v>
      </c>
      <c r="H82" s="155">
        <v>328592</v>
      </c>
      <c r="I82" s="155">
        <v>302012</v>
      </c>
      <c r="J82" s="155">
        <v>283735</v>
      </c>
      <c r="K82" s="155">
        <v>275577</v>
      </c>
      <c r="L82" s="155">
        <v>268873</v>
      </c>
      <c r="M82" s="155">
        <v>265590</v>
      </c>
      <c r="N82" s="155">
        <v>271303</v>
      </c>
      <c r="O82" s="155">
        <v>274965</v>
      </c>
      <c r="P82" s="155">
        <v>273508</v>
      </c>
      <c r="Q82" s="155">
        <v>282779</v>
      </c>
      <c r="R82" s="155">
        <v>293139</v>
      </c>
      <c r="S82" s="155">
        <v>304628</v>
      </c>
      <c r="T82" s="155">
        <v>312742</v>
      </c>
      <c r="U82" s="155">
        <v>320144</v>
      </c>
      <c r="V82" s="155">
        <v>332944</v>
      </c>
      <c r="W82" s="155">
        <v>346074</v>
      </c>
      <c r="X82" s="155">
        <v>354926</v>
      </c>
      <c r="Y82" s="155">
        <v>363606</v>
      </c>
      <c r="Z82" s="155">
        <v>368219</v>
      </c>
      <c r="AA82" s="155">
        <v>366418</v>
      </c>
      <c r="AB82" s="155">
        <v>366432</v>
      </c>
      <c r="AC82" s="155">
        <v>365439</v>
      </c>
      <c r="AD82" s="155">
        <v>366307</v>
      </c>
      <c r="AE82" s="155">
        <v>358602</v>
      </c>
      <c r="AF82" s="155">
        <v>368181</v>
      </c>
      <c r="AG82" s="155">
        <v>354081</v>
      </c>
      <c r="AH82" s="155">
        <v>341680</v>
      </c>
      <c r="AI82" s="155">
        <v>329933</v>
      </c>
      <c r="AJ82" s="155">
        <v>326679</v>
      </c>
      <c r="AK82" s="155">
        <v>321995</v>
      </c>
      <c r="AL82" s="155">
        <v>316255</v>
      </c>
      <c r="AM82" s="155">
        <v>324532</v>
      </c>
      <c r="AN82" s="155">
        <v>350279</v>
      </c>
      <c r="AO82" s="155">
        <v>367601</v>
      </c>
      <c r="AP82" s="155">
        <v>370344</v>
      </c>
      <c r="AQ82" s="155">
        <v>368798</v>
      </c>
      <c r="AR82" s="155">
        <v>374423</v>
      </c>
      <c r="AS82" s="155">
        <v>376999</v>
      </c>
      <c r="AT82" s="155">
        <v>391685</v>
      </c>
      <c r="AU82" s="155">
        <v>396933</v>
      </c>
      <c r="AV82" s="155">
        <v>405530</v>
      </c>
      <c r="AW82" s="155">
        <v>418495</v>
      </c>
      <c r="AX82" s="155">
        <v>417223</v>
      </c>
      <c r="AY82" s="155">
        <v>424039</v>
      </c>
      <c r="AZ82" s="155">
        <v>429666</v>
      </c>
      <c r="BA82" s="155">
        <v>430683</v>
      </c>
      <c r="BB82" s="155">
        <v>425138</v>
      </c>
      <c r="BC82" s="155">
        <v>429871</v>
      </c>
      <c r="BD82" s="155">
        <v>425207</v>
      </c>
      <c r="BE82" s="155">
        <v>424760</v>
      </c>
      <c r="BF82" s="155">
        <v>435897</v>
      </c>
      <c r="BG82" s="155">
        <v>432460</v>
      </c>
      <c r="BH82" s="155">
        <v>433943</v>
      </c>
      <c r="BI82" s="155">
        <v>428284</v>
      </c>
      <c r="BJ82" s="155">
        <v>425754</v>
      </c>
      <c r="BK82" s="155">
        <v>426688</v>
      </c>
      <c r="BL82" s="155">
        <v>428492</v>
      </c>
      <c r="BM82" s="155">
        <v>433952</v>
      </c>
      <c r="BN82" s="155">
        <v>433006</v>
      </c>
      <c r="BO82" s="155">
        <v>434147</v>
      </c>
      <c r="BP82" s="155">
        <v>440055</v>
      </c>
      <c r="BQ82" s="155">
        <v>454081</v>
      </c>
      <c r="BR82" s="155">
        <v>451704</v>
      </c>
      <c r="BS82" s="155">
        <v>455872</v>
      </c>
      <c r="BT82" s="155">
        <v>461034</v>
      </c>
      <c r="BU82" s="155">
        <v>462889</v>
      </c>
      <c r="BV82" s="155">
        <v>456075</v>
      </c>
      <c r="BW82" s="155">
        <v>450402</v>
      </c>
      <c r="BX82" s="155">
        <v>450645</v>
      </c>
      <c r="BY82" s="155">
        <v>454602</v>
      </c>
      <c r="BZ82" s="155">
        <v>448008</v>
      </c>
      <c r="CA82" s="155">
        <v>442765</v>
      </c>
      <c r="CB82" s="155">
        <v>440409</v>
      </c>
      <c r="CC82" s="155">
        <v>437161</v>
      </c>
      <c r="CD82" s="155">
        <v>429534</v>
      </c>
      <c r="CE82" s="155">
        <v>433240</v>
      </c>
      <c r="CF82" s="155">
        <v>419823</v>
      </c>
      <c r="CG82" s="155">
        <v>420172</v>
      </c>
      <c r="CH82" s="155">
        <v>422448</v>
      </c>
      <c r="CI82" s="155">
        <v>424245</v>
      </c>
      <c r="CJ82" s="155">
        <v>425591</v>
      </c>
      <c r="CK82" s="155">
        <v>426680</v>
      </c>
      <c r="CL82" s="155">
        <v>427713</v>
      </c>
      <c r="CM82" s="155">
        <v>428702</v>
      </c>
      <c r="CN82" s="155">
        <v>429693</v>
      </c>
      <c r="CO82" s="155">
        <v>430679</v>
      </c>
      <c r="CP82" s="155">
        <v>431806</v>
      </c>
      <c r="CQ82" s="155">
        <v>433155</v>
      </c>
      <c r="CR82" s="155">
        <v>434587</v>
      </c>
      <c r="CS82" s="155">
        <v>436079</v>
      </c>
      <c r="CT82" s="155">
        <v>437718</v>
      </c>
      <c r="CU82" s="155">
        <v>439492</v>
      </c>
      <c r="CV82" s="155">
        <v>441316</v>
      </c>
      <c r="CW82" s="155">
        <v>443066</v>
      </c>
      <c r="CX82" s="155">
        <v>444699</v>
      </c>
      <c r="CY82" s="154">
        <v>446247</v>
      </c>
    </row>
    <row r="83" spans="1:103">
      <c r="A83" s="155" t="s">
        <v>1136</v>
      </c>
      <c r="B83" s="154">
        <v>81</v>
      </c>
      <c r="C83" s="155">
        <v>191613</v>
      </c>
      <c r="D83" s="155">
        <v>209250</v>
      </c>
      <c r="E83" s="155">
        <v>229182</v>
      </c>
      <c r="F83" s="155">
        <v>241935</v>
      </c>
      <c r="G83" s="155">
        <v>240669</v>
      </c>
      <c r="H83" s="155">
        <v>245582</v>
      </c>
      <c r="I83" s="155">
        <v>316608</v>
      </c>
      <c r="J83" s="155">
        <v>291156</v>
      </c>
      <c r="K83" s="155">
        <v>273653</v>
      </c>
      <c r="L83" s="155">
        <v>265877</v>
      </c>
      <c r="M83" s="155">
        <v>259484</v>
      </c>
      <c r="N83" s="155">
        <v>256395</v>
      </c>
      <c r="O83" s="155">
        <v>262000</v>
      </c>
      <c r="P83" s="155">
        <v>265641</v>
      </c>
      <c r="Q83" s="155">
        <v>264339</v>
      </c>
      <c r="R83" s="155">
        <v>273411</v>
      </c>
      <c r="S83" s="155">
        <v>283551</v>
      </c>
      <c r="T83" s="155">
        <v>294781</v>
      </c>
      <c r="U83" s="155">
        <v>302756</v>
      </c>
      <c r="V83" s="155">
        <v>310045</v>
      </c>
      <c r="W83" s="155">
        <v>322563</v>
      </c>
      <c r="X83" s="155">
        <v>335405</v>
      </c>
      <c r="Y83" s="155">
        <v>344100</v>
      </c>
      <c r="Z83" s="155">
        <v>352637</v>
      </c>
      <c r="AA83" s="155">
        <v>357231</v>
      </c>
      <c r="AB83" s="155">
        <v>355605</v>
      </c>
      <c r="AC83" s="155">
        <v>355736</v>
      </c>
      <c r="AD83" s="155">
        <v>354885</v>
      </c>
      <c r="AE83" s="155">
        <v>355844</v>
      </c>
      <c r="AF83" s="155">
        <v>348471</v>
      </c>
      <c r="AG83" s="155">
        <v>357893</v>
      </c>
      <c r="AH83" s="155">
        <v>344297</v>
      </c>
      <c r="AI83" s="155">
        <v>332343</v>
      </c>
      <c r="AJ83" s="155">
        <v>321019</v>
      </c>
      <c r="AK83" s="155">
        <v>317949</v>
      </c>
      <c r="AL83" s="155">
        <v>313482</v>
      </c>
      <c r="AM83" s="155">
        <v>307987</v>
      </c>
      <c r="AN83" s="155">
        <v>316138</v>
      </c>
      <c r="AO83" s="155">
        <v>341321</v>
      </c>
      <c r="AP83" s="155">
        <v>358301</v>
      </c>
      <c r="AQ83" s="155">
        <v>361073</v>
      </c>
      <c r="AR83" s="155">
        <v>359663</v>
      </c>
      <c r="AS83" s="155">
        <v>365250</v>
      </c>
      <c r="AT83" s="155">
        <v>367864</v>
      </c>
      <c r="AU83" s="155">
        <v>382297</v>
      </c>
      <c r="AV83" s="155">
        <v>387525</v>
      </c>
      <c r="AW83" s="155">
        <v>396023</v>
      </c>
      <c r="AX83" s="155">
        <v>408787</v>
      </c>
      <c r="AY83" s="155">
        <v>407652</v>
      </c>
      <c r="AZ83" s="155">
        <v>414419</v>
      </c>
      <c r="BA83" s="155">
        <v>420018</v>
      </c>
      <c r="BB83" s="155">
        <v>421118</v>
      </c>
      <c r="BC83" s="155">
        <v>415799</v>
      </c>
      <c r="BD83" s="155">
        <v>420533</v>
      </c>
      <c r="BE83" s="155">
        <v>416071</v>
      </c>
      <c r="BF83" s="155">
        <v>415732</v>
      </c>
      <c r="BG83" s="155">
        <v>426729</v>
      </c>
      <c r="BH83" s="155">
        <v>423462</v>
      </c>
      <c r="BI83" s="155">
        <v>425008</v>
      </c>
      <c r="BJ83" s="155">
        <v>419556</v>
      </c>
      <c r="BK83" s="155">
        <v>417174</v>
      </c>
      <c r="BL83" s="155">
        <v>418182</v>
      </c>
      <c r="BM83" s="155">
        <v>420041</v>
      </c>
      <c r="BN83" s="155">
        <v>425493</v>
      </c>
      <c r="BO83" s="155">
        <v>424661</v>
      </c>
      <c r="BP83" s="155">
        <v>425867</v>
      </c>
      <c r="BQ83" s="155">
        <v>431755</v>
      </c>
      <c r="BR83" s="155">
        <v>445609</v>
      </c>
      <c r="BS83" s="155">
        <v>443368</v>
      </c>
      <c r="BT83" s="155">
        <v>447548</v>
      </c>
      <c r="BU83" s="155">
        <v>452709</v>
      </c>
      <c r="BV83" s="155">
        <v>454622</v>
      </c>
      <c r="BW83" s="155">
        <v>448018</v>
      </c>
      <c r="BX83" s="155">
        <v>442532</v>
      </c>
      <c r="BY83" s="155">
        <v>442858</v>
      </c>
      <c r="BZ83" s="155">
        <v>446832</v>
      </c>
      <c r="CA83" s="155">
        <v>440434</v>
      </c>
      <c r="CB83" s="155">
        <v>435363</v>
      </c>
      <c r="CC83" s="155">
        <v>433124</v>
      </c>
      <c r="CD83" s="155">
        <v>430011</v>
      </c>
      <c r="CE83" s="155">
        <v>422586</v>
      </c>
      <c r="CF83" s="155">
        <v>426309</v>
      </c>
      <c r="CG83" s="155">
        <v>413177</v>
      </c>
      <c r="CH83" s="155">
        <v>413594</v>
      </c>
      <c r="CI83" s="155">
        <v>415906</v>
      </c>
      <c r="CJ83" s="155">
        <v>417746</v>
      </c>
      <c r="CK83" s="155">
        <v>419143</v>
      </c>
      <c r="CL83" s="155">
        <v>420286</v>
      </c>
      <c r="CM83" s="155">
        <v>421372</v>
      </c>
      <c r="CN83" s="155">
        <v>422416</v>
      </c>
      <c r="CO83" s="155">
        <v>423460</v>
      </c>
      <c r="CP83" s="155">
        <v>424499</v>
      </c>
      <c r="CQ83" s="155">
        <v>425677</v>
      </c>
      <c r="CR83" s="155">
        <v>427075</v>
      </c>
      <c r="CS83" s="155">
        <v>428552</v>
      </c>
      <c r="CT83" s="155">
        <v>430090</v>
      </c>
      <c r="CU83" s="155">
        <v>431772</v>
      </c>
      <c r="CV83" s="155">
        <v>433587</v>
      </c>
      <c r="CW83" s="155">
        <v>435450</v>
      </c>
      <c r="CX83" s="155">
        <v>437242</v>
      </c>
      <c r="CY83" s="154">
        <v>438917</v>
      </c>
    </row>
    <row r="84" spans="1:103">
      <c r="A84" s="155" t="s">
        <v>1136</v>
      </c>
      <c r="B84" s="154">
        <v>82</v>
      </c>
      <c r="C84" s="155">
        <v>192998</v>
      </c>
      <c r="D84" s="155">
        <v>182619</v>
      </c>
      <c r="E84" s="155">
        <v>199844</v>
      </c>
      <c r="F84" s="155">
        <v>219104</v>
      </c>
      <c r="G84" s="155">
        <v>231525</v>
      </c>
      <c r="H84" s="155">
        <v>230515</v>
      </c>
      <c r="I84" s="155">
        <v>235394</v>
      </c>
      <c r="J84" s="155">
        <v>303677</v>
      </c>
      <c r="K84" s="155">
        <v>279429</v>
      </c>
      <c r="L84" s="155">
        <v>262753</v>
      </c>
      <c r="M84" s="155">
        <v>255387</v>
      </c>
      <c r="N84" s="155">
        <v>249328</v>
      </c>
      <c r="O84" s="155">
        <v>246447</v>
      </c>
      <c r="P84" s="155">
        <v>251931</v>
      </c>
      <c r="Q84" s="155">
        <v>255543</v>
      </c>
      <c r="R84" s="155">
        <v>254403</v>
      </c>
      <c r="S84" s="155">
        <v>263253</v>
      </c>
      <c r="T84" s="155">
        <v>273142</v>
      </c>
      <c r="U84" s="155">
        <v>284085</v>
      </c>
      <c r="V84" s="155">
        <v>291900</v>
      </c>
      <c r="W84" s="155">
        <v>299056</v>
      </c>
      <c r="X84" s="155">
        <v>311262</v>
      </c>
      <c r="Y84" s="155">
        <v>323785</v>
      </c>
      <c r="Z84" s="155">
        <v>332304</v>
      </c>
      <c r="AA84" s="155">
        <v>340678</v>
      </c>
      <c r="AB84" s="155">
        <v>345248</v>
      </c>
      <c r="AC84" s="155">
        <v>343809</v>
      </c>
      <c r="AD84" s="155">
        <v>344063</v>
      </c>
      <c r="AE84" s="155">
        <v>343365</v>
      </c>
      <c r="AF84" s="155">
        <v>344418</v>
      </c>
      <c r="AG84" s="155">
        <v>337404</v>
      </c>
      <c r="AH84" s="155">
        <v>346652</v>
      </c>
      <c r="AI84" s="155">
        <v>333602</v>
      </c>
      <c r="AJ84" s="155">
        <v>322133</v>
      </c>
      <c r="AK84" s="155">
        <v>311266</v>
      </c>
      <c r="AL84" s="155">
        <v>308395</v>
      </c>
      <c r="AM84" s="155">
        <v>304163</v>
      </c>
      <c r="AN84" s="155">
        <v>298936</v>
      </c>
      <c r="AO84" s="155">
        <v>306946</v>
      </c>
      <c r="AP84" s="155">
        <v>331505</v>
      </c>
      <c r="AQ84" s="155">
        <v>348109</v>
      </c>
      <c r="AR84" s="155">
        <v>350907</v>
      </c>
      <c r="AS84" s="155">
        <v>349646</v>
      </c>
      <c r="AT84" s="155">
        <v>355187</v>
      </c>
      <c r="AU84" s="155">
        <v>357841</v>
      </c>
      <c r="AV84" s="155">
        <v>371993</v>
      </c>
      <c r="AW84" s="155">
        <v>377194</v>
      </c>
      <c r="AX84" s="155">
        <v>385581</v>
      </c>
      <c r="AY84" s="155">
        <v>398122</v>
      </c>
      <c r="AZ84" s="155">
        <v>397134</v>
      </c>
      <c r="BA84" s="155">
        <v>403843</v>
      </c>
      <c r="BB84" s="155">
        <v>409410</v>
      </c>
      <c r="BC84" s="155">
        <v>410597</v>
      </c>
      <c r="BD84" s="155">
        <v>405526</v>
      </c>
      <c r="BE84" s="155">
        <v>410257</v>
      </c>
      <c r="BF84" s="155">
        <v>406015</v>
      </c>
      <c r="BG84" s="155">
        <v>405791</v>
      </c>
      <c r="BH84" s="155">
        <v>416634</v>
      </c>
      <c r="BI84" s="155">
        <v>413552</v>
      </c>
      <c r="BJ84" s="155">
        <v>415165</v>
      </c>
      <c r="BK84" s="155">
        <v>409939</v>
      </c>
      <c r="BL84" s="155">
        <v>407718</v>
      </c>
      <c r="BM84" s="155">
        <v>408806</v>
      </c>
      <c r="BN84" s="155">
        <v>410722</v>
      </c>
      <c r="BO84" s="155">
        <v>416165</v>
      </c>
      <c r="BP84" s="155">
        <v>415454</v>
      </c>
      <c r="BQ84" s="155">
        <v>416731</v>
      </c>
      <c r="BR84" s="155">
        <v>422595</v>
      </c>
      <c r="BS84" s="155">
        <v>436255</v>
      </c>
      <c r="BT84" s="155">
        <v>434163</v>
      </c>
      <c r="BU84" s="155">
        <v>438356</v>
      </c>
      <c r="BV84" s="155">
        <v>443514</v>
      </c>
      <c r="BW84" s="155">
        <v>445488</v>
      </c>
      <c r="BX84" s="155">
        <v>439113</v>
      </c>
      <c r="BY84" s="155">
        <v>433833</v>
      </c>
      <c r="BZ84" s="155">
        <v>434248</v>
      </c>
      <c r="CA84" s="155">
        <v>438241</v>
      </c>
      <c r="CB84" s="155">
        <v>432057</v>
      </c>
      <c r="CC84" s="155">
        <v>427173</v>
      </c>
      <c r="CD84" s="155">
        <v>425066</v>
      </c>
      <c r="CE84" s="155">
        <v>422099</v>
      </c>
      <c r="CF84" s="155">
        <v>414895</v>
      </c>
      <c r="CG84" s="155">
        <v>418636</v>
      </c>
      <c r="CH84" s="155">
        <v>405820</v>
      </c>
      <c r="CI84" s="155">
        <v>406309</v>
      </c>
      <c r="CJ84" s="155">
        <v>408660</v>
      </c>
      <c r="CK84" s="155">
        <v>410548</v>
      </c>
      <c r="CL84" s="155">
        <v>411998</v>
      </c>
      <c r="CM84" s="155">
        <v>413199</v>
      </c>
      <c r="CN84" s="155">
        <v>414344</v>
      </c>
      <c r="CO84" s="155">
        <v>415447</v>
      </c>
      <c r="CP84" s="155">
        <v>416549</v>
      </c>
      <c r="CQ84" s="155">
        <v>417646</v>
      </c>
      <c r="CR84" s="155">
        <v>418881</v>
      </c>
      <c r="CS84" s="155">
        <v>420331</v>
      </c>
      <c r="CT84" s="155">
        <v>421859</v>
      </c>
      <c r="CU84" s="155">
        <v>423445</v>
      </c>
      <c r="CV84" s="155">
        <v>425173</v>
      </c>
      <c r="CW84" s="155">
        <v>427033</v>
      </c>
      <c r="CX84" s="155">
        <v>428939</v>
      </c>
      <c r="CY84" s="154">
        <v>430776</v>
      </c>
    </row>
    <row r="85" spans="1:103">
      <c r="A85" s="155" t="s">
        <v>1136</v>
      </c>
      <c r="B85" s="154">
        <v>83</v>
      </c>
      <c r="C85" s="155">
        <v>185246</v>
      </c>
      <c r="D85" s="155">
        <v>182684</v>
      </c>
      <c r="E85" s="155">
        <v>173245</v>
      </c>
      <c r="F85" s="155">
        <v>189790</v>
      </c>
      <c r="G85" s="155">
        <v>208314</v>
      </c>
      <c r="H85" s="155">
        <v>220359</v>
      </c>
      <c r="I85" s="155">
        <v>219592</v>
      </c>
      <c r="J85" s="155">
        <v>224419</v>
      </c>
      <c r="K85" s="155">
        <v>289730</v>
      </c>
      <c r="L85" s="155">
        <v>266766</v>
      </c>
      <c r="M85" s="155">
        <v>250973</v>
      </c>
      <c r="N85" s="155">
        <v>244044</v>
      </c>
      <c r="O85" s="155">
        <v>238342</v>
      </c>
      <c r="P85" s="155">
        <v>235684</v>
      </c>
      <c r="Q85" s="155">
        <v>241033</v>
      </c>
      <c r="R85" s="155">
        <v>244608</v>
      </c>
      <c r="S85" s="155">
        <v>243633</v>
      </c>
      <c r="T85" s="155">
        <v>252234</v>
      </c>
      <c r="U85" s="155">
        <v>261843</v>
      </c>
      <c r="V85" s="155">
        <v>272466</v>
      </c>
      <c r="W85" s="155">
        <v>280098</v>
      </c>
      <c r="X85" s="155">
        <v>287103</v>
      </c>
      <c r="Y85" s="155">
        <v>298960</v>
      </c>
      <c r="Z85" s="155">
        <v>311129</v>
      </c>
      <c r="AA85" s="155">
        <v>319451</v>
      </c>
      <c r="AB85" s="155">
        <v>327643</v>
      </c>
      <c r="AC85" s="155">
        <v>332182</v>
      </c>
      <c r="AD85" s="155">
        <v>330942</v>
      </c>
      <c r="AE85" s="155">
        <v>331324</v>
      </c>
      <c r="AF85" s="155">
        <v>330787</v>
      </c>
      <c r="AG85" s="155">
        <v>331939</v>
      </c>
      <c r="AH85" s="155">
        <v>325312</v>
      </c>
      <c r="AI85" s="155">
        <v>334364</v>
      </c>
      <c r="AJ85" s="155">
        <v>321906</v>
      </c>
      <c r="AK85" s="155">
        <v>310963</v>
      </c>
      <c r="AL85" s="155">
        <v>300591</v>
      </c>
      <c r="AM85" s="155">
        <v>297934</v>
      </c>
      <c r="AN85" s="155">
        <v>293958</v>
      </c>
      <c r="AO85" s="155">
        <v>289018</v>
      </c>
      <c r="AP85" s="155">
        <v>296871</v>
      </c>
      <c r="AQ85" s="155">
        <v>320741</v>
      </c>
      <c r="AR85" s="155">
        <v>336929</v>
      </c>
      <c r="AS85" s="155">
        <v>339753</v>
      </c>
      <c r="AT85" s="155">
        <v>338653</v>
      </c>
      <c r="AU85" s="155">
        <v>344140</v>
      </c>
      <c r="AV85" s="155">
        <v>346833</v>
      </c>
      <c r="AW85" s="155">
        <v>360672</v>
      </c>
      <c r="AX85" s="155">
        <v>365840</v>
      </c>
      <c r="AY85" s="155">
        <v>374101</v>
      </c>
      <c r="AZ85" s="155">
        <v>386396</v>
      </c>
      <c r="BA85" s="155">
        <v>385563</v>
      </c>
      <c r="BB85" s="155">
        <v>392204</v>
      </c>
      <c r="BC85" s="155">
        <v>397733</v>
      </c>
      <c r="BD85" s="155">
        <v>399014</v>
      </c>
      <c r="BE85" s="155">
        <v>394212</v>
      </c>
      <c r="BF85" s="155">
        <v>398934</v>
      </c>
      <c r="BG85" s="155">
        <v>394935</v>
      </c>
      <c r="BH85" s="155">
        <v>394834</v>
      </c>
      <c r="BI85" s="155">
        <v>405504</v>
      </c>
      <c r="BJ85" s="155">
        <v>402623</v>
      </c>
      <c r="BK85" s="155">
        <v>404307</v>
      </c>
      <c r="BL85" s="155">
        <v>399328</v>
      </c>
      <c r="BM85" s="155">
        <v>397282</v>
      </c>
      <c r="BN85" s="155">
        <v>398455</v>
      </c>
      <c r="BO85" s="155">
        <v>400432</v>
      </c>
      <c r="BP85" s="155">
        <v>405860</v>
      </c>
      <c r="BQ85" s="155">
        <v>405281</v>
      </c>
      <c r="BR85" s="155">
        <v>406635</v>
      </c>
      <c r="BS85" s="155">
        <v>412467</v>
      </c>
      <c r="BT85" s="155">
        <v>425910</v>
      </c>
      <c r="BU85" s="155">
        <v>423981</v>
      </c>
      <c r="BV85" s="155">
        <v>428186</v>
      </c>
      <c r="BW85" s="155">
        <v>433338</v>
      </c>
      <c r="BX85" s="155">
        <v>435378</v>
      </c>
      <c r="BY85" s="155">
        <v>429254</v>
      </c>
      <c r="BZ85" s="155">
        <v>424201</v>
      </c>
      <c r="CA85" s="155">
        <v>424710</v>
      </c>
      <c r="CB85" s="155">
        <v>428720</v>
      </c>
      <c r="CC85" s="155">
        <v>422773</v>
      </c>
      <c r="CD85" s="155">
        <v>418094</v>
      </c>
      <c r="CE85" s="155">
        <v>416130</v>
      </c>
      <c r="CF85" s="155">
        <v>413324</v>
      </c>
      <c r="CG85" s="155">
        <v>406363</v>
      </c>
      <c r="CH85" s="155">
        <v>410120</v>
      </c>
      <c r="CI85" s="155">
        <v>397654</v>
      </c>
      <c r="CJ85" s="155">
        <v>398222</v>
      </c>
      <c r="CK85" s="155">
        <v>400616</v>
      </c>
      <c r="CL85" s="155">
        <v>402554</v>
      </c>
      <c r="CM85" s="155">
        <v>404063</v>
      </c>
      <c r="CN85" s="155">
        <v>405326</v>
      </c>
      <c r="CO85" s="155">
        <v>406535</v>
      </c>
      <c r="CP85" s="155">
        <v>407702</v>
      </c>
      <c r="CQ85" s="155">
        <v>408868</v>
      </c>
      <c r="CR85" s="155">
        <v>410027</v>
      </c>
      <c r="CS85" s="155">
        <v>411323</v>
      </c>
      <c r="CT85" s="155">
        <v>412829</v>
      </c>
      <c r="CU85" s="155">
        <v>414411</v>
      </c>
      <c r="CV85" s="155">
        <v>416052</v>
      </c>
      <c r="CW85" s="155">
        <v>417830</v>
      </c>
      <c r="CX85" s="155">
        <v>419737</v>
      </c>
      <c r="CY85" s="154">
        <v>421690</v>
      </c>
    </row>
    <row r="86" spans="1:103">
      <c r="A86" s="155" t="s">
        <v>1136</v>
      </c>
      <c r="B86" s="154">
        <v>84</v>
      </c>
      <c r="C86" s="155">
        <v>173412</v>
      </c>
      <c r="D86" s="155">
        <v>174009</v>
      </c>
      <c r="E86" s="155">
        <v>172000</v>
      </c>
      <c r="F86" s="155">
        <v>163281</v>
      </c>
      <c r="G86" s="155">
        <v>179084</v>
      </c>
      <c r="H86" s="155">
        <v>196802</v>
      </c>
      <c r="I86" s="155">
        <v>208408</v>
      </c>
      <c r="J86" s="155">
        <v>207879</v>
      </c>
      <c r="K86" s="155">
        <v>212634</v>
      </c>
      <c r="L86" s="155">
        <v>274730</v>
      </c>
      <c r="M86" s="155">
        <v>253130</v>
      </c>
      <c r="N86" s="155">
        <v>238277</v>
      </c>
      <c r="O86" s="155">
        <v>231810</v>
      </c>
      <c r="P86" s="155">
        <v>226491</v>
      </c>
      <c r="Q86" s="155">
        <v>224068</v>
      </c>
      <c r="R86" s="155">
        <v>229267</v>
      </c>
      <c r="S86" s="155">
        <v>232791</v>
      </c>
      <c r="T86" s="155">
        <v>231991</v>
      </c>
      <c r="U86" s="155">
        <v>240314</v>
      </c>
      <c r="V86" s="155">
        <v>249609</v>
      </c>
      <c r="W86" s="155">
        <v>259877</v>
      </c>
      <c r="X86" s="155">
        <v>267302</v>
      </c>
      <c r="Y86" s="155">
        <v>274132</v>
      </c>
      <c r="Z86" s="155">
        <v>285603</v>
      </c>
      <c r="AA86" s="155">
        <v>297380</v>
      </c>
      <c r="AB86" s="155">
        <v>305483</v>
      </c>
      <c r="AC86" s="155">
        <v>313471</v>
      </c>
      <c r="AD86" s="155">
        <v>317970</v>
      </c>
      <c r="AE86" s="155">
        <v>316938</v>
      </c>
      <c r="AF86" s="155">
        <v>317454</v>
      </c>
      <c r="AG86" s="155">
        <v>317085</v>
      </c>
      <c r="AH86" s="155">
        <v>318340</v>
      </c>
      <c r="AI86" s="155">
        <v>312128</v>
      </c>
      <c r="AJ86" s="155">
        <v>320960</v>
      </c>
      <c r="AK86" s="155">
        <v>309141</v>
      </c>
      <c r="AL86" s="155">
        <v>298767</v>
      </c>
      <c r="AM86" s="155">
        <v>288931</v>
      </c>
      <c r="AN86" s="155">
        <v>286504</v>
      </c>
      <c r="AO86" s="155">
        <v>282800</v>
      </c>
      <c r="AP86" s="155">
        <v>278167</v>
      </c>
      <c r="AQ86" s="155">
        <v>285846</v>
      </c>
      <c r="AR86" s="155">
        <v>308960</v>
      </c>
      <c r="AS86" s="155">
        <v>324686</v>
      </c>
      <c r="AT86" s="155">
        <v>327535</v>
      </c>
      <c r="AU86" s="155">
        <v>326605</v>
      </c>
      <c r="AV86" s="155">
        <v>332030</v>
      </c>
      <c r="AW86" s="155">
        <v>334761</v>
      </c>
      <c r="AX86" s="155">
        <v>348252</v>
      </c>
      <c r="AY86" s="155">
        <v>353379</v>
      </c>
      <c r="AZ86" s="155">
        <v>361499</v>
      </c>
      <c r="BA86" s="155">
        <v>373517</v>
      </c>
      <c r="BB86" s="155">
        <v>372852</v>
      </c>
      <c r="BC86" s="155">
        <v>379413</v>
      </c>
      <c r="BD86" s="155">
        <v>384898</v>
      </c>
      <c r="BE86" s="155">
        <v>386277</v>
      </c>
      <c r="BF86" s="155">
        <v>381766</v>
      </c>
      <c r="BG86" s="155">
        <v>386476</v>
      </c>
      <c r="BH86" s="155">
        <v>382737</v>
      </c>
      <c r="BI86" s="155">
        <v>382766</v>
      </c>
      <c r="BJ86" s="155">
        <v>393242</v>
      </c>
      <c r="BK86" s="155">
        <v>390580</v>
      </c>
      <c r="BL86" s="155">
        <v>392340</v>
      </c>
      <c r="BM86" s="155">
        <v>387630</v>
      </c>
      <c r="BN86" s="155">
        <v>385771</v>
      </c>
      <c r="BO86" s="155">
        <v>387036</v>
      </c>
      <c r="BP86" s="155">
        <v>389078</v>
      </c>
      <c r="BQ86" s="155">
        <v>394483</v>
      </c>
      <c r="BR86" s="155">
        <v>394046</v>
      </c>
      <c r="BS86" s="155">
        <v>395483</v>
      </c>
      <c r="BT86" s="155">
        <v>401278</v>
      </c>
      <c r="BU86" s="155">
        <v>414479</v>
      </c>
      <c r="BV86" s="155">
        <v>412725</v>
      </c>
      <c r="BW86" s="155">
        <v>416940</v>
      </c>
      <c r="BX86" s="155">
        <v>422082</v>
      </c>
      <c r="BY86" s="155">
        <v>424191</v>
      </c>
      <c r="BZ86" s="155">
        <v>418344</v>
      </c>
      <c r="CA86" s="155">
        <v>413534</v>
      </c>
      <c r="CB86" s="155">
        <v>414147</v>
      </c>
      <c r="CC86" s="155">
        <v>418173</v>
      </c>
      <c r="CD86" s="155">
        <v>412485</v>
      </c>
      <c r="CE86" s="155">
        <v>408031</v>
      </c>
      <c r="CF86" s="155">
        <v>406222</v>
      </c>
      <c r="CG86" s="155">
        <v>403592</v>
      </c>
      <c r="CH86" s="155">
        <v>396899</v>
      </c>
      <c r="CI86" s="155">
        <v>400672</v>
      </c>
      <c r="CJ86" s="155">
        <v>388591</v>
      </c>
      <c r="CK86" s="155">
        <v>389243</v>
      </c>
      <c r="CL86" s="155">
        <v>391682</v>
      </c>
      <c r="CM86" s="155">
        <v>393675</v>
      </c>
      <c r="CN86" s="155">
        <v>395247</v>
      </c>
      <c r="CO86" s="155">
        <v>396578</v>
      </c>
      <c r="CP86" s="155">
        <v>397855</v>
      </c>
      <c r="CQ86" s="155">
        <v>399092</v>
      </c>
      <c r="CR86" s="155">
        <v>400325</v>
      </c>
      <c r="CS86" s="155">
        <v>401553</v>
      </c>
      <c r="CT86" s="155">
        <v>402914</v>
      </c>
      <c r="CU86" s="155">
        <v>404481</v>
      </c>
      <c r="CV86" s="155">
        <v>406122</v>
      </c>
      <c r="CW86" s="155">
        <v>407819</v>
      </c>
      <c r="CX86" s="155">
        <v>409652</v>
      </c>
      <c r="CY86" s="154">
        <v>411612</v>
      </c>
    </row>
    <row r="87" spans="1:103">
      <c r="A87" s="155" t="s">
        <v>1136</v>
      </c>
      <c r="B87" s="154">
        <v>85</v>
      </c>
      <c r="C87" s="155">
        <v>158153</v>
      </c>
      <c r="D87" s="155">
        <v>161494</v>
      </c>
      <c r="E87" s="155">
        <v>162460</v>
      </c>
      <c r="F87" s="155">
        <v>160730</v>
      </c>
      <c r="G87" s="155">
        <v>152752</v>
      </c>
      <c r="H87" s="155">
        <v>167750</v>
      </c>
      <c r="I87" s="155">
        <v>184575</v>
      </c>
      <c r="J87" s="155">
        <v>195686</v>
      </c>
      <c r="K87" s="155">
        <v>195389</v>
      </c>
      <c r="L87" s="155">
        <v>200044</v>
      </c>
      <c r="M87" s="155">
        <v>258686</v>
      </c>
      <c r="N87" s="155">
        <v>238524</v>
      </c>
      <c r="O87" s="155">
        <v>224667</v>
      </c>
      <c r="P87" s="155">
        <v>218690</v>
      </c>
      <c r="Q87" s="155">
        <v>213777</v>
      </c>
      <c r="R87" s="155">
        <v>211600</v>
      </c>
      <c r="S87" s="155">
        <v>216632</v>
      </c>
      <c r="T87" s="155">
        <v>220095</v>
      </c>
      <c r="U87" s="155">
        <v>219470</v>
      </c>
      <c r="V87" s="155">
        <v>227487</v>
      </c>
      <c r="W87" s="155">
        <v>236435</v>
      </c>
      <c r="X87" s="155">
        <v>246309</v>
      </c>
      <c r="Y87" s="155">
        <v>253502</v>
      </c>
      <c r="Z87" s="155">
        <v>260132</v>
      </c>
      <c r="AA87" s="155">
        <v>271177</v>
      </c>
      <c r="AB87" s="155">
        <v>282523</v>
      </c>
      <c r="AC87" s="155">
        <v>290380</v>
      </c>
      <c r="AD87" s="155">
        <v>298141</v>
      </c>
      <c r="AE87" s="155">
        <v>302588</v>
      </c>
      <c r="AF87" s="155">
        <v>301773</v>
      </c>
      <c r="AG87" s="155">
        <v>302425</v>
      </c>
      <c r="AH87" s="155">
        <v>302233</v>
      </c>
      <c r="AI87" s="155">
        <v>303591</v>
      </c>
      <c r="AJ87" s="155">
        <v>297821</v>
      </c>
      <c r="AK87" s="155">
        <v>306408</v>
      </c>
      <c r="AL87" s="155">
        <v>295276</v>
      </c>
      <c r="AM87" s="155">
        <v>285513</v>
      </c>
      <c r="AN87" s="155">
        <v>276252</v>
      </c>
      <c r="AO87" s="155">
        <v>274068</v>
      </c>
      <c r="AP87" s="155">
        <v>270653</v>
      </c>
      <c r="AQ87" s="155">
        <v>266351</v>
      </c>
      <c r="AR87" s="155">
        <v>273832</v>
      </c>
      <c r="AS87" s="155">
        <v>296117</v>
      </c>
      <c r="AT87" s="155">
        <v>311338</v>
      </c>
      <c r="AU87" s="155">
        <v>314209</v>
      </c>
      <c r="AV87" s="155">
        <v>313458</v>
      </c>
      <c r="AW87" s="155">
        <v>318809</v>
      </c>
      <c r="AX87" s="155">
        <v>321575</v>
      </c>
      <c r="AY87" s="155">
        <v>334683</v>
      </c>
      <c r="AZ87" s="155">
        <v>339759</v>
      </c>
      <c r="BA87" s="155">
        <v>347716</v>
      </c>
      <c r="BB87" s="155">
        <v>359429</v>
      </c>
      <c r="BC87" s="155">
        <v>358941</v>
      </c>
      <c r="BD87" s="155">
        <v>365411</v>
      </c>
      <c r="BE87" s="155">
        <v>370841</v>
      </c>
      <c r="BF87" s="155">
        <v>372321</v>
      </c>
      <c r="BG87" s="155">
        <v>368123</v>
      </c>
      <c r="BH87" s="155">
        <v>372815</v>
      </c>
      <c r="BI87" s="155">
        <v>369354</v>
      </c>
      <c r="BJ87" s="155">
        <v>369523</v>
      </c>
      <c r="BK87" s="155">
        <v>379784</v>
      </c>
      <c r="BL87" s="155">
        <v>377353</v>
      </c>
      <c r="BM87" s="155">
        <v>379194</v>
      </c>
      <c r="BN87" s="155">
        <v>374775</v>
      </c>
      <c r="BO87" s="155">
        <v>373118</v>
      </c>
      <c r="BP87" s="155">
        <v>374478</v>
      </c>
      <c r="BQ87" s="155">
        <v>376589</v>
      </c>
      <c r="BR87" s="155">
        <v>381963</v>
      </c>
      <c r="BS87" s="155">
        <v>381677</v>
      </c>
      <c r="BT87" s="155">
        <v>383201</v>
      </c>
      <c r="BU87" s="155">
        <v>388952</v>
      </c>
      <c r="BV87" s="155">
        <v>401882</v>
      </c>
      <c r="BW87" s="155">
        <v>400317</v>
      </c>
      <c r="BX87" s="155">
        <v>404540</v>
      </c>
      <c r="BY87" s="155">
        <v>409666</v>
      </c>
      <c r="BZ87" s="155">
        <v>411849</v>
      </c>
      <c r="CA87" s="155">
        <v>406301</v>
      </c>
      <c r="CB87" s="155">
        <v>401759</v>
      </c>
      <c r="CC87" s="155">
        <v>402482</v>
      </c>
      <c r="CD87" s="155">
        <v>406522</v>
      </c>
      <c r="CE87" s="155">
        <v>401117</v>
      </c>
      <c r="CF87" s="155">
        <v>396908</v>
      </c>
      <c r="CG87" s="155">
        <v>395267</v>
      </c>
      <c r="CH87" s="155">
        <v>392826</v>
      </c>
      <c r="CI87" s="155">
        <v>386427</v>
      </c>
      <c r="CJ87" s="155">
        <v>390215</v>
      </c>
      <c r="CK87" s="155">
        <v>378558</v>
      </c>
      <c r="CL87" s="155">
        <v>379300</v>
      </c>
      <c r="CM87" s="155">
        <v>381787</v>
      </c>
      <c r="CN87" s="155">
        <v>383836</v>
      </c>
      <c r="CO87" s="155">
        <v>385475</v>
      </c>
      <c r="CP87" s="155">
        <v>386878</v>
      </c>
      <c r="CQ87" s="155">
        <v>388231</v>
      </c>
      <c r="CR87" s="155">
        <v>389542</v>
      </c>
      <c r="CS87" s="155">
        <v>390848</v>
      </c>
      <c r="CT87" s="155">
        <v>392149</v>
      </c>
      <c r="CU87" s="155">
        <v>393580</v>
      </c>
      <c r="CV87" s="155">
        <v>395211</v>
      </c>
      <c r="CW87" s="155">
        <v>396916</v>
      </c>
      <c r="CX87" s="155">
        <v>398676</v>
      </c>
      <c r="CY87" s="154">
        <v>400567</v>
      </c>
    </row>
    <row r="88" spans="1:103">
      <c r="A88" s="155" t="s">
        <v>1136</v>
      </c>
      <c r="B88" s="154">
        <v>86</v>
      </c>
      <c r="C88" s="155">
        <v>143160</v>
      </c>
      <c r="D88" s="155">
        <v>145840</v>
      </c>
      <c r="E88" s="155">
        <v>149370</v>
      </c>
      <c r="F88" s="155">
        <v>150404</v>
      </c>
      <c r="G88" s="155">
        <v>148950</v>
      </c>
      <c r="H88" s="155">
        <v>141724</v>
      </c>
      <c r="I88" s="155">
        <v>155843</v>
      </c>
      <c r="J88" s="155">
        <v>171698</v>
      </c>
      <c r="K88" s="155">
        <v>182260</v>
      </c>
      <c r="L88" s="155">
        <v>182182</v>
      </c>
      <c r="M88" s="155">
        <v>186710</v>
      </c>
      <c r="N88" s="155">
        <v>241667</v>
      </c>
      <c r="O88" s="155">
        <v>223012</v>
      </c>
      <c r="P88" s="155">
        <v>210200</v>
      </c>
      <c r="Q88" s="155">
        <v>204736</v>
      </c>
      <c r="R88" s="155">
        <v>200248</v>
      </c>
      <c r="S88" s="155">
        <v>198330</v>
      </c>
      <c r="T88" s="155">
        <v>203175</v>
      </c>
      <c r="U88" s="155">
        <v>206563</v>
      </c>
      <c r="V88" s="155">
        <v>206117</v>
      </c>
      <c r="W88" s="155">
        <v>213794</v>
      </c>
      <c r="X88" s="155">
        <v>222361</v>
      </c>
      <c r="Y88" s="155">
        <v>231804</v>
      </c>
      <c r="Z88" s="155">
        <v>238736</v>
      </c>
      <c r="AA88" s="155">
        <v>245143</v>
      </c>
      <c r="AB88" s="155">
        <v>255720</v>
      </c>
      <c r="AC88" s="155">
        <v>266595</v>
      </c>
      <c r="AD88" s="155">
        <v>274180</v>
      </c>
      <c r="AE88" s="155">
        <v>281684</v>
      </c>
      <c r="AF88" s="155">
        <v>286067</v>
      </c>
      <c r="AG88" s="155">
        <v>285476</v>
      </c>
      <c r="AH88" s="155">
        <v>286267</v>
      </c>
      <c r="AI88" s="155">
        <v>286254</v>
      </c>
      <c r="AJ88" s="155">
        <v>287712</v>
      </c>
      <c r="AK88" s="155">
        <v>282413</v>
      </c>
      <c r="AL88" s="155">
        <v>290726</v>
      </c>
      <c r="AM88" s="155">
        <v>280326</v>
      </c>
      <c r="AN88" s="155">
        <v>271213</v>
      </c>
      <c r="AO88" s="155">
        <v>262565</v>
      </c>
      <c r="AP88" s="155">
        <v>260636</v>
      </c>
      <c r="AQ88" s="155">
        <v>257527</v>
      </c>
      <c r="AR88" s="155">
        <v>253577</v>
      </c>
      <c r="AS88" s="155">
        <v>260839</v>
      </c>
      <c r="AT88" s="155">
        <v>282218</v>
      </c>
      <c r="AU88" s="155">
        <v>296883</v>
      </c>
      <c r="AV88" s="155">
        <v>299773</v>
      </c>
      <c r="AW88" s="155">
        <v>299209</v>
      </c>
      <c r="AX88" s="155">
        <v>304472</v>
      </c>
      <c r="AY88" s="155">
        <v>307271</v>
      </c>
      <c r="AZ88" s="155">
        <v>319954</v>
      </c>
      <c r="BA88" s="155">
        <v>324968</v>
      </c>
      <c r="BB88" s="155">
        <v>332743</v>
      </c>
      <c r="BC88" s="155">
        <v>344115</v>
      </c>
      <c r="BD88" s="155">
        <v>343814</v>
      </c>
      <c r="BE88" s="155">
        <v>350176</v>
      </c>
      <c r="BF88" s="155">
        <v>355542</v>
      </c>
      <c r="BG88" s="155">
        <v>357125</v>
      </c>
      <c r="BH88" s="155">
        <v>353261</v>
      </c>
      <c r="BI88" s="155">
        <v>357927</v>
      </c>
      <c r="BJ88" s="155">
        <v>354764</v>
      </c>
      <c r="BK88" s="155">
        <v>355079</v>
      </c>
      <c r="BL88" s="155">
        <v>365099</v>
      </c>
      <c r="BM88" s="155">
        <v>362915</v>
      </c>
      <c r="BN88" s="155">
        <v>364838</v>
      </c>
      <c r="BO88" s="155">
        <v>360733</v>
      </c>
      <c r="BP88" s="155">
        <v>359291</v>
      </c>
      <c r="BQ88" s="155">
        <v>360749</v>
      </c>
      <c r="BR88" s="155">
        <v>362930</v>
      </c>
      <c r="BS88" s="155">
        <v>368266</v>
      </c>
      <c r="BT88" s="155">
        <v>368137</v>
      </c>
      <c r="BU88" s="155">
        <v>369750</v>
      </c>
      <c r="BV88" s="155">
        <v>375449</v>
      </c>
      <c r="BW88" s="155">
        <v>388079</v>
      </c>
      <c r="BX88" s="155">
        <v>386715</v>
      </c>
      <c r="BY88" s="155">
        <v>390941</v>
      </c>
      <c r="BZ88" s="155">
        <v>396045</v>
      </c>
      <c r="CA88" s="155">
        <v>398305</v>
      </c>
      <c r="CB88" s="155">
        <v>393082</v>
      </c>
      <c r="CC88" s="155">
        <v>388828</v>
      </c>
      <c r="CD88" s="155">
        <v>389667</v>
      </c>
      <c r="CE88" s="155">
        <v>393721</v>
      </c>
      <c r="CF88" s="155">
        <v>388621</v>
      </c>
      <c r="CG88" s="155">
        <v>384678</v>
      </c>
      <c r="CH88" s="155">
        <v>383217</v>
      </c>
      <c r="CI88" s="155">
        <v>380982</v>
      </c>
      <c r="CJ88" s="155">
        <v>374900</v>
      </c>
      <c r="CK88" s="155">
        <v>378703</v>
      </c>
      <c r="CL88" s="155">
        <v>367507</v>
      </c>
      <c r="CM88" s="155">
        <v>368345</v>
      </c>
      <c r="CN88" s="155">
        <v>370881</v>
      </c>
      <c r="CO88" s="155">
        <v>372989</v>
      </c>
      <c r="CP88" s="155">
        <v>374700</v>
      </c>
      <c r="CQ88" s="155">
        <v>376180</v>
      </c>
      <c r="CR88" s="155">
        <v>377610</v>
      </c>
      <c r="CS88" s="155">
        <v>379001</v>
      </c>
      <c r="CT88" s="155">
        <v>380386</v>
      </c>
      <c r="CU88" s="155">
        <v>381765</v>
      </c>
      <c r="CV88" s="155">
        <v>383272</v>
      </c>
      <c r="CW88" s="155">
        <v>384970</v>
      </c>
      <c r="CX88" s="155">
        <v>386741</v>
      </c>
      <c r="CY88" s="154">
        <v>388567</v>
      </c>
    </row>
    <row r="89" spans="1:103">
      <c r="A89" s="155" t="s">
        <v>1136</v>
      </c>
      <c r="B89" s="154">
        <v>87</v>
      </c>
      <c r="C89" s="155">
        <v>128045</v>
      </c>
      <c r="D89" s="155">
        <v>130500</v>
      </c>
      <c r="E89" s="155">
        <v>133456</v>
      </c>
      <c r="F89" s="155">
        <v>136853</v>
      </c>
      <c r="G89" s="155">
        <v>137940</v>
      </c>
      <c r="H89" s="155">
        <v>136754</v>
      </c>
      <c r="I89" s="155">
        <v>130275</v>
      </c>
      <c r="J89" s="155">
        <v>143448</v>
      </c>
      <c r="K89" s="155">
        <v>158265</v>
      </c>
      <c r="L89" s="155">
        <v>168222</v>
      </c>
      <c r="M89" s="155">
        <v>168346</v>
      </c>
      <c r="N89" s="155">
        <v>172717</v>
      </c>
      <c r="O89" s="155">
        <v>223781</v>
      </c>
      <c r="P89" s="155">
        <v>206690</v>
      </c>
      <c r="Q89" s="155">
        <v>194967</v>
      </c>
      <c r="R89" s="155">
        <v>190032</v>
      </c>
      <c r="S89" s="155">
        <v>185987</v>
      </c>
      <c r="T89" s="155">
        <v>184335</v>
      </c>
      <c r="U89" s="155">
        <v>188973</v>
      </c>
      <c r="V89" s="155">
        <v>192275</v>
      </c>
      <c r="W89" s="155">
        <v>192005</v>
      </c>
      <c r="X89" s="155">
        <v>199311</v>
      </c>
      <c r="Y89" s="155">
        <v>207462</v>
      </c>
      <c r="Z89" s="155">
        <v>216435</v>
      </c>
      <c r="AA89" s="155">
        <v>223079</v>
      </c>
      <c r="AB89" s="155">
        <v>229237</v>
      </c>
      <c r="AC89" s="155">
        <v>239307</v>
      </c>
      <c r="AD89" s="155">
        <v>249667</v>
      </c>
      <c r="AE89" s="155">
        <v>256951</v>
      </c>
      <c r="AF89" s="155">
        <v>264172</v>
      </c>
      <c r="AG89" s="155">
        <v>268472</v>
      </c>
      <c r="AH89" s="155">
        <v>268108</v>
      </c>
      <c r="AI89" s="155">
        <v>269037</v>
      </c>
      <c r="AJ89" s="155">
        <v>269205</v>
      </c>
      <c r="AK89" s="155">
        <v>270761</v>
      </c>
      <c r="AL89" s="155">
        <v>265951</v>
      </c>
      <c r="AM89" s="155">
        <v>273961</v>
      </c>
      <c r="AN89" s="155">
        <v>264333</v>
      </c>
      <c r="AO89" s="155">
        <v>255907</v>
      </c>
      <c r="AP89" s="155">
        <v>247907</v>
      </c>
      <c r="AQ89" s="155">
        <v>246242</v>
      </c>
      <c r="AR89" s="155">
        <v>243453</v>
      </c>
      <c r="AS89" s="155">
        <v>239870</v>
      </c>
      <c r="AT89" s="155">
        <v>246888</v>
      </c>
      <c r="AU89" s="155">
        <v>267290</v>
      </c>
      <c r="AV89" s="155">
        <v>281347</v>
      </c>
      <c r="AW89" s="155">
        <v>284248</v>
      </c>
      <c r="AX89" s="155">
        <v>283880</v>
      </c>
      <c r="AY89" s="155">
        <v>289039</v>
      </c>
      <c r="AZ89" s="155">
        <v>291864</v>
      </c>
      <c r="BA89" s="155">
        <v>304081</v>
      </c>
      <c r="BB89" s="155">
        <v>309019</v>
      </c>
      <c r="BC89" s="155">
        <v>316590</v>
      </c>
      <c r="BD89" s="155">
        <v>327587</v>
      </c>
      <c r="BE89" s="155">
        <v>327477</v>
      </c>
      <c r="BF89" s="155">
        <v>333717</v>
      </c>
      <c r="BG89" s="155">
        <v>339005</v>
      </c>
      <c r="BH89" s="155">
        <v>340691</v>
      </c>
      <c r="BI89" s="155">
        <v>337180</v>
      </c>
      <c r="BJ89" s="155">
        <v>341811</v>
      </c>
      <c r="BK89" s="155">
        <v>338962</v>
      </c>
      <c r="BL89" s="155">
        <v>339428</v>
      </c>
      <c r="BM89" s="155">
        <v>349180</v>
      </c>
      <c r="BN89" s="155">
        <v>347259</v>
      </c>
      <c r="BO89" s="155">
        <v>349263</v>
      </c>
      <c r="BP89" s="155">
        <v>345490</v>
      </c>
      <c r="BQ89" s="155">
        <v>344276</v>
      </c>
      <c r="BR89" s="155">
        <v>345835</v>
      </c>
      <c r="BS89" s="155">
        <v>348083</v>
      </c>
      <c r="BT89" s="155">
        <v>353371</v>
      </c>
      <c r="BU89" s="155">
        <v>353408</v>
      </c>
      <c r="BV89" s="155">
        <v>355112</v>
      </c>
      <c r="BW89" s="155">
        <v>360747</v>
      </c>
      <c r="BX89" s="155">
        <v>373045</v>
      </c>
      <c r="BY89" s="155">
        <v>371893</v>
      </c>
      <c r="BZ89" s="155">
        <v>376120</v>
      </c>
      <c r="CA89" s="155">
        <v>381193</v>
      </c>
      <c r="CB89" s="155">
        <v>383530</v>
      </c>
      <c r="CC89" s="155">
        <v>378654</v>
      </c>
      <c r="CD89" s="155">
        <v>374711</v>
      </c>
      <c r="CE89" s="155">
        <v>375670</v>
      </c>
      <c r="CF89" s="155">
        <v>379732</v>
      </c>
      <c r="CG89" s="155">
        <v>374963</v>
      </c>
      <c r="CH89" s="155">
        <v>371303</v>
      </c>
      <c r="CI89" s="155">
        <v>370037</v>
      </c>
      <c r="CJ89" s="155">
        <v>368020</v>
      </c>
      <c r="CK89" s="155">
        <v>362283</v>
      </c>
      <c r="CL89" s="155">
        <v>366096</v>
      </c>
      <c r="CM89" s="155">
        <v>355402</v>
      </c>
      <c r="CN89" s="155">
        <v>356343</v>
      </c>
      <c r="CO89" s="155">
        <v>358926</v>
      </c>
      <c r="CP89" s="155">
        <v>361097</v>
      </c>
      <c r="CQ89" s="155">
        <v>362881</v>
      </c>
      <c r="CR89" s="155">
        <v>364443</v>
      </c>
      <c r="CS89" s="155">
        <v>365955</v>
      </c>
      <c r="CT89" s="155">
        <v>367427</v>
      </c>
      <c r="CU89" s="155">
        <v>368895</v>
      </c>
      <c r="CV89" s="155">
        <v>370356</v>
      </c>
      <c r="CW89" s="155">
        <v>371942</v>
      </c>
      <c r="CX89" s="155">
        <v>373713</v>
      </c>
      <c r="CY89" s="154">
        <v>375552</v>
      </c>
    </row>
    <row r="90" spans="1:103">
      <c r="A90" s="155" t="s">
        <v>1136</v>
      </c>
      <c r="B90" s="154">
        <v>88</v>
      </c>
      <c r="C90" s="155">
        <v>111262</v>
      </c>
      <c r="D90" s="155">
        <v>115167</v>
      </c>
      <c r="E90" s="155">
        <v>117931</v>
      </c>
      <c r="F90" s="155">
        <v>120814</v>
      </c>
      <c r="G90" s="155">
        <v>124051</v>
      </c>
      <c r="H90" s="155">
        <v>125174</v>
      </c>
      <c r="I90" s="155">
        <v>124229</v>
      </c>
      <c r="J90" s="155">
        <v>118492</v>
      </c>
      <c r="K90" s="155">
        <v>130664</v>
      </c>
      <c r="L90" s="155">
        <v>144378</v>
      </c>
      <c r="M90" s="155">
        <v>153677</v>
      </c>
      <c r="N90" s="155">
        <v>153984</v>
      </c>
      <c r="O90" s="155">
        <v>158166</v>
      </c>
      <c r="P90" s="155">
        <v>205155</v>
      </c>
      <c r="Q90" s="155">
        <v>189670</v>
      </c>
      <c r="R90" s="155">
        <v>179067</v>
      </c>
      <c r="S90" s="155">
        <v>174675</v>
      </c>
      <c r="T90" s="155">
        <v>171086</v>
      </c>
      <c r="U90" s="155">
        <v>169702</v>
      </c>
      <c r="V90" s="155">
        <v>174116</v>
      </c>
      <c r="W90" s="155">
        <v>177314</v>
      </c>
      <c r="X90" s="155">
        <v>177217</v>
      </c>
      <c r="Y90" s="155">
        <v>184122</v>
      </c>
      <c r="Z90" s="155">
        <v>191822</v>
      </c>
      <c r="AA90" s="155">
        <v>200288</v>
      </c>
      <c r="AB90" s="155">
        <v>206615</v>
      </c>
      <c r="AC90" s="155">
        <v>212500</v>
      </c>
      <c r="AD90" s="155">
        <v>222020</v>
      </c>
      <c r="AE90" s="155">
        <v>231825</v>
      </c>
      <c r="AF90" s="155">
        <v>238780</v>
      </c>
      <c r="AG90" s="155">
        <v>245686</v>
      </c>
      <c r="AH90" s="155">
        <v>249886</v>
      </c>
      <c r="AI90" s="155">
        <v>249748</v>
      </c>
      <c r="AJ90" s="155">
        <v>250807</v>
      </c>
      <c r="AK90" s="155">
        <v>251156</v>
      </c>
      <c r="AL90" s="155">
        <v>252802</v>
      </c>
      <c r="AM90" s="155">
        <v>248497</v>
      </c>
      <c r="AN90" s="155">
        <v>256174</v>
      </c>
      <c r="AO90" s="155">
        <v>247353</v>
      </c>
      <c r="AP90" s="155">
        <v>239644</v>
      </c>
      <c r="AQ90" s="155">
        <v>232321</v>
      </c>
      <c r="AR90" s="155">
        <v>230926</v>
      </c>
      <c r="AS90" s="155">
        <v>228470</v>
      </c>
      <c r="AT90" s="155">
        <v>225267</v>
      </c>
      <c r="AU90" s="155">
        <v>232017</v>
      </c>
      <c r="AV90" s="155">
        <v>251365</v>
      </c>
      <c r="AW90" s="155">
        <v>264764</v>
      </c>
      <c r="AX90" s="155">
        <v>267667</v>
      </c>
      <c r="AY90" s="155">
        <v>267496</v>
      </c>
      <c r="AZ90" s="155">
        <v>272535</v>
      </c>
      <c r="BA90" s="155">
        <v>275377</v>
      </c>
      <c r="BB90" s="155">
        <v>287086</v>
      </c>
      <c r="BC90" s="155">
        <v>291933</v>
      </c>
      <c r="BD90" s="155">
        <v>299274</v>
      </c>
      <c r="BE90" s="155">
        <v>309860</v>
      </c>
      <c r="BF90" s="155">
        <v>309944</v>
      </c>
      <c r="BG90" s="155">
        <v>316043</v>
      </c>
      <c r="BH90" s="155">
        <v>321238</v>
      </c>
      <c r="BI90" s="155">
        <v>323025</v>
      </c>
      <c r="BJ90" s="155">
        <v>319884</v>
      </c>
      <c r="BK90" s="155">
        <v>324467</v>
      </c>
      <c r="BL90" s="155">
        <v>321946</v>
      </c>
      <c r="BM90" s="155">
        <v>322568</v>
      </c>
      <c r="BN90" s="155">
        <v>332020</v>
      </c>
      <c r="BO90" s="155">
        <v>330374</v>
      </c>
      <c r="BP90" s="155">
        <v>332456</v>
      </c>
      <c r="BQ90" s="155">
        <v>329036</v>
      </c>
      <c r="BR90" s="155">
        <v>328057</v>
      </c>
      <c r="BS90" s="155">
        <v>329717</v>
      </c>
      <c r="BT90" s="155">
        <v>332031</v>
      </c>
      <c r="BU90" s="155">
        <v>337259</v>
      </c>
      <c r="BV90" s="155">
        <v>337469</v>
      </c>
      <c r="BW90" s="155">
        <v>339264</v>
      </c>
      <c r="BX90" s="155">
        <v>344820</v>
      </c>
      <c r="BY90" s="155">
        <v>356751</v>
      </c>
      <c r="BZ90" s="155">
        <v>355825</v>
      </c>
      <c r="CA90" s="155">
        <v>360040</v>
      </c>
      <c r="CB90" s="155">
        <v>365074</v>
      </c>
      <c r="CC90" s="155">
        <v>367486</v>
      </c>
      <c r="CD90" s="155">
        <v>362982</v>
      </c>
      <c r="CE90" s="155">
        <v>359368</v>
      </c>
      <c r="CF90" s="155">
        <v>360453</v>
      </c>
      <c r="CG90" s="155">
        <v>364517</v>
      </c>
      <c r="CH90" s="155">
        <v>360101</v>
      </c>
      <c r="CI90" s="155">
        <v>356745</v>
      </c>
      <c r="CJ90" s="155">
        <v>355682</v>
      </c>
      <c r="CK90" s="155">
        <v>353898</v>
      </c>
      <c r="CL90" s="155">
        <v>348530</v>
      </c>
      <c r="CM90" s="155">
        <v>352349</v>
      </c>
      <c r="CN90" s="155">
        <v>342197</v>
      </c>
      <c r="CO90" s="155">
        <v>343246</v>
      </c>
      <c r="CP90" s="155">
        <v>345874</v>
      </c>
      <c r="CQ90" s="155">
        <v>348107</v>
      </c>
      <c r="CR90" s="155">
        <v>349969</v>
      </c>
      <c r="CS90" s="155">
        <v>351614</v>
      </c>
      <c r="CT90" s="155">
        <v>353210</v>
      </c>
      <c r="CU90" s="155">
        <v>354770</v>
      </c>
      <c r="CV90" s="155">
        <v>356322</v>
      </c>
      <c r="CW90" s="155">
        <v>357868</v>
      </c>
      <c r="CX90" s="155">
        <v>359537</v>
      </c>
      <c r="CY90" s="154">
        <v>361382</v>
      </c>
    </row>
    <row r="91" spans="1:103">
      <c r="A91" s="155" t="s">
        <v>1136</v>
      </c>
      <c r="B91" s="154">
        <v>89</v>
      </c>
      <c r="C91" s="155">
        <v>97825</v>
      </c>
      <c r="D91" s="155">
        <v>98554</v>
      </c>
      <c r="E91" s="155">
        <v>102582</v>
      </c>
      <c r="F91" s="155">
        <v>105289</v>
      </c>
      <c r="G91" s="155">
        <v>108066</v>
      </c>
      <c r="H91" s="155">
        <v>111117</v>
      </c>
      <c r="I91" s="155">
        <v>112244</v>
      </c>
      <c r="J91" s="155">
        <v>111518</v>
      </c>
      <c r="K91" s="155">
        <v>106511</v>
      </c>
      <c r="L91" s="155">
        <v>117635</v>
      </c>
      <c r="M91" s="155">
        <v>130192</v>
      </c>
      <c r="N91" s="155">
        <v>138788</v>
      </c>
      <c r="O91" s="155">
        <v>139253</v>
      </c>
      <c r="P91" s="155">
        <v>143218</v>
      </c>
      <c r="Q91" s="155">
        <v>185988</v>
      </c>
      <c r="R91" s="155">
        <v>172135</v>
      </c>
      <c r="S91" s="155">
        <v>162670</v>
      </c>
      <c r="T91" s="155">
        <v>158826</v>
      </c>
      <c r="U91" s="155">
        <v>155698</v>
      </c>
      <c r="V91" s="155">
        <v>154583</v>
      </c>
      <c r="W91" s="155">
        <v>158752</v>
      </c>
      <c r="X91" s="155">
        <v>161829</v>
      </c>
      <c r="Y91" s="155">
        <v>161897</v>
      </c>
      <c r="Z91" s="155">
        <v>168370</v>
      </c>
      <c r="AA91" s="155">
        <v>175587</v>
      </c>
      <c r="AB91" s="155">
        <v>183512</v>
      </c>
      <c r="AC91" s="155">
        <v>189492</v>
      </c>
      <c r="AD91" s="155">
        <v>195078</v>
      </c>
      <c r="AE91" s="155">
        <v>204009</v>
      </c>
      <c r="AF91" s="155">
        <v>213217</v>
      </c>
      <c r="AG91" s="155">
        <v>219813</v>
      </c>
      <c r="AH91" s="155">
        <v>226377</v>
      </c>
      <c r="AI91" s="155">
        <v>230454</v>
      </c>
      <c r="AJ91" s="155">
        <v>230536</v>
      </c>
      <c r="AK91" s="155">
        <v>231716</v>
      </c>
      <c r="AL91" s="155">
        <v>232238</v>
      </c>
      <c r="AM91" s="155">
        <v>233962</v>
      </c>
      <c r="AN91" s="155">
        <v>230174</v>
      </c>
      <c r="AO91" s="155">
        <v>237485</v>
      </c>
      <c r="AP91" s="155">
        <v>229500</v>
      </c>
      <c r="AQ91" s="155">
        <v>222531</v>
      </c>
      <c r="AR91" s="155">
        <v>215906</v>
      </c>
      <c r="AS91" s="155">
        <v>214784</v>
      </c>
      <c r="AT91" s="155">
        <v>212666</v>
      </c>
      <c r="AU91" s="155">
        <v>209854</v>
      </c>
      <c r="AV91" s="155">
        <v>216309</v>
      </c>
      <c r="AW91" s="155">
        <v>234531</v>
      </c>
      <c r="AX91" s="155">
        <v>247222</v>
      </c>
      <c r="AY91" s="155">
        <v>250117</v>
      </c>
      <c r="AZ91" s="155">
        <v>250140</v>
      </c>
      <c r="BA91" s="155">
        <v>255040</v>
      </c>
      <c r="BB91" s="155">
        <v>257888</v>
      </c>
      <c r="BC91" s="155">
        <v>269047</v>
      </c>
      <c r="BD91" s="155">
        <v>273786</v>
      </c>
      <c r="BE91" s="155">
        <v>280869</v>
      </c>
      <c r="BF91" s="155">
        <v>291004</v>
      </c>
      <c r="BG91" s="155">
        <v>291285</v>
      </c>
      <c r="BH91" s="155">
        <v>297221</v>
      </c>
      <c r="BI91" s="155">
        <v>302305</v>
      </c>
      <c r="BJ91" s="155">
        <v>304187</v>
      </c>
      <c r="BK91" s="155">
        <v>301429</v>
      </c>
      <c r="BL91" s="155">
        <v>305948</v>
      </c>
      <c r="BM91" s="155">
        <v>303769</v>
      </c>
      <c r="BN91" s="155">
        <v>304547</v>
      </c>
      <c r="BO91" s="155">
        <v>313667</v>
      </c>
      <c r="BP91" s="155">
        <v>312305</v>
      </c>
      <c r="BQ91" s="155">
        <v>314460</v>
      </c>
      <c r="BR91" s="155">
        <v>311407</v>
      </c>
      <c r="BS91" s="155">
        <v>310670</v>
      </c>
      <c r="BT91" s="155">
        <v>312430</v>
      </c>
      <c r="BU91" s="155">
        <v>314805</v>
      </c>
      <c r="BV91" s="155">
        <v>319957</v>
      </c>
      <c r="BW91" s="155">
        <v>320344</v>
      </c>
      <c r="BX91" s="155">
        <v>322228</v>
      </c>
      <c r="BY91" s="155">
        <v>327691</v>
      </c>
      <c r="BZ91" s="155">
        <v>339219</v>
      </c>
      <c r="CA91" s="155">
        <v>338524</v>
      </c>
      <c r="CB91" s="155">
        <v>342722</v>
      </c>
      <c r="CC91" s="155">
        <v>347702</v>
      </c>
      <c r="CD91" s="155">
        <v>350188</v>
      </c>
      <c r="CE91" s="155">
        <v>346076</v>
      </c>
      <c r="CF91" s="155">
        <v>342811</v>
      </c>
      <c r="CG91" s="155">
        <v>344023</v>
      </c>
      <c r="CH91" s="155">
        <v>348079</v>
      </c>
      <c r="CI91" s="155">
        <v>344037</v>
      </c>
      <c r="CJ91" s="155">
        <v>341001</v>
      </c>
      <c r="CK91" s="155">
        <v>340152</v>
      </c>
      <c r="CL91" s="155">
        <v>338612</v>
      </c>
      <c r="CM91" s="155">
        <v>333638</v>
      </c>
      <c r="CN91" s="155">
        <v>337456</v>
      </c>
      <c r="CO91" s="155">
        <v>327886</v>
      </c>
      <c r="CP91" s="155">
        <v>329044</v>
      </c>
      <c r="CQ91" s="155">
        <v>331717</v>
      </c>
      <c r="CR91" s="155">
        <v>334011</v>
      </c>
      <c r="CS91" s="155">
        <v>335949</v>
      </c>
      <c r="CT91" s="155">
        <v>337680</v>
      </c>
      <c r="CU91" s="155">
        <v>339362</v>
      </c>
      <c r="CV91" s="155">
        <v>341009</v>
      </c>
      <c r="CW91" s="155">
        <v>342648</v>
      </c>
      <c r="CX91" s="155">
        <v>344283</v>
      </c>
      <c r="CY91" s="154">
        <v>346035</v>
      </c>
    </row>
    <row r="92" spans="1:103">
      <c r="A92" s="155" t="s">
        <v>1136</v>
      </c>
      <c r="B92" s="154">
        <v>90</v>
      </c>
      <c r="C92" s="155">
        <v>85842</v>
      </c>
      <c r="D92" s="155">
        <v>85155</v>
      </c>
      <c r="E92" s="155">
        <v>86342</v>
      </c>
      <c r="F92" s="155">
        <v>90126</v>
      </c>
      <c r="G92" s="155">
        <v>92737</v>
      </c>
      <c r="H92" s="155">
        <v>95381</v>
      </c>
      <c r="I92" s="155">
        <v>98212</v>
      </c>
      <c r="J92" s="155">
        <v>99319</v>
      </c>
      <c r="K92" s="155">
        <v>98795</v>
      </c>
      <c r="L92" s="155">
        <v>94495</v>
      </c>
      <c r="M92" s="155">
        <v>104538</v>
      </c>
      <c r="N92" s="155">
        <v>115895</v>
      </c>
      <c r="O92" s="155">
        <v>123748</v>
      </c>
      <c r="P92" s="155">
        <v>124345</v>
      </c>
      <c r="Q92" s="155">
        <v>128060</v>
      </c>
      <c r="R92" s="155">
        <v>166520</v>
      </c>
      <c r="S92" s="155">
        <v>154302</v>
      </c>
      <c r="T92" s="155">
        <v>145977</v>
      </c>
      <c r="U92" s="155">
        <v>142680</v>
      </c>
      <c r="V92" s="155">
        <v>140011</v>
      </c>
      <c r="W92" s="155">
        <v>139156</v>
      </c>
      <c r="X92" s="155">
        <v>143064</v>
      </c>
      <c r="Y92" s="155">
        <v>146000</v>
      </c>
      <c r="Z92" s="155">
        <v>146219</v>
      </c>
      <c r="AA92" s="155">
        <v>152234</v>
      </c>
      <c r="AB92" s="155">
        <v>158937</v>
      </c>
      <c r="AC92" s="155">
        <v>166290</v>
      </c>
      <c r="AD92" s="155">
        <v>171896</v>
      </c>
      <c r="AE92" s="155">
        <v>177153</v>
      </c>
      <c r="AF92" s="155">
        <v>185461</v>
      </c>
      <c r="AG92" s="155">
        <v>194037</v>
      </c>
      <c r="AH92" s="155">
        <v>200244</v>
      </c>
      <c r="AI92" s="155">
        <v>206435</v>
      </c>
      <c r="AJ92" s="155">
        <v>210367</v>
      </c>
      <c r="AK92" s="155">
        <v>210655</v>
      </c>
      <c r="AL92" s="155">
        <v>211942</v>
      </c>
      <c r="AM92" s="155">
        <v>212624</v>
      </c>
      <c r="AN92" s="155">
        <v>214413</v>
      </c>
      <c r="AO92" s="155">
        <v>211143</v>
      </c>
      <c r="AP92" s="155">
        <v>218059</v>
      </c>
      <c r="AQ92" s="155">
        <v>210924</v>
      </c>
      <c r="AR92" s="155">
        <v>204712</v>
      </c>
      <c r="AS92" s="155">
        <v>198800</v>
      </c>
      <c r="AT92" s="155">
        <v>197947</v>
      </c>
      <c r="AU92" s="155">
        <v>196169</v>
      </c>
      <c r="AV92" s="155">
        <v>193751</v>
      </c>
      <c r="AW92" s="155">
        <v>199883</v>
      </c>
      <c r="AX92" s="155">
        <v>216912</v>
      </c>
      <c r="AY92" s="155">
        <v>228847</v>
      </c>
      <c r="AZ92" s="155">
        <v>231717</v>
      </c>
      <c r="BA92" s="155">
        <v>231932</v>
      </c>
      <c r="BB92" s="155">
        <v>236672</v>
      </c>
      <c r="BC92" s="155">
        <v>239512</v>
      </c>
      <c r="BD92" s="155">
        <v>250079</v>
      </c>
      <c r="BE92" s="155">
        <v>254689</v>
      </c>
      <c r="BF92" s="155">
        <v>261487</v>
      </c>
      <c r="BG92" s="155">
        <v>271131</v>
      </c>
      <c r="BH92" s="155">
        <v>271605</v>
      </c>
      <c r="BI92" s="155">
        <v>277353</v>
      </c>
      <c r="BJ92" s="155">
        <v>282308</v>
      </c>
      <c r="BK92" s="155">
        <v>284278</v>
      </c>
      <c r="BL92" s="155">
        <v>281910</v>
      </c>
      <c r="BM92" s="155">
        <v>286348</v>
      </c>
      <c r="BN92" s="155">
        <v>284516</v>
      </c>
      <c r="BO92" s="155">
        <v>285447</v>
      </c>
      <c r="BP92" s="155">
        <v>294202</v>
      </c>
      <c r="BQ92" s="155">
        <v>293128</v>
      </c>
      <c r="BR92" s="155">
        <v>295349</v>
      </c>
      <c r="BS92" s="155">
        <v>292675</v>
      </c>
      <c r="BT92" s="155">
        <v>292183</v>
      </c>
      <c r="BU92" s="155">
        <v>294036</v>
      </c>
      <c r="BV92" s="155">
        <v>296467</v>
      </c>
      <c r="BW92" s="155">
        <v>301525</v>
      </c>
      <c r="BX92" s="155">
        <v>302090</v>
      </c>
      <c r="BY92" s="155">
        <v>304058</v>
      </c>
      <c r="BZ92" s="155">
        <v>309411</v>
      </c>
      <c r="CA92" s="155">
        <v>320497</v>
      </c>
      <c r="CB92" s="155">
        <v>320039</v>
      </c>
      <c r="CC92" s="155">
        <v>324207</v>
      </c>
      <c r="CD92" s="155">
        <v>329119</v>
      </c>
      <c r="CE92" s="155">
        <v>331673</v>
      </c>
      <c r="CF92" s="155">
        <v>327971</v>
      </c>
      <c r="CG92" s="155">
        <v>325068</v>
      </c>
      <c r="CH92" s="155">
        <v>326408</v>
      </c>
      <c r="CI92" s="155">
        <v>330448</v>
      </c>
      <c r="CJ92" s="155">
        <v>326799</v>
      </c>
      <c r="CK92" s="155">
        <v>324096</v>
      </c>
      <c r="CL92" s="155">
        <v>323469</v>
      </c>
      <c r="CM92" s="155">
        <v>322183</v>
      </c>
      <c r="CN92" s="155">
        <v>317624</v>
      </c>
      <c r="CO92" s="155">
        <v>321433</v>
      </c>
      <c r="CP92" s="155">
        <v>312481</v>
      </c>
      <c r="CQ92" s="155">
        <v>313750</v>
      </c>
      <c r="CR92" s="155">
        <v>316463</v>
      </c>
      <c r="CS92" s="155">
        <v>318816</v>
      </c>
      <c r="CT92" s="155">
        <v>320828</v>
      </c>
      <c r="CU92" s="155">
        <v>322644</v>
      </c>
      <c r="CV92" s="155">
        <v>324412</v>
      </c>
      <c r="CW92" s="155">
        <v>326147</v>
      </c>
      <c r="CX92" s="155">
        <v>327874</v>
      </c>
      <c r="CY92" s="154">
        <v>329597</v>
      </c>
    </row>
    <row r="93" spans="1:103">
      <c r="A93" s="155" t="s">
        <v>1136</v>
      </c>
      <c r="B93" s="154">
        <v>91</v>
      </c>
      <c r="C93" s="155">
        <v>73516</v>
      </c>
      <c r="D93" s="155">
        <v>73134</v>
      </c>
      <c r="E93" s="155">
        <v>73079</v>
      </c>
      <c r="F93" s="155">
        <v>74332</v>
      </c>
      <c r="G93" s="155">
        <v>77827</v>
      </c>
      <c r="H93" s="155">
        <v>80298</v>
      </c>
      <c r="I93" s="155">
        <v>82759</v>
      </c>
      <c r="J93" s="155">
        <v>85333</v>
      </c>
      <c r="K93" s="155">
        <v>86398</v>
      </c>
      <c r="L93" s="155">
        <v>86049</v>
      </c>
      <c r="M93" s="155">
        <v>82431</v>
      </c>
      <c r="N93" s="155">
        <v>91354</v>
      </c>
      <c r="O93" s="155">
        <v>101462</v>
      </c>
      <c r="P93" s="155">
        <v>108524</v>
      </c>
      <c r="Q93" s="155">
        <v>109221</v>
      </c>
      <c r="R93" s="155">
        <v>112650</v>
      </c>
      <c r="S93" s="155">
        <v>146689</v>
      </c>
      <c r="T93" s="155">
        <v>136105</v>
      </c>
      <c r="U93" s="155">
        <v>128920</v>
      </c>
      <c r="V93" s="155">
        <v>126158</v>
      </c>
      <c r="W93" s="155">
        <v>123943</v>
      </c>
      <c r="X93" s="155">
        <v>123335</v>
      </c>
      <c r="Y93" s="155">
        <v>126953</v>
      </c>
      <c r="Z93" s="155">
        <v>129720</v>
      </c>
      <c r="AA93" s="155">
        <v>130073</v>
      </c>
      <c r="AB93" s="155">
        <v>135592</v>
      </c>
      <c r="AC93" s="155">
        <v>141739</v>
      </c>
      <c r="AD93" s="155">
        <v>148473</v>
      </c>
      <c r="AE93" s="155">
        <v>153667</v>
      </c>
      <c r="AF93" s="155">
        <v>158557</v>
      </c>
      <c r="AG93" s="155">
        <v>166192</v>
      </c>
      <c r="AH93" s="155">
        <v>174082</v>
      </c>
      <c r="AI93" s="155">
        <v>179855</v>
      </c>
      <c r="AJ93" s="155">
        <v>185628</v>
      </c>
      <c r="AK93" s="155">
        <v>189379</v>
      </c>
      <c r="AL93" s="155">
        <v>189856</v>
      </c>
      <c r="AM93" s="155">
        <v>191227</v>
      </c>
      <c r="AN93" s="155">
        <v>192051</v>
      </c>
      <c r="AO93" s="155">
        <v>193879</v>
      </c>
      <c r="AP93" s="155">
        <v>191128</v>
      </c>
      <c r="AQ93" s="155">
        <v>197601</v>
      </c>
      <c r="AR93" s="155">
        <v>191336</v>
      </c>
      <c r="AS93" s="155">
        <v>185897</v>
      </c>
      <c r="AT93" s="155">
        <v>180717</v>
      </c>
      <c r="AU93" s="155">
        <v>180126</v>
      </c>
      <c r="AV93" s="155">
        <v>178686</v>
      </c>
      <c r="AW93" s="155">
        <v>176663</v>
      </c>
      <c r="AX93" s="155">
        <v>182434</v>
      </c>
      <c r="AY93" s="155">
        <v>198170</v>
      </c>
      <c r="AZ93" s="155">
        <v>209277</v>
      </c>
      <c r="BA93" s="155">
        <v>212098</v>
      </c>
      <c r="BB93" s="155">
        <v>212494</v>
      </c>
      <c r="BC93" s="155">
        <v>217039</v>
      </c>
      <c r="BD93" s="155">
        <v>219847</v>
      </c>
      <c r="BE93" s="155">
        <v>229757</v>
      </c>
      <c r="BF93" s="155">
        <v>234205</v>
      </c>
      <c r="BG93" s="155">
        <v>240674</v>
      </c>
      <c r="BH93" s="155">
        <v>249768</v>
      </c>
      <c r="BI93" s="155">
        <v>250424</v>
      </c>
      <c r="BJ93" s="155">
        <v>255947</v>
      </c>
      <c r="BK93" s="155">
        <v>260739</v>
      </c>
      <c r="BL93" s="155">
        <v>262780</v>
      </c>
      <c r="BM93" s="155">
        <v>260809</v>
      </c>
      <c r="BN93" s="155">
        <v>265138</v>
      </c>
      <c r="BO93" s="155">
        <v>263659</v>
      </c>
      <c r="BP93" s="155">
        <v>264733</v>
      </c>
      <c r="BQ93" s="155">
        <v>273070</v>
      </c>
      <c r="BR93" s="155">
        <v>272287</v>
      </c>
      <c r="BS93" s="155">
        <v>274559</v>
      </c>
      <c r="BT93" s="155">
        <v>272275</v>
      </c>
      <c r="BU93" s="155">
        <v>272031</v>
      </c>
      <c r="BV93" s="155">
        <v>273966</v>
      </c>
      <c r="BW93" s="155">
        <v>276435</v>
      </c>
      <c r="BX93" s="155">
        <v>281372</v>
      </c>
      <c r="BY93" s="155">
        <v>282111</v>
      </c>
      <c r="BZ93" s="155">
        <v>284152</v>
      </c>
      <c r="CA93" s="155">
        <v>289364</v>
      </c>
      <c r="CB93" s="155">
        <v>299945</v>
      </c>
      <c r="CC93" s="155">
        <v>299728</v>
      </c>
      <c r="CD93" s="155">
        <v>303843</v>
      </c>
      <c r="CE93" s="155">
        <v>308661</v>
      </c>
      <c r="CF93" s="155">
        <v>311269</v>
      </c>
      <c r="CG93" s="155">
        <v>308003</v>
      </c>
      <c r="CH93" s="155">
        <v>305481</v>
      </c>
      <c r="CI93" s="155">
        <v>306943</v>
      </c>
      <c r="CJ93" s="155">
        <v>310948</v>
      </c>
      <c r="CK93" s="155">
        <v>307715</v>
      </c>
      <c r="CL93" s="155">
        <v>305365</v>
      </c>
      <c r="CM93" s="155">
        <v>304967</v>
      </c>
      <c r="CN93" s="155">
        <v>303948</v>
      </c>
      <c r="CO93" s="155">
        <v>299832</v>
      </c>
      <c r="CP93" s="155">
        <v>303616</v>
      </c>
      <c r="CQ93" s="155">
        <v>295336</v>
      </c>
      <c r="CR93" s="155">
        <v>296714</v>
      </c>
      <c r="CS93" s="155">
        <v>299457</v>
      </c>
      <c r="CT93" s="155">
        <v>301860</v>
      </c>
      <c r="CU93" s="155">
        <v>303942</v>
      </c>
      <c r="CV93" s="155">
        <v>305838</v>
      </c>
      <c r="CW93" s="155">
        <v>307690</v>
      </c>
      <c r="CX93" s="155">
        <v>309509</v>
      </c>
      <c r="CY93" s="154">
        <v>311321</v>
      </c>
    </row>
    <row r="94" spans="1:103">
      <c r="A94" s="155" t="s">
        <v>1136</v>
      </c>
      <c r="B94" s="154">
        <v>92</v>
      </c>
      <c r="C94" s="155">
        <v>61698</v>
      </c>
      <c r="D94" s="155">
        <v>61085</v>
      </c>
      <c r="E94" s="155">
        <v>61283</v>
      </c>
      <c r="F94" s="155">
        <v>61445</v>
      </c>
      <c r="G94" s="155">
        <v>62705</v>
      </c>
      <c r="H94" s="155">
        <v>65861</v>
      </c>
      <c r="I94" s="155">
        <v>68133</v>
      </c>
      <c r="J94" s="155">
        <v>70362</v>
      </c>
      <c r="K94" s="155">
        <v>72655</v>
      </c>
      <c r="L94" s="155">
        <v>73652</v>
      </c>
      <c r="M94" s="155">
        <v>73451</v>
      </c>
      <c r="N94" s="155">
        <v>70478</v>
      </c>
      <c r="O94" s="155">
        <v>78252</v>
      </c>
      <c r="P94" s="155">
        <v>87077</v>
      </c>
      <c r="Q94" s="155">
        <v>93309</v>
      </c>
      <c r="R94" s="155">
        <v>94066</v>
      </c>
      <c r="S94" s="155">
        <v>97173</v>
      </c>
      <c r="T94" s="155">
        <v>126727</v>
      </c>
      <c r="U94" s="155">
        <v>117752</v>
      </c>
      <c r="V94" s="155">
        <v>111686</v>
      </c>
      <c r="W94" s="155">
        <v>109438</v>
      </c>
      <c r="X94" s="155">
        <v>107656</v>
      </c>
      <c r="Y94" s="155">
        <v>107272</v>
      </c>
      <c r="Z94" s="155">
        <v>110568</v>
      </c>
      <c r="AA94" s="155">
        <v>113135</v>
      </c>
      <c r="AB94" s="155">
        <v>113594</v>
      </c>
      <c r="AC94" s="155">
        <v>118576</v>
      </c>
      <c r="AD94" s="155">
        <v>124121</v>
      </c>
      <c r="AE94" s="155">
        <v>130189</v>
      </c>
      <c r="AF94" s="155">
        <v>134925</v>
      </c>
      <c r="AG94" s="155">
        <v>139402</v>
      </c>
      <c r="AH94" s="155">
        <v>146308</v>
      </c>
      <c r="AI94" s="155">
        <v>153455</v>
      </c>
      <c r="AJ94" s="155">
        <v>158742</v>
      </c>
      <c r="AK94" s="155">
        <v>164044</v>
      </c>
      <c r="AL94" s="155">
        <v>167571</v>
      </c>
      <c r="AM94" s="155">
        <v>168205</v>
      </c>
      <c r="AN94" s="155">
        <v>169627</v>
      </c>
      <c r="AO94" s="155">
        <v>170563</v>
      </c>
      <c r="AP94" s="155">
        <v>172395</v>
      </c>
      <c r="AQ94" s="155">
        <v>170151</v>
      </c>
      <c r="AR94" s="155">
        <v>176123</v>
      </c>
      <c r="AS94" s="155">
        <v>170738</v>
      </c>
      <c r="AT94" s="155">
        <v>166081</v>
      </c>
      <c r="AU94" s="155">
        <v>161638</v>
      </c>
      <c r="AV94" s="155">
        <v>161293</v>
      </c>
      <c r="AW94" s="155">
        <v>160180</v>
      </c>
      <c r="AX94" s="155">
        <v>158547</v>
      </c>
      <c r="AY94" s="155">
        <v>163904</v>
      </c>
      <c r="AZ94" s="155">
        <v>178236</v>
      </c>
      <c r="BA94" s="155">
        <v>188430</v>
      </c>
      <c r="BB94" s="155">
        <v>191167</v>
      </c>
      <c r="BC94" s="155">
        <v>191724</v>
      </c>
      <c r="BD94" s="155">
        <v>196029</v>
      </c>
      <c r="BE94" s="155">
        <v>198772</v>
      </c>
      <c r="BF94" s="155">
        <v>207942</v>
      </c>
      <c r="BG94" s="155">
        <v>212184</v>
      </c>
      <c r="BH94" s="155">
        <v>218265</v>
      </c>
      <c r="BI94" s="155">
        <v>226734</v>
      </c>
      <c r="BJ94" s="155">
        <v>227552</v>
      </c>
      <c r="BK94" s="155">
        <v>232798</v>
      </c>
      <c r="BL94" s="155">
        <v>237379</v>
      </c>
      <c r="BM94" s="155">
        <v>239465</v>
      </c>
      <c r="BN94" s="155">
        <v>237892</v>
      </c>
      <c r="BO94" s="155">
        <v>242068</v>
      </c>
      <c r="BP94" s="155">
        <v>240942</v>
      </c>
      <c r="BQ94" s="155">
        <v>242140</v>
      </c>
      <c r="BR94" s="155">
        <v>249989</v>
      </c>
      <c r="BS94" s="155">
        <v>249493</v>
      </c>
      <c r="BT94" s="155">
        <v>251789</v>
      </c>
      <c r="BU94" s="155">
        <v>249905</v>
      </c>
      <c r="BV94" s="155">
        <v>249900</v>
      </c>
      <c r="BW94" s="155">
        <v>251896</v>
      </c>
      <c r="BX94" s="155">
        <v>254377</v>
      </c>
      <c r="BY94" s="155">
        <v>259149</v>
      </c>
      <c r="BZ94" s="155">
        <v>260051</v>
      </c>
      <c r="CA94" s="155">
        <v>262144</v>
      </c>
      <c r="CB94" s="155">
        <v>267170</v>
      </c>
      <c r="CC94" s="155">
        <v>277162</v>
      </c>
      <c r="CD94" s="155">
        <v>277183</v>
      </c>
      <c r="CE94" s="155">
        <v>281209</v>
      </c>
      <c r="CF94" s="155">
        <v>285895</v>
      </c>
      <c r="CG94" s="155">
        <v>288535</v>
      </c>
      <c r="CH94" s="155">
        <v>285724</v>
      </c>
      <c r="CI94" s="155">
        <v>283601</v>
      </c>
      <c r="CJ94" s="155">
        <v>285172</v>
      </c>
      <c r="CK94" s="155">
        <v>289110</v>
      </c>
      <c r="CL94" s="155">
        <v>286316</v>
      </c>
      <c r="CM94" s="155">
        <v>284337</v>
      </c>
      <c r="CN94" s="155">
        <v>284170</v>
      </c>
      <c r="CO94" s="155">
        <v>283426</v>
      </c>
      <c r="CP94" s="155">
        <v>279784</v>
      </c>
      <c r="CQ94" s="155">
        <v>283515</v>
      </c>
      <c r="CR94" s="155">
        <v>275972</v>
      </c>
      <c r="CS94" s="155">
        <v>277448</v>
      </c>
      <c r="CT94" s="155">
        <v>280204</v>
      </c>
      <c r="CU94" s="155">
        <v>282642</v>
      </c>
      <c r="CV94" s="155">
        <v>284780</v>
      </c>
      <c r="CW94" s="155">
        <v>286745</v>
      </c>
      <c r="CX94" s="155">
        <v>288668</v>
      </c>
      <c r="CY94" s="154">
        <v>290562</v>
      </c>
    </row>
    <row r="95" spans="1:103">
      <c r="A95" s="155" t="s">
        <v>1136</v>
      </c>
      <c r="B95" s="154">
        <v>93</v>
      </c>
      <c r="C95" s="155">
        <v>49040</v>
      </c>
      <c r="D95" s="155">
        <v>49894</v>
      </c>
      <c r="E95" s="155">
        <v>49879</v>
      </c>
      <c r="F95" s="155">
        <v>50234</v>
      </c>
      <c r="G95" s="155">
        <v>50546</v>
      </c>
      <c r="H95" s="155">
        <v>51760</v>
      </c>
      <c r="I95" s="155">
        <v>54536</v>
      </c>
      <c r="J95" s="155">
        <v>56562</v>
      </c>
      <c r="K95" s="155">
        <v>58534</v>
      </c>
      <c r="L95" s="155">
        <v>60532</v>
      </c>
      <c r="M95" s="155">
        <v>61441</v>
      </c>
      <c r="N95" s="155">
        <v>61360</v>
      </c>
      <c r="O95" s="155">
        <v>58977</v>
      </c>
      <c r="P95" s="155">
        <v>65610</v>
      </c>
      <c r="Q95" s="155">
        <v>73155</v>
      </c>
      <c r="R95" s="155">
        <v>78542</v>
      </c>
      <c r="S95" s="155">
        <v>79320</v>
      </c>
      <c r="T95" s="155">
        <v>82078</v>
      </c>
      <c r="U95" s="155">
        <v>107214</v>
      </c>
      <c r="V95" s="155">
        <v>99776</v>
      </c>
      <c r="W95" s="155">
        <v>94774</v>
      </c>
      <c r="X95" s="155">
        <v>93003</v>
      </c>
      <c r="Y95" s="155">
        <v>91619</v>
      </c>
      <c r="Z95" s="155">
        <v>91429</v>
      </c>
      <c r="AA95" s="155">
        <v>94377</v>
      </c>
      <c r="AB95" s="155">
        <v>96713</v>
      </c>
      <c r="AC95" s="155">
        <v>97248</v>
      </c>
      <c r="AD95" s="155">
        <v>101662</v>
      </c>
      <c r="AE95" s="155">
        <v>106576</v>
      </c>
      <c r="AF95" s="155">
        <v>111946</v>
      </c>
      <c r="AG95" s="155">
        <v>116188</v>
      </c>
      <c r="AH95" s="155">
        <v>120215</v>
      </c>
      <c r="AI95" s="155">
        <v>126353</v>
      </c>
      <c r="AJ95" s="155">
        <v>132713</v>
      </c>
      <c r="AK95" s="155">
        <v>137472</v>
      </c>
      <c r="AL95" s="155">
        <v>142260</v>
      </c>
      <c r="AM95" s="155">
        <v>145518</v>
      </c>
      <c r="AN95" s="155">
        <v>146271</v>
      </c>
      <c r="AO95" s="155">
        <v>147703</v>
      </c>
      <c r="AP95" s="155">
        <v>148713</v>
      </c>
      <c r="AQ95" s="155">
        <v>150509</v>
      </c>
      <c r="AR95" s="155">
        <v>148746</v>
      </c>
      <c r="AS95" s="155">
        <v>154166</v>
      </c>
      <c r="AT95" s="155">
        <v>149644</v>
      </c>
      <c r="AU95" s="155">
        <v>145747</v>
      </c>
      <c r="AV95" s="155">
        <v>142028</v>
      </c>
      <c r="AW95" s="155">
        <v>141902</v>
      </c>
      <c r="AX95" s="155">
        <v>141094</v>
      </c>
      <c r="AY95" s="155">
        <v>139829</v>
      </c>
      <c r="AZ95" s="155">
        <v>144726</v>
      </c>
      <c r="BA95" s="155">
        <v>157570</v>
      </c>
      <c r="BB95" s="155">
        <v>166781</v>
      </c>
      <c r="BC95" s="155">
        <v>169396</v>
      </c>
      <c r="BD95" s="155">
        <v>170085</v>
      </c>
      <c r="BE95" s="155">
        <v>174104</v>
      </c>
      <c r="BF95" s="155">
        <v>176742</v>
      </c>
      <c r="BG95" s="155">
        <v>185103</v>
      </c>
      <c r="BH95" s="155">
        <v>189092</v>
      </c>
      <c r="BI95" s="155">
        <v>194727</v>
      </c>
      <c r="BJ95" s="155">
        <v>202501</v>
      </c>
      <c r="BK95" s="155">
        <v>203453</v>
      </c>
      <c r="BL95" s="155">
        <v>208367</v>
      </c>
      <c r="BM95" s="155">
        <v>212688</v>
      </c>
      <c r="BN95" s="155">
        <v>214783</v>
      </c>
      <c r="BO95" s="155">
        <v>213595</v>
      </c>
      <c r="BP95" s="155">
        <v>217570</v>
      </c>
      <c r="BQ95" s="155">
        <v>216781</v>
      </c>
      <c r="BR95" s="155">
        <v>218076</v>
      </c>
      <c r="BS95" s="155">
        <v>225370</v>
      </c>
      <c r="BT95" s="155">
        <v>225144</v>
      </c>
      <c r="BU95" s="155">
        <v>227432</v>
      </c>
      <c r="BV95" s="155">
        <v>225942</v>
      </c>
      <c r="BW95" s="155">
        <v>226158</v>
      </c>
      <c r="BX95" s="155">
        <v>228183</v>
      </c>
      <c r="BY95" s="155">
        <v>230646</v>
      </c>
      <c r="BZ95" s="155">
        <v>235203</v>
      </c>
      <c r="CA95" s="155">
        <v>236245</v>
      </c>
      <c r="CB95" s="155">
        <v>238360</v>
      </c>
      <c r="CC95" s="155">
        <v>243153</v>
      </c>
      <c r="CD95" s="155">
        <v>252473</v>
      </c>
      <c r="CE95" s="155">
        <v>252717</v>
      </c>
      <c r="CF95" s="155">
        <v>256613</v>
      </c>
      <c r="CG95" s="155">
        <v>261121</v>
      </c>
      <c r="CH95" s="155">
        <v>263762</v>
      </c>
      <c r="CI95" s="155">
        <v>261414</v>
      </c>
      <c r="CJ95" s="155">
        <v>259693</v>
      </c>
      <c r="CK95" s="155">
        <v>261351</v>
      </c>
      <c r="CL95" s="155">
        <v>265184</v>
      </c>
      <c r="CM95" s="155">
        <v>262839</v>
      </c>
      <c r="CN95" s="155">
        <v>261236</v>
      </c>
      <c r="CO95" s="155">
        <v>261293</v>
      </c>
      <c r="CP95" s="155">
        <v>260821</v>
      </c>
      <c r="CQ95" s="155">
        <v>257674</v>
      </c>
      <c r="CR95" s="155">
        <v>261317</v>
      </c>
      <c r="CS95" s="155">
        <v>254560</v>
      </c>
      <c r="CT95" s="155">
        <v>256119</v>
      </c>
      <c r="CU95" s="155">
        <v>258860</v>
      </c>
      <c r="CV95" s="155">
        <v>261310</v>
      </c>
      <c r="CW95" s="155">
        <v>263486</v>
      </c>
      <c r="CX95" s="155">
        <v>265500</v>
      </c>
      <c r="CY95" s="154">
        <v>267478</v>
      </c>
    </row>
    <row r="96" spans="1:103">
      <c r="A96" s="155" t="s">
        <v>1136</v>
      </c>
      <c r="B96" s="154">
        <v>94</v>
      </c>
      <c r="C96" s="155">
        <v>38197</v>
      </c>
      <c r="D96" s="155">
        <v>38467</v>
      </c>
      <c r="E96" s="155">
        <v>39570</v>
      </c>
      <c r="F96" s="155">
        <v>39729</v>
      </c>
      <c r="G96" s="155">
        <v>40174</v>
      </c>
      <c r="H96" s="155">
        <v>40572</v>
      </c>
      <c r="I96" s="155">
        <v>41687</v>
      </c>
      <c r="J96" s="155">
        <v>44057</v>
      </c>
      <c r="K96" s="155">
        <v>45815</v>
      </c>
      <c r="L96" s="155">
        <v>47514</v>
      </c>
      <c r="M96" s="155">
        <v>49212</v>
      </c>
      <c r="N96" s="155">
        <v>50020</v>
      </c>
      <c r="O96" s="155">
        <v>50027</v>
      </c>
      <c r="P96" s="155">
        <v>48171</v>
      </c>
      <c r="Q96" s="155">
        <v>53698</v>
      </c>
      <c r="R96" s="155">
        <v>59998</v>
      </c>
      <c r="S96" s="155">
        <v>64546</v>
      </c>
      <c r="T96" s="155">
        <v>65308</v>
      </c>
      <c r="U96" s="155">
        <v>67699</v>
      </c>
      <c r="V96" s="155">
        <v>88585</v>
      </c>
      <c r="W96" s="155">
        <v>82577</v>
      </c>
      <c r="X96" s="155">
        <v>78562</v>
      </c>
      <c r="Y96" s="155">
        <v>77217</v>
      </c>
      <c r="Z96" s="155">
        <v>76188</v>
      </c>
      <c r="AA96" s="155">
        <v>76155</v>
      </c>
      <c r="AB96" s="155">
        <v>78736</v>
      </c>
      <c r="AC96" s="155">
        <v>80817</v>
      </c>
      <c r="AD96" s="155">
        <v>81391</v>
      </c>
      <c r="AE96" s="155">
        <v>85222</v>
      </c>
      <c r="AF96" s="155">
        <v>89484</v>
      </c>
      <c r="AG96" s="155">
        <v>94141</v>
      </c>
      <c r="AH96" s="155">
        <v>97862</v>
      </c>
      <c r="AI96" s="155">
        <v>101412</v>
      </c>
      <c r="AJ96" s="155">
        <v>106754</v>
      </c>
      <c r="AK96" s="155">
        <v>112301</v>
      </c>
      <c r="AL96" s="155">
        <v>116500</v>
      </c>
      <c r="AM96" s="155">
        <v>120738</v>
      </c>
      <c r="AN96" s="155">
        <v>123687</v>
      </c>
      <c r="AO96" s="155">
        <v>124513</v>
      </c>
      <c r="AP96" s="155">
        <v>125913</v>
      </c>
      <c r="AQ96" s="155">
        <v>126956</v>
      </c>
      <c r="AR96" s="155">
        <v>128674</v>
      </c>
      <c r="AS96" s="155">
        <v>127348</v>
      </c>
      <c r="AT96" s="155">
        <v>132176</v>
      </c>
      <c r="AU96" s="155">
        <v>128478</v>
      </c>
      <c r="AV96" s="155">
        <v>125307</v>
      </c>
      <c r="AW96" s="155">
        <v>122276</v>
      </c>
      <c r="AX96" s="155">
        <v>122335</v>
      </c>
      <c r="AY96" s="155">
        <v>121799</v>
      </c>
      <c r="AZ96" s="155">
        <v>120871</v>
      </c>
      <c r="BA96" s="155">
        <v>125268</v>
      </c>
      <c r="BB96" s="155">
        <v>136564</v>
      </c>
      <c r="BC96" s="155">
        <v>144735</v>
      </c>
      <c r="BD96" s="155">
        <v>147188</v>
      </c>
      <c r="BE96" s="155">
        <v>147974</v>
      </c>
      <c r="BF96" s="155">
        <v>151661</v>
      </c>
      <c r="BG96" s="155">
        <v>154151</v>
      </c>
      <c r="BH96" s="155">
        <v>161644</v>
      </c>
      <c r="BI96" s="155">
        <v>165330</v>
      </c>
      <c r="BJ96" s="155">
        <v>170465</v>
      </c>
      <c r="BK96" s="155">
        <v>177482</v>
      </c>
      <c r="BL96" s="155">
        <v>178529</v>
      </c>
      <c r="BM96" s="155">
        <v>183058</v>
      </c>
      <c r="BN96" s="155">
        <v>187068</v>
      </c>
      <c r="BO96" s="155">
        <v>189129</v>
      </c>
      <c r="BP96" s="155">
        <v>188300</v>
      </c>
      <c r="BQ96" s="155">
        <v>192025</v>
      </c>
      <c r="BR96" s="155">
        <v>191546</v>
      </c>
      <c r="BS96" s="155">
        <v>192901</v>
      </c>
      <c r="BT96" s="155">
        <v>199574</v>
      </c>
      <c r="BU96" s="155">
        <v>199590</v>
      </c>
      <c r="BV96" s="155">
        <v>201831</v>
      </c>
      <c r="BW96" s="155">
        <v>200719</v>
      </c>
      <c r="BX96" s="155">
        <v>201128</v>
      </c>
      <c r="BY96" s="155">
        <v>203145</v>
      </c>
      <c r="BZ96" s="155">
        <v>205550</v>
      </c>
      <c r="CA96" s="155">
        <v>209839</v>
      </c>
      <c r="CB96" s="155">
        <v>210988</v>
      </c>
      <c r="CC96" s="155">
        <v>213090</v>
      </c>
      <c r="CD96" s="155">
        <v>217596</v>
      </c>
      <c r="CE96" s="155">
        <v>226161</v>
      </c>
      <c r="CF96" s="155">
        <v>226604</v>
      </c>
      <c r="CG96" s="155">
        <v>230325</v>
      </c>
      <c r="CH96" s="155">
        <v>234599</v>
      </c>
      <c r="CI96" s="155">
        <v>237203</v>
      </c>
      <c r="CJ96" s="155">
        <v>235315</v>
      </c>
      <c r="CK96" s="155">
        <v>233988</v>
      </c>
      <c r="CL96" s="155">
        <v>235704</v>
      </c>
      <c r="CM96" s="155">
        <v>239385</v>
      </c>
      <c r="CN96" s="155">
        <v>237488</v>
      </c>
      <c r="CO96" s="155">
        <v>236255</v>
      </c>
      <c r="CP96" s="155">
        <v>236520</v>
      </c>
      <c r="CQ96" s="155">
        <v>236308</v>
      </c>
      <c r="CR96" s="155">
        <v>233664</v>
      </c>
      <c r="CS96" s="155">
        <v>237179</v>
      </c>
      <c r="CT96" s="155">
        <v>231245</v>
      </c>
      <c r="CU96" s="155">
        <v>232862</v>
      </c>
      <c r="CV96" s="155">
        <v>235556</v>
      </c>
      <c r="CW96" s="155">
        <v>237988</v>
      </c>
      <c r="CX96" s="155">
        <v>240172</v>
      </c>
      <c r="CY96" s="154">
        <v>242209</v>
      </c>
    </row>
    <row r="97" spans="1:103">
      <c r="A97" s="155" t="s">
        <v>1136</v>
      </c>
      <c r="B97" s="154">
        <v>95</v>
      </c>
      <c r="C97" s="155">
        <v>29702</v>
      </c>
      <c r="D97" s="155">
        <v>28976</v>
      </c>
      <c r="E97" s="155">
        <v>29528</v>
      </c>
      <c r="F97" s="155">
        <v>30521</v>
      </c>
      <c r="G97" s="155">
        <v>30781</v>
      </c>
      <c r="H97" s="155">
        <v>31257</v>
      </c>
      <c r="I97" s="155">
        <v>31680</v>
      </c>
      <c r="J97" s="155">
        <v>32655</v>
      </c>
      <c r="K97" s="155">
        <v>34619</v>
      </c>
      <c r="L97" s="155">
        <v>36099</v>
      </c>
      <c r="M97" s="155">
        <v>37521</v>
      </c>
      <c r="N97" s="155">
        <v>38925</v>
      </c>
      <c r="O97" s="155">
        <v>39621</v>
      </c>
      <c r="P97" s="155">
        <v>39689</v>
      </c>
      <c r="Q97" s="155">
        <v>38287</v>
      </c>
      <c r="R97" s="155">
        <v>42773</v>
      </c>
      <c r="S97" s="155">
        <v>47894</v>
      </c>
      <c r="T97" s="155">
        <v>51634</v>
      </c>
      <c r="U97" s="155">
        <v>52345</v>
      </c>
      <c r="V97" s="155">
        <v>54364</v>
      </c>
      <c r="W97" s="155">
        <v>71268</v>
      </c>
      <c r="X97" s="155">
        <v>66554</v>
      </c>
      <c r="Y97" s="155">
        <v>63427</v>
      </c>
      <c r="Z97" s="155">
        <v>62450</v>
      </c>
      <c r="AA97" s="155">
        <v>61724</v>
      </c>
      <c r="AB97" s="155">
        <v>61807</v>
      </c>
      <c r="AC97" s="155">
        <v>64012</v>
      </c>
      <c r="AD97" s="155">
        <v>65819</v>
      </c>
      <c r="AE97" s="155">
        <v>66400</v>
      </c>
      <c r="AF97" s="155">
        <v>69644</v>
      </c>
      <c r="AG97" s="155">
        <v>73253</v>
      </c>
      <c r="AH97" s="155">
        <v>77195</v>
      </c>
      <c r="AI97" s="155">
        <v>80381</v>
      </c>
      <c r="AJ97" s="155">
        <v>83438</v>
      </c>
      <c r="AK97" s="155">
        <v>87980</v>
      </c>
      <c r="AL97" s="155">
        <v>92705</v>
      </c>
      <c r="AM97" s="155">
        <v>96325</v>
      </c>
      <c r="AN97" s="155">
        <v>99989</v>
      </c>
      <c r="AO97" s="155">
        <v>102596</v>
      </c>
      <c r="AP97" s="155">
        <v>103449</v>
      </c>
      <c r="AQ97" s="155">
        <v>104776</v>
      </c>
      <c r="AR97" s="155">
        <v>105806</v>
      </c>
      <c r="AS97" s="155">
        <v>107405</v>
      </c>
      <c r="AT97" s="155">
        <v>106462</v>
      </c>
      <c r="AU97" s="155">
        <v>110667</v>
      </c>
      <c r="AV97" s="155">
        <v>107734</v>
      </c>
      <c r="AW97" s="155">
        <v>105234</v>
      </c>
      <c r="AX97" s="155">
        <v>102842</v>
      </c>
      <c r="AY97" s="155">
        <v>103043</v>
      </c>
      <c r="AZ97" s="155">
        <v>102741</v>
      </c>
      <c r="BA97" s="155">
        <v>102108</v>
      </c>
      <c r="BB97" s="155">
        <v>105972</v>
      </c>
      <c r="BC97" s="155">
        <v>115693</v>
      </c>
      <c r="BD97" s="155">
        <v>122789</v>
      </c>
      <c r="BE97" s="155">
        <v>125040</v>
      </c>
      <c r="BF97" s="155">
        <v>125882</v>
      </c>
      <c r="BG97" s="155">
        <v>129195</v>
      </c>
      <c r="BH97" s="155">
        <v>131496</v>
      </c>
      <c r="BI97" s="155">
        <v>138073</v>
      </c>
      <c r="BJ97" s="155">
        <v>141413</v>
      </c>
      <c r="BK97" s="155">
        <v>145999</v>
      </c>
      <c r="BL97" s="155">
        <v>152207</v>
      </c>
      <c r="BM97" s="155">
        <v>153306</v>
      </c>
      <c r="BN97" s="155">
        <v>157398</v>
      </c>
      <c r="BO97" s="155">
        <v>161048</v>
      </c>
      <c r="BP97" s="155">
        <v>163029</v>
      </c>
      <c r="BQ97" s="155">
        <v>162520</v>
      </c>
      <c r="BR97" s="155">
        <v>165944</v>
      </c>
      <c r="BS97" s="155">
        <v>165737</v>
      </c>
      <c r="BT97" s="155">
        <v>167111</v>
      </c>
      <c r="BU97" s="155">
        <v>173102</v>
      </c>
      <c r="BV97" s="155">
        <v>173322</v>
      </c>
      <c r="BW97" s="155">
        <v>175473</v>
      </c>
      <c r="BX97" s="155">
        <v>174707</v>
      </c>
      <c r="BY97" s="155">
        <v>175272</v>
      </c>
      <c r="BZ97" s="155">
        <v>177238</v>
      </c>
      <c r="CA97" s="155">
        <v>179540</v>
      </c>
      <c r="CB97" s="155">
        <v>183505</v>
      </c>
      <c r="CC97" s="155">
        <v>184722</v>
      </c>
      <c r="CD97" s="155">
        <v>186769</v>
      </c>
      <c r="CE97" s="155">
        <v>190932</v>
      </c>
      <c r="CF97" s="155">
        <v>198666</v>
      </c>
      <c r="CG97" s="155">
        <v>199274</v>
      </c>
      <c r="CH97" s="155">
        <v>202766</v>
      </c>
      <c r="CI97" s="155">
        <v>206753</v>
      </c>
      <c r="CJ97" s="155">
        <v>209273</v>
      </c>
      <c r="CK97" s="155">
        <v>207827</v>
      </c>
      <c r="CL97" s="155">
        <v>206873</v>
      </c>
      <c r="CM97" s="155">
        <v>208607</v>
      </c>
      <c r="CN97" s="155">
        <v>212086</v>
      </c>
      <c r="CO97" s="155">
        <v>210622</v>
      </c>
      <c r="CP97" s="155">
        <v>209742</v>
      </c>
      <c r="CQ97" s="155">
        <v>210188</v>
      </c>
      <c r="CR97" s="155">
        <v>210213</v>
      </c>
      <c r="CS97" s="155">
        <v>208067</v>
      </c>
      <c r="CT97" s="155">
        <v>211406</v>
      </c>
      <c r="CU97" s="155">
        <v>206315</v>
      </c>
      <c r="CV97" s="155">
        <v>207959</v>
      </c>
      <c r="CW97" s="155">
        <v>210565</v>
      </c>
      <c r="CX97" s="155">
        <v>212943</v>
      </c>
      <c r="CY97" s="154">
        <v>215099</v>
      </c>
    </row>
    <row r="98" spans="1:103">
      <c r="A98" s="155" t="s">
        <v>1136</v>
      </c>
      <c r="B98" s="154">
        <v>96</v>
      </c>
      <c r="C98" s="155">
        <v>22386</v>
      </c>
      <c r="D98" s="155">
        <v>21729</v>
      </c>
      <c r="E98" s="155">
        <v>21466</v>
      </c>
      <c r="F98" s="155">
        <v>21974</v>
      </c>
      <c r="G98" s="155">
        <v>22827</v>
      </c>
      <c r="H98" s="155">
        <v>23129</v>
      </c>
      <c r="I98" s="155">
        <v>23582</v>
      </c>
      <c r="J98" s="155">
        <v>23981</v>
      </c>
      <c r="K98" s="155">
        <v>24801</v>
      </c>
      <c r="L98" s="155">
        <v>26377</v>
      </c>
      <c r="M98" s="155">
        <v>27581</v>
      </c>
      <c r="N98" s="155">
        <v>28733</v>
      </c>
      <c r="O98" s="155">
        <v>29860</v>
      </c>
      <c r="P98" s="155">
        <v>30440</v>
      </c>
      <c r="Q98" s="155">
        <v>30543</v>
      </c>
      <c r="R98" s="155">
        <v>29521</v>
      </c>
      <c r="S98" s="155">
        <v>33052</v>
      </c>
      <c r="T98" s="155">
        <v>37094</v>
      </c>
      <c r="U98" s="155">
        <v>40079</v>
      </c>
      <c r="V98" s="155">
        <v>40715</v>
      </c>
      <c r="W98" s="155">
        <v>42370</v>
      </c>
      <c r="X98" s="155">
        <v>55654</v>
      </c>
      <c r="Y98" s="155">
        <v>52072</v>
      </c>
      <c r="Z98" s="155">
        <v>49716</v>
      </c>
      <c r="AA98" s="155">
        <v>49043</v>
      </c>
      <c r="AB98" s="155">
        <v>48562</v>
      </c>
      <c r="AC98" s="155">
        <v>48721</v>
      </c>
      <c r="AD98" s="155">
        <v>50552</v>
      </c>
      <c r="AE98" s="155">
        <v>52078</v>
      </c>
      <c r="AF98" s="155">
        <v>52633</v>
      </c>
      <c r="AG98" s="155">
        <v>55304</v>
      </c>
      <c r="AH98" s="155">
        <v>58278</v>
      </c>
      <c r="AI98" s="155">
        <v>61524</v>
      </c>
      <c r="AJ98" s="155">
        <v>64179</v>
      </c>
      <c r="AK98" s="155">
        <v>66740</v>
      </c>
      <c r="AL98" s="155">
        <v>70499</v>
      </c>
      <c r="AM98" s="155">
        <v>74416</v>
      </c>
      <c r="AN98" s="155">
        <v>77455</v>
      </c>
      <c r="AO98" s="155">
        <v>80540</v>
      </c>
      <c r="AP98" s="155">
        <v>82783</v>
      </c>
      <c r="AQ98" s="155">
        <v>83616</v>
      </c>
      <c r="AR98" s="155">
        <v>84832</v>
      </c>
      <c r="AS98" s="155">
        <v>85807</v>
      </c>
      <c r="AT98" s="155">
        <v>87251</v>
      </c>
      <c r="AU98" s="155">
        <v>86628</v>
      </c>
      <c r="AV98" s="155">
        <v>90198</v>
      </c>
      <c r="AW98" s="155">
        <v>87949</v>
      </c>
      <c r="AX98" s="155">
        <v>86049</v>
      </c>
      <c r="AY98" s="155">
        <v>84228</v>
      </c>
      <c r="AZ98" s="155">
        <v>84527</v>
      </c>
      <c r="BA98" s="155">
        <v>84411</v>
      </c>
      <c r="BB98" s="155">
        <v>84025</v>
      </c>
      <c r="BC98" s="155">
        <v>87338</v>
      </c>
      <c r="BD98" s="155">
        <v>95498</v>
      </c>
      <c r="BE98" s="155">
        <v>101510</v>
      </c>
      <c r="BF98" s="155">
        <v>103524</v>
      </c>
      <c r="BG98" s="155">
        <v>104375</v>
      </c>
      <c r="BH98" s="155">
        <v>107283</v>
      </c>
      <c r="BI98" s="155">
        <v>109355</v>
      </c>
      <c r="BJ98" s="155">
        <v>114992</v>
      </c>
      <c r="BK98" s="155">
        <v>117945</v>
      </c>
      <c r="BL98" s="155">
        <v>121947</v>
      </c>
      <c r="BM98" s="155">
        <v>127313</v>
      </c>
      <c r="BN98" s="155">
        <v>128415</v>
      </c>
      <c r="BO98" s="155">
        <v>132028</v>
      </c>
      <c r="BP98" s="155">
        <v>135276</v>
      </c>
      <c r="BQ98" s="155">
        <v>137128</v>
      </c>
      <c r="BR98" s="155">
        <v>136889</v>
      </c>
      <c r="BS98" s="155">
        <v>139965</v>
      </c>
      <c r="BT98" s="155">
        <v>139981</v>
      </c>
      <c r="BU98" s="155">
        <v>141328</v>
      </c>
      <c r="BV98" s="155">
        <v>146588</v>
      </c>
      <c r="BW98" s="155">
        <v>146967</v>
      </c>
      <c r="BX98" s="155">
        <v>148982</v>
      </c>
      <c r="BY98" s="155">
        <v>148520</v>
      </c>
      <c r="BZ98" s="155">
        <v>149195</v>
      </c>
      <c r="CA98" s="155">
        <v>151061</v>
      </c>
      <c r="CB98" s="155">
        <v>153215</v>
      </c>
      <c r="CC98" s="155">
        <v>156801</v>
      </c>
      <c r="CD98" s="155">
        <v>158040</v>
      </c>
      <c r="CE98" s="155">
        <v>159987</v>
      </c>
      <c r="CF98" s="155">
        <v>163755</v>
      </c>
      <c r="CG98" s="155">
        <v>170594</v>
      </c>
      <c r="CH98" s="155">
        <v>171322</v>
      </c>
      <c r="CI98" s="155">
        <v>174533</v>
      </c>
      <c r="CJ98" s="155">
        <v>178177</v>
      </c>
      <c r="CK98" s="155">
        <v>180563</v>
      </c>
      <c r="CL98" s="155">
        <v>179523</v>
      </c>
      <c r="CM98" s="155">
        <v>178906</v>
      </c>
      <c r="CN98" s="155">
        <v>180615</v>
      </c>
      <c r="CO98" s="155">
        <v>183838</v>
      </c>
      <c r="CP98" s="155">
        <v>182777</v>
      </c>
      <c r="CQ98" s="155">
        <v>182217</v>
      </c>
      <c r="CR98" s="155">
        <v>182808</v>
      </c>
      <c r="CS98" s="155">
        <v>183035</v>
      </c>
      <c r="CT98" s="155">
        <v>181364</v>
      </c>
      <c r="CU98" s="155">
        <v>184477</v>
      </c>
      <c r="CV98" s="155">
        <v>180227</v>
      </c>
      <c r="CW98" s="155">
        <v>181859</v>
      </c>
      <c r="CX98" s="155">
        <v>184333</v>
      </c>
      <c r="CY98" s="154">
        <v>186611</v>
      </c>
    </row>
    <row r="99" spans="1:103">
      <c r="A99" s="155" t="s">
        <v>1136</v>
      </c>
      <c r="B99" s="154">
        <v>97</v>
      </c>
      <c r="C99" s="155">
        <v>16287</v>
      </c>
      <c r="D99" s="155">
        <v>15759</v>
      </c>
      <c r="E99" s="155">
        <v>15493</v>
      </c>
      <c r="F99" s="155">
        <v>15369</v>
      </c>
      <c r="G99" s="155">
        <v>15807</v>
      </c>
      <c r="H99" s="155">
        <v>16504</v>
      </c>
      <c r="I99" s="155">
        <v>16798</v>
      </c>
      <c r="J99" s="155">
        <v>17192</v>
      </c>
      <c r="K99" s="155">
        <v>17543</v>
      </c>
      <c r="L99" s="155">
        <v>18204</v>
      </c>
      <c r="M99" s="155">
        <v>19423</v>
      </c>
      <c r="N99" s="155">
        <v>20368</v>
      </c>
      <c r="O99" s="155">
        <v>21269</v>
      </c>
      <c r="P99" s="155">
        <v>22142</v>
      </c>
      <c r="Q99" s="155">
        <v>22609</v>
      </c>
      <c r="R99" s="155">
        <v>22724</v>
      </c>
      <c r="S99" s="155">
        <v>22009</v>
      </c>
      <c r="T99" s="155">
        <v>24699</v>
      </c>
      <c r="U99" s="155">
        <v>27784</v>
      </c>
      <c r="V99" s="155">
        <v>30089</v>
      </c>
      <c r="W99" s="155">
        <v>30631</v>
      </c>
      <c r="X99" s="155">
        <v>31943</v>
      </c>
      <c r="Y99" s="155">
        <v>42046</v>
      </c>
      <c r="Z99" s="155">
        <v>39418</v>
      </c>
      <c r="AA99" s="155">
        <v>37710</v>
      </c>
      <c r="AB99" s="155">
        <v>37274</v>
      </c>
      <c r="AC99" s="155">
        <v>36982</v>
      </c>
      <c r="AD99" s="155">
        <v>37177</v>
      </c>
      <c r="AE99" s="155">
        <v>38650</v>
      </c>
      <c r="AF99" s="155">
        <v>39897</v>
      </c>
      <c r="AG99" s="155">
        <v>40400</v>
      </c>
      <c r="AH99" s="155">
        <v>42533</v>
      </c>
      <c r="AI99" s="155">
        <v>44908</v>
      </c>
      <c r="AJ99" s="155">
        <v>47498</v>
      </c>
      <c r="AK99" s="155">
        <v>49644</v>
      </c>
      <c r="AL99" s="155">
        <v>51724</v>
      </c>
      <c r="AM99" s="155">
        <v>54740</v>
      </c>
      <c r="AN99" s="155">
        <v>57891</v>
      </c>
      <c r="AO99" s="155">
        <v>60366</v>
      </c>
      <c r="AP99" s="155">
        <v>62885</v>
      </c>
      <c r="AQ99" s="155">
        <v>64755</v>
      </c>
      <c r="AR99" s="155">
        <v>65526</v>
      </c>
      <c r="AS99" s="155">
        <v>66599</v>
      </c>
      <c r="AT99" s="155">
        <v>67483</v>
      </c>
      <c r="AU99" s="155">
        <v>68743</v>
      </c>
      <c r="AV99" s="155">
        <v>68373</v>
      </c>
      <c r="AW99" s="155">
        <v>71314</v>
      </c>
      <c r="AX99" s="155">
        <v>69658</v>
      </c>
      <c r="AY99" s="155">
        <v>68272</v>
      </c>
      <c r="AZ99" s="155">
        <v>66942</v>
      </c>
      <c r="BA99" s="155">
        <v>67295</v>
      </c>
      <c r="BB99" s="155">
        <v>67314</v>
      </c>
      <c r="BC99" s="155">
        <v>67121</v>
      </c>
      <c r="BD99" s="155">
        <v>69883</v>
      </c>
      <c r="BE99" s="155">
        <v>76538</v>
      </c>
      <c r="BF99" s="155">
        <v>81491</v>
      </c>
      <c r="BG99" s="155">
        <v>83240</v>
      </c>
      <c r="BH99" s="155">
        <v>84059</v>
      </c>
      <c r="BI99" s="155">
        <v>86540</v>
      </c>
      <c r="BJ99" s="155">
        <v>88351</v>
      </c>
      <c r="BK99" s="155">
        <v>93052</v>
      </c>
      <c r="BL99" s="155">
        <v>95591</v>
      </c>
      <c r="BM99" s="155">
        <v>98989</v>
      </c>
      <c r="BN99" s="155">
        <v>103503</v>
      </c>
      <c r="BO99" s="155">
        <v>104559</v>
      </c>
      <c r="BP99" s="155">
        <v>107665</v>
      </c>
      <c r="BQ99" s="155">
        <v>110476</v>
      </c>
      <c r="BR99" s="155">
        <v>112157</v>
      </c>
      <c r="BS99" s="155">
        <v>112129</v>
      </c>
      <c r="BT99" s="155">
        <v>114818</v>
      </c>
      <c r="BU99" s="155">
        <v>115000</v>
      </c>
      <c r="BV99" s="155">
        <v>116274</v>
      </c>
      <c r="BW99" s="155">
        <v>120775</v>
      </c>
      <c r="BX99" s="155">
        <v>121259</v>
      </c>
      <c r="BY99" s="155">
        <v>123093</v>
      </c>
      <c r="BZ99" s="155">
        <v>122883</v>
      </c>
      <c r="CA99" s="155">
        <v>123615</v>
      </c>
      <c r="CB99" s="155">
        <v>125335</v>
      </c>
      <c r="CC99" s="155">
        <v>127296</v>
      </c>
      <c r="CD99" s="155">
        <v>130458</v>
      </c>
      <c r="CE99" s="155">
        <v>131669</v>
      </c>
      <c r="CF99" s="155">
        <v>133469</v>
      </c>
      <c r="CG99" s="155">
        <v>136796</v>
      </c>
      <c r="CH99" s="155">
        <v>142697</v>
      </c>
      <c r="CI99" s="155">
        <v>143494</v>
      </c>
      <c r="CJ99" s="155">
        <v>146374</v>
      </c>
      <c r="CK99" s="155">
        <v>149626</v>
      </c>
      <c r="CL99" s="155">
        <v>151827</v>
      </c>
      <c r="CM99" s="155">
        <v>151144</v>
      </c>
      <c r="CN99" s="155">
        <v>150816</v>
      </c>
      <c r="CO99" s="155">
        <v>152448</v>
      </c>
      <c r="CP99" s="155">
        <v>155365</v>
      </c>
      <c r="CQ99" s="155">
        <v>154660</v>
      </c>
      <c r="CR99" s="155">
        <v>154377</v>
      </c>
      <c r="CS99" s="155">
        <v>155067</v>
      </c>
      <c r="CT99" s="155">
        <v>155449</v>
      </c>
      <c r="CU99" s="155">
        <v>154217</v>
      </c>
      <c r="CV99" s="155">
        <v>157052</v>
      </c>
      <c r="CW99" s="155">
        <v>153614</v>
      </c>
      <c r="CX99" s="155">
        <v>155189</v>
      </c>
      <c r="CY99" s="154">
        <v>157484</v>
      </c>
    </row>
    <row r="100" spans="1:103">
      <c r="A100" s="155" t="s">
        <v>1136</v>
      </c>
      <c r="B100" s="154">
        <v>98</v>
      </c>
      <c r="C100" s="155">
        <v>11538</v>
      </c>
      <c r="D100" s="155">
        <v>11013</v>
      </c>
      <c r="E100" s="155">
        <v>10794</v>
      </c>
      <c r="F100" s="155">
        <v>10644</v>
      </c>
      <c r="G100" s="155">
        <v>10603</v>
      </c>
      <c r="H100" s="155">
        <v>10958</v>
      </c>
      <c r="I100" s="155">
        <v>11497</v>
      </c>
      <c r="J100" s="155">
        <v>11750</v>
      </c>
      <c r="K100" s="155">
        <v>12073</v>
      </c>
      <c r="L100" s="155">
        <v>12362</v>
      </c>
      <c r="M100" s="155">
        <v>12871</v>
      </c>
      <c r="N100" s="155">
        <v>13779</v>
      </c>
      <c r="O100" s="155">
        <v>14491</v>
      </c>
      <c r="P100" s="155">
        <v>15168</v>
      </c>
      <c r="Q100" s="155">
        <v>15820</v>
      </c>
      <c r="R100" s="155">
        <v>16180</v>
      </c>
      <c r="S100" s="155">
        <v>16292</v>
      </c>
      <c r="T100" s="155">
        <v>15814</v>
      </c>
      <c r="U100" s="155">
        <v>17788</v>
      </c>
      <c r="V100" s="155">
        <v>20058</v>
      </c>
      <c r="W100" s="155">
        <v>21774</v>
      </c>
      <c r="X100" s="155">
        <v>22215</v>
      </c>
      <c r="Y100" s="155">
        <v>23216</v>
      </c>
      <c r="Z100" s="155">
        <v>30627</v>
      </c>
      <c r="AA100" s="155">
        <v>28773</v>
      </c>
      <c r="AB100" s="155">
        <v>27585</v>
      </c>
      <c r="AC100" s="155">
        <v>27324</v>
      </c>
      <c r="AD100" s="155">
        <v>27166</v>
      </c>
      <c r="AE100" s="155">
        <v>27368</v>
      </c>
      <c r="AF100" s="155">
        <v>28511</v>
      </c>
      <c r="AG100" s="155">
        <v>29492</v>
      </c>
      <c r="AH100" s="155">
        <v>29925</v>
      </c>
      <c r="AI100" s="155">
        <v>31568</v>
      </c>
      <c r="AJ100" s="155">
        <v>33399</v>
      </c>
      <c r="AK100" s="155">
        <v>35397</v>
      </c>
      <c r="AL100" s="155">
        <v>37072</v>
      </c>
      <c r="AM100" s="155">
        <v>38702</v>
      </c>
      <c r="AN100" s="155">
        <v>41041</v>
      </c>
      <c r="AO100" s="155">
        <v>43489</v>
      </c>
      <c r="AP100" s="155">
        <v>45435</v>
      </c>
      <c r="AQ100" s="155">
        <v>47424</v>
      </c>
      <c r="AR100" s="155">
        <v>48928</v>
      </c>
      <c r="AS100" s="155">
        <v>49607</v>
      </c>
      <c r="AT100" s="155">
        <v>50515</v>
      </c>
      <c r="AU100" s="155">
        <v>51283</v>
      </c>
      <c r="AV100" s="155">
        <v>52338</v>
      </c>
      <c r="AW100" s="155">
        <v>52154</v>
      </c>
      <c r="AX100" s="155">
        <v>54499</v>
      </c>
      <c r="AY100" s="155">
        <v>53332</v>
      </c>
      <c r="AZ100" s="155">
        <v>52367</v>
      </c>
      <c r="BA100" s="155">
        <v>51439</v>
      </c>
      <c r="BB100" s="155">
        <v>51805</v>
      </c>
      <c r="BC100" s="155">
        <v>51912</v>
      </c>
      <c r="BD100" s="155">
        <v>51856</v>
      </c>
      <c r="BE100" s="155">
        <v>54086</v>
      </c>
      <c r="BF100" s="155">
        <v>59340</v>
      </c>
      <c r="BG100" s="155">
        <v>63290</v>
      </c>
      <c r="BH100" s="155">
        <v>64759</v>
      </c>
      <c r="BI100" s="155">
        <v>65509</v>
      </c>
      <c r="BJ100" s="155">
        <v>67558</v>
      </c>
      <c r="BK100" s="155">
        <v>69088</v>
      </c>
      <c r="BL100" s="155">
        <v>72886</v>
      </c>
      <c r="BM100" s="155">
        <v>75000</v>
      </c>
      <c r="BN100" s="155">
        <v>77796</v>
      </c>
      <c r="BO100" s="155">
        <v>81478</v>
      </c>
      <c r="BP100" s="155">
        <v>82444</v>
      </c>
      <c r="BQ100" s="155">
        <v>85032</v>
      </c>
      <c r="BR100" s="155">
        <v>87390</v>
      </c>
      <c r="BS100" s="155">
        <v>88862</v>
      </c>
      <c r="BT100" s="155">
        <v>88981</v>
      </c>
      <c r="BU100" s="155">
        <v>91261</v>
      </c>
      <c r="BV100" s="155">
        <v>91550</v>
      </c>
      <c r="BW100" s="155">
        <v>92708</v>
      </c>
      <c r="BX100" s="155">
        <v>96445</v>
      </c>
      <c r="BY100" s="155">
        <v>96981</v>
      </c>
      <c r="BZ100" s="155">
        <v>98595</v>
      </c>
      <c r="CA100" s="155">
        <v>98574</v>
      </c>
      <c r="CB100" s="155">
        <v>99313</v>
      </c>
      <c r="CC100" s="155">
        <v>100845</v>
      </c>
      <c r="CD100" s="155">
        <v>102574</v>
      </c>
      <c r="CE100" s="155">
        <v>105281</v>
      </c>
      <c r="CF100" s="155">
        <v>106415</v>
      </c>
      <c r="CG100" s="155">
        <v>108026</v>
      </c>
      <c r="CH100" s="155">
        <v>110878</v>
      </c>
      <c r="CI100" s="155">
        <v>115827</v>
      </c>
      <c r="CJ100" s="155">
        <v>116639</v>
      </c>
      <c r="CK100" s="155">
        <v>119148</v>
      </c>
      <c r="CL100" s="155">
        <v>121968</v>
      </c>
      <c r="CM100" s="155">
        <v>123935</v>
      </c>
      <c r="CN100" s="155">
        <v>123548</v>
      </c>
      <c r="CO100" s="155">
        <v>123450</v>
      </c>
      <c r="CP100" s="155">
        <v>124957</v>
      </c>
      <c r="CQ100" s="155">
        <v>127521</v>
      </c>
      <c r="CR100" s="155">
        <v>127115</v>
      </c>
      <c r="CS100" s="155">
        <v>127053</v>
      </c>
      <c r="CT100" s="155">
        <v>127790</v>
      </c>
      <c r="CU100" s="155">
        <v>128276</v>
      </c>
      <c r="CV100" s="155">
        <v>127427</v>
      </c>
      <c r="CW100" s="155">
        <v>129939</v>
      </c>
      <c r="CX100" s="155">
        <v>127258</v>
      </c>
      <c r="CY100" s="154">
        <v>128729</v>
      </c>
    </row>
    <row r="101" spans="1:103">
      <c r="A101" s="155" t="s">
        <v>1136</v>
      </c>
      <c r="B101" s="154">
        <v>99</v>
      </c>
      <c r="C101" s="155">
        <v>8050</v>
      </c>
      <c r="D101" s="155">
        <v>7482</v>
      </c>
      <c r="E101" s="155">
        <v>7235</v>
      </c>
      <c r="F101" s="155">
        <v>7102</v>
      </c>
      <c r="G101" s="155">
        <v>7024</v>
      </c>
      <c r="H101" s="155">
        <v>7029</v>
      </c>
      <c r="I101" s="155">
        <v>7295</v>
      </c>
      <c r="J101" s="155">
        <v>7689</v>
      </c>
      <c r="K101" s="155">
        <v>7892</v>
      </c>
      <c r="L101" s="155">
        <v>8139</v>
      </c>
      <c r="M101" s="155">
        <v>8363</v>
      </c>
      <c r="N101" s="155">
        <v>8739</v>
      </c>
      <c r="O101" s="155">
        <v>9386</v>
      </c>
      <c r="P101" s="155">
        <v>9899</v>
      </c>
      <c r="Q101" s="155">
        <v>10387</v>
      </c>
      <c r="R101" s="155">
        <v>10854</v>
      </c>
      <c r="S101" s="155">
        <v>11121</v>
      </c>
      <c r="T101" s="155">
        <v>11220</v>
      </c>
      <c r="U101" s="155">
        <v>10914</v>
      </c>
      <c r="V101" s="155">
        <v>12306</v>
      </c>
      <c r="W101" s="155">
        <v>13911</v>
      </c>
      <c r="X101" s="155">
        <v>15137</v>
      </c>
      <c r="Y101" s="155">
        <v>15479</v>
      </c>
      <c r="Z101" s="155">
        <v>16214</v>
      </c>
      <c r="AA101" s="155">
        <v>21438</v>
      </c>
      <c r="AB101" s="155">
        <v>20184</v>
      </c>
      <c r="AC101" s="155">
        <v>19393</v>
      </c>
      <c r="AD101" s="155">
        <v>19252</v>
      </c>
      <c r="AE101" s="155">
        <v>19182</v>
      </c>
      <c r="AF101" s="155">
        <v>19367</v>
      </c>
      <c r="AG101" s="155">
        <v>20220</v>
      </c>
      <c r="AH101" s="155">
        <v>20961</v>
      </c>
      <c r="AI101" s="155">
        <v>21313</v>
      </c>
      <c r="AJ101" s="155">
        <v>22532</v>
      </c>
      <c r="AK101" s="155">
        <v>23890</v>
      </c>
      <c r="AL101" s="155">
        <v>25373</v>
      </c>
      <c r="AM101" s="155">
        <v>26628</v>
      </c>
      <c r="AN101" s="155">
        <v>27858</v>
      </c>
      <c r="AO101" s="155">
        <v>29603</v>
      </c>
      <c r="AP101" s="155">
        <v>31433</v>
      </c>
      <c r="AQ101" s="155">
        <v>32906</v>
      </c>
      <c r="AR101" s="155">
        <v>34416</v>
      </c>
      <c r="AS101" s="155">
        <v>35580</v>
      </c>
      <c r="AT101" s="155">
        <v>36146</v>
      </c>
      <c r="AU101" s="155">
        <v>36882</v>
      </c>
      <c r="AV101" s="155">
        <v>37515</v>
      </c>
      <c r="AW101" s="155">
        <v>38363</v>
      </c>
      <c r="AX101" s="155">
        <v>38304</v>
      </c>
      <c r="AY101" s="155">
        <v>40104</v>
      </c>
      <c r="AZ101" s="155">
        <v>39321</v>
      </c>
      <c r="BA101" s="155">
        <v>38684</v>
      </c>
      <c r="BB101" s="155">
        <v>38071</v>
      </c>
      <c r="BC101" s="155">
        <v>38416</v>
      </c>
      <c r="BD101" s="155">
        <v>38567</v>
      </c>
      <c r="BE101" s="155">
        <v>38598</v>
      </c>
      <c r="BF101" s="155">
        <v>40333</v>
      </c>
      <c r="BG101" s="155">
        <v>44333</v>
      </c>
      <c r="BH101" s="155">
        <v>47370</v>
      </c>
      <c r="BI101" s="155">
        <v>48558</v>
      </c>
      <c r="BJ101" s="155">
        <v>49209</v>
      </c>
      <c r="BK101" s="155">
        <v>50840</v>
      </c>
      <c r="BL101" s="155">
        <v>52084</v>
      </c>
      <c r="BM101" s="155">
        <v>55045</v>
      </c>
      <c r="BN101" s="155">
        <v>56741</v>
      </c>
      <c r="BO101" s="155">
        <v>58961</v>
      </c>
      <c r="BP101" s="155">
        <v>61859</v>
      </c>
      <c r="BQ101" s="155">
        <v>62700</v>
      </c>
      <c r="BR101" s="155">
        <v>64780</v>
      </c>
      <c r="BS101" s="155">
        <v>66689</v>
      </c>
      <c r="BT101" s="155">
        <v>67929</v>
      </c>
      <c r="BU101" s="155">
        <v>68135</v>
      </c>
      <c r="BV101" s="155">
        <v>69999</v>
      </c>
      <c r="BW101" s="155">
        <v>70339</v>
      </c>
      <c r="BX101" s="155">
        <v>71345</v>
      </c>
      <c r="BY101" s="155">
        <v>74344</v>
      </c>
      <c r="BZ101" s="155">
        <v>74879</v>
      </c>
      <c r="CA101" s="155">
        <v>76248</v>
      </c>
      <c r="CB101" s="155">
        <v>76355</v>
      </c>
      <c r="CC101" s="155">
        <v>77051</v>
      </c>
      <c r="CD101" s="155">
        <v>78365</v>
      </c>
      <c r="CE101" s="155">
        <v>79834</v>
      </c>
      <c r="CF101" s="155">
        <v>82073</v>
      </c>
      <c r="CG101" s="155">
        <v>83087</v>
      </c>
      <c r="CH101" s="155">
        <v>84475</v>
      </c>
      <c r="CI101" s="155">
        <v>86839</v>
      </c>
      <c r="CJ101" s="155">
        <v>90854</v>
      </c>
      <c r="CK101" s="155">
        <v>91630</v>
      </c>
      <c r="CL101" s="155">
        <v>93744</v>
      </c>
      <c r="CM101" s="155">
        <v>96107</v>
      </c>
      <c r="CN101" s="155">
        <v>97804</v>
      </c>
      <c r="CO101" s="155">
        <v>97643</v>
      </c>
      <c r="CP101" s="155">
        <v>97710</v>
      </c>
      <c r="CQ101" s="155">
        <v>99049</v>
      </c>
      <c r="CR101" s="155">
        <v>101230</v>
      </c>
      <c r="CS101" s="155">
        <v>101054</v>
      </c>
      <c r="CT101" s="155">
        <v>101152</v>
      </c>
      <c r="CU101" s="155">
        <v>101883</v>
      </c>
      <c r="CV101" s="155">
        <v>102419</v>
      </c>
      <c r="CW101" s="155">
        <v>101886</v>
      </c>
      <c r="CX101" s="155">
        <v>104040</v>
      </c>
      <c r="CY101" s="154">
        <v>102036</v>
      </c>
    </row>
    <row r="102" spans="1:103">
      <c r="A102" s="155" t="s">
        <v>1136</v>
      </c>
      <c r="B102" s="154">
        <v>100</v>
      </c>
      <c r="C102" s="155">
        <v>5486</v>
      </c>
      <c r="D102" s="155">
        <v>5001</v>
      </c>
      <c r="E102" s="155">
        <v>4710</v>
      </c>
      <c r="F102" s="155">
        <v>4553</v>
      </c>
      <c r="G102" s="155">
        <v>4478</v>
      </c>
      <c r="H102" s="155">
        <v>4442</v>
      </c>
      <c r="I102" s="155">
        <v>4463</v>
      </c>
      <c r="J102" s="155">
        <v>4649</v>
      </c>
      <c r="K102" s="155">
        <v>4923</v>
      </c>
      <c r="L102" s="155">
        <v>5075</v>
      </c>
      <c r="M102" s="155">
        <v>5253</v>
      </c>
      <c r="N102" s="155">
        <v>5418</v>
      </c>
      <c r="O102" s="155">
        <v>5680</v>
      </c>
      <c r="P102" s="155">
        <v>6120</v>
      </c>
      <c r="Q102" s="155">
        <v>6474</v>
      </c>
      <c r="R102" s="155">
        <v>6809</v>
      </c>
      <c r="S102" s="155">
        <v>7130</v>
      </c>
      <c r="T102" s="155">
        <v>7318</v>
      </c>
      <c r="U102" s="155">
        <v>7399</v>
      </c>
      <c r="V102" s="155">
        <v>7213</v>
      </c>
      <c r="W102" s="155">
        <v>8152</v>
      </c>
      <c r="X102" s="155">
        <v>9239</v>
      </c>
      <c r="Y102" s="155">
        <v>10079</v>
      </c>
      <c r="Z102" s="155">
        <v>10329</v>
      </c>
      <c r="AA102" s="155">
        <v>10846</v>
      </c>
      <c r="AB102" s="155">
        <v>14374</v>
      </c>
      <c r="AC102" s="155">
        <v>13562</v>
      </c>
      <c r="AD102" s="155">
        <v>13061</v>
      </c>
      <c r="AE102" s="155">
        <v>12995</v>
      </c>
      <c r="AF102" s="155">
        <v>12976</v>
      </c>
      <c r="AG102" s="155">
        <v>13131</v>
      </c>
      <c r="AH102" s="155">
        <v>13740</v>
      </c>
      <c r="AI102" s="155">
        <v>14275</v>
      </c>
      <c r="AJ102" s="155">
        <v>14547</v>
      </c>
      <c r="AK102" s="155">
        <v>15412</v>
      </c>
      <c r="AL102" s="155">
        <v>16377</v>
      </c>
      <c r="AM102" s="155">
        <v>17431</v>
      </c>
      <c r="AN102" s="155">
        <v>18333</v>
      </c>
      <c r="AO102" s="155">
        <v>19220</v>
      </c>
      <c r="AP102" s="155">
        <v>20469</v>
      </c>
      <c r="AQ102" s="155">
        <v>21780</v>
      </c>
      <c r="AR102" s="155">
        <v>22848</v>
      </c>
      <c r="AS102" s="155">
        <v>23947</v>
      </c>
      <c r="AT102" s="155">
        <v>24808</v>
      </c>
      <c r="AU102" s="155">
        <v>25256</v>
      </c>
      <c r="AV102" s="155">
        <v>25823</v>
      </c>
      <c r="AW102" s="155">
        <v>26320</v>
      </c>
      <c r="AX102" s="155">
        <v>26970</v>
      </c>
      <c r="AY102" s="155">
        <v>26983</v>
      </c>
      <c r="AZ102" s="155">
        <v>28309</v>
      </c>
      <c r="BA102" s="155">
        <v>27812</v>
      </c>
      <c r="BB102" s="155">
        <v>27415</v>
      </c>
      <c r="BC102" s="155">
        <v>27034</v>
      </c>
      <c r="BD102" s="155">
        <v>27334</v>
      </c>
      <c r="BE102" s="155">
        <v>27495</v>
      </c>
      <c r="BF102" s="155">
        <v>27570</v>
      </c>
      <c r="BG102" s="155">
        <v>28866</v>
      </c>
      <c r="BH102" s="155">
        <v>31789</v>
      </c>
      <c r="BI102" s="155">
        <v>34033</v>
      </c>
      <c r="BJ102" s="155">
        <v>34951</v>
      </c>
      <c r="BK102" s="155">
        <v>35487</v>
      </c>
      <c r="BL102" s="155">
        <v>36732</v>
      </c>
      <c r="BM102" s="155">
        <v>37700</v>
      </c>
      <c r="BN102" s="155">
        <v>39918</v>
      </c>
      <c r="BO102" s="155">
        <v>41226</v>
      </c>
      <c r="BP102" s="155">
        <v>42916</v>
      </c>
      <c r="BQ102" s="155">
        <v>45108</v>
      </c>
      <c r="BR102" s="155">
        <v>45805</v>
      </c>
      <c r="BS102" s="155">
        <v>47410</v>
      </c>
      <c r="BT102" s="155">
        <v>48893</v>
      </c>
      <c r="BU102" s="155">
        <v>49892</v>
      </c>
      <c r="BV102" s="155">
        <v>50133</v>
      </c>
      <c r="BW102" s="155">
        <v>51595</v>
      </c>
      <c r="BX102" s="155">
        <v>51936</v>
      </c>
      <c r="BY102" s="155">
        <v>52772</v>
      </c>
      <c r="BZ102" s="155">
        <v>55084</v>
      </c>
      <c r="CA102" s="155">
        <v>55576</v>
      </c>
      <c r="CB102" s="155">
        <v>56690</v>
      </c>
      <c r="CC102" s="155">
        <v>56867</v>
      </c>
      <c r="CD102" s="155">
        <v>57482</v>
      </c>
      <c r="CE102" s="155">
        <v>58561</v>
      </c>
      <c r="CF102" s="155">
        <v>59759</v>
      </c>
      <c r="CG102" s="155">
        <v>61537</v>
      </c>
      <c r="CH102" s="155">
        <v>62401</v>
      </c>
      <c r="CI102" s="155">
        <v>63547</v>
      </c>
      <c r="CJ102" s="155">
        <v>65431</v>
      </c>
      <c r="CK102" s="155">
        <v>68567</v>
      </c>
      <c r="CL102" s="155">
        <v>69265</v>
      </c>
      <c r="CM102" s="155">
        <v>70976</v>
      </c>
      <c r="CN102" s="155">
        <v>72881</v>
      </c>
      <c r="CO102" s="155">
        <v>74287</v>
      </c>
      <c r="CP102" s="155">
        <v>74281</v>
      </c>
      <c r="CQ102" s="155">
        <v>74450</v>
      </c>
      <c r="CR102" s="155">
        <v>75588</v>
      </c>
      <c r="CS102" s="155">
        <v>77372</v>
      </c>
      <c r="CT102" s="155">
        <v>77358</v>
      </c>
      <c r="CU102" s="155">
        <v>77553</v>
      </c>
      <c r="CV102" s="155">
        <v>78232</v>
      </c>
      <c r="CW102" s="155">
        <v>78764</v>
      </c>
      <c r="CX102" s="155">
        <v>78473</v>
      </c>
      <c r="CY102" s="154">
        <v>80252</v>
      </c>
    </row>
    <row r="103" spans="1:103">
      <c r="A103" s="155" t="s">
        <v>1136</v>
      </c>
      <c r="B103" s="154">
        <v>101</v>
      </c>
      <c r="C103" s="155">
        <v>3670</v>
      </c>
      <c r="D103" s="155">
        <v>3262</v>
      </c>
      <c r="E103" s="155">
        <v>3013</v>
      </c>
      <c r="F103" s="155">
        <v>2834</v>
      </c>
      <c r="G103" s="155">
        <v>2740</v>
      </c>
      <c r="H103" s="155">
        <v>2699</v>
      </c>
      <c r="I103" s="155">
        <v>2684</v>
      </c>
      <c r="J103" s="155">
        <v>2706</v>
      </c>
      <c r="K103" s="155">
        <v>2830</v>
      </c>
      <c r="L103" s="155">
        <v>3010</v>
      </c>
      <c r="M103" s="155">
        <v>3115</v>
      </c>
      <c r="N103" s="155">
        <v>3238</v>
      </c>
      <c r="O103" s="155">
        <v>3350</v>
      </c>
      <c r="P103" s="155">
        <v>3525</v>
      </c>
      <c r="Q103" s="155">
        <v>3811</v>
      </c>
      <c r="R103" s="155">
        <v>4042</v>
      </c>
      <c r="S103" s="155">
        <v>4262</v>
      </c>
      <c r="T103" s="155">
        <v>4472</v>
      </c>
      <c r="U103" s="155">
        <v>4599</v>
      </c>
      <c r="V103" s="155">
        <v>4660</v>
      </c>
      <c r="W103" s="155">
        <v>4551</v>
      </c>
      <c r="X103" s="155">
        <v>5157</v>
      </c>
      <c r="Y103" s="155">
        <v>5860</v>
      </c>
      <c r="Z103" s="155">
        <v>6407</v>
      </c>
      <c r="AA103" s="155">
        <v>6582</v>
      </c>
      <c r="AB103" s="155">
        <v>6927</v>
      </c>
      <c r="AC103" s="155">
        <v>9202</v>
      </c>
      <c r="AD103" s="155">
        <v>8702</v>
      </c>
      <c r="AE103" s="155">
        <v>8400</v>
      </c>
      <c r="AF103" s="155">
        <v>8378</v>
      </c>
      <c r="AG103" s="155">
        <v>8384</v>
      </c>
      <c r="AH103" s="155">
        <v>8503</v>
      </c>
      <c r="AI103" s="155">
        <v>8918</v>
      </c>
      <c r="AJ103" s="155">
        <v>9286</v>
      </c>
      <c r="AK103" s="155">
        <v>9484</v>
      </c>
      <c r="AL103" s="155">
        <v>10070</v>
      </c>
      <c r="AM103" s="155">
        <v>10726</v>
      </c>
      <c r="AN103" s="155">
        <v>11439</v>
      </c>
      <c r="AO103" s="155">
        <v>12058</v>
      </c>
      <c r="AP103" s="155">
        <v>12668</v>
      </c>
      <c r="AQ103" s="155">
        <v>13522</v>
      </c>
      <c r="AR103" s="155">
        <v>14418</v>
      </c>
      <c r="AS103" s="155">
        <v>15158</v>
      </c>
      <c r="AT103" s="155">
        <v>15922</v>
      </c>
      <c r="AU103" s="155">
        <v>16528</v>
      </c>
      <c r="AV103" s="155">
        <v>16863</v>
      </c>
      <c r="AW103" s="155">
        <v>17277</v>
      </c>
      <c r="AX103" s="155">
        <v>17646</v>
      </c>
      <c r="AY103" s="155">
        <v>18120</v>
      </c>
      <c r="AZ103" s="155">
        <v>18166</v>
      </c>
      <c r="BA103" s="155">
        <v>19098</v>
      </c>
      <c r="BB103" s="155">
        <v>18802</v>
      </c>
      <c r="BC103" s="155">
        <v>18571</v>
      </c>
      <c r="BD103" s="155">
        <v>18350</v>
      </c>
      <c r="BE103" s="155">
        <v>18592</v>
      </c>
      <c r="BF103" s="155">
        <v>18739</v>
      </c>
      <c r="BG103" s="155">
        <v>18827</v>
      </c>
      <c r="BH103" s="155">
        <v>19752</v>
      </c>
      <c r="BI103" s="155">
        <v>21794</v>
      </c>
      <c r="BJ103" s="155">
        <v>23379</v>
      </c>
      <c r="BK103" s="155">
        <v>24057</v>
      </c>
      <c r="BL103" s="155">
        <v>24472</v>
      </c>
      <c r="BM103" s="155">
        <v>25379</v>
      </c>
      <c r="BN103" s="155">
        <v>26099</v>
      </c>
      <c r="BO103" s="155">
        <v>27686</v>
      </c>
      <c r="BP103" s="155">
        <v>28649</v>
      </c>
      <c r="BQ103" s="155">
        <v>29880</v>
      </c>
      <c r="BR103" s="155">
        <v>31465</v>
      </c>
      <c r="BS103" s="155">
        <v>32012</v>
      </c>
      <c r="BT103" s="155">
        <v>33195</v>
      </c>
      <c r="BU103" s="155">
        <v>34297</v>
      </c>
      <c r="BV103" s="155">
        <v>35062</v>
      </c>
      <c r="BW103" s="155">
        <v>35296</v>
      </c>
      <c r="BX103" s="155">
        <v>36391</v>
      </c>
      <c r="BY103" s="155">
        <v>36699</v>
      </c>
      <c r="BZ103" s="155">
        <v>37357</v>
      </c>
      <c r="CA103" s="155">
        <v>39063</v>
      </c>
      <c r="CB103" s="155">
        <v>39483</v>
      </c>
      <c r="CC103" s="155">
        <v>40345</v>
      </c>
      <c r="CD103" s="155">
        <v>40543</v>
      </c>
      <c r="CE103" s="155">
        <v>41054</v>
      </c>
      <c r="CF103" s="155">
        <v>41899</v>
      </c>
      <c r="CG103" s="155">
        <v>42829</v>
      </c>
      <c r="CH103" s="155">
        <v>44180</v>
      </c>
      <c r="CI103" s="155">
        <v>44878</v>
      </c>
      <c r="CJ103" s="155">
        <v>45780</v>
      </c>
      <c r="CK103" s="155">
        <v>47218</v>
      </c>
      <c r="CL103" s="155">
        <v>49564</v>
      </c>
      <c r="CM103" s="155">
        <v>50153</v>
      </c>
      <c r="CN103" s="155">
        <v>51479</v>
      </c>
      <c r="CO103" s="155">
        <v>52949</v>
      </c>
      <c r="CP103" s="155">
        <v>54060</v>
      </c>
      <c r="CQ103" s="155">
        <v>54144</v>
      </c>
      <c r="CR103" s="155">
        <v>54357</v>
      </c>
      <c r="CS103" s="155">
        <v>55278</v>
      </c>
      <c r="CT103" s="155">
        <v>56675</v>
      </c>
      <c r="CU103" s="155">
        <v>56756</v>
      </c>
      <c r="CV103" s="155">
        <v>56991</v>
      </c>
      <c r="CW103" s="155">
        <v>57583</v>
      </c>
      <c r="CX103" s="155">
        <v>58067</v>
      </c>
      <c r="CY103" s="154">
        <v>57944</v>
      </c>
    </row>
    <row r="104" spans="1:103">
      <c r="A104" s="155" t="s">
        <v>1136</v>
      </c>
      <c r="B104" s="154">
        <v>102</v>
      </c>
      <c r="C104" s="155">
        <v>2320</v>
      </c>
      <c r="D104" s="155">
        <v>2087</v>
      </c>
      <c r="E104" s="155">
        <v>1881</v>
      </c>
      <c r="F104" s="155">
        <v>1734</v>
      </c>
      <c r="G104" s="155">
        <v>1627</v>
      </c>
      <c r="H104" s="155">
        <v>1574</v>
      </c>
      <c r="I104" s="155">
        <v>1552</v>
      </c>
      <c r="J104" s="155">
        <v>1546</v>
      </c>
      <c r="K104" s="155">
        <v>1564</v>
      </c>
      <c r="L104" s="155">
        <v>1641</v>
      </c>
      <c r="M104" s="155">
        <v>1753</v>
      </c>
      <c r="N104" s="155">
        <v>1823</v>
      </c>
      <c r="O104" s="155">
        <v>1901</v>
      </c>
      <c r="P104" s="155">
        <v>1974</v>
      </c>
      <c r="Q104" s="155">
        <v>2085</v>
      </c>
      <c r="R104" s="155">
        <v>2261</v>
      </c>
      <c r="S104" s="155">
        <v>2405</v>
      </c>
      <c r="T104" s="155">
        <v>2542</v>
      </c>
      <c r="U104" s="155">
        <v>2672</v>
      </c>
      <c r="V104" s="155">
        <v>2752</v>
      </c>
      <c r="W104" s="155">
        <v>2795</v>
      </c>
      <c r="X104" s="155">
        <v>2737</v>
      </c>
      <c r="Y104" s="155">
        <v>3107</v>
      </c>
      <c r="Z104" s="155">
        <v>3541</v>
      </c>
      <c r="AA104" s="155">
        <v>3880</v>
      </c>
      <c r="AB104" s="155">
        <v>3996</v>
      </c>
      <c r="AC104" s="155">
        <v>4215</v>
      </c>
      <c r="AD104" s="155">
        <v>5611</v>
      </c>
      <c r="AE104" s="155">
        <v>5319</v>
      </c>
      <c r="AF104" s="155">
        <v>5146</v>
      </c>
      <c r="AG104" s="155">
        <v>5144</v>
      </c>
      <c r="AH104" s="155">
        <v>5160</v>
      </c>
      <c r="AI104" s="155">
        <v>5245</v>
      </c>
      <c r="AJ104" s="155">
        <v>5513</v>
      </c>
      <c r="AK104" s="155">
        <v>5754</v>
      </c>
      <c r="AL104" s="155">
        <v>5889</v>
      </c>
      <c r="AM104" s="155">
        <v>6267</v>
      </c>
      <c r="AN104" s="155">
        <v>6691</v>
      </c>
      <c r="AO104" s="155">
        <v>7149</v>
      </c>
      <c r="AP104" s="155">
        <v>7553</v>
      </c>
      <c r="AQ104" s="155">
        <v>7953</v>
      </c>
      <c r="AR104" s="155">
        <v>8507</v>
      </c>
      <c r="AS104" s="155">
        <v>9091</v>
      </c>
      <c r="AT104" s="155">
        <v>9578</v>
      </c>
      <c r="AU104" s="155">
        <v>10083</v>
      </c>
      <c r="AV104" s="155">
        <v>10488</v>
      </c>
      <c r="AW104" s="155">
        <v>10724</v>
      </c>
      <c r="AX104" s="155">
        <v>11010</v>
      </c>
      <c r="AY104" s="155">
        <v>11269</v>
      </c>
      <c r="AZ104" s="155">
        <v>11596</v>
      </c>
      <c r="BA104" s="155">
        <v>11649</v>
      </c>
      <c r="BB104" s="155">
        <v>12272</v>
      </c>
      <c r="BC104" s="155">
        <v>12108</v>
      </c>
      <c r="BD104" s="155">
        <v>11982</v>
      </c>
      <c r="BE104" s="155">
        <v>11864</v>
      </c>
      <c r="BF104" s="155">
        <v>12044</v>
      </c>
      <c r="BG104" s="155">
        <v>12165</v>
      </c>
      <c r="BH104" s="155">
        <v>12248</v>
      </c>
      <c r="BI104" s="155">
        <v>12874</v>
      </c>
      <c r="BJ104" s="155">
        <v>14233</v>
      </c>
      <c r="BK104" s="155">
        <v>15299</v>
      </c>
      <c r="BL104" s="155">
        <v>15773</v>
      </c>
      <c r="BM104" s="155">
        <v>16077</v>
      </c>
      <c r="BN104" s="155">
        <v>16706</v>
      </c>
      <c r="BO104" s="155">
        <v>17213</v>
      </c>
      <c r="BP104" s="155">
        <v>18295</v>
      </c>
      <c r="BQ104" s="155">
        <v>18968</v>
      </c>
      <c r="BR104" s="155">
        <v>19822</v>
      </c>
      <c r="BS104" s="155">
        <v>20912</v>
      </c>
      <c r="BT104" s="155">
        <v>21316</v>
      </c>
      <c r="BU104" s="155">
        <v>22145</v>
      </c>
      <c r="BV104" s="155">
        <v>22924</v>
      </c>
      <c r="BW104" s="155">
        <v>23480</v>
      </c>
      <c r="BX104" s="155">
        <v>23680</v>
      </c>
      <c r="BY104" s="155">
        <v>24461</v>
      </c>
      <c r="BZ104" s="155">
        <v>24714</v>
      </c>
      <c r="CA104" s="155">
        <v>25201</v>
      </c>
      <c r="CB104" s="155">
        <v>26401</v>
      </c>
      <c r="CC104" s="155">
        <v>26734</v>
      </c>
      <c r="CD104" s="155">
        <v>27367</v>
      </c>
      <c r="CE104" s="155">
        <v>27552</v>
      </c>
      <c r="CF104" s="155">
        <v>27949</v>
      </c>
      <c r="CG104" s="155">
        <v>28575</v>
      </c>
      <c r="CH104" s="155">
        <v>29262</v>
      </c>
      <c r="CI104" s="155">
        <v>30239</v>
      </c>
      <c r="CJ104" s="155">
        <v>30770</v>
      </c>
      <c r="CK104" s="155">
        <v>31442</v>
      </c>
      <c r="CL104" s="155">
        <v>32487</v>
      </c>
      <c r="CM104" s="155">
        <v>34161</v>
      </c>
      <c r="CN104" s="155">
        <v>34626</v>
      </c>
      <c r="CO104" s="155">
        <v>35603</v>
      </c>
      <c r="CP104" s="155">
        <v>36683</v>
      </c>
      <c r="CQ104" s="155">
        <v>37516</v>
      </c>
      <c r="CR104" s="155">
        <v>37639</v>
      </c>
      <c r="CS104" s="155">
        <v>37850</v>
      </c>
      <c r="CT104" s="155">
        <v>38557</v>
      </c>
      <c r="CU104" s="155">
        <v>39597</v>
      </c>
      <c r="CV104" s="155">
        <v>39719</v>
      </c>
      <c r="CW104" s="155">
        <v>39951</v>
      </c>
      <c r="CX104" s="155">
        <v>40431</v>
      </c>
      <c r="CY104" s="154">
        <v>40839</v>
      </c>
    </row>
    <row r="105" spans="1:103">
      <c r="A105" s="155" t="s">
        <v>1136</v>
      </c>
      <c r="B105" s="154">
        <v>103</v>
      </c>
      <c r="C105" s="155">
        <v>883</v>
      </c>
      <c r="D105" s="155">
        <v>1259</v>
      </c>
      <c r="E105" s="155">
        <v>1152</v>
      </c>
      <c r="F105" s="155">
        <v>1034</v>
      </c>
      <c r="G105" s="155">
        <v>951</v>
      </c>
      <c r="H105" s="155">
        <v>891</v>
      </c>
      <c r="I105" s="155">
        <v>861</v>
      </c>
      <c r="J105" s="155">
        <v>849</v>
      </c>
      <c r="K105" s="155">
        <v>848</v>
      </c>
      <c r="L105" s="155">
        <v>861</v>
      </c>
      <c r="M105" s="155">
        <v>906</v>
      </c>
      <c r="N105" s="155">
        <v>972</v>
      </c>
      <c r="O105" s="155">
        <v>1014</v>
      </c>
      <c r="P105" s="155">
        <v>1062</v>
      </c>
      <c r="Q105" s="155">
        <v>1106</v>
      </c>
      <c r="R105" s="155">
        <v>1172</v>
      </c>
      <c r="S105" s="155">
        <v>1276</v>
      </c>
      <c r="T105" s="155">
        <v>1361</v>
      </c>
      <c r="U105" s="155">
        <v>1442</v>
      </c>
      <c r="V105" s="155">
        <v>1519</v>
      </c>
      <c r="W105" s="155">
        <v>1567</v>
      </c>
      <c r="X105" s="155">
        <v>1594</v>
      </c>
      <c r="Y105" s="155">
        <v>1565</v>
      </c>
      <c r="Z105" s="155">
        <v>1780</v>
      </c>
      <c r="AA105" s="155">
        <v>2034</v>
      </c>
      <c r="AB105" s="155">
        <v>2234</v>
      </c>
      <c r="AC105" s="155">
        <v>2305</v>
      </c>
      <c r="AD105" s="155">
        <v>2438</v>
      </c>
      <c r="AE105" s="155">
        <v>3252</v>
      </c>
      <c r="AF105" s="155">
        <v>3090</v>
      </c>
      <c r="AG105" s="155">
        <v>2995</v>
      </c>
      <c r="AH105" s="155">
        <v>3002</v>
      </c>
      <c r="AI105" s="155">
        <v>3017</v>
      </c>
      <c r="AJ105" s="155">
        <v>3075</v>
      </c>
      <c r="AK105" s="155">
        <v>3238</v>
      </c>
      <c r="AL105" s="155">
        <v>3388</v>
      </c>
      <c r="AM105" s="155">
        <v>3474</v>
      </c>
      <c r="AN105" s="155">
        <v>3706</v>
      </c>
      <c r="AO105" s="155">
        <v>3965</v>
      </c>
      <c r="AP105" s="155">
        <v>4245</v>
      </c>
      <c r="AQ105" s="155">
        <v>4495</v>
      </c>
      <c r="AR105" s="155">
        <v>4742</v>
      </c>
      <c r="AS105" s="155">
        <v>5084</v>
      </c>
      <c r="AT105" s="155">
        <v>5444</v>
      </c>
      <c r="AU105" s="155">
        <v>5747</v>
      </c>
      <c r="AV105" s="155">
        <v>6064</v>
      </c>
      <c r="AW105" s="155">
        <v>6321</v>
      </c>
      <c r="AX105" s="155">
        <v>6476</v>
      </c>
      <c r="AY105" s="155">
        <v>6661</v>
      </c>
      <c r="AZ105" s="155">
        <v>6833</v>
      </c>
      <c r="BA105" s="155">
        <v>7046</v>
      </c>
      <c r="BB105" s="155">
        <v>7092</v>
      </c>
      <c r="BC105" s="155">
        <v>7487</v>
      </c>
      <c r="BD105" s="155">
        <v>7403</v>
      </c>
      <c r="BE105" s="155">
        <v>7340</v>
      </c>
      <c r="BF105" s="155">
        <v>7282</v>
      </c>
      <c r="BG105" s="155">
        <v>7407</v>
      </c>
      <c r="BH105" s="155">
        <v>7496</v>
      </c>
      <c r="BI105" s="155">
        <v>7563</v>
      </c>
      <c r="BJ105" s="155">
        <v>7965</v>
      </c>
      <c r="BK105" s="155">
        <v>8823</v>
      </c>
      <c r="BL105" s="155">
        <v>9503</v>
      </c>
      <c r="BM105" s="155">
        <v>9817</v>
      </c>
      <c r="BN105" s="155">
        <v>10025</v>
      </c>
      <c r="BO105" s="155">
        <v>10438</v>
      </c>
      <c r="BP105" s="155">
        <v>10775</v>
      </c>
      <c r="BQ105" s="155">
        <v>11474</v>
      </c>
      <c r="BR105" s="155">
        <v>11920</v>
      </c>
      <c r="BS105" s="155">
        <v>12480</v>
      </c>
      <c r="BT105" s="155">
        <v>13192</v>
      </c>
      <c r="BU105" s="155">
        <v>13471</v>
      </c>
      <c r="BV105" s="155">
        <v>14022</v>
      </c>
      <c r="BW105" s="155">
        <v>14542</v>
      </c>
      <c r="BX105" s="155">
        <v>14922</v>
      </c>
      <c r="BY105" s="155">
        <v>15077</v>
      </c>
      <c r="BZ105" s="155">
        <v>15603</v>
      </c>
      <c r="CA105" s="155">
        <v>15795</v>
      </c>
      <c r="CB105" s="155">
        <v>16135</v>
      </c>
      <c r="CC105" s="155">
        <v>16935</v>
      </c>
      <c r="CD105" s="155">
        <v>17180</v>
      </c>
      <c r="CE105" s="155">
        <v>17619</v>
      </c>
      <c r="CF105" s="155">
        <v>17770</v>
      </c>
      <c r="CG105" s="155">
        <v>18059</v>
      </c>
      <c r="CH105" s="155">
        <v>18495</v>
      </c>
      <c r="CI105" s="155">
        <v>18975</v>
      </c>
      <c r="CJ105" s="155">
        <v>19642</v>
      </c>
      <c r="CK105" s="155">
        <v>20022</v>
      </c>
      <c r="CL105" s="155">
        <v>20497</v>
      </c>
      <c r="CM105" s="155">
        <v>21216</v>
      </c>
      <c r="CN105" s="155">
        <v>22348</v>
      </c>
      <c r="CO105" s="155">
        <v>22691</v>
      </c>
      <c r="CP105" s="155">
        <v>23372</v>
      </c>
      <c r="CQ105" s="155">
        <v>24122</v>
      </c>
      <c r="CR105" s="155">
        <v>24711</v>
      </c>
      <c r="CS105" s="155">
        <v>24836</v>
      </c>
      <c r="CT105" s="155">
        <v>25018</v>
      </c>
      <c r="CU105" s="155">
        <v>25528</v>
      </c>
      <c r="CV105" s="155">
        <v>26261</v>
      </c>
      <c r="CW105" s="155">
        <v>26386</v>
      </c>
      <c r="CX105" s="155">
        <v>26585</v>
      </c>
      <c r="CY105" s="154">
        <v>26949</v>
      </c>
    </row>
    <row r="106" spans="1:103">
      <c r="A106" s="155" t="s">
        <v>1136</v>
      </c>
      <c r="B106" s="154">
        <v>104</v>
      </c>
      <c r="C106" s="155">
        <v>480</v>
      </c>
      <c r="D106" s="155">
        <v>458</v>
      </c>
      <c r="E106" s="155">
        <v>665</v>
      </c>
      <c r="F106" s="155">
        <v>606</v>
      </c>
      <c r="G106" s="155">
        <v>541</v>
      </c>
      <c r="H106" s="155">
        <v>497</v>
      </c>
      <c r="I106" s="155">
        <v>464</v>
      </c>
      <c r="J106" s="155">
        <v>448</v>
      </c>
      <c r="K106" s="155">
        <v>441</v>
      </c>
      <c r="L106" s="155">
        <v>442</v>
      </c>
      <c r="M106" s="155">
        <v>450</v>
      </c>
      <c r="N106" s="155">
        <v>476</v>
      </c>
      <c r="O106" s="155">
        <v>512</v>
      </c>
      <c r="P106" s="155">
        <v>536</v>
      </c>
      <c r="Q106" s="155">
        <v>563</v>
      </c>
      <c r="R106" s="155">
        <v>589</v>
      </c>
      <c r="S106" s="155">
        <v>626</v>
      </c>
      <c r="T106" s="155">
        <v>684</v>
      </c>
      <c r="U106" s="155">
        <v>731</v>
      </c>
      <c r="V106" s="155">
        <v>776</v>
      </c>
      <c r="W106" s="155">
        <v>819</v>
      </c>
      <c r="X106" s="155">
        <v>846</v>
      </c>
      <c r="Y106" s="155">
        <v>864</v>
      </c>
      <c r="Z106" s="155">
        <v>849</v>
      </c>
      <c r="AA106" s="155">
        <v>969</v>
      </c>
      <c r="AB106" s="155">
        <v>1109</v>
      </c>
      <c r="AC106" s="155">
        <v>1220</v>
      </c>
      <c r="AD106" s="155">
        <v>1262</v>
      </c>
      <c r="AE106" s="155">
        <v>1338</v>
      </c>
      <c r="AF106" s="155">
        <v>1788</v>
      </c>
      <c r="AG106" s="155">
        <v>1703</v>
      </c>
      <c r="AH106" s="155">
        <v>1654</v>
      </c>
      <c r="AI106" s="155">
        <v>1662</v>
      </c>
      <c r="AJ106" s="155">
        <v>1672</v>
      </c>
      <c r="AK106" s="155">
        <v>1709</v>
      </c>
      <c r="AL106" s="155">
        <v>1804</v>
      </c>
      <c r="AM106" s="155">
        <v>1891</v>
      </c>
      <c r="AN106" s="155">
        <v>1942</v>
      </c>
      <c r="AO106" s="155">
        <v>2077</v>
      </c>
      <c r="AP106" s="155">
        <v>2227</v>
      </c>
      <c r="AQ106" s="155">
        <v>2388</v>
      </c>
      <c r="AR106" s="155">
        <v>2534</v>
      </c>
      <c r="AS106" s="155">
        <v>2679</v>
      </c>
      <c r="AT106" s="155">
        <v>2878</v>
      </c>
      <c r="AU106" s="155">
        <v>3088</v>
      </c>
      <c r="AV106" s="155">
        <v>3267</v>
      </c>
      <c r="AW106" s="155">
        <v>3454</v>
      </c>
      <c r="AX106" s="155">
        <v>3608</v>
      </c>
      <c r="AY106" s="155">
        <v>3703</v>
      </c>
      <c r="AZ106" s="155">
        <v>3816</v>
      </c>
      <c r="BA106" s="155">
        <v>3923</v>
      </c>
      <c r="BB106" s="155">
        <v>4053</v>
      </c>
      <c r="BC106" s="155">
        <v>4087</v>
      </c>
      <c r="BD106" s="155">
        <v>4323</v>
      </c>
      <c r="BE106" s="155">
        <v>4284</v>
      </c>
      <c r="BF106" s="155">
        <v>4255</v>
      </c>
      <c r="BG106" s="155">
        <v>4230</v>
      </c>
      <c r="BH106" s="155">
        <v>4311</v>
      </c>
      <c r="BI106" s="155">
        <v>4372</v>
      </c>
      <c r="BJ106" s="155">
        <v>4419</v>
      </c>
      <c r="BK106" s="155">
        <v>4662</v>
      </c>
      <c r="BL106" s="155">
        <v>5175</v>
      </c>
      <c r="BM106" s="155">
        <v>5585</v>
      </c>
      <c r="BN106" s="155">
        <v>5780</v>
      </c>
      <c r="BO106" s="155">
        <v>5914</v>
      </c>
      <c r="BP106" s="155">
        <v>6168</v>
      </c>
      <c r="BQ106" s="155">
        <v>6380</v>
      </c>
      <c r="BR106" s="155">
        <v>6804</v>
      </c>
      <c r="BS106" s="155">
        <v>7083</v>
      </c>
      <c r="BT106" s="155">
        <v>7430</v>
      </c>
      <c r="BU106" s="155">
        <v>7868</v>
      </c>
      <c r="BV106" s="155">
        <v>8049</v>
      </c>
      <c r="BW106" s="155">
        <v>8393</v>
      </c>
      <c r="BX106" s="155">
        <v>8721</v>
      </c>
      <c r="BY106" s="155">
        <v>8965</v>
      </c>
      <c r="BZ106" s="155">
        <v>9075</v>
      </c>
      <c r="CA106" s="155">
        <v>9409</v>
      </c>
      <c r="CB106" s="155">
        <v>9542</v>
      </c>
      <c r="CC106" s="155">
        <v>9764</v>
      </c>
      <c r="CD106" s="155">
        <v>10267</v>
      </c>
      <c r="CE106" s="155">
        <v>10433</v>
      </c>
      <c r="CF106" s="155">
        <v>10720</v>
      </c>
      <c r="CG106" s="155">
        <v>10832</v>
      </c>
      <c r="CH106" s="155">
        <v>11028</v>
      </c>
      <c r="CI106" s="155">
        <v>11313</v>
      </c>
      <c r="CJ106" s="155">
        <v>11627</v>
      </c>
      <c r="CK106" s="155">
        <v>12055</v>
      </c>
      <c r="CL106" s="155">
        <v>12310</v>
      </c>
      <c r="CM106" s="155">
        <v>12625</v>
      </c>
      <c r="CN106" s="155">
        <v>13089</v>
      </c>
      <c r="CO106" s="155">
        <v>13812</v>
      </c>
      <c r="CP106" s="155">
        <v>14048</v>
      </c>
      <c r="CQ106" s="155">
        <v>14495</v>
      </c>
      <c r="CR106" s="155">
        <v>14986</v>
      </c>
      <c r="CS106" s="155">
        <v>15377</v>
      </c>
      <c r="CT106" s="155">
        <v>15480</v>
      </c>
      <c r="CU106" s="155">
        <v>15620</v>
      </c>
      <c r="CV106" s="155">
        <v>15966</v>
      </c>
      <c r="CW106" s="155">
        <v>16451</v>
      </c>
      <c r="CX106" s="155">
        <v>16557</v>
      </c>
      <c r="CY106" s="154">
        <v>16709</v>
      </c>
    </row>
    <row r="107" spans="1:103">
      <c r="A107" s="155" t="s">
        <v>1136</v>
      </c>
      <c r="B107" s="154" t="s">
        <v>1137</v>
      </c>
      <c r="C107" s="155">
        <v>602</v>
      </c>
      <c r="D107" s="155">
        <v>500</v>
      </c>
      <c r="E107" s="155">
        <v>457</v>
      </c>
      <c r="F107" s="155">
        <v>540</v>
      </c>
      <c r="G107" s="155">
        <v>548</v>
      </c>
      <c r="H107" s="155">
        <v>519</v>
      </c>
      <c r="I107" s="155">
        <v>480</v>
      </c>
      <c r="J107" s="155">
        <v>448</v>
      </c>
      <c r="K107" s="155">
        <v>418</v>
      </c>
      <c r="L107" s="155">
        <v>401</v>
      </c>
      <c r="M107" s="155">
        <v>396</v>
      </c>
      <c r="N107" s="155">
        <v>399</v>
      </c>
      <c r="O107" s="155">
        <v>415</v>
      </c>
      <c r="P107" s="155">
        <v>443</v>
      </c>
      <c r="Q107" s="155">
        <v>470</v>
      </c>
      <c r="R107" s="155">
        <v>497</v>
      </c>
      <c r="S107" s="155">
        <v>525</v>
      </c>
      <c r="T107" s="155">
        <v>558</v>
      </c>
      <c r="U107" s="155">
        <v>602</v>
      </c>
      <c r="V107" s="155">
        <v>648</v>
      </c>
      <c r="W107" s="155">
        <v>693</v>
      </c>
      <c r="X107" s="155">
        <v>741</v>
      </c>
      <c r="Y107" s="155">
        <v>775</v>
      </c>
      <c r="Z107" s="155">
        <v>801</v>
      </c>
      <c r="AA107" s="155">
        <v>807</v>
      </c>
      <c r="AB107" s="155">
        <v>872</v>
      </c>
      <c r="AC107" s="155">
        <v>976</v>
      </c>
      <c r="AD107" s="155">
        <v>1088</v>
      </c>
      <c r="AE107" s="155">
        <v>1161</v>
      </c>
      <c r="AF107" s="155">
        <v>1238</v>
      </c>
      <c r="AG107" s="155">
        <v>1510</v>
      </c>
      <c r="AH107" s="155">
        <v>1599</v>
      </c>
      <c r="AI107" s="155">
        <v>1616</v>
      </c>
      <c r="AJ107" s="155">
        <v>1625</v>
      </c>
      <c r="AK107" s="155">
        <v>1638</v>
      </c>
      <c r="AL107" s="155">
        <v>1664</v>
      </c>
      <c r="AM107" s="155">
        <v>1730</v>
      </c>
      <c r="AN107" s="155">
        <v>1810</v>
      </c>
      <c r="AO107" s="155">
        <v>1879</v>
      </c>
      <c r="AP107" s="155">
        <v>1988</v>
      </c>
      <c r="AQ107" s="155">
        <v>2123</v>
      </c>
      <c r="AR107" s="155">
        <v>2278</v>
      </c>
      <c r="AS107" s="155">
        <v>2434</v>
      </c>
      <c r="AT107" s="155">
        <v>2590</v>
      </c>
      <c r="AU107" s="155">
        <v>2776</v>
      </c>
      <c r="AV107" s="155">
        <v>2982</v>
      </c>
      <c r="AW107" s="155">
        <v>3178</v>
      </c>
      <c r="AX107" s="155">
        <v>3379</v>
      </c>
      <c r="AY107" s="155">
        <v>3562</v>
      </c>
      <c r="AZ107" s="155">
        <v>3705</v>
      </c>
      <c r="BA107" s="155">
        <v>3842</v>
      </c>
      <c r="BB107" s="155">
        <v>3968</v>
      </c>
      <c r="BC107" s="155">
        <v>4104</v>
      </c>
      <c r="BD107" s="155">
        <v>4194</v>
      </c>
      <c r="BE107" s="155">
        <v>4372</v>
      </c>
      <c r="BF107" s="155">
        <v>4445</v>
      </c>
      <c r="BG107" s="155">
        <v>4467</v>
      </c>
      <c r="BH107" s="155">
        <v>4470</v>
      </c>
      <c r="BI107" s="155">
        <v>4521</v>
      </c>
      <c r="BJ107" s="155">
        <v>4585</v>
      </c>
      <c r="BK107" s="155">
        <v>4650</v>
      </c>
      <c r="BL107" s="155">
        <v>4826</v>
      </c>
      <c r="BM107" s="155">
        <v>5205</v>
      </c>
      <c r="BN107" s="155">
        <v>5635</v>
      </c>
      <c r="BO107" s="155">
        <v>5964</v>
      </c>
      <c r="BP107" s="155">
        <v>6211</v>
      </c>
      <c r="BQ107" s="155">
        <v>6477</v>
      </c>
      <c r="BR107" s="155">
        <v>6733</v>
      </c>
      <c r="BS107" s="155">
        <v>7102</v>
      </c>
      <c r="BT107" s="155">
        <v>7451</v>
      </c>
      <c r="BU107" s="155">
        <v>7832</v>
      </c>
      <c r="BV107" s="155">
        <v>8279</v>
      </c>
      <c r="BW107" s="155">
        <v>8616</v>
      </c>
      <c r="BX107" s="155">
        <v>8983</v>
      </c>
      <c r="BY107" s="155">
        <v>9364</v>
      </c>
      <c r="BZ107" s="155">
        <v>9702</v>
      </c>
      <c r="CA107" s="155">
        <v>9943</v>
      </c>
      <c r="CB107" s="155">
        <v>10264</v>
      </c>
      <c r="CC107" s="155">
        <v>10512</v>
      </c>
      <c r="CD107" s="155">
        <v>10776</v>
      </c>
      <c r="CE107" s="155">
        <v>11207</v>
      </c>
      <c r="CF107" s="155">
        <v>11541</v>
      </c>
      <c r="CG107" s="155">
        <v>11886</v>
      </c>
      <c r="CH107" s="155">
        <v>12138</v>
      </c>
      <c r="CI107" s="155">
        <v>12392</v>
      </c>
      <c r="CJ107" s="155">
        <v>12696</v>
      </c>
      <c r="CK107" s="155">
        <v>13052</v>
      </c>
      <c r="CL107" s="155">
        <v>13494</v>
      </c>
      <c r="CM107" s="155">
        <v>13887</v>
      </c>
      <c r="CN107" s="155">
        <v>14289</v>
      </c>
      <c r="CO107" s="155">
        <v>14781</v>
      </c>
      <c r="CP107" s="155">
        <v>15467</v>
      </c>
      <c r="CQ107" s="155">
        <v>15981</v>
      </c>
      <c r="CR107" s="155">
        <v>16521</v>
      </c>
      <c r="CS107" s="155">
        <v>17108</v>
      </c>
      <c r="CT107" s="155">
        <v>17654</v>
      </c>
      <c r="CU107" s="155">
        <v>18010</v>
      </c>
      <c r="CV107" s="155">
        <v>18290</v>
      </c>
      <c r="CW107" s="155">
        <v>18654</v>
      </c>
      <c r="CX107" s="155">
        <v>19148</v>
      </c>
      <c r="CY107" s="154">
        <v>19487</v>
      </c>
    </row>
    <row r="108" spans="1:103">
      <c r="A108" s="155" t="s">
        <v>1136</v>
      </c>
      <c r="B108" s="154" t="s">
        <v>1138</v>
      </c>
      <c r="C108" s="155">
        <v>12</v>
      </c>
      <c r="D108" s="155">
        <v>11</v>
      </c>
      <c r="E108" s="155">
        <v>10</v>
      </c>
      <c r="F108" s="155">
        <v>9</v>
      </c>
      <c r="G108" s="155">
        <v>8</v>
      </c>
      <c r="H108" s="155">
        <v>7</v>
      </c>
      <c r="I108" s="155">
        <v>6</v>
      </c>
      <c r="J108" s="155">
        <v>5</v>
      </c>
      <c r="K108" s="155">
        <v>6</v>
      </c>
      <c r="L108" s="155">
        <v>6</v>
      </c>
      <c r="M108" s="155">
        <v>7</v>
      </c>
      <c r="N108" s="155">
        <v>6</v>
      </c>
      <c r="O108" s="155">
        <v>5</v>
      </c>
      <c r="P108" s="155">
        <v>4</v>
      </c>
      <c r="Q108" s="155">
        <v>4</v>
      </c>
      <c r="R108" s="155">
        <v>4</v>
      </c>
      <c r="S108" s="155">
        <v>4</v>
      </c>
      <c r="T108" s="155">
        <v>4</v>
      </c>
      <c r="U108" s="155">
        <v>5</v>
      </c>
      <c r="V108" s="155">
        <v>6</v>
      </c>
      <c r="W108" s="155">
        <v>7</v>
      </c>
      <c r="X108" s="155">
        <v>7</v>
      </c>
      <c r="Y108" s="155">
        <v>7</v>
      </c>
      <c r="Z108" s="155">
        <v>8</v>
      </c>
      <c r="AA108" s="155">
        <v>8</v>
      </c>
      <c r="AB108" s="155">
        <v>9</v>
      </c>
      <c r="AC108" s="155">
        <v>9</v>
      </c>
      <c r="AD108" s="155">
        <v>9</v>
      </c>
      <c r="AE108" s="155">
        <v>9</v>
      </c>
      <c r="AF108" s="155">
        <v>9</v>
      </c>
      <c r="AG108" s="155">
        <v>11</v>
      </c>
      <c r="AH108" s="155">
        <v>13</v>
      </c>
      <c r="AI108" s="155">
        <v>14</v>
      </c>
      <c r="AJ108" s="155">
        <v>14</v>
      </c>
      <c r="AK108" s="155">
        <v>15</v>
      </c>
      <c r="AL108" s="155">
        <v>20</v>
      </c>
      <c r="AM108" s="155">
        <v>21</v>
      </c>
      <c r="AN108" s="155">
        <v>21</v>
      </c>
      <c r="AO108" s="155">
        <v>23</v>
      </c>
      <c r="AP108" s="155">
        <v>23</v>
      </c>
      <c r="AQ108" s="155">
        <v>23</v>
      </c>
      <c r="AR108" s="155">
        <v>25</v>
      </c>
      <c r="AS108" s="155">
        <v>27</v>
      </c>
      <c r="AT108" s="155">
        <v>28</v>
      </c>
      <c r="AU108" s="155">
        <v>29</v>
      </c>
      <c r="AV108" s="155">
        <v>30</v>
      </c>
      <c r="AW108" s="155">
        <v>33</v>
      </c>
      <c r="AX108" s="155">
        <v>35</v>
      </c>
      <c r="AY108" s="155">
        <v>40</v>
      </c>
      <c r="AZ108" s="155">
        <v>41</v>
      </c>
      <c r="BA108" s="155">
        <v>44</v>
      </c>
      <c r="BB108" s="155">
        <v>47</v>
      </c>
      <c r="BC108" s="155">
        <v>51</v>
      </c>
      <c r="BD108" s="155">
        <v>54</v>
      </c>
      <c r="BE108" s="155">
        <v>55</v>
      </c>
      <c r="BF108" s="155">
        <v>57</v>
      </c>
      <c r="BG108" s="155">
        <v>58</v>
      </c>
      <c r="BH108" s="155">
        <v>61</v>
      </c>
      <c r="BI108" s="155">
        <v>63</v>
      </c>
      <c r="BJ108" s="155">
        <v>68</v>
      </c>
      <c r="BK108" s="155">
        <v>70</v>
      </c>
      <c r="BL108" s="155">
        <v>71</v>
      </c>
      <c r="BM108" s="155">
        <v>71</v>
      </c>
      <c r="BN108" s="155">
        <v>72</v>
      </c>
      <c r="BO108" s="155">
        <v>74</v>
      </c>
      <c r="BP108" s="155">
        <v>75</v>
      </c>
      <c r="BQ108" s="155">
        <v>77</v>
      </c>
      <c r="BR108" s="155">
        <v>85</v>
      </c>
      <c r="BS108" s="155">
        <v>94</v>
      </c>
      <c r="BT108" s="155">
        <v>99</v>
      </c>
      <c r="BU108" s="155">
        <v>101</v>
      </c>
      <c r="BV108" s="155">
        <v>105</v>
      </c>
      <c r="BW108" s="155">
        <v>110</v>
      </c>
      <c r="BX108" s="155">
        <v>118</v>
      </c>
      <c r="BY108" s="155">
        <v>125</v>
      </c>
      <c r="BZ108" s="155">
        <v>133</v>
      </c>
      <c r="CA108" s="155">
        <v>141</v>
      </c>
      <c r="CB108" s="155">
        <v>145</v>
      </c>
      <c r="CC108" s="155">
        <v>153</v>
      </c>
      <c r="CD108" s="155">
        <v>159</v>
      </c>
      <c r="CE108" s="155">
        <v>165</v>
      </c>
      <c r="CF108" s="155">
        <v>169</v>
      </c>
      <c r="CG108" s="155">
        <v>175</v>
      </c>
      <c r="CH108" s="155">
        <v>182</v>
      </c>
      <c r="CI108" s="155">
        <v>187</v>
      </c>
      <c r="CJ108" s="155">
        <v>195</v>
      </c>
      <c r="CK108" s="155">
        <v>203</v>
      </c>
      <c r="CL108" s="155">
        <v>209</v>
      </c>
      <c r="CM108" s="155">
        <v>214</v>
      </c>
      <c r="CN108" s="155">
        <v>219</v>
      </c>
      <c r="CO108" s="155">
        <v>227</v>
      </c>
      <c r="CP108" s="155">
        <v>234</v>
      </c>
      <c r="CQ108" s="155">
        <v>243</v>
      </c>
      <c r="CR108" s="155">
        <v>250</v>
      </c>
      <c r="CS108" s="155">
        <v>256</v>
      </c>
      <c r="CT108" s="155">
        <v>267</v>
      </c>
      <c r="CU108" s="155">
        <v>282</v>
      </c>
      <c r="CV108" s="155">
        <v>292</v>
      </c>
      <c r="CW108" s="155">
        <v>302</v>
      </c>
      <c r="CX108" s="155">
        <v>314</v>
      </c>
      <c r="CY108" s="154">
        <v>327</v>
      </c>
    </row>
    <row r="109" spans="1:103">
      <c r="A109" s="155" t="s">
        <v>1139</v>
      </c>
      <c r="B109" s="154">
        <v>0</v>
      </c>
      <c r="C109" s="155">
        <v>355528</v>
      </c>
      <c r="D109" s="155">
        <v>341029</v>
      </c>
      <c r="E109" s="155">
        <v>342568</v>
      </c>
      <c r="F109" s="155">
        <v>345970</v>
      </c>
      <c r="G109" s="155">
        <v>348245</v>
      </c>
      <c r="H109" s="155">
        <v>349387</v>
      </c>
      <c r="I109" s="155">
        <v>349787</v>
      </c>
      <c r="J109" s="155">
        <v>350132</v>
      </c>
      <c r="K109" s="155">
        <v>350445</v>
      </c>
      <c r="L109" s="155">
        <v>350740</v>
      </c>
      <c r="M109" s="155">
        <v>351037</v>
      </c>
      <c r="N109" s="155">
        <v>351537</v>
      </c>
      <c r="O109" s="155">
        <v>352305</v>
      </c>
      <c r="P109" s="155">
        <v>353173</v>
      </c>
      <c r="Q109" s="155">
        <v>354142</v>
      </c>
      <c r="R109" s="155">
        <v>355266</v>
      </c>
      <c r="S109" s="155">
        <v>356564</v>
      </c>
      <c r="T109" s="155">
        <v>357923</v>
      </c>
      <c r="U109" s="155">
        <v>359202</v>
      </c>
      <c r="V109" s="155">
        <v>360364</v>
      </c>
      <c r="W109" s="155">
        <v>361396</v>
      </c>
      <c r="X109" s="155">
        <v>362080</v>
      </c>
      <c r="Y109" s="155">
        <v>362306</v>
      </c>
      <c r="Z109" s="155">
        <v>362238</v>
      </c>
      <c r="AA109" s="155">
        <v>361952</v>
      </c>
      <c r="AB109" s="155">
        <v>361493</v>
      </c>
      <c r="AC109" s="155">
        <v>360393</v>
      </c>
      <c r="AD109" s="155">
        <v>358568</v>
      </c>
      <c r="AE109" s="155">
        <v>356531</v>
      </c>
      <c r="AF109" s="155">
        <v>354370</v>
      </c>
      <c r="AG109" s="155">
        <v>352183</v>
      </c>
      <c r="AH109" s="155">
        <v>349939</v>
      </c>
      <c r="AI109" s="155">
        <v>347654</v>
      </c>
      <c r="AJ109" s="155">
        <v>345544</v>
      </c>
      <c r="AK109" s="155">
        <v>343729</v>
      </c>
      <c r="AL109" s="155">
        <v>342224</v>
      </c>
      <c r="AM109" s="155">
        <v>340942</v>
      </c>
      <c r="AN109" s="155">
        <v>339882</v>
      </c>
      <c r="AO109" s="155">
        <v>339097</v>
      </c>
      <c r="AP109" s="155">
        <v>338570</v>
      </c>
      <c r="AQ109" s="155">
        <v>338294</v>
      </c>
      <c r="AR109" s="155">
        <v>338157</v>
      </c>
      <c r="AS109" s="155">
        <v>338118</v>
      </c>
      <c r="AT109" s="155">
        <v>338272</v>
      </c>
      <c r="AU109" s="155">
        <v>338577</v>
      </c>
      <c r="AV109" s="155">
        <v>338962</v>
      </c>
      <c r="AW109" s="155">
        <v>339405</v>
      </c>
      <c r="AX109" s="155">
        <v>339850</v>
      </c>
      <c r="AY109" s="155">
        <v>340283</v>
      </c>
      <c r="AZ109" s="155">
        <v>340719</v>
      </c>
      <c r="BA109" s="155">
        <v>341103</v>
      </c>
      <c r="BB109" s="155">
        <v>341419</v>
      </c>
      <c r="BC109" s="155">
        <v>341652</v>
      </c>
      <c r="BD109" s="155">
        <v>341784</v>
      </c>
      <c r="BE109" s="155">
        <v>341805</v>
      </c>
      <c r="BF109" s="155">
        <v>341710</v>
      </c>
      <c r="BG109" s="155">
        <v>341491</v>
      </c>
      <c r="BH109" s="155">
        <v>341143</v>
      </c>
      <c r="BI109" s="155">
        <v>340669</v>
      </c>
      <c r="BJ109" s="155">
        <v>340076</v>
      </c>
      <c r="BK109" s="155">
        <v>339379</v>
      </c>
      <c r="BL109" s="155">
        <v>338597</v>
      </c>
      <c r="BM109" s="155">
        <v>337744</v>
      </c>
      <c r="BN109" s="155">
        <v>336846</v>
      </c>
      <c r="BO109" s="155">
        <v>335928</v>
      </c>
      <c r="BP109" s="155">
        <v>335018</v>
      </c>
      <c r="BQ109" s="155">
        <v>334138</v>
      </c>
      <c r="BR109" s="155">
        <v>333304</v>
      </c>
      <c r="BS109" s="155">
        <v>332531</v>
      </c>
      <c r="BT109" s="155">
        <v>331835</v>
      </c>
      <c r="BU109" s="155">
        <v>331227</v>
      </c>
      <c r="BV109" s="155">
        <v>330716</v>
      </c>
      <c r="BW109" s="155">
        <v>330298</v>
      </c>
      <c r="BX109" s="155">
        <v>329971</v>
      </c>
      <c r="BY109" s="155">
        <v>329733</v>
      </c>
      <c r="BZ109" s="155">
        <v>329574</v>
      </c>
      <c r="CA109" s="155">
        <v>329490</v>
      </c>
      <c r="CB109" s="155">
        <v>329465</v>
      </c>
      <c r="CC109" s="155">
        <v>329485</v>
      </c>
      <c r="CD109" s="155">
        <v>329539</v>
      </c>
      <c r="CE109" s="155">
        <v>329614</v>
      </c>
      <c r="CF109" s="155">
        <v>329696</v>
      </c>
      <c r="CG109" s="155">
        <v>329775</v>
      </c>
      <c r="CH109" s="155">
        <v>329835</v>
      </c>
      <c r="CI109" s="155">
        <v>329873</v>
      </c>
      <c r="CJ109" s="155">
        <v>329877</v>
      </c>
      <c r="CK109" s="155">
        <v>329839</v>
      </c>
      <c r="CL109" s="155">
        <v>329759</v>
      </c>
      <c r="CM109" s="155">
        <v>329629</v>
      </c>
      <c r="CN109" s="155">
        <v>329449</v>
      </c>
      <c r="CO109" s="155">
        <v>329222</v>
      </c>
      <c r="CP109" s="155">
        <v>328947</v>
      </c>
      <c r="CQ109" s="155">
        <v>328630</v>
      </c>
      <c r="CR109" s="155">
        <v>328276</v>
      </c>
      <c r="CS109" s="155">
        <v>327889</v>
      </c>
      <c r="CT109" s="155">
        <v>327478</v>
      </c>
      <c r="CU109" s="155">
        <v>327051</v>
      </c>
      <c r="CV109" s="155">
        <v>326617</v>
      </c>
      <c r="CW109" s="155">
        <v>326180</v>
      </c>
      <c r="CX109" s="155">
        <v>325752</v>
      </c>
      <c r="CY109" s="154">
        <v>325342</v>
      </c>
    </row>
    <row r="110" spans="1:103">
      <c r="A110" s="155" t="s">
        <v>1139</v>
      </c>
      <c r="B110" s="154">
        <v>1</v>
      </c>
      <c r="C110" s="155">
        <v>353653</v>
      </c>
      <c r="D110" s="155">
        <v>360758</v>
      </c>
      <c r="E110" s="155">
        <v>345497</v>
      </c>
      <c r="F110" s="155">
        <v>346563</v>
      </c>
      <c r="G110" s="155">
        <v>349493</v>
      </c>
      <c r="H110" s="155">
        <v>351292</v>
      </c>
      <c r="I110" s="155">
        <v>351962</v>
      </c>
      <c r="J110" s="155">
        <v>352367</v>
      </c>
      <c r="K110" s="155">
        <v>352714</v>
      </c>
      <c r="L110" s="155">
        <v>353030</v>
      </c>
      <c r="M110" s="155">
        <v>353329</v>
      </c>
      <c r="N110" s="155">
        <v>353630</v>
      </c>
      <c r="O110" s="155">
        <v>354131</v>
      </c>
      <c r="P110" s="155">
        <v>354902</v>
      </c>
      <c r="Q110" s="155">
        <v>355773</v>
      </c>
      <c r="R110" s="155">
        <v>356744</v>
      </c>
      <c r="S110" s="155">
        <v>357871</v>
      </c>
      <c r="T110" s="155">
        <v>359169</v>
      </c>
      <c r="U110" s="155">
        <v>360529</v>
      </c>
      <c r="V110" s="155">
        <v>361809</v>
      </c>
      <c r="W110" s="155">
        <v>362973</v>
      </c>
      <c r="X110" s="155">
        <v>364007</v>
      </c>
      <c r="Y110" s="155">
        <v>364692</v>
      </c>
      <c r="Z110" s="155">
        <v>364919</v>
      </c>
      <c r="AA110" s="155">
        <v>364853</v>
      </c>
      <c r="AB110" s="155">
        <v>364568</v>
      </c>
      <c r="AC110" s="155">
        <v>364110</v>
      </c>
      <c r="AD110" s="155">
        <v>363013</v>
      </c>
      <c r="AE110" s="155">
        <v>361189</v>
      </c>
      <c r="AF110" s="155">
        <v>359155</v>
      </c>
      <c r="AG110" s="155">
        <v>356996</v>
      </c>
      <c r="AH110" s="155">
        <v>354811</v>
      </c>
      <c r="AI110" s="155">
        <v>352570</v>
      </c>
      <c r="AJ110" s="155">
        <v>350286</v>
      </c>
      <c r="AK110" s="155">
        <v>348178</v>
      </c>
      <c r="AL110" s="155">
        <v>346366</v>
      </c>
      <c r="AM110" s="155">
        <v>344861</v>
      </c>
      <c r="AN110" s="155">
        <v>343582</v>
      </c>
      <c r="AO110" s="155">
        <v>342524</v>
      </c>
      <c r="AP110" s="155">
        <v>341740</v>
      </c>
      <c r="AQ110" s="155">
        <v>341214</v>
      </c>
      <c r="AR110" s="155">
        <v>340940</v>
      </c>
      <c r="AS110" s="155">
        <v>340803</v>
      </c>
      <c r="AT110" s="155">
        <v>340765</v>
      </c>
      <c r="AU110" s="155">
        <v>340920</v>
      </c>
      <c r="AV110" s="155">
        <v>341226</v>
      </c>
      <c r="AW110" s="155">
        <v>341612</v>
      </c>
      <c r="AX110" s="155">
        <v>342058</v>
      </c>
      <c r="AY110" s="155">
        <v>342503</v>
      </c>
      <c r="AZ110" s="155">
        <v>342936</v>
      </c>
      <c r="BA110" s="155">
        <v>343373</v>
      </c>
      <c r="BB110" s="155">
        <v>343758</v>
      </c>
      <c r="BC110" s="155">
        <v>344076</v>
      </c>
      <c r="BD110" s="155">
        <v>344308</v>
      </c>
      <c r="BE110" s="155">
        <v>344441</v>
      </c>
      <c r="BF110" s="155">
        <v>344463</v>
      </c>
      <c r="BG110" s="155">
        <v>344369</v>
      </c>
      <c r="BH110" s="155">
        <v>344152</v>
      </c>
      <c r="BI110" s="155">
        <v>343805</v>
      </c>
      <c r="BJ110" s="155">
        <v>343332</v>
      </c>
      <c r="BK110" s="155">
        <v>342740</v>
      </c>
      <c r="BL110" s="155">
        <v>342045</v>
      </c>
      <c r="BM110" s="155">
        <v>341265</v>
      </c>
      <c r="BN110" s="155">
        <v>340412</v>
      </c>
      <c r="BO110" s="155">
        <v>339514</v>
      </c>
      <c r="BP110" s="155">
        <v>338599</v>
      </c>
      <c r="BQ110" s="155">
        <v>337689</v>
      </c>
      <c r="BR110" s="155">
        <v>336810</v>
      </c>
      <c r="BS110" s="155">
        <v>335977</v>
      </c>
      <c r="BT110" s="155">
        <v>335205</v>
      </c>
      <c r="BU110" s="155">
        <v>334511</v>
      </c>
      <c r="BV110" s="155">
        <v>333902</v>
      </c>
      <c r="BW110" s="155">
        <v>333391</v>
      </c>
      <c r="BX110" s="155">
        <v>332975</v>
      </c>
      <c r="BY110" s="155">
        <v>332650</v>
      </c>
      <c r="BZ110" s="155">
        <v>332412</v>
      </c>
      <c r="CA110" s="155">
        <v>332254</v>
      </c>
      <c r="CB110" s="155">
        <v>332172</v>
      </c>
      <c r="CC110" s="155">
        <v>332146</v>
      </c>
      <c r="CD110" s="155">
        <v>332167</v>
      </c>
      <c r="CE110" s="155">
        <v>332222</v>
      </c>
      <c r="CF110" s="155">
        <v>332298</v>
      </c>
      <c r="CG110" s="155">
        <v>332381</v>
      </c>
      <c r="CH110" s="155">
        <v>332461</v>
      </c>
      <c r="CI110" s="155">
        <v>332521</v>
      </c>
      <c r="CJ110" s="155">
        <v>332559</v>
      </c>
      <c r="CK110" s="155">
        <v>332563</v>
      </c>
      <c r="CL110" s="155">
        <v>332527</v>
      </c>
      <c r="CM110" s="155">
        <v>332447</v>
      </c>
      <c r="CN110" s="155">
        <v>332318</v>
      </c>
      <c r="CO110" s="155">
        <v>332138</v>
      </c>
      <c r="CP110" s="155">
        <v>331912</v>
      </c>
      <c r="CQ110" s="155">
        <v>331638</v>
      </c>
      <c r="CR110" s="155">
        <v>331321</v>
      </c>
      <c r="CS110" s="155">
        <v>330968</v>
      </c>
      <c r="CT110" s="155">
        <v>330584</v>
      </c>
      <c r="CU110" s="155">
        <v>330173</v>
      </c>
      <c r="CV110" s="155">
        <v>329745</v>
      </c>
      <c r="CW110" s="155">
        <v>329312</v>
      </c>
      <c r="CX110" s="155">
        <v>328876</v>
      </c>
      <c r="CY110" s="154">
        <v>328449</v>
      </c>
    </row>
    <row r="111" spans="1:103">
      <c r="A111" s="155" t="s">
        <v>1139</v>
      </c>
      <c r="B111" s="154">
        <v>2</v>
      </c>
      <c r="C111" s="155">
        <v>366530</v>
      </c>
      <c r="D111" s="155">
        <v>360236</v>
      </c>
      <c r="E111" s="155">
        <v>366313</v>
      </c>
      <c r="F111" s="155">
        <v>350449</v>
      </c>
      <c r="G111" s="155">
        <v>350908</v>
      </c>
      <c r="H111" s="155">
        <v>353231</v>
      </c>
      <c r="I111" s="155">
        <v>354424</v>
      </c>
      <c r="J111" s="155">
        <v>355095</v>
      </c>
      <c r="K111" s="155">
        <v>355500</v>
      </c>
      <c r="L111" s="155">
        <v>355847</v>
      </c>
      <c r="M111" s="155">
        <v>356164</v>
      </c>
      <c r="N111" s="155">
        <v>356464</v>
      </c>
      <c r="O111" s="155">
        <v>356767</v>
      </c>
      <c r="P111" s="155">
        <v>357269</v>
      </c>
      <c r="Q111" s="155">
        <v>358039</v>
      </c>
      <c r="R111" s="155">
        <v>358912</v>
      </c>
      <c r="S111" s="155">
        <v>359883</v>
      </c>
      <c r="T111" s="155">
        <v>361010</v>
      </c>
      <c r="U111" s="155">
        <v>362309</v>
      </c>
      <c r="V111" s="155">
        <v>363669</v>
      </c>
      <c r="W111" s="155">
        <v>364949</v>
      </c>
      <c r="X111" s="155">
        <v>366114</v>
      </c>
      <c r="Y111" s="155">
        <v>367148</v>
      </c>
      <c r="Z111" s="155">
        <v>367833</v>
      </c>
      <c r="AA111" s="155">
        <v>368061</v>
      </c>
      <c r="AB111" s="155">
        <v>367995</v>
      </c>
      <c r="AC111" s="155">
        <v>367711</v>
      </c>
      <c r="AD111" s="155">
        <v>367254</v>
      </c>
      <c r="AE111" s="155">
        <v>366156</v>
      </c>
      <c r="AF111" s="155">
        <v>364333</v>
      </c>
      <c r="AG111" s="155">
        <v>362299</v>
      </c>
      <c r="AH111" s="155">
        <v>360141</v>
      </c>
      <c r="AI111" s="155">
        <v>357955</v>
      </c>
      <c r="AJ111" s="155">
        <v>355716</v>
      </c>
      <c r="AK111" s="155">
        <v>353435</v>
      </c>
      <c r="AL111" s="155">
        <v>351327</v>
      </c>
      <c r="AM111" s="155">
        <v>349515</v>
      </c>
      <c r="AN111" s="155">
        <v>348011</v>
      </c>
      <c r="AO111" s="155">
        <v>346733</v>
      </c>
      <c r="AP111" s="155">
        <v>345675</v>
      </c>
      <c r="AQ111" s="155">
        <v>344890</v>
      </c>
      <c r="AR111" s="155">
        <v>344366</v>
      </c>
      <c r="AS111" s="155">
        <v>344091</v>
      </c>
      <c r="AT111" s="155">
        <v>343954</v>
      </c>
      <c r="AU111" s="155">
        <v>343917</v>
      </c>
      <c r="AV111" s="155">
        <v>344073</v>
      </c>
      <c r="AW111" s="155">
        <v>344379</v>
      </c>
      <c r="AX111" s="155">
        <v>344765</v>
      </c>
      <c r="AY111" s="155">
        <v>345211</v>
      </c>
      <c r="AZ111" s="155">
        <v>345656</v>
      </c>
      <c r="BA111" s="155">
        <v>346090</v>
      </c>
      <c r="BB111" s="155">
        <v>346527</v>
      </c>
      <c r="BC111" s="155">
        <v>346912</v>
      </c>
      <c r="BD111" s="155">
        <v>347231</v>
      </c>
      <c r="BE111" s="155">
        <v>347463</v>
      </c>
      <c r="BF111" s="155">
        <v>347596</v>
      </c>
      <c r="BG111" s="155">
        <v>347619</v>
      </c>
      <c r="BH111" s="155">
        <v>347526</v>
      </c>
      <c r="BI111" s="155">
        <v>347309</v>
      </c>
      <c r="BJ111" s="155">
        <v>346963</v>
      </c>
      <c r="BK111" s="155">
        <v>346489</v>
      </c>
      <c r="BL111" s="155">
        <v>345898</v>
      </c>
      <c r="BM111" s="155">
        <v>345203</v>
      </c>
      <c r="BN111" s="155">
        <v>344423</v>
      </c>
      <c r="BO111" s="155">
        <v>343572</v>
      </c>
      <c r="BP111" s="155">
        <v>342673</v>
      </c>
      <c r="BQ111" s="155">
        <v>341758</v>
      </c>
      <c r="BR111" s="155">
        <v>340849</v>
      </c>
      <c r="BS111" s="155">
        <v>339970</v>
      </c>
      <c r="BT111" s="155">
        <v>339137</v>
      </c>
      <c r="BU111" s="155">
        <v>338366</v>
      </c>
      <c r="BV111" s="155">
        <v>337672</v>
      </c>
      <c r="BW111" s="155">
        <v>337064</v>
      </c>
      <c r="BX111" s="155">
        <v>336552</v>
      </c>
      <c r="BY111" s="155">
        <v>336137</v>
      </c>
      <c r="BZ111" s="155">
        <v>335813</v>
      </c>
      <c r="CA111" s="155">
        <v>335575</v>
      </c>
      <c r="CB111" s="155">
        <v>335417</v>
      </c>
      <c r="CC111" s="155">
        <v>335335</v>
      </c>
      <c r="CD111" s="155">
        <v>335309</v>
      </c>
      <c r="CE111" s="155">
        <v>335330</v>
      </c>
      <c r="CF111" s="155">
        <v>335386</v>
      </c>
      <c r="CG111" s="155">
        <v>335462</v>
      </c>
      <c r="CH111" s="155">
        <v>335545</v>
      </c>
      <c r="CI111" s="155">
        <v>335625</v>
      </c>
      <c r="CJ111" s="155">
        <v>335685</v>
      </c>
      <c r="CK111" s="155">
        <v>335723</v>
      </c>
      <c r="CL111" s="155">
        <v>335728</v>
      </c>
      <c r="CM111" s="155">
        <v>335692</v>
      </c>
      <c r="CN111" s="155">
        <v>335611</v>
      </c>
      <c r="CO111" s="155">
        <v>335483</v>
      </c>
      <c r="CP111" s="155">
        <v>335303</v>
      </c>
      <c r="CQ111" s="155">
        <v>335078</v>
      </c>
      <c r="CR111" s="155">
        <v>334804</v>
      </c>
      <c r="CS111" s="155">
        <v>334487</v>
      </c>
      <c r="CT111" s="155">
        <v>334134</v>
      </c>
      <c r="CU111" s="155">
        <v>333750</v>
      </c>
      <c r="CV111" s="155">
        <v>333339</v>
      </c>
      <c r="CW111" s="155">
        <v>332911</v>
      </c>
      <c r="CX111" s="155">
        <v>332479</v>
      </c>
      <c r="CY111" s="154">
        <v>332043</v>
      </c>
    </row>
    <row r="112" spans="1:103">
      <c r="A112" s="155" t="s">
        <v>1139</v>
      </c>
      <c r="B112" s="154">
        <v>3</v>
      </c>
      <c r="C112" s="155">
        <v>375588</v>
      </c>
      <c r="D112" s="155">
        <v>371843</v>
      </c>
      <c r="E112" s="155">
        <v>364489</v>
      </c>
      <c r="F112" s="155">
        <v>369989</v>
      </c>
      <c r="G112" s="155">
        <v>353551</v>
      </c>
      <c r="H112" s="155">
        <v>353433</v>
      </c>
      <c r="I112" s="155">
        <v>355181</v>
      </c>
      <c r="J112" s="155">
        <v>356375</v>
      </c>
      <c r="K112" s="155">
        <v>357046</v>
      </c>
      <c r="L112" s="155">
        <v>357452</v>
      </c>
      <c r="M112" s="155">
        <v>357800</v>
      </c>
      <c r="N112" s="155">
        <v>358117</v>
      </c>
      <c r="O112" s="155">
        <v>358418</v>
      </c>
      <c r="P112" s="155">
        <v>358721</v>
      </c>
      <c r="Q112" s="155">
        <v>359225</v>
      </c>
      <c r="R112" s="155">
        <v>359995</v>
      </c>
      <c r="S112" s="155">
        <v>360868</v>
      </c>
      <c r="T112" s="155">
        <v>361839</v>
      </c>
      <c r="U112" s="155">
        <v>362966</v>
      </c>
      <c r="V112" s="155">
        <v>364266</v>
      </c>
      <c r="W112" s="155">
        <v>365626</v>
      </c>
      <c r="X112" s="155">
        <v>366907</v>
      </c>
      <c r="Y112" s="155">
        <v>368071</v>
      </c>
      <c r="Z112" s="155">
        <v>369106</v>
      </c>
      <c r="AA112" s="155">
        <v>369791</v>
      </c>
      <c r="AB112" s="155">
        <v>370020</v>
      </c>
      <c r="AC112" s="155">
        <v>369954</v>
      </c>
      <c r="AD112" s="155">
        <v>369670</v>
      </c>
      <c r="AE112" s="155">
        <v>369213</v>
      </c>
      <c r="AF112" s="155">
        <v>368116</v>
      </c>
      <c r="AG112" s="155">
        <v>366292</v>
      </c>
      <c r="AH112" s="155">
        <v>364258</v>
      </c>
      <c r="AI112" s="155">
        <v>362101</v>
      </c>
      <c r="AJ112" s="155">
        <v>359915</v>
      </c>
      <c r="AK112" s="155">
        <v>357677</v>
      </c>
      <c r="AL112" s="155">
        <v>355396</v>
      </c>
      <c r="AM112" s="155">
        <v>353289</v>
      </c>
      <c r="AN112" s="155">
        <v>351478</v>
      </c>
      <c r="AO112" s="155">
        <v>349973</v>
      </c>
      <c r="AP112" s="155">
        <v>348697</v>
      </c>
      <c r="AQ112" s="155">
        <v>347638</v>
      </c>
      <c r="AR112" s="155">
        <v>346853</v>
      </c>
      <c r="AS112" s="155">
        <v>346329</v>
      </c>
      <c r="AT112" s="155">
        <v>346056</v>
      </c>
      <c r="AU112" s="155">
        <v>345919</v>
      </c>
      <c r="AV112" s="155">
        <v>345882</v>
      </c>
      <c r="AW112" s="155">
        <v>346037</v>
      </c>
      <c r="AX112" s="155">
        <v>346344</v>
      </c>
      <c r="AY112" s="155">
        <v>346731</v>
      </c>
      <c r="AZ112" s="155">
        <v>347176</v>
      </c>
      <c r="BA112" s="155">
        <v>347623</v>
      </c>
      <c r="BB112" s="155">
        <v>348056</v>
      </c>
      <c r="BC112" s="155">
        <v>348494</v>
      </c>
      <c r="BD112" s="155">
        <v>348879</v>
      </c>
      <c r="BE112" s="155">
        <v>349198</v>
      </c>
      <c r="BF112" s="155">
        <v>349429</v>
      </c>
      <c r="BG112" s="155">
        <v>349563</v>
      </c>
      <c r="BH112" s="155">
        <v>349587</v>
      </c>
      <c r="BI112" s="155">
        <v>349494</v>
      </c>
      <c r="BJ112" s="155">
        <v>349277</v>
      </c>
      <c r="BK112" s="155">
        <v>348931</v>
      </c>
      <c r="BL112" s="155">
        <v>348456</v>
      </c>
      <c r="BM112" s="155">
        <v>347866</v>
      </c>
      <c r="BN112" s="155">
        <v>347172</v>
      </c>
      <c r="BO112" s="155">
        <v>346391</v>
      </c>
      <c r="BP112" s="155">
        <v>345541</v>
      </c>
      <c r="BQ112" s="155">
        <v>344641</v>
      </c>
      <c r="BR112" s="155">
        <v>343727</v>
      </c>
      <c r="BS112" s="155">
        <v>342819</v>
      </c>
      <c r="BT112" s="155">
        <v>341940</v>
      </c>
      <c r="BU112" s="155">
        <v>341107</v>
      </c>
      <c r="BV112" s="155">
        <v>340335</v>
      </c>
      <c r="BW112" s="155">
        <v>339641</v>
      </c>
      <c r="BX112" s="155">
        <v>339033</v>
      </c>
      <c r="BY112" s="155">
        <v>338521</v>
      </c>
      <c r="BZ112" s="155">
        <v>338108</v>
      </c>
      <c r="CA112" s="155">
        <v>337783</v>
      </c>
      <c r="CB112" s="155">
        <v>337546</v>
      </c>
      <c r="CC112" s="155">
        <v>337388</v>
      </c>
      <c r="CD112" s="155">
        <v>337306</v>
      </c>
      <c r="CE112" s="155">
        <v>337280</v>
      </c>
      <c r="CF112" s="155">
        <v>337302</v>
      </c>
      <c r="CG112" s="155">
        <v>337357</v>
      </c>
      <c r="CH112" s="155">
        <v>337434</v>
      </c>
      <c r="CI112" s="155">
        <v>337517</v>
      </c>
      <c r="CJ112" s="155">
        <v>337597</v>
      </c>
      <c r="CK112" s="155">
        <v>337657</v>
      </c>
      <c r="CL112" s="155">
        <v>337695</v>
      </c>
      <c r="CM112" s="155">
        <v>337700</v>
      </c>
      <c r="CN112" s="155">
        <v>337664</v>
      </c>
      <c r="CO112" s="155">
        <v>337583</v>
      </c>
      <c r="CP112" s="155">
        <v>337456</v>
      </c>
      <c r="CQ112" s="155">
        <v>337276</v>
      </c>
      <c r="CR112" s="155">
        <v>337051</v>
      </c>
      <c r="CS112" s="155">
        <v>336778</v>
      </c>
      <c r="CT112" s="155">
        <v>336461</v>
      </c>
      <c r="CU112" s="155">
        <v>336107</v>
      </c>
      <c r="CV112" s="155">
        <v>335724</v>
      </c>
      <c r="CW112" s="155">
        <v>335312</v>
      </c>
      <c r="CX112" s="155">
        <v>334885</v>
      </c>
      <c r="CY112" s="154">
        <v>334453</v>
      </c>
    </row>
    <row r="113" spans="1:103">
      <c r="A113" s="155" t="s">
        <v>1139</v>
      </c>
      <c r="B113" s="154">
        <v>4</v>
      </c>
      <c r="C113" s="155">
        <v>379946</v>
      </c>
      <c r="D113" s="155">
        <v>380439</v>
      </c>
      <c r="E113" s="155">
        <v>375623</v>
      </c>
      <c r="F113" s="155">
        <v>367704</v>
      </c>
      <c r="G113" s="155">
        <v>372640</v>
      </c>
      <c r="H113" s="155">
        <v>355639</v>
      </c>
      <c r="I113" s="155">
        <v>354959</v>
      </c>
      <c r="J113" s="155">
        <v>356707</v>
      </c>
      <c r="K113" s="155">
        <v>357901</v>
      </c>
      <c r="L113" s="155">
        <v>358573</v>
      </c>
      <c r="M113" s="155">
        <v>358979</v>
      </c>
      <c r="N113" s="155">
        <v>359327</v>
      </c>
      <c r="O113" s="155">
        <v>359645</v>
      </c>
      <c r="P113" s="155">
        <v>359946</v>
      </c>
      <c r="Q113" s="155">
        <v>360250</v>
      </c>
      <c r="R113" s="155">
        <v>360755</v>
      </c>
      <c r="S113" s="155">
        <v>361525</v>
      </c>
      <c r="T113" s="155">
        <v>362398</v>
      </c>
      <c r="U113" s="155">
        <v>363369</v>
      </c>
      <c r="V113" s="155">
        <v>364496</v>
      </c>
      <c r="W113" s="155">
        <v>365797</v>
      </c>
      <c r="X113" s="155">
        <v>367156</v>
      </c>
      <c r="Y113" s="155">
        <v>368438</v>
      </c>
      <c r="Z113" s="155">
        <v>369601</v>
      </c>
      <c r="AA113" s="155">
        <v>370636</v>
      </c>
      <c r="AB113" s="155">
        <v>371322</v>
      </c>
      <c r="AC113" s="155">
        <v>371551</v>
      </c>
      <c r="AD113" s="155">
        <v>371486</v>
      </c>
      <c r="AE113" s="155">
        <v>371201</v>
      </c>
      <c r="AF113" s="155">
        <v>370745</v>
      </c>
      <c r="AG113" s="155">
        <v>369648</v>
      </c>
      <c r="AH113" s="155">
        <v>367825</v>
      </c>
      <c r="AI113" s="155">
        <v>365791</v>
      </c>
      <c r="AJ113" s="155">
        <v>363634</v>
      </c>
      <c r="AK113" s="155">
        <v>361449</v>
      </c>
      <c r="AL113" s="155">
        <v>359212</v>
      </c>
      <c r="AM113" s="155">
        <v>356932</v>
      </c>
      <c r="AN113" s="155">
        <v>354825</v>
      </c>
      <c r="AO113" s="155">
        <v>353013</v>
      </c>
      <c r="AP113" s="155">
        <v>351508</v>
      </c>
      <c r="AQ113" s="155">
        <v>350233</v>
      </c>
      <c r="AR113" s="155">
        <v>349175</v>
      </c>
      <c r="AS113" s="155">
        <v>348390</v>
      </c>
      <c r="AT113" s="155">
        <v>347866</v>
      </c>
      <c r="AU113" s="155">
        <v>347592</v>
      </c>
      <c r="AV113" s="155">
        <v>347455</v>
      </c>
      <c r="AW113" s="155">
        <v>347418</v>
      </c>
      <c r="AX113" s="155">
        <v>347574</v>
      </c>
      <c r="AY113" s="155">
        <v>347880</v>
      </c>
      <c r="AZ113" s="155">
        <v>348269</v>
      </c>
      <c r="BA113" s="155">
        <v>348714</v>
      </c>
      <c r="BB113" s="155">
        <v>349160</v>
      </c>
      <c r="BC113" s="155">
        <v>349593</v>
      </c>
      <c r="BD113" s="155">
        <v>350031</v>
      </c>
      <c r="BE113" s="155">
        <v>350416</v>
      </c>
      <c r="BF113" s="155">
        <v>350735</v>
      </c>
      <c r="BG113" s="155">
        <v>350967</v>
      </c>
      <c r="BH113" s="155">
        <v>351100</v>
      </c>
      <c r="BI113" s="155">
        <v>351126</v>
      </c>
      <c r="BJ113" s="155">
        <v>351033</v>
      </c>
      <c r="BK113" s="155">
        <v>350816</v>
      </c>
      <c r="BL113" s="155">
        <v>350471</v>
      </c>
      <c r="BM113" s="155">
        <v>349995</v>
      </c>
      <c r="BN113" s="155">
        <v>349406</v>
      </c>
      <c r="BO113" s="155">
        <v>348712</v>
      </c>
      <c r="BP113" s="155">
        <v>347930</v>
      </c>
      <c r="BQ113" s="155">
        <v>347082</v>
      </c>
      <c r="BR113" s="155">
        <v>346181</v>
      </c>
      <c r="BS113" s="155">
        <v>345267</v>
      </c>
      <c r="BT113" s="155">
        <v>344359</v>
      </c>
      <c r="BU113" s="155">
        <v>343481</v>
      </c>
      <c r="BV113" s="155">
        <v>342647</v>
      </c>
      <c r="BW113" s="155">
        <v>341875</v>
      </c>
      <c r="BX113" s="155">
        <v>341182</v>
      </c>
      <c r="BY113" s="155">
        <v>340573</v>
      </c>
      <c r="BZ113" s="155">
        <v>340062</v>
      </c>
      <c r="CA113" s="155">
        <v>339649</v>
      </c>
      <c r="CB113" s="155">
        <v>339325</v>
      </c>
      <c r="CC113" s="155">
        <v>339088</v>
      </c>
      <c r="CD113" s="155">
        <v>338929</v>
      </c>
      <c r="CE113" s="155">
        <v>338848</v>
      </c>
      <c r="CF113" s="155">
        <v>338822</v>
      </c>
      <c r="CG113" s="155">
        <v>338844</v>
      </c>
      <c r="CH113" s="155">
        <v>338899</v>
      </c>
      <c r="CI113" s="155">
        <v>338975</v>
      </c>
      <c r="CJ113" s="155">
        <v>339058</v>
      </c>
      <c r="CK113" s="155">
        <v>339140</v>
      </c>
      <c r="CL113" s="155">
        <v>339199</v>
      </c>
      <c r="CM113" s="155">
        <v>339237</v>
      </c>
      <c r="CN113" s="155">
        <v>339242</v>
      </c>
      <c r="CO113" s="155">
        <v>339206</v>
      </c>
      <c r="CP113" s="155">
        <v>339125</v>
      </c>
      <c r="CQ113" s="155">
        <v>338998</v>
      </c>
      <c r="CR113" s="155">
        <v>338818</v>
      </c>
      <c r="CS113" s="155">
        <v>338594</v>
      </c>
      <c r="CT113" s="155">
        <v>338321</v>
      </c>
      <c r="CU113" s="155">
        <v>338004</v>
      </c>
      <c r="CV113" s="155">
        <v>337650</v>
      </c>
      <c r="CW113" s="155">
        <v>337267</v>
      </c>
      <c r="CX113" s="155">
        <v>336856</v>
      </c>
      <c r="CY113" s="154">
        <v>336429</v>
      </c>
    </row>
    <row r="114" spans="1:103">
      <c r="A114" s="155" t="s">
        <v>1139</v>
      </c>
      <c r="B114" s="154">
        <v>5</v>
      </c>
      <c r="C114" s="155">
        <v>389490</v>
      </c>
      <c r="D114" s="155">
        <v>384545</v>
      </c>
      <c r="E114" s="155">
        <v>383997</v>
      </c>
      <c r="F114" s="155">
        <v>378638</v>
      </c>
      <c r="G114" s="155">
        <v>370179</v>
      </c>
      <c r="H114" s="155">
        <v>374570</v>
      </c>
      <c r="I114" s="155">
        <v>357029</v>
      </c>
      <c r="J114" s="155">
        <v>356348</v>
      </c>
      <c r="K114" s="155">
        <v>358097</v>
      </c>
      <c r="L114" s="155">
        <v>359292</v>
      </c>
      <c r="M114" s="155">
        <v>359963</v>
      </c>
      <c r="N114" s="155">
        <v>360371</v>
      </c>
      <c r="O114" s="155">
        <v>360719</v>
      </c>
      <c r="P114" s="155">
        <v>361037</v>
      </c>
      <c r="Q114" s="155">
        <v>361337</v>
      </c>
      <c r="R114" s="155">
        <v>361642</v>
      </c>
      <c r="S114" s="155">
        <v>362148</v>
      </c>
      <c r="T114" s="155">
        <v>362917</v>
      </c>
      <c r="U114" s="155">
        <v>363791</v>
      </c>
      <c r="V114" s="155">
        <v>364762</v>
      </c>
      <c r="W114" s="155">
        <v>365890</v>
      </c>
      <c r="X114" s="155">
        <v>367192</v>
      </c>
      <c r="Y114" s="155">
        <v>368551</v>
      </c>
      <c r="Z114" s="155">
        <v>369832</v>
      </c>
      <c r="AA114" s="155">
        <v>370996</v>
      </c>
      <c r="AB114" s="155">
        <v>372031</v>
      </c>
      <c r="AC114" s="155">
        <v>372717</v>
      </c>
      <c r="AD114" s="155">
        <v>372947</v>
      </c>
      <c r="AE114" s="155">
        <v>372882</v>
      </c>
      <c r="AF114" s="155">
        <v>372597</v>
      </c>
      <c r="AG114" s="155">
        <v>372142</v>
      </c>
      <c r="AH114" s="155">
        <v>371045</v>
      </c>
      <c r="AI114" s="155">
        <v>369222</v>
      </c>
      <c r="AJ114" s="155">
        <v>367187</v>
      </c>
      <c r="AK114" s="155">
        <v>365030</v>
      </c>
      <c r="AL114" s="155">
        <v>362846</v>
      </c>
      <c r="AM114" s="155">
        <v>360609</v>
      </c>
      <c r="AN114" s="155">
        <v>358329</v>
      </c>
      <c r="AO114" s="155">
        <v>356222</v>
      </c>
      <c r="AP114" s="155">
        <v>354411</v>
      </c>
      <c r="AQ114" s="155">
        <v>352907</v>
      </c>
      <c r="AR114" s="155">
        <v>351631</v>
      </c>
      <c r="AS114" s="155">
        <v>350575</v>
      </c>
      <c r="AT114" s="155">
        <v>349789</v>
      </c>
      <c r="AU114" s="155">
        <v>349266</v>
      </c>
      <c r="AV114" s="155">
        <v>348992</v>
      </c>
      <c r="AW114" s="155">
        <v>348855</v>
      </c>
      <c r="AX114" s="155">
        <v>348817</v>
      </c>
      <c r="AY114" s="155">
        <v>348974</v>
      </c>
      <c r="AZ114" s="155">
        <v>349281</v>
      </c>
      <c r="BA114" s="155">
        <v>349670</v>
      </c>
      <c r="BB114" s="155">
        <v>350115</v>
      </c>
      <c r="BC114" s="155">
        <v>350561</v>
      </c>
      <c r="BD114" s="155">
        <v>350994</v>
      </c>
      <c r="BE114" s="155">
        <v>351432</v>
      </c>
      <c r="BF114" s="155">
        <v>351817</v>
      </c>
      <c r="BG114" s="155">
        <v>352136</v>
      </c>
      <c r="BH114" s="155">
        <v>352368</v>
      </c>
      <c r="BI114" s="155">
        <v>352501</v>
      </c>
      <c r="BJ114" s="155">
        <v>352527</v>
      </c>
      <c r="BK114" s="155">
        <v>352435</v>
      </c>
      <c r="BL114" s="155">
        <v>352218</v>
      </c>
      <c r="BM114" s="155">
        <v>351872</v>
      </c>
      <c r="BN114" s="155">
        <v>351397</v>
      </c>
      <c r="BO114" s="155">
        <v>350808</v>
      </c>
      <c r="BP114" s="155">
        <v>350114</v>
      </c>
      <c r="BQ114" s="155">
        <v>349332</v>
      </c>
      <c r="BR114" s="155">
        <v>348484</v>
      </c>
      <c r="BS114" s="155">
        <v>347583</v>
      </c>
      <c r="BT114" s="155">
        <v>346669</v>
      </c>
      <c r="BU114" s="155">
        <v>345761</v>
      </c>
      <c r="BV114" s="155">
        <v>344884</v>
      </c>
      <c r="BW114" s="155">
        <v>344050</v>
      </c>
      <c r="BX114" s="155">
        <v>343277</v>
      </c>
      <c r="BY114" s="155">
        <v>342585</v>
      </c>
      <c r="BZ114" s="155">
        <v>341975</v>
      </c>
      <c r="CA114" s="155">
        <v>341465</v>
      </c>
      <c r="CB114" s="155">
        <v>341051</v>
      </c>
      <c r="CC114" s="155">
        <v>340727</v>
      </c>
      <c r="CD114" s="155">
        <v>340490</v>
      </c>
      <c r="CE114" s="155">
        <v>340332</v>
      </c>
      <c r="CF114" s="155">
        <v>340250</v>
      </c>
      <c r="CG114" s="155">
        <v>340225</v>
      </c>
      <c r="CH114" s="155">
        <v>340247</v>
      </c>
      <c r="CI114" s="155">
        <v>340303</v>
      </c>
      <c r="CJ114" s="155">
        <v>340378</v>
      </c>
      <c r="CK114" s="155">
        <v>340461</v>
      </c>
      <c r="CL114" s="155">
        <v>340543</v>
      </c>
      <c r="CM114" s="155">
        <v>340602</v>
      </c>
      <c r="CN114" s="155">
        <v>340640</v>
      </c>
      <c r="CO114" s="155">
        <v>340645</v>
      </c>
      <c r="CP114" s="155">
        <v>340609</v>
      </c>
      <c r="CQ114" s="155">
        <v>340528</v>
      </c>
      <c r="CR114" s="155">
        <v>340401</v>
      </c>
      <c r="CS114" s="155">
        <v>340221</v>
      </c>
      <c r="CT114" s="155">
        <v>339997</v>
      </c>
      <c r="CU114" s="155">
        <v>339725</v>
      </c>
      <c r="CV114" s="155">
        <v>339408</v>
      </c>
      <c r="CW114" s="155">
        <v>339055</v>
      </c>
      <c r="CX114" s="155">
        <v>338672</v>
      </c>
      <c r="CY114" s="154">
        <v>338261</v>
      </c>
    </row>
    <row r="115" spans="1:103">
      <c r="A115" s="155" t="s">
        <v>1139</v>
      </c>
      <c r="B115" s="154">
        <v>6</v>
      </c>
      <c r="C115" s="155">
        <v>402331</v>
      </c>
      <c r="D115" s="155">
        <v>393978</v>
      </c>
      <c r="E115" s="155">
        <v>388039</v>
      </c>
      <c r="F115" s="155">
        <v>386970</v>
      </c>
      <c r="G115" s="155">
        <v>381088</v>
      </c>
      <c r="H115" s="155">
        <v>372106</v>
      </c>
      <c r="I115" s="155">
        <v>375976</v>
      </c>
      <c r="J115" s="155">
        <v>358436</v>
      </c>
      <c r="K115" s="155">
        <v>357755</v>
      </c>
      <c r="L115" s="155">
        <v>359504</v>
      </c>
      <c r="M115" s="155">
        <v>360700</v>
      </c>
      <c r="N115" s="155">
        <v>361371</v>
      </c>
      <c r="O115" s="155">
        <v>361779</v>
      </c>
      <c r="P115" s="155">
        <v>362128</v>
      </c>
      <c r="Q115" s="155">
        <v>362447</v>
      </c>
      <c r="R115" s="155">
        <v>362747</v>
      </c>
      <c r="S115" s="155">
        <v>363052</v>
      </c>
      <c r="T115" s="155">
        <v>363558</v>
      </c>
      <c r="U115" s="155">
        <v>364327</v>
      </c>
      <c r="V115" s="155">
        <v>365202</v>
      </c>
      <c r="W115" s="155">
        <v>366175</v>
      </c>
      <c r="X115" s="155">
        <v>367303</v>
      </c>
      <c r="Y115" s="155">
        <v>368605</v>
      </c>
      <c r="Z115" s="155">
        <v>369963</v>
      </c>
      <c r="AA115" s="155">
        <v>371244</v>
      </c>
      <c r="AB115" s="155">
        <v>372408</v>
      </c>
      <c r="AC115" s="155">
        <v>373443</v>
      </c>
      <c r="AD115" s="155">
        <v>374128</v>
      </c>
      <c r="AE115" s="155">
        <v>374360</v>
      </c>
      <c r="AF115" s="155">
        <v>374295</v>
      </c>
      <c r="AG115" s="155">
        <v>374010</v>
      </c>
      <c r="AH115" s="155">
        <v>373554</v>
      </c>
      <c r="AI115" s="155">
        <v>372457</v>
      </c>
      <c r="AJ115" s="155">
        <v>370635</v>
      </c>
      <c r="AK115" s="155">
        <v>368601</v>
      </c>
      <c r="AL115" s="155">
        <v>366443</v>
      </c>
      <c r="AM115" s="155">
        <v>364261</v>
      </c>
      <c r="AN115" s="155">
        <v>362024</v>
      </c>
      <c r="AO115" s="155">
        <v>359744</v>
      </c>
      <c r="AP115" s="155">
        <v>357637</v>
      </c>
      <c r="AQ115" s="155">
        <v>355827</v>
      </c>
      <c r="AR115" s="155">
        <v>354323</v>
      </c>
      <c r="AS115" s="155">
        <v>353048</v>
      </c>
      <c r="AT115" s="155">
        <v>351990</v>
      </c>
      <c r="AU115" s="155">
        <v>351204</v>
      </c>
      <c r="AV115" s="155">
        <v>350682</v>
      </c>
      <c r="AW115" s="155">
        <v>350409</v>
      </c>
      <c r="AX115" s="155">
        <v>350271</v>
      </c>
      <c r="AY115" s="155">
        <v>350233</v>
      </c>
      <c r="AZ115" s="155">
        <v>350390</v>
      </c>
      <c r="BA115" s="155">
        <v>350698</v>
      </c>
      <c r="BB115" s="155">
        <v>351088</v>
      </c>
      <c r="BC115" s="155">
        <v>351532</v>
      </c>
      <c r="BD115" s="155">
        <v>351978</v>
      </c>
      <c r="BE115" s="155">
        <v>352411</v>
      </c>
      <c r="BF115" s="155">
        <v>352849</v>
      </c>
      <c r="BG115" s="155">
        <v>353234</v>
      </c>
      <c r="BH115" s="155">
        <v>353553</v>
      </c>
      <c r="BI115" s="155">
        <v>353785</v>
      </c>
      <c r="BJ115" s="155">
        <v>353918</v>
      </c>
      <c r="BK115" s="155">
        <v>353944</v>
      </c>
      <c r="BL115" s="155">
        <v>353852</v>
      </c>
      <c r="BM115" s="155">
        <v>353635</v>
      </c>
      <c r="BN115" s="155">
        <v>353291</v>
      </c>
      <c r="BO115" s="155">
        <v>352815</v>
      </c>
      <c r="BP115" s="155">
        <v>352226</v>
      </c>
      <c r="BQ115" s="155">
        <v>351533</v>
      </c>
      <c r="BR115" s="155">
        <v>350751</v>
      </c>
      <c r="BS115" s="155">
        <v>349902</v>
      </c>
      <c r="BT115" s="155">
        <v>349001</v>
      </c>
      <c r="BU115" s="155">
        <v>348087</v>
      </c>
      <c r="BV115" s="155">
        <v>347180</v>
      </c>
      <c r="BW115" s="155">
        <v>346302</v>
      </c>
      <c r="BX115" s="155">
        <v>345469</v>
      </c>
      <c r="BY115" s="155">
        <v>344696</v>
      </c>
      <c r="BZ115" s="155">
        <v>344004</v>
      </c>
      <c r="CA115" s="155">
        <v>343394</v>
      </c>
      <c r="CB115" s="155">
        <v>342885</v>
      </c>
      <c r="CC115" s="155">
        <v>342470</v>
      </c>
      <c r="CD115" s="155">
        <v>342146</v>
      </c>
      <c r="CE115" s="155">
        <v>341909</v>
      </c>
      <c r="CF115" s="155">
        <v>341751</v>
      </c>
      <c r="CG115" s="155">
        <v>341669</v>
      </c>
      <c r="CH115" s="155">
        <v>341644</v>
      </c>
      <c r="CI115" s="155">
        <v>341666</v>
      </c>
      <c r="CJ115" s="155">
        <v>341722</v>
      </c>
      <c r="CK115" s="155">
        <v>341797</v>
      </c>
      <c r="CL115" s="155">
        <v>341880</v>
      </c>
      <c r="CM115" s="155">
        <v>341962</v>
      </c>
      <c r="CN115" s="155">
        <v>342022</v>
      </c>
      <c r="CO115" s="155">
        <v>342060</v>
      </c>
      <c r="CP115" s="155">
        <v>342065</v>
      </c>
      <c r="CQ115" s="155">
        <v>342029</v>
      </c>
      <c r="CR115" s="155">
        <v>341948</v>
      </c>
      <c r="CS115" s="155">
        <v>341821</v>
      </c>
      <c r="CT115" s="155">
        <v>341641</v>
      </c>
      <c r="CU115" s="155">
        <v>341416</v>
      </c>
      <c r="CV115" s="155">
        <v>341144</v>
      </c>
      <c r="CW115" s="155">
        <v>340828</v>
      </c>
      <c r="CX115" s="155">
        <v>340475</v>
      </c>
      <c r="CY115" s="154">
        <v>340092</v>
      </c>
    </row>
    <row r="116" spans="1:103">
      <c r="A116" s="155" t="s">
        <v>1139</v>
      </c>
      <c r="B116" s="154">
        <v>7</v>
      </c>
      <c r="C116" s="155">
        <v>399091</v>
      </c>
      <c r="D116" s="155">
        <v>406686</v>
      </c>
      <c r="E116" s="155">
        <v>397407</v>
      </c>
      <c r="F116" s="155">
        <v>390976</v>
      </c>
      <c r="G116" s="155">
        <v>389414</v>
      </c>
      <c r="H116" s="155">
        <v>383038</v>
      </c>
      <c r="I116" s="155">
        <v>373565</v>
      </c>
      <c r="J116" s="155">
        <v>377435</v>
      </c>
      <c r="K116" s="155">
        <v>359896</v>
      </c>
      <c r="L116" s="155">
        <v>359216</v>
      </c>
      <c r="M116" s="155">
        <v>360966</v>
      </c>
      <c r="N116" s="155">
        <v>362162</v>
      </c>
      <c r="O116" s="155">
        <v>362833</v>
      </c>
      <c r="P116" s="155">
        <v>363242</v>
      </c>
      <c r="Q116" s="155">
        <v>363590</v>
      </c>
      <c r="R116" s="155">
        <v>363910</v>
      </c>
      <c r="S116" s="155">
        <v>364212</v>
      </c>
      <c r="T116" s="155">
        <v>364516</v>
      </c>
      <c r="U116" s="155">
        <v>365022</v>
      </c>
      <c r="V116" s="155">
        <v>365792</v>
      </c>
      <c r="W116" s="155">
        <v>366666</v>
      </c>
      <c r="X116" s="155">
        <v>367639</v>
      </c>
      <c r="Y116" s="155">
        <v>368767</v>
      </c>
      <c r="Z116" s="155">
        <v>370069</v>
      </c>
      <c r="AA116" s="155">
        <v>371428</v>
      </c>
      <c r="AB116" s="155">
        <v>372709</v>
      </c>
      <c r="AC116" s="155">
        <v>373874</v>
      </c>
      <c r="AD116" s="155">
        <v>374909</v>
      </c>
      <c r="AE116" s="155">
        <v>375593</v>
      </c>
      <c r="AF116" s="155">
        <v>375825</v>
      </c>
      <c r="AG116" s="155">
        <v>375760</v>
      </c>
      <c r="AH116" s="155">
        <v>375475</v>
      </c>
      <c r="AI116" s="155">
        <v>375020</v>
      </c>
      <c r="AJ116" s="155">
        <v>373923</v>
      </c>
      <c r="AK116" s="155">
        <v>372103</v>
      </c>
      <c r="AL116" s="155">
        <v>370069</v>
      </c>
      <c r="AM116" s="155">
        <v>367911</v>
      </c>
      <c r="AN116" s="155">
        <v>365728</v>
      </c>
      <c r="AO116" s="155">
        <v>363492</v>
      </c>
      <c r="AP116" s="155">
        <v>361211</v>
      </c>
      <c r="AQ116" s="155">
        <v>359105</v>
      </c>
      <c r="AR116" s="155">
        <v>357295</v>
      </c>
      <c r="AS116" s="155">
        <v>355792</v>
      </c>
      <c r="AT116" s="155">
        <v>354517</v>
      </c>
      <c r="AU116" s="155">
        <v>353458</v>
      </c>
      <c r="AV116" s="155">
        <v>352673</v>
      </c>
      <c r="AW116" s="155">
        <v>352151</v>
      </c>
      <c r="AX116" s="155">
        <v>351878</v>
      </c>
      <c r="AY116" s="155">
        <v>351740</v>
      </c>
      <c r="AZ116" s="155">
        <v>351702</v>
      </c>
      <c r="BA116" s="155">
        <v>351860</v>
      </c>
      <c r="BB116" s="155">
        <v>352168</v>
      </c>
      <c r="BC116" s="155">
        <v>352558</v>
      </c>
      <c r="BD116" s="155">
        <v>353001</v>
      </c>
      <c r="BE116" s="155">
        <v>353447</v>
      </c>
      <c r="BF116" s="155">
        <v>353880</v>
      </c>
      <c r="BG116" s="155">
        <v>354318</v>
      </c>
      <c r="BH116" s="155">
        <v>354703</v>
      </c>
      <c r="BI116" s="155">
        <v>355022</v>
      </c>
      <c r="BJ116" s="155">
        <v>355255</v>
      </c>
      <c r="BK116" s="155">
        <v>355388</v>
      </c>
      <c r="BL116" s="155">
        <v>355415</v>
      </c>
      <c r="BM116" s="155">
        <v>355323</v>
      </c>
      <c r="BN116" s="155">
        <v>355106</v>
      </c>
      <c r="BO116" s="155">
        <v>354762</v>
      </c>
      <c r="BP116" s="155">
        <v>354286</v>
      </c>
      <c r="BQ116" s="155">
        <v>353697</v>
      </c>
      <c r="BR116" s="155">
        <v>353004</v>
      </c>
      <c r="BS116" s="155">
        <v>352221</v>
      </c>
      <c r="BT116" s="155">
        <v>351372</v>
      </c>
      <c r="BU116" s="155">
        <v>350471</v>
      </c>
      <c r="BV116" s="155">
        <v>349557</v>
      </c>
      <c r="BW116" s="155">
        <v>348651</v>
      </c>
      <c r="BX116" s="155">
        <v>347773</v>
      </c>
      <c r="BY116" s="155">
        <v>346940</v>
      </c>
      <c r="BZ116" s="155">
        <v>346167</v>
      </c>
      <c r="CA116" s="155">
        <v>345476</v>
      </c>
      <c r="CB116" s="155">
        <v>344866</v>
      </c>
      <c r="CC116" s="155">
        <v>344357</v>
      </c>
      <c r="CD116" s="155">
        <v>343941</v>
      </c>
      <c r="CE116" s="155">
        <v>343617</v>
      </c>
      <c r="CF116" s="155">
        <v>343381</v>
      </c>
      <c r="CG116" s="155">
        <v>343223</v>
      </c>
      <c r="CH116" s="155">
        <v>343141</v>
      </c>
      <c r="CI116" s="155">
        <v>343116</v>
      </c>
      <c r="CJ116" s="155">
        <v>343137</v>
      </c>
      <c r="CK116" s="155">
        <v>343195</v>
      </c>
      <c r="CL116" s="155">
        <v>343270</v>
      </c>
      <c r="CM116" s="155">
        <v>343353</v>
      </c>
      <c r="CN116" s="155">
        <v>343435</v>
      </c>
      <c r="CO116" s="155">
        <v>343495</v>
      </c>
      <c r="CP116" s="155">
        <v>343532</v>
      </c>
      <c r="CQ116" s="155">
        <v>343537</v>
      </c>
      <c r="CR116" s="155">
        <v>343502</v>
      </c>
      <c r="CS116" s="155">
        <v>343421</v>
      </c>
      <c r="CT116" s="155">
        <v>343294</v>
      </c>
      <c r="CU116" s="155">
        <v>343114</v>
      </c>
      <c r="CV116" s="155">
        <v>342890</v>
      </c>
      <c r="CW116" s="155">
        <v>342617</v>
      </c>
      <c r="CX116" s="155">
        <v>342302</v>
      </c>
      <c r="CY116" s="154">
        <v>341948</v>
      </c>
    </row>
    <row r="117" spans="1:103">
      <c r="A117" s="155" t="s">
        <v>1139</v>
      </c>
      <c r="B117" s="154">
        <v>8</v>
      </c>
      <c r="C117" s="155">
        <v>401602</v>
      </c>
      <c r="D117" s="155">
        <v>403163</v>
      </c>
      <c r="E117" s="155">
        <v>409917</v>
      </c>
      <c r="F117" s="155">
        <v>400187</v>
      </c>
      <c r="G117" s="155">
        <v>393305</v>
      </c>
      <c r="H117" s="155">
        <v>391291</v>
      </c>
      <c r="I117" s="155">
        <v>384465</v>
      </c>
      <c r="J117" s="155">
        <v>374992</v>
      </c>
      <c r="K117" s="155">
        <v>378864</v>
      </c>
      <c r="L117" s="155">
        <v>361326</v>
      </c>
      <c r="M117" s="155">
        <v>360645</v>
      </c>
      <c r="N117" s="155">
        <v>362397</v>
      </c>
      <c r="O117" s="155">
        <v>363594</v>
      </c>
      <c r="P117" s="155">
        <v>364265</v>
      </c>
      <c r="Q117" s="155">
        <v>364674</v>
      </c>
      <c r="R117" s="155">
        <v>365023</v>
      </c>
      <c r="S117" s="155">
        <v>365343</v>
      </c>
      <c r="T117" s="155">
        <v>365645</v>
      </c>
      <c r="U117" s="155">
        <v>365949</v>
      </c>
      <c r="V117" s="155">
        <v>366455</v>
      </c>
      <c r="W117" s="155">
        <v>367225</v>
      </c>
      <c r="X117" s="155">
        <v>368099</v>
      </c>
      <c r="Y117" s="155">
        <v>369072</v>
      </c>
      <c r="Z117" s="155">
        <v>370200</v>
      </c>
      <c r="AA117" s="155">
        <v>371502</v>
      </c>
      <c r="AB117" s="155">
        <v>372862</v>
      </c>
      <c r="AC117" s="155">
        <v>374142</v>
      </c>
      <c r="AD117" s="155">
        <v>375307</v>
      </c>
      <c r="AE117" s="155">
        <v>376343</v>
      </c>
      <c r="AF117" s="155">
        <v>377027</v>
      </c>
      <c r="AG117" s="155">
        <v>377259</v>
      </c>
      <c r="AH117" s="155">
        <v>377194</v>
      </c>
      <c r="AI117" s="155">
        <v>376909</v>
      </c>
      <c r="AJ117" s="155">
        <v>376455</v>
      </c>
      <c r="AK117" s="155">
        <v>375359</v>
      </c>
      <c r="AL117" s="155">
        <v>373539</v>
      </c>
      <c r="AM117" s="155">
        <v>371505</v>
      </c>
      <c r="AN117" s="155">
        <v>369347</v>
      </c>
      <c r="AO117" s="155">
        <v>367163</v>
      </c>
      <c r="AP117" s="155">
        <v>364928</v>
      </c>
      <c r="AQ117" s="155">
        <v>362648</v>
      </c>
      <c r="AR117" s="155">
        <v>360543</v>
      </c>
      <c r="AS117" s="155">
        <v>358733</v>
      </c>
      <c r="AT117" s="155">
        <v>357229</v>
      </c>
      <c r="AU117" s="155">
        <v>355954</v>
      </c>
      <c r="AV117" s="155">
        <v>354895</v>
      </c>
      <c r="AW117" s="155">
        <v>354110</v>
      </c>
      <c r="AX117" s="155">
        <v>353587</v>
      </c>
      <c r="AY117" s="155">
        <v>353316</v>
      </c>
      <c r="AZ117" s="155">
        <v>353178</v>
      </c>
      <c r="BA117" s="155">
        <v>353140</v>
      </c>
      <c r="BB117" s="155">
        <v>353298</v>
      </c>
      <c r="BC117" s="155">
        <v>353606</v>
      </c>
      <c r="BD117" s="155">
        <v>353995</v>
      </c>
      <c r="BE117" s="155">
        <v>354439</v>
      </c>
      <c r="BF117" s="155">
        <v>354885</v>
      </c>
      <c r="BG117" s="155">
        <v>355318</v>
      </c>
      <c r="BH117" s="155">
        <v>355756</v>
      </c>
      <c r="BI117" s="155">
        <v>356141</v>
      </c>
      <c r="BJ117" s="155">
        <v>356459</v>
      </c>
      <c r="BK117" s="155">
        <v>356694</v>
      </c>
      <c r="BL117" s="155">
        <v>356827</v>
      </c>
      <c r="BM117" s="155">
        <v>356855</v>
      </c>
      <c r="BN117" s="155">
        <v>356762</v>
      </c>
      <c r="BO117" s="155">
        <v>356546</v>
      </c>
      <c r="BP117" s="155">
        <v>356201</v>
      </c>
      <c r="BQ117" s="155">
        <v>355725</v>
      </c>
      <c r="BR117" s="155">
        <v>355136</v>
      </c>
      <c r="BS117" s="155">
        <v>354443</v>
      </c>
      <c r="BT117" s="155">
        <v>353660</v>
      </c>
      <c r="BU117" s="155">
        <v>352811</v>
      </c>
      <c r="BV117" s="155">
        <v>351910</v>
      </c>
      <c r="BW117" s="155">
        <v>350997</v>
      </c>
      <c r="BX117" s="155">
        <v>350091</v>
      </c>
      <c r="BY117" s="155">
        <v>349212</v>
      </c>
      <c r="BZ117" s="155">
        <v>348380</v>
      </c>
      <c r="CA117" s="155">
        <v>347608</v>
      </c>
      <c r="CB117" s="155">
        <v>346916</v>
      </c>
      <c r="CC117" s="155">
        <v>346307</v>
      </c>
      <c r="CD117" s="155">
        <v>345797</v>
      </c>
      <c r="CE117" s="155">
        <v>345381</v>
      </c>
      <c r="CF117" s="155">
        <v>345057</v>
      </c>
      <c r="CG117" s="155">
        <v>344821</v>
      </c>
      <c r="CH117" s="155">
        <v>344663</v>
      </c>
      <c r="CI117" s="155">
        <v>344582</v>
      </c>
      <c r="CJ117" s="155">
        <v>344556</v>
      </c>
      <c r="CK117" s="155">
        <v>344578</v>
      </c>
      <c r="CL117" s="155">
        <v>344637</v>
      </c>
      <c r="CM117" s="155">
        <v>344711</v>
      </c>
      <c r="CN117" s="155">
        <v>344794</v>
      </c>
      <c r="CO117" s="155">
        <v>344876</v>
      </c>
      <c r="CP117" s="155">
        <v>344936</v>
      </c>
      <c r="CQ117" s="155">
        <v>344973</v>
      </c>
      <c r="CR117" s="155">
        <v>344978</v>
      </c>
      <c r="CS117" s="155">
        <v>344943</v>
      </c>
      <c r="CT117" s="155">
        <v>344863</v>
      </c>
      <c r="CU117" s="155">
        <v>344737</v>
      </c>
      <c r="CV117" s="155">
        <v>344556</v>
      </c>
      <c r="CW117" s="155">
        <v>344332</v>
      </c>
      <c r="CX117" s="155">
        <v>344059</v>
      </c>
      <c r="CY117" s="154">
        <v>343744</v>
      </c>
    </row>
    <row r="118" spans="1:103">
      <c r="A118" s="155" t="s">
        <v>1139</v>
      </c>
      <c r="B118" s="154">
        <v>9</v>
      </c>
      <c r="C118" s="155">
        <v>412247</v>
      </c>
      <c r="D118" s="155">
        <v>405402</v>
      </c>
      <c r="E118" s="155">
        <v>406191</v>
      </c>
      <c r="F118" s="155">
        <v>412528</v>
      </c>
      <c r="G118" s="155">
        <v>402381</v>
      </c>
      <c r="H118" s="155">
        <v>395083</v>
      </c>
      <c r="I118" s="155">
        <v>392653</v>
      </c>
      <c r="J118" s="155">
        <v>385828</v>
      </c>
      <c r="K118" s="155">
        <v>376356</v>
      </c>
      <c r="L118" s="155">
        <v>380228</v>
      </c>
      <c r="M118" s="155">
        <v>362691</v>
      </c>
      <c r="N118" s="155">
        <v>362010</v>
      </c>
      <c r="O118" s="155">
        <v>363762</v>
      </c>
      <c r="P118" s="155">
        <v>364961</v>
      </c>
      <c r="Q118" s="155">
        <v>365632</v>
      </c>
      <c r="R118" s="155">
        <v>366041</v>
      </c>
      <c r="S118" s="155">
        <v>366390</v>
      </c>
      <c r="T118" s="155">
        <v>366710</v>
      </c>
      <c r="U118" s="155">
        <v>367014</v>
      </c>
      <c r="V118" s="155">
        <v>367318</v>
      </c>
      <c r="W118" s="155">
        <v>367823</v>
      </c>
      <c r="X118" s="155">
        <v>368593</v>
      </c>
      <c r="Y118" s="155">
        <v>369467</v>
      </c>
      <c r="Z118" s="155">
        <v>370440</v>
      </c>
      <c r="AA118" s="155">
        <v>371568</v>
      </c>
      <c r="AB118" s="155">
        <v>372870</v>
      </c>
      <c r="AC118" s="155">
        <v>374230</v>
      </c>
      <c r="AD118" s="155">
        <v>375510</v>
      </c>
      <c r="AE118" s="155">
        <v>376676</v>
      </c>
      <c r="AF118" s="155">
        <v>377713</v>
      </c>
      <c r="AG118" s="155">
        <v>378396</v>
      </c>
      <c r="AH118" s="155">
        <v>378628</v>
      </c>
      <c r="AI118" s="155">
        <v>378563</v>
      </c>
      <c r="AJ118" s="155">
        <v>378279</v>
      </c>
      <c r="AK118" s="155">
        <v>377825</v>
      </c>
      <c r="AL118" s="155">
        <v>376729</v>
      </c>
      <c r="AM118" s="155">
        <v>374910</v>
      </c>
      <c r="AN118" s="155">
        <v>372877</v>
      </c>
      <c r="AO118" s="155">
        <v>370719</v>
      </c>
      <c r="AP118" s="155">
        <v>368534</v>
      </c>
      <c r="AQ118" s="155">
        <v>366300</v>
      </c>
      <c r="AR118" s="155">
        <v>364019</v>
      </c>
      <c r="AS118" s="155">
        <v>361915</v>
      </c>
      <c r="AT118" s="155">
        <v>360105</v>
      </c>
      <c r="AU118" s="155">
        <v>358602</v>
      </c>
      <c r="AV118" s="155">
        <v>357327</v>
      </c>
      <c r="AW118" s="155">
        <v>356267</v>
      </c>
      <c r="AX118" s="155">
        <v>355483</v>
      </c>
      <c r="AY118" s="155">
        <v>354960</v>
      </c>
      <c r="AZ118" s="155">
        <v>354689</v>
      </c>
      <c r="BA118" s="155">
        <v>354550</v>
      </c>
      <c r="BB118" s="155">
        <v>354513</v>
      </c>
      <c r="BC118" s="155">
        <v>354671</v>
      </c>
      <c r="BD118" s="155">
        <v>354979</v>
      </c>
      <c r="BE118" s="155">
        <v>355368</v>
      </c>
      <c r="BF118" s="155">
        <v>355812</v>
      </c>
      <c r="BG118" s="155">
        <v>356258</v>
      </c>
      <c r="BH118" s="155">
        <v>356692</v>
      </c>
      <c r="BI118" s="155">
        <v>357130</v>
      </c>
      <c r="BJ118" s="155">
        <v>357515</v>
      </c>
      <c r="BK118" s="155">
        <v>357833</v>
      </c>
      <c r="BL118" s="155">
        <v>358068</v>
      </c>
      <c r="BM118" s="155">
        <v>358200</v>
      </c>
      <c r="BN118" s="155">
        <v>358229</v>
      </c>
      <c r="BO118" s="155">
        <v>358136</v>
      </c>
      <c r="BP118" s="155">
        <v>357920</v>
      </c>
      <c r="BQ118" s="155">
        <v>357575</v>
      </c>
      <c r="BR118" s="155">
        <v>357100</v>
      </c>
      <c r="BS118" s="155">
        <v>356511</v>
      </c>
      <c r="BT118" s="155">
        <v>355818</v>
      </c>
      <c r="BU118" s="155">
        <v>355034</v>
      </c>
      <c r="BV118" s="155">
        <v>354186</v>
      </c>
      <c r="BW118" s="155">
        <v>353285</v>
      </c>
      <c r="BX118" s="155">
        <v>352372</v>
      </c>
      <c r="BY118" s="155">
        <v>351466</v>
      </c>
      <c r="BZ118" s="155">
        <v>350588</v>
      </c>
      <c r="CA118" s="155">
        <v>349755</v>
      </c>
      <c r="CB118" s="155">
        <v>348984</v>
      </c>
      <c r="CC118" s="155">
        <v>348291</v>
      </c>
      <c r="CD118" s="155">
        <v>347682</v>
      </c>
      <c r="CE118" s="155">
        <v>347172</v>
      </c>
      <c r="CF118" s="155">
        <v>346757</v>
      </c>
      <c r="CG118" s="155">
        <v>346433</v>
      </c>
      <c r="CH118" s="155">
        <v>346197</v>
      </c>
      <c r="CI118" s="155">
        <v>346039</v>
      </c>
      <c r="CJ118" s="155">
        <v>345958</v>
      </c>
      <c r="CK118" s="155">
        <v>345932</v>
      </c>
      <c r="CL118" s="155">
        <v>345954</v>
      </c>
      <c r="CM118" s="155">
        <v>346013</v>
      </c>
      <c r="CN118" s="155">
        <v>346088</v>
      </c>
      <c r="CO118" s="155">
        <v>346171</v>
      </c>
      <c r="CP118" s="155">
        <v>346253</v>
      </c>
      <c r="CQ118" s="155">
        <v>346312</v>
      </c>
      <c r="CR118" s="155">
        <v>346350</v>
      </c>
      <c r="CS118" s="155">
        <v>346354</v>
      </c>
      <c r="CT118" s="155">
        <v>346319</v>
      </c>
      <c r="CU118" s="155">
        <v>346240</v>
      </c>
      <c r="CV118" s="155">
        <v>346115</v>
      </c>
      <c r="CW118" s="155">
        <v>345933</v>
      </c>
      <c r="CX118" s="155">
        <v>345709</v>
      </c>
      <c r="CY118" s="154">
        <v>345436</v>
      </c>
    </row>
    <row r="119" spans="1:103">
      <c r="A119" s="155" t="s">
        <v>1139</v>
      </c>
      <c r="B119" s="154">
        <v>10</v>
      </c>
      <c r="C119" s="155">
        <v>423337</v>
      </c>
      <c r="D119" s="155">
        <v>415929</v>
      </c>
      <c r="E119" s="155">
        <v>408366</v>
      </c>
      <c r="F119" s="155">
        <v>408762</v>
      </c>
      <c r="G119" s="155">
        <v>414705</v>
      </c>
      <c r="H119" s="155">
        <v>404165</v>
      </c>
      <c r="I119" s="155">
        <v>396475</v>
      </c>
      <c r="J119" s="155">
        <v>394045</v>
      </c>
      <c r="K119" s="155">
        <v>387221</v>
      </c>
      <c r="L119" s="155">
        <v>377750</v>
      </c>
      <c r="M119" s="155">
        <v>381622</v>
      </c>
      <c r="N119" s="155">
        <v>364087</v>
      </c>
      <c r="O119" s="155">
        <v>363407</v>
      </c>
      <c r="P119" s="155">
        <v>365159</v>
      </c>
      <c r="Q119" s="155">
        <v>366358</v>
      </c>
      <c r="R119" s="155">
        <v>367030</v>
      </c>
      <c r="S119" s="155">
        <v>367439</v>
      </c>
      <c r="T119" s="155">
        <v>367788</v>
      </c>
      <c r="U119" s="155">
        <v>368110</v>
      </c>
      <c r="V119" s="155">
        <v>368414</v>
      </c>
      <c r="W119" s="155">
        <v>368718</v>
      </c>
      <c r="X119" s="155">
        <v>369223</v>
      </c>
      <c r="Y119" s="155">
        <v>369993</v>
      </c>
      <c r="Z119" s="155">
        <v>370867</v>
      </c>
      <c r="AA119" s="155">
        <v>371840</v>
      </c>
      <c r="AB119" s="155">
        <v>372968</v>
      </c>
      <c r="AC119" s="155">
        <v>374270</v>
      </c>
      <c r="AD119" s="155">
        <v>375630</v>
      </c>
      <c r="AE119" s="155">
        <v>376910</v>
      </c>
      <c r="AF119" s="155">
        <v>378077</v>
      </c>
      <c r="AG119" s="155">
        <v>379113</v>
      </c>
      <c r="AH119" s="155">
        <v>379796</v>
      </c>
      <c r="AI119" s="155">
        <v>380029</v>
      </c>
      <c r="AJ119" s="155">
        <v>379963</v>
      </c>
      <c r="AK119" s="155">
        <v>379679</v>
      </c>
      <c r="AL119" s="155">
        <v>379226</v>
      </c>
      <c r="AM119" s="155">
        <v>378131</v>
      </c>
      <c r="AN119" s="155">
        <v>376312</v>
      </c>
      <c r="AO119" s="155">
        <v>374279</v>
      </c>
      <c r="AP119" s="155">
        <v>372122</v>
      </c>
      <c r="AQ119" s="155">
        <v>369936</v>
      </c>
      <c r="AR119" s="155">
        <v>367703</v>
      </c>
      <c r="AS119" s="155">
        <v>365423</v>
      </c>
      <c r="AT119" s="155">
        <v>363318</v>
      </c>
      <c r="AU119" s="155">
        <v>361509</v>
      </c>
      <c r="AV119" s="155">
        <v>360005</v>
      </c>
      <c r="AW119" s="155">
        <v>358731</v>
      </c>
      <c r="AX119" s="155">
        <v>357671</v>
      </c>
      <c r="AY119" s="155">
        <v>356888</v>
      </c>
      <c r="AZ119" s="155">
        <v>356364</v>
      </c>
      <c r="BA119" s="155">
        <v>356094</v>
      </c>
      <c r="BB119" s="155">
        <v>355955</v>
      </c>
      <c r="BC119" s="155">
        <v>355918</v>
      </c>
      <c r="BD119" s="155">
        <v>356075</v>
      </c>
      <c r="BE119" s="155">
        <v>356384</v>
      </c>
      <c r="BF119" s="155">
        <v>356773</v>
      </c>
      <c r="BG119" s="155">
        <v>357217</v>
      </c>
      <c r="BH119" s="155">
        <v>357663</v>
      </c>
      <c r="BI119" s="155">
        <v>358097</v>
      </c>
      <c r="BJ119" s="155">
        <v>358535</v>
      </c>
      <c r="BK119" s="155">
        <v>358920</v>
      </c>
      <c r="BL119" s="155">
        <v>359238</v>
      </c>
      <c r="BM119" s="155">
        <v>359473</v>
      </c>
      <c r="BN119" s="155">
        <v>359605</v>
      </c>
      <c r="BO119" s="155">
        <v>359634</v>
      </c>
      <c r="BP119" s="155">
        <v>359541</v>
      </c>
      <c r="BQ119" s="155">
        <v>359325</v>
      </c>
      <c r="BR119" s="155">
        <v>358980</v>
      </c>
      <c r="BS119" s="155">
        <v>358505</v>
      </c>
      <c r="BT119" s="155">
        <v>357917</v>
      </c>
      <c r="BU119" s="155">
        <v>357225</v>
      </c>
      <c r="BV119" s="155">
        <v>356440</v>
      </c>
      <c r="BW119" s="155">
        <v>355592</v>
      </c>
      <c r="BX119" s="155">
        <v>354692</v>
      </c>
      <c r="BY119" s="155">
        <v>353778</v>
      </c>
      <c r="BZ119" s="155">
        <v>352873</v>
      </c>
      <c r="CA119" s="155">
        <v>351994</v>
      </c>
      <c r="CB119" s="155">
        <v>351161</v>
      </c>
      <c r="CC119" s="155">
        <v>350390</v>
      </c>
      <c r="CD119" s="155">
        <v>349698</v>
      </c>
      <c r="CE119" s="155">
        <v>349090</v>
      </c>
      <c r="CF119" s="155">
        <v>348580</v>
      </c>
      <c r="CG119" s="155">
        <v>348165</v>
      </c>
      <c r="CH119" s="155">
        <v>347841</v>
      </c>
      <c r="CI119" s="155">
        <v>347605</v>
      </c>
      <c r="CJ119" s="155">
        <v>347447</v>
      </c>
      <c r="CK119" s="155">
        <v>347365</v>
      </c>
      <c r="CL119" s="155">
        <v>347340</v>
      </c>
      <c r="CM119" s="155">
        <v>347362</v>
      </c>
      <c r="CN119" s="155">
        <v>347421</v>
      </c>
      <c r="CO119" s="155">
        <v>347496</v>
      </c>
      <c r="CP119" s="155">
        <v>347579</v>
      </c>
      <c r="CQ119" s="155">
        <v>347660</v>
      </c>
      <c r="CR119" s="155">
        <v>347719</v>
      </c>
      <c r="CS119" s="155">
        <v>347757</v>
      </c>
      <c r="CT119" s="155">
        <v>347763</v>
      </c>
      <c r="CU119" s="155">
        <v>347728</v>
      </c>
      <c r="CV119" s="155">
        <v>347649</v>
      </c>
      <c r="CW119" s="155">
        <v>347523</v>
      </c>
      <c r="CX119" s="155">
        <v>347341</v>
      </c>
      <c r="CY119" s="154">
        <v>347117</v>
      </c>
    </row>
    <row r="120" spans="1:103">
      <c r="A120" s="155" t="s">
        <v>1139</v>
      </c>
      <c r="B120" s="154">
        <v>11</v>
      </c>
      <c r="C120" s="155">
        <v>425206</v>
      </c>
      <c r="D120" s="155">
        <v>426936</v>
      </c>
      <c r="E120" s="155">
        <v>418861</v>
      </c>
      <c r="F120" s="155">
        <v>410927</v>
      </c>
      <c r="G120" s="155">
        <v>410951</v>
      </c>
      <c r="H120" s="155">
        <v>416522</v>
      </c>
      <c r="I120" s="155">
        <v>405613</v>
      </c>
      <c r="J120" s="155">
        <v>397924</v>
      </c>
      <c r="K120" s="155">
        <v>395496</v>
      </c>
      <c r="L120" s="155">
        <v>388672</v>
      </c>
      <c r="M120" s="155">
        <v>379203</v>
      </c>
      <c r="N120" s="155">
        <v>383075</v>
      </c>
      <c r="O120" s="155">
        <v>365542</v>
      </c>
      <c r="P120" s="155">
        <v>364861</v>
      </c>
      <c r="Q120" s="155">
        <v>366614</v>
      </c>
      <c r="R120" s="155">
        <v>367814</v>
      </c>
      <c r="S120" s="155">
        <v>368486</v>
      </c>
      <c r="T120" s="155">
        <v>368894</v>
      </c>
      <c r="U120" s="155">
        <v>369244</v>
      </c>
      <c r="V120" s="155">
        <v>369565</v>
      </c>
      <c r="W120" s="155">
        <v>369870</v>
      </c>
      <c r="X120" s="155">
        <v>370174</v>
      </c>
      <c r="Y120" s="155">
        <v>370679</v>
      </c>
      <c r="Z120" s="155">
        <v>371449</v>
      </c>
      <c r="AA120" s="155">
        <v>372324</v>
      </c>
      <c r="AB120" s="155">
        <v>373296</v>
      </c>
      <c r="AC120" s="155">
        <v>374426</v>
      </c>
      <c r="AD120" s="155">
        <v>375728</v>
      </c>
      <c r="AE120" s="155">
        <v>377087</v>
      </c>
      <c r="AF120" s="155">
        <v>378369</v>
      </c>
      <c r="AG120" s="155">
        <v>379536</v>
      </c>
      <c r="AH120" s="155">
        <v>380571</v>
      </c>
      <c r="AI120" s="155">
        <v>381254</v>
      </c>
      <c r="AJ120" s="155">
        <v>381488</v>
      </c>
      <c r="AK120" s="155">
        <v>381421</v>
      </c>
      <c r="AL120" s="155">
        <v>381138</v>
      </c>
      <c r="AM120" s="155">
        <v>380685</v>
      </c>
      <c r="AN120" s="155">
        <v>379591</v>
      </c>
      <c r="AO120" s="155">
        <v>377772</v>
      </c>
      <c r="AP120" s="155">
        <v>375738</v>
      </c>
      <c r="AQ120" s="155">
        <v>373582</v>
      </c>
      <c r="AR120" s="155">
        <v>371395</v>
      </c>
      <c r="AS120" s="155">
        <v>369163</v>
      </c>
      <c r="AT120" s="155">
        <v>366883</v>
      </c>
      <c r="AU120" s="155">
        <v>364780</v>
      </c>
      <c r="AV120" s="155">
        <v>362971</v>
      </c>
      <c r="AW120" s="155">
        <v>361467</v>
      </c>
      <c r="AX120" s="155">
        <v>360193</v>
      </c>
      <c r="AY120" s="155">
        <v>359133</v>
      </c>
      <c r="AZ120" s="155">
        <v>358350</v>
      </c>
      <c r="BA120" s="155">
        <v>357826</v>
      </c>
      <c r="BB120" s="155">
        <v>357556</v>
      </c>
      <c r="BC120" s="155">
        <v>357417</v>
      </c>
      <c r="BD120" s="155">
        <v>357380</v>
      </c>
      <c r="BE120" s="155">
        <v>357537</v>
      </c>
      <c r="BF120" s="155">
        <v>357846</v>
      </c>
      <c r="BG120" s="155">
        <v>358235</v>
      </c>
      <c r="BH120" s="155">
        <v>358681</v>
      </c>
      <c r="BI120" s="155">
        <v>359127</v>
      </c>
      <c r="BJ120" s="155">
        <v>359561</v>
      </c>
      <c r="BK120" s="155">
        <v>359999</v>
      </c>
      <c r="BL120" s="155">
        <v>360384</v>
      </c>
      <c r="BM120" s="155">
        <v>360702</v>
      </c>
      <c r="BN120" s="155">
        <v>360937</v>
      </c>
      <c r="BO120" s="155">
        <v>361068</v>
      </c>
      <c r="BP120" s="155">
        <v>361098</v>
      </c>
      <c r="BQ120" s="155">
        <v>361005</v>
      </c>
      <c r="BR120" s="155">
        <v>360789</v>
      </c>
      <c r="BS120" s="155">
        <v>360445</v>
      </c>
      <c r="BT120" s="155">
        <v>359969</v>
      </c>
      <c r="BU120" s="155">
        <v>359382</v>
      </c>
      <c r="BV120" s="155">
        <v>358689</v>
      </c>
      <c r="BW120" s="155">
        <v>357904</v>
      </c>
      <c r="BX120" s="155">
        <v>357057</v>
      </c>
      <c r="BY120" s="155">
        <v>356156</v>
      </c>
      <c r="BZ120" s="155">
        <v>355242</v>
      </c>
      <c r="CA120" s="155">
        <v>354337</v>
      </c>
      <c r="CB120" s="155">
        <v>353458</v>
      </c>
      <c r="CC120" s="155">
        <v>352626</v>
      </c>
      <c r="CD120" s="155">
        <v>351855</v>
      </c>
      <c r="CE120" s="155">
        <v>351163</v>
      </c>
      <c r="CF120" s="155">
        <v>350556</v>
      </c>
      <c r="CG120" s="155">
        <v>350046</v>
      </c>
      <c r="CH120" s="155">
        <v>349631</v>
      </c>
      <c r="CI120" s="155">
        <v>349306</v>
      </c>
      <c r="CJ120" s="155">
        <v>349070</v>
      </c>
      <c r="CK120" s="155">
        <v>348913</v>
      </c>
      <c r="CL120" s="155">
        <v>348830</v>
      </c>
      <c r="CM120" s="155">
        <v>348805</v>
      </c>
      <c r="CN120" s="155">
        <v>348827</v>
      </c>
      <c r="CO120" s="155">
        <v>348887</v>
      </c>
      <c r="CP120" s="155">
        <v>348962</v>
      </c>
      <c r="CQ120" s="155">
        <v>349045</v>
      </c>
      <c r="CR120" s="155">
        <v>349127</v>
      </c>
      <c r="CS120" s="155">
        <v>349186</v>
      </c>
      <c r="CT120" s="155">
        <v>349224</v>
      </c>
      <c r="CU120" s="155">
        <v>349230</v>
      </c>
      <c r="CV120" s="155">
        <v>349194</v>
      </c>
      <c r="CW120" s="155">
        <v>349115</v>
      </c>
      <c r="CX120" s="155">
        <v>348989</v>
      </c>
      <c r="CY120" s="154">
        <v>348808</v>
      </c>
    </row>
    <row r="121" spans="1:103">
      <c r="A121" s="155" t="s">
        <v>1139</v>
      </c>
      <c r="B121" s="154">
        <v>12</v>
      </c>
      <c r="C121" s="155">
        <v>419533</v>
      </c>
      <c r="D121" s="155">
        <v>428664</v>
      </c>
      <c r="E121" s="155">
        <v>429766</v>
      </c>
      <c r="F121" s="155">
        <v>421339</v>
      </c>
      <c r="G121" s="155">
        <v>413054</v>
      </c>
      <c r="H121" s="155">
        <v>412724</v>
      </c>
      <c r="I121" s="155">
        <v>417944</v>
      </c>
      <c r="J121" s="155">
        <v>407037</v>
      </c>
      <c r="K121" s="155">
        <v>399349</v>
      </c>
      <c r="L121" s="155">
        <v>396923</v>
      </c>
      <c r="M121" s="155">
        <v>390099</v>
      </c>
      <c r="N121" s="155">
        <v>380631</v>
      </c>
      <c r="O121" s="155">
        <v>384504</v>
      </c>
      <c r="P121" s="155">
        <v>366972</v>
      </c>
      <c r="Q121" s="155">
        <v>366292</v>
      </c>
      <c r="R121" s="155">
        <v>368044</v>
      </c>
      <c r="S121" s="155">
        <v>369244</v>
      </c>
      <c r="T121" s="155">
        <v>369917</v>
      </c>
      <c r="U121" s="155">
        <v>370326</v>
      </c>
      <c r="V121" s="155">
        <v>370676</v>
      </c>
      <c r="W121" s="155">
        <v>370997</v>
      </c>
      <c r="X121" s="155">
        <v>371302</v>
      </c>
      <c r="Y121" s="155">
        <v>371606</v>
      </c>
      <c r="Z121" s="155">
        <v>372113</v>
      </c>
      <c r="AA121" s="155">
        <v>372882</v>
      </c>
      <c r="AB121" s="155">
        <v>373757</v>
      </c>
      <c r="AC121" s="155">
        <v>374729</v>
      </c>
      <c r="AD121" s="155">
        <v>375859</v>
      </c>
      <c r="AE121" s="155">
        <v>377162</v>
      </c>
      <c r="AF121" s="155">
        <v>378521</v>
      </c>
      <c r="AG121" s="155">
        <v>379804</v>
      </c>
      <c r="AH121" s="155">
        <v>380970</v>
      </c>
      <c r="AI121" s="155">
        <v>382005</v>
      </c>
      <c r="AJ121" s="155">
        <v>382688</v>
      </c>
      <c r="AK121" s="155">
        <v>382923</v>
      </c>
      <c r="AL121" s="155">
        <v>382855</v>
      </c>
      <c r="AM121" s="155">
        <v>382573</v>
      </c>
      <c r="AN121" s="155">
        <v>382122</v>
      </c>
      <c r="AO121" s="155">
        <v>381027</v>
      </c>
      <c r="AP121" s="155">
        <v>379208</v>
      </c>
      <c r="AQ121" s="155">
        <v>377175</v>
      </c>
      <c r="AR121" s="155">
        <v>375018</v>
      </c>
      <c r="AS121" s="155">
        <v>372833</v>
      </c>
      <c r="AT121" s="155">
        <v>370600</v>
      </c>
      <c r="AU121" s="155">
        <v>368320</v>
      </c>
      <c r="AV121" s="155">
        <v>366218</v>
      </c>
      <c r="AW121" s="155">
        <v>364409</v>
      </c>
      <c r="AX121" s="155">
        <v>362906</v>
      </c>
      <c r="AY121" s="155">
        <v>361632</v>
      </c>
      <c r="AZ121" s="155">
        <v>360571</v>
      </c>
      <c r="BA121" s="155">
        <v>359788</v>
      </c>
      <c r="BB121" s="155">
        <v>359264</v>
      </c>
      <c r="BC121" s="155">
        <v>358995</v>
      </c>
      <c r="BD121" s="155">
        <v>358857</v>
      </c>
      <c r="BE121" s="155">
        <v>358821</v>
      </c>
      <c r="BF121" s="155">
        <v>358977</v>
      </c>
      <c r="BG121" s="155">
        <v>359287</v>
      </c>
      <c r="BH121" s="155">
        <v>359676</v>
      </c>
      <c r="BI121" s="155">
        <v>360122</v>
      </c>
      <c r="BJ121" s="155">
        <v>360568</v>
      </c>
      <c r="BK121" s="155">
        <v>361002</v>
      </c>
      <c r="BL121" s="155">
        <v>361440</v>
      </c>
      <c r="BM121" s="155">
        <v>361825</v>
      </c>
      <c r="BN121" s="155">
        <v>362144</v>
      </c>
      <c r="BO121" s="155">
        <v>362379</v>
      </c>
      <c r="BP121" s="155">
        <v>362510</v>
      </c>
      <c r="BQ121" s="155">
        <v>362540</v>
      </c>
      <c r="BR121" s="155">
        <v>362446</v>
      </c>
      <c r="BS121" s="155">
        <v>362231</v>
      </c>
      <c r="BT121" s="155">
        <v>361886</v>
      </c>
      <c r="BU121" s="155">
        <v>361411</v>
      </c>
      <c r="BV121" s="155">
        <v>360824</v>
      </c>
      <c r="BW121" s="155">
        <v>360132</v>
      </c>
      <c r="BX121" s="155">
        <v>359346</v>
      </c>
      <c r="BY121" s="155">
        <v>358500</v>
      </c>
      <c r="BZ121" s="155">
        <v>357598</v>
      </c>
      <c r="CA121" s="155">
        <v>356685</v>
      </c>
      <c r="CB121" s="155">
        <v>355780</v>
      </c>
      <c r="CC121" s="155">
        <v>354900</v>
      </c>
      <c r="CD121" s="155">
        <v>354069</v>
      </c>
      <c r="CE121" s="155">
        <v>353298</v>
      </c>
      <c r="CF121" s="155">
        <v>352606</v>
      </c>
      <c r="CG121" s="155">
        <v>351999</v>
      </c>
      <c r="CH121" s="155">
        <v>351489</v>
      </c>
      <c r="CI121" s="155">
        <v>351074</v>
      </c>
      <c r="CJ121" s="155">
        <v>350749</v>
      </c>
      <c r="CK121" s="155">
        <v>350513</v>
      </c>
      <c r="CL121" s="155">
        <v>350357</v>
      </c>
      <c r="CM121" s="155">
        <v>350273</v>
      </c>
      <c r="CN121" s="155">
        <v>350248</v>
      </c>
      <c r="CO121" s="155">
        <v>350270</v>
      </c>
      <c r="CP121" s="155">
        <v>350332</v>
      </c>
      <c r="CQ121" s="155">
        <v>350406</v>
      </c>
      <c r="CR121" s="155">
        <v>350489</v>
      </c>
      <c r="CS121" s="155">
        <v>350572</v>
      </c>
      <c r="CT121" s="155">
        <v>350631</v>
      </c>
      <c r="CU121" s="155">
        <v>350669</v>
      </c>
      <c r="CV121" s="155">
        <v>350675</v>
      </c>
      <c r="CW121" s="155">
        <v>350639</v>
      </c>
      <c r="CX121" s="155">
        <v>350560</v>
      </c>
      <c r="CY121" s="154">
        <v>350433</v>
      </c>
    </row>
    <row r="122" spans="1:103">
      <c r="A122" s="155" t="s">
        <v>1139</v>
      </c>
      <c r="B122" s="154">
        <v>13</v>
      </c>
      <c r="C122" s="155">
        <v>417187</v>
      </c>
      <c r="D122" s="155">
        <v>422952</v>
      </c>
      <c r="E122" s="155">
        <v>431497</v>
      </c>
      <c r="F122" s="155">
        <v>432263</v>
      </c>
      <c r="G122" s="155">
        <v>423502</v>
      </c>
      <c r="H122" s="155">
        <v>414882</v>
      </c>
      <c r="I122" s="155">
        <v>414218</v>
      </c>
      <c r="J122" s="155">
        <v>419439</v>
      </c>
      <c r="K122" s="155">
        <v>408534</v>
      </c>
      <c r="L122" s="155">
        <v>400849</v>
      </c>
      <c r="M122" s="155">
        <v>398423</v>
      </c>
      <c r="N122" s="155">
        <v>391601</v>
      </c>
      <c r="O122" s="155">
        <v>382134</v>
      </c>
      <c r="P122" s="155">
        <v>386007</v>
      </c>
      <c r="Q122" s="155">
        <v>368476</v>
      </c>
      <c r="R122" s="155">
        <v>367797</v>
      </c>
      <c r="S122" s="155">
        <v>369549</v>
      </c>
      <c r="T122" s="155">
        <v>370749</v>
      </c>
      <c r="U122" s="155">
        <v>371423</v>
      </c>
      <c r="V122" s="155">
        <v>371832</v>
      </c>
      <c r="W122" s="155">
        <v>372182</v>
      </c>
      <c r="X122" s="155">
        <v>372503</v>
      </c>
      <c r="Y122" s="155">
        <v>372808</v>
      </c>
      <c r="Z122" s="155">
        <v>373113</v>
      </c>
      <c r="AA122" s="155">
        <v>373619</v>
      </c>
      <c r="AB122" s="155">
        <v>374389</v>
      </c>
      <c r="AC122" s="155">
        <v>375264</v>
      </c>
      <c r="AD122" s="155">
        <v>376236</v>
      </c>
      <c r="AE122" s="155">
        <v>377366</v>
      </c>
      <c r="AF122" s="155">
        <v>378670</v>
      </c>
      <c r="AG122" s="155">
        <v>380029</v>
      </c>
      <c r="AH122" s="155">
        <v>381312</v>
      </c>
      <c r="AI122" s="155">
        <v>382478</v>
      </c>
      <c r="AJ122" s="155">
        <v>383513</v>
      </c>
      <c r="AK122" s="155">
        <v>384196</v>
      </c>
      <c r="AL122" s="155">
        <v>384431</v>
      </c>
      <c r="AM122" s="155">
        <v>384365</v>
      </c>
      <c r="AN122" s="155">
        <v>384083</v>
      </c>
      <c r="AO122" s="155">
        <v>383633</v>
      </c>
      <c r="AP122" s="155">
        <v>382537</v>
      </c>
      <c r="AQ122" s="155">
        <v>380718</v>
      </c>
      <c r="AR122" s="155">
        <v>378686</v>
      </c>
      <c r="AS122" s="155">
        <v>376528</v>
      </c>
      <c r="AT122" s="155">
        <v>374343</v>
      </c>
      <c r="AU122" s="155">
        <v>372111</v>
      </c>
      <c r="AV122" s="155">
        <v>369833</v>
      </c>
      <c r="AW122" s="155">
        <v>367730</v>
      </c>
      <c r="AX122" s="155">
        <v>365921</v>
      </c>
      <c r="AY122" s="155">
        <v>364419</v>
      </c>
      <c r="AZ122" s="155">
        <v>363146</v>
      </c>
      <c r="BA122" s="155">
        <v>362086</v>
      </c>
      <c r="BB122" s="155">
        <v>361302</v>
      </c>
      <c r="BC122" s="155">
        <v>360778</v>
      </c>
      <c r="BD122" s="155">
        <v>360509</v>
      </c>
      <c r="BE122" s="155">
        <v>360371</v>
      </c>
      <c r="BF122" s="155">
        <v>360336</v>
      </c>
      <c r="BG122" s="155">
        <v>360492</v>
      </c>
      <c r="BH122" s="155">
        <v>360802</v>
      </c>
      <c r="BI122" s="155">
        <v>361191</v>
      </c>
      <c r="BJ122" s="155">
        <v>361637</v>
      </c>
      <c r="BK122" s="155">
        <v>362083</v>
      </c>
      <c r="BL122" s="155">
        <v>362517</v>
      </c>
      <c r="BM122" s="155">
        <v>362956</v>
      </c>
      <c r="BN122" s="155">
        <v>363341</v>
      </c>
      <c r="BO122" s="155">
        <v>363660</v>
      </c>
      <c r="BP122" s="155">
        <v>363895</v>
      </c>
      <c r="BQ122" s="155">
        <v>364026</v>
      </c>
      <c r="BR122" s="155">
        <v>364056</v>
      </c>
      <c r="BS122" s="155">
        <v>363963</v>
      </c>
      <c r="BT122" s="155">
        <v>363748</v>
      </c>
      <c r="BU122" s="155">
        <v>363404</v>
      </c>
      <c r="BV122" s="155">
        <v>362928</v>
      </c>
      <c r="BW122" s="155">
        <v>362342</v>
      </c>
      <c r="BX122" s="155">
        <v>361651</v>
      </c>
      <c r="BY122" s="155">
        <v>360865</v>
      </c>
      <c r="BZ122" s="155">
        <v>360018</v>
      </c>
      <c r="CA122" s="155">
        <v>359115</v>
      </c>
      <c r="CB122" s="155">
        <v>358204</v>
      </c>
      <c r="CC122" s="155">
        <v>357299</v>
      </c>
      <c r="CD122" s="155">
        <v>356419</v>
      </c>
      <c r="CE122" s="155">
        <v>355588</v>
      </c>
      <c r="CF122" s="155">
        <v>354817</v>
      </c>
      <c r="CG122" s="155">
        <v>354125</v>
      </c>
      <c r="CH122" s="155">
        <v>353518</v>
      </c>
      <c r="CI122" s="155">
        <v>353009</v>
      </c>
      <c r="CJ122" s="155">
        <v>352594</v>
      </c>
      <c r="CK122" s="155">
        <v>352269</v>
      </c>
      <c r="CL122" s="155">
        <v>352033</v>
      </c>
      <c r="CM122" s="155">
        <v>351877</v>
      </c>
      <c r="CN122" s="155">
        <v>351793</v>
      </c>
      <c r="CO122" s="155">
        <v>351768</v>
      </c>
      <c r="CP122" s="155">
        <v>351790</v>
      </c>
      <c r="CQ122" s="155">
        <v>351852</v>
      </c>
      <c r="CR122" s="155">
        <v>351926</v>
      </c>
      <c r="CS122" s="155">
        <v>352009</v>
      </c>
      <c r="CT122" s="155">
        <v>352093</v>
      </c>
      <c r="CU122" s="155">
        <v>352152</v>
      </c>
      <c r="CV122" s="155">
        <v>352190</v>
      </c>
      <c r="CW122" s="155">
        <v>352196</v>
      </c>
      <c r="CX122" s="155">
        <v>352160</v>
      </c>
      <c r="CY122" s="154">
        <v>352081</v>
      </c>
    </row>
    <row r="123" spans="1:103">
      <c r="A123" s="155" t="s">
        <v>1139</v>
      </c>
      <c r="B123" s="154">
        <v>14</v>
      </c>
      <c r="C123" s="155">
        <v>420486</v>
      </c>
      <c r="D123" s="155">
        <v>421008</v>
      </c>
      <c r="E123" s="155">
        <v>426198</v>
      </c>
      <c r="F123" s="155">
        <v>434398</v>
      </c>
      <c r="G123" s="155">
        <v>434820</v>
      </c>
      <c r="H123" s="155">
        <v>425715</v>
      </c>
      <c r="I123" s="155">
        <v>416754</v>
      </c>
      <c r="J123" s="155">
        <v>416091</v>
      </c>
      <c r="K123" s="155">
        <v>421313</v>
      </c>
      <c r="L123" s="155">
        <v>410410</v>
      </c>
      <c r="M123" s="155">
        <v>402726</v>
      </c>
      <c r="N123" s="155">
        <v>400302</v>
      </c>
      <c r="O123" s="155">
        <v>393481</v>
      </c>
      <c r="P123" s="155">
        <v>384016</v>
      </c>
      <c r="Q123" s="155">
        <v>387889</v>
      </c>
      <c r="R123" s="155">
        <v>370359</v>
      </c>
      <c r="S123" s="155">
        <v>369681</v>
      </c>
      <c r="T123" s="155">
        <v>371434</v>
      </c>
      <c r="U123" s="155">
        <v>372634</v>
      </c>
      <c r="V123" s="155">
        <v>373308</v>
      </c>
      <c r="W123" s="155">
        <v>373717</v>
      </c>
      <c r="X123" s="155">
        <v>374068</v>
      </c>
      <c r="Y123" s="155">
        <v>374388</v>
      </c>
      <c r="Z123" s="155">
        <v>374695</v>
      </c>
      <c r="AA123" s="155">
        <v>375000</v>
      </c>
      <c r="AB123" s="155">
        <v>375506</v>
      </c>
      <c r="AC123" s="155">
        <v>376276</v>
      </c>
      <c r="AD123" s="155">
        <v>377152</v>
      </c>
      <c r="AE123" s="155">
        <v>378125</v>
      </c>
      <c r="AF123" s="155">
        <v>379255</v>
      </c>
      <c r="AG123" s="155">
        <v>380559</v>
      </c>
      <c r="AH123" s="155">
        <v>381918</v>
      </c>
      <c r="AI123" s="155">
        <v>383201</v>
      </c>
      <c r="AJ123" s="155">
        <v>384367</v>
      </c>
      <c r="AK123" s="155">
        <v>385403</v>
      </c>
      <c r="AL123" s="155">
        <v>386086</v>
      </c>
      <c r="AM123" s="155">
        <v>386321</v>
      </c>
      <c r="AN123" s="155">
        <v>386254</v>
      </c>
      <c r="AO123" s="155">
        <v>385972</v>
      </c>
      <c r="AP123" s="155">
        <v>385524</v>
      </c>
      <c r="AQ123" s="155">
        <v>384427</v>
      </c>
      <c r="AR123" s="155">
        <v>382608</v>
      </c>
      <c r="AS123" s="155">
        <v>380578</v>
      </c>
      <c r="AT123" s="155">
        <v>378419</v>
      </c>
      <c r="AU123" s="155">
        <v>376235</v>
      </c>
      <c r="AV123" s="155">
        <v>374004</v>
      </c>
      <c r="AW123" s="155">
        <v>371726</v>
      </c>
      <c r="AX123" s="155">
        <v>369623</v>
      </c>
      <c r="AY123" s="155">
        <v>367814</v>
      </c>
      <c r="AZ123" s="155">
        <v>366313</v>
      </c>
      <c r="BA123" s="155">
        <v>365040</v>
      </c>
      <c r="BB123" s="155">
        <v>363980</v>
      </c>
      <c r="BC123" s="155">
        <v>363196</v>
      </c>
      <c r="BD123" s="155">
        <v>362673</v>
      </c>
      <c r="BE123" s="155">
        <v>362404</v>
      </c>
      <c r="BF123" s="155">
        <v>362267</v>
      </c>
      <c r="BG123" s="155">
        <v>362231</v>
      </c>
      <c r="BH123" s="155">
        <v>362387</v>
      </c>
      <c r="BI123" s="155">
        <v>362697</v>
      </c>
      <c r="BJ123" s="155">
        <v>363087</v>
      </c>
      <c r="BK123" s="155">
        <v>363534</v>
      </c>
      <c r="BL123" s="155">
        <v>363980</v>
      </c>
      <c r="BM123" s="155">
        <v>364415</v>
      </c>
      <c r="BN123" s="155">
        <v>364854</v>
      </c>
      <c r="BO123" s="155">
        <v>365239</v>
      </c>
      <c r="BP123" s="155">
        <v>365558</v>
      </c>
      <c r="BQ123" s="155">
        <v>365794</v>
      </c>
      <c r="BR123" s="155">
        <v>365924</v>
      </c>
      <c r="BS123" s="155">
        <v>365954</v>
      </c>
      <c r="BT123" s="155">
        <v>365862</v>
      </c>
      <c r="BU123" s="155">
        <v>365647</v>
      </c>
      <c r="BV123" s="155">
        <v>365303</v>
      </c>
      <c r="BW123" s="155">
        <v>364828</v>
      </c>
      <c r="BX123" s="155">
        <v>364242</v>
      </c>
      <c r="BY123" s="155">
        <v>363550</v>
      </c>
      <c r="BZ123" s="155">
        <v>362764</v>
      </c>
      <c r="CA123" s="155">
        <v>361918</v>
      </c>
      <c r="CB123" s="155">
        <v>361014</v>
      </c>
      <c r="CC123" s="155">
        <v>360104</v>
      </c>
      <c r="CD123" s="155">
        <v>359201</v>
      </c>
      <c r="CE123" s="155">
        <v>358320</v>
      </c>
      <c r="CF123" s="155">
        <v>357490</v>
      </c>
      <c r="CG123" s="155">
        <v>356719</v>
      </c>
      <c r="CH123" s="155">
        <v>356027</v>
      </c>
      <c r="CI123" s="155">
        <v>355419</v>
      </c>
      <c r="CJ123" s="155">
        <v>354912</v>
      </c>
      <c r="CK123" s="155">
        <v>354497</v>
      </c>
      <c r="CL123" s="155">
        <v>354172</v>
      </c>
      <c r="CM123" s="155">
        <v>353936</v>
      </c>
      <c r="CN123" s="155">
        <v>353780</v>
      </c>
      <c r="CO123" s="155">
        <v>353696</v>
      </c>
      <c r="CP123" s="155">
        <v>353671</v>
      </c>
      <c r="CQ123" s="155">
        <v>353693</v>
      </c>
      <c r="CR123" s="155">
        <v>353756</v>
      </c>
      <c r="CS123" s="155">
        <v>353830</v>
      </c>
      <c r="CT123" s="155">
        <v>353912</v>
      </c>
      <c r="CU123" s="155">
        <v>353996</v>
      </c>
      <c r="CV123" s="155">
        <v>354055</v>
      </c>
      <c r="CW123" s="155">
        <v>354094</v>
      </c>
      <c r="CX123" s="155">
        <v>354100</v>
      </c>
      <c r="CY123" s="154">
        <v>354064</v>
      </c>
    </row>
    <row r="124" spans="1:103">
      <c r="A124" s="155" t="s">
        <v>1139</v>
      </c>
      <c r="B124" s="154">
        <v>15</v>
      </c>
      <c r="C124" s="155">
        <v>405544</v>
      </c>
      <c r="D124" s="155">
        <v>424848</v>
      </c>
      <c r="E124" s="155">
        <v>424783</v>
      </c>
      <c r="F124" s="155">
        <v>429603</v>
      </c>
      <c r="G124" s="155">
        <v>437433</v>
      </c>
      <c r="H124" s="155">
        <v>437484</v>
      </c>
      <c r="I124" s="155">
        <v>428011</v>
      </c>
      <c r="J124" s="155">
        <v>419055</v>
      </c>
      <c r="K124" s="155">
        <v>418392</v>
      </c>
      <c r="L124" s="155">
        <v>423615</v>
      </c>
      <c r="M124" s="155">
        <v>412715</v>
      </c>
      <c r="N124" s="155">
        <v>405032</v>
      </c>
      <c r="O124" s="155">
        <v>402610</v>
      </c>
      <c r="P124" s="155">
        <v>395791</v>
      </c>
      <c r="Q124" s="155">
        <v>386327</v>
      </c>
      <c r="R124" s="155">
        <v>390199</v>
      </c>
      <c r="S124" s="155">
        <v>372673</v>
      </c>
      <c r="T124" s="155">
        <v>371996</v>
      </c>
      <c r="U124" s="155">
        <v>373748</v>
      </c>
      <c r="V124" s="155">
        <v>374949</v>
      </c>
      <c r="W124" s="155">
        <v>375624</v>
      </c>
      <c r="X124" s="155">
        <v>376034</v>
      </c>
      <c r="Y124" s="155">
        <v>376385</v>
      </c>
      <c r="Z124" s="155">
        <v>376706</v>
      </c>
      <c r="AA124" s="155">
        <v>377013</v>
      </c>
      <c r="AB124" s="155">
        <v>377318</v>
      </c>
      <c r="AC124" s="155">
        <v>377825</v>
      </c>
      <c r="AD124" s="155">
        <v>378594</v>
      </c>
      <c r="AE124" s="155">
        <v>379471</v>
      </c>
      <c r="AF124" s="155">
        <v>380443</v>
      </c>
      <c r="AG124" s="155">
        <v>381573</v>
      </c>
      <c r="AH124" s="155">
        <v>382878</v>
      </c>
      <c r="AI124" s="155">
        <v>384237</v>
      </c>
      <c r="AJ124" s="155">
        <v>385521</v>
      </c>
      <c r="AK124" s="155">
        <v>386686</v>
      </c>
      <c r="AL124" s="155">
        <v>387722</v>
      </c>
      <c r="AM124" s="155">
        <v>388405</v>
      </c>
      <c r="AN124" s="155">
        <v>388641</v>
      </c>
      <c r="AO124" s="155">
        <v>388575</v>
      </c>
      <c r="AP124" s="155">
        <v>388293</v>
      </c>
      <c r="AQ124" s="155">
        <v>387845</v>
      </c>
      <c r="AR124" s="155">
        <v>386750</v>
      </c>
      <c r="AS124" s="155">
        <v>384929</v>
      </c>
      <c r="AT124" s="155">
        <v>382900</v>
      </c>
      <c r="AU124" s="155">
        <v>380742</v>
      </c>
      <c r="AV124" s="155">
        <v>378558</v>
      </c>
      <c r="AW124" s="155">
        <v>376329</v>
      </c>
      <c r="AX124" s="155">
        <v>374051</v>
      </c>
      <c r="AY124" s="155">
        <v>371948</v>
      </c>
      <c r="AZ124" s="155">
        <v>370140</v>
      </c>
      <c r="BA124" s="155">
        <v>368639</v>
      </c>
      <c r="BB124" s="155">
        <v>367366</v>
      </c>
      <c r="BC124" s="155">
        <v>366307</v>
      </c>
      <c r="BD124" s="155">
        <v>365524</v>
      </c>
      <c r="BE124" s="155">
        <v>365001</v>
      </c>
      <c r="BF124" s="155">
        <v>364732</v>
      </c>
      <c r="BG124" s="155">
        <v>364595</v>
      </c>
      <c r="BH124" s="155">
        <v>364560</v>
      </c>
      <c r="BI124" s="155">
        <v>364716</v>
      </c>
      <c r="BJ124" s="155">
        <v>365026</v>
      </c>
      <c r="BK124" s="155">
        <v>365417</v>
      </c>
      <c r="BL124" s="155">
        <v>365863</v>
      </c>
      <c r="BM124" s="155">
        <v>366310</v>
      </c>
      <c r="BN124" s="155">
        <v>366745</v>
      </c>
      <c r="BO124" s="155">
        <v>367184</v>
      </c>
      <c r="BP124" s="155">
        <v>367569</v>
      </c>
      <c r="BQ124" s="155">
        <v>367888</v>
      </c>
      <c r="BR124" s="155">
        <v>368125</v>
      </c>
      <c r="BS124" s="155">
        <v>368255</v>
      </c>
      <c r="BT124" s="155">
        <v>368285</v>
      </c>
      <c r="BU124" s="155">
        <v>368193</v>
      </c>
      <c r="BV124" s="155">
        <v>367978</v>
      </c>
      <c r="BW124" s="155">
        <v>367634</v>
      </c>
      <c r="BX124" s="155">
        <v>367160</v>
      </c>
      <c r="BY124" s="155">
        <v>366574</v>
      </c>
      <c r="BZ124" s="155">
        <v>365882</v>
      </c>
      <c r="CA124" s="155">
        <v>365096</v>
      </c>
      <c r="CB124" s="155">
        <v>364250</v>
      </c>
      <c r="CC124" s="155">
        <v>363347</v>
      </c>
      <c r="CD124" s="155">
        <v>362438</v>
      </c>
      <c r="CE124" s="155">
        <v>361534</v>
      </c>
      <c r="CF124" s="155">
        <v>360653</v>
      </c>
      <c r="CG124" s="155">
        <v>359823</v>
      </c>
      <c r="CH124" s="155">
        <v>359053</v>
      </c>
      <c r="CI124" s="155">
        <v>358361</v>
      </c>
      <c r="CJ124" s="155">
        <v>357754</v>
      </c>
      <c r="CK124" s="155">
        <v>357247</v>
      </c>
      <c r="CL124" s="155">
        <v>356832</v>
      </c>
      <c r="CM124" s="155">
        <v>356507</v>
      </c>
      <c r="CN124" s="155">
        <v>356272</v>
      </c>
      <c r="CO124" s="155">
        <v>356115</v>
      </c>
      <c r="CP124" s="155">
        <v>356032</v>
      </c>
      <c r="CQ124" s="155">
        <v>356007</v>
      </c>
      <c r="CR124" s="155">
        <v>356029</v>
      </c>
      <c r="CS124" s="155">
        <v>356093</v>
      </c>
      <c r="CT124" s="155">
        <v>356168</v>
      </c>
      <c r="CU124" s="155">
        <v>356251</v>
      </c>
      <c r="CV124" s="155">
        <v>356335</v>
      </c>
      <c r="CW124" s="155">
        <v>356394</v>
      </c>
      <c r="CX124" s="155">
        <v>356432</v>
      </c>
      <c r="CY124" s="154">
        <v>356439</v>
      </c>
    </row>
    <row r="125" spans="1:103">
      <c r="A125" s="155" t="s">
        <v>1139</v>
      </c>
      <c r="B125" s="154">
        <v>16</v>
      </c>
      <c r="C125" s="155">
        <v>398603</v>
      </c>
      <c r="D125" s="155">
        <v>410525</v>
      </c>
      <c r="E125" s="155">
        <v>429210</v>
      </c>
      <c r="F125" s="155">
        <v>428739</v>
      </c>
      <c r="G125" s="155">
        <v>433153</v>
      </c>
      <c r="H125" s="155">
        <v>440577</v>
      </c>
      <c r="I125" s="155">
        <v>440225</v>
      </c>
      <c r="J125" s="155">
        <v>430755</v>
      </c>
      <c r="K125" s="155">
        <v>421802</v>
      </c>
      <c r="L125" s="155">
        <v>421141</v>
      </c>
      <c r="M125" s="155">
        <v>426365</v>
      </c>
      <c r="N125" s="155">
        <v>415469</v>
      </c>
      <c r="O125" s="155">
        <v>407787</v>
      </c>
      <c r="P125" s="155">
        <v>405367</v>
      </c>
      <c r="Q125" s="155">
        <v>398550</v>
      </c>
      <c r="R125" s="155">
        <v>389087</v>
      </c>
      <c r="S125" s="155">
        <v>392960</v>
      </c>
      <c r="T125" s="155">
        <v>375438</v>
      </c>
      <c r="U125" s="155">
        <v>374762</v>
      </c>
      <c r="V125" s="155">
        <v>376515</v>
      </c>
      <c r="W125" s="155">
        <v>377715</v>
      </c>
      <c r="X125" s="155">
        <v>378391</v>
      </c>
      <c r="Y125" s="155">
        <v>378801</v>
      </c>
      <c r="Z125" s="155">
        <v>379153</v>
      </c>
      <c r="AA125" s="155">
        <v>379474</v>
      </c>
      <c r="AB125" s="155">
        <v>379781</v>
      </c>
      <c r="AC125" s="155">
        <v>380087</v>
      </c>
      <c r="AD125" s="155">
        <v>380594</v>
      </c>
      <c r="AE125" s="155">
        <v>381362</v>
      </c>
      <c r="AF125" s="155">
        <v>382240</v>
      </c>
      <c r="AG125" s="155">
        <v>383212</v>
      </c>
      <c r="AH125" s="155">
        <v>384343</v>
      </c>
      <c r="AI125" s="155">
        <v>385648</v>
      </c>
      <c r="AJ125" s="155">
        <v>387008</v>
      </c>
      <c r="AK125" s="155">
        <v>388292</v>
      </c>
      <c r="AL125" s="155">
        <v>389457</v>
      </c>
      <c r="AM125" s="155">
        <v>390494</v>
      </c>
      <c r="AN125" s="155">
        <v>391178</v>
      </c>
      <c r="AO125" s="155">
        <v>391414</v>
      </c>
      <c r="AP125" s="155">
        <v>391348</v>
      </c>
      <c r="AQ125" s="155">
        <v>391067</v>
      </c>
      <c r="AR125" s="155">
        <v>390620</v>
      </c>
      <c r="AS125" s="155">
        <v>389526</v>
      </c>
      <c r="AT125" s="155">
        <v>387705</v>
      </c>
      <c r="AU125" s="155">
        <v>385677</v>
      </c>
      <c r="AV125" s="155">
        <v>383519</v>
      </c>
      <c r="AW125" s="155">
        <v>381335</v>
      </c>
      <c r="AX125" s="155">
        <v>379107</v>
      </c>
      <c r="AY125" s="155">
        <v>376829</v>
      </c>
      <c r="AZ125" s="155">
        <v>374727</v>
      </c>
      <c r="BA125" s="155">
        <v>372919</v>
      </c>
      <c r="BB125" s="155">
        <v>371420</v>
      </c>
      <c r="BC125" s="155">
        <v>370147</v>
      </c>
      <c r="BD125" s="155">
        <v>369088</v>
      </c>
      <c r="BE125" s="155">
        <v>368306</v>
      </c>
      <c r="BF125" s="155">
        <v>367783</v>
      </c>
      <c r="BG125" s="155">
        <v>367514</v>
      </c>
      <c r="BH125" s="155">
        <v>367379</v>
      </c>
      <c r="BI125" s="155">
        <v>367344</v>
      </c>
      <c r="BJ125" s="155">
        <v>367500</v>
      </c>
      <c r="BK125" s="155">
        <v>367809</v>
      </c>
      <c r="BL125" s="155">
        <v>368201</v>
      </c>
      <c r="BM125" s="155">
        <v>368647</v>
      </c>
      <c r="BN125" s="155">
        <v>369093</v>
      </c>
      <c r="BO125" s="155">
        <v>369528</v>
      </c>
      <c r="BP125" s="155">
        <v>369968</v>
      </c>
      <c r="BQ125" s="155">
        <v>370353</v>
      </c>
      <c r="BR125" s="155">
        <v>370673</v>
      </c>
      <c r="BS125" s="155">
        <v>370909</v>
      </c>
      <c r="BT125" s="155">
        <v>371041</v>
      </c>
      <c r="BU125" s="155">
        <v>371071</v>
      </c>
      <c r="BV125" s="155">
        <v>370979</v>
      </c>
      <c r="BW125" s="155">
        <v>370764</v>
      </c>
      <c r="BX125" s="155">
        <v>370421</v>
      </c>
      <c r="BY125" s="155">
        <v>369947</v>
      </c>
      <c r="BZ125" s="155">
        <v>369361</v>
      </c>
      <c r="CA125" s="155">
        <v>368669</v>
      </c>
      <c r="CB125" s="155">
        <v>367885</v>
      </c>
      <c r="CC125" s="155">
        <v>367040</v>
      </c>
      <c r="CD125" s="155">
        <v>366137</v>
      </c>
      <c r="CE125" s="155">
        <v>365228</v>
      </c>
      <c r="CF125" s="155">
        <v>364325</v>
      </c>
      <c r="CG125" s="155">
        <v>363444</v>
      </c>
      <c r="CH125" s="155">
        <v>362614</v>
      </c>
      <c r="CI125" s="155">
        <v>361845</v>
      </c>
      <c r="CJ125" s="155">
        <v>361153</v>
      </c>
      <c r="CK125" s="155">
        <v>360546</v>
      </c>
      <c r="CL125" s="155">
        <v>360039</v>
      </c>
      <c r="CM125" s="155">
        <v>359624</v>
      </c>
      <c r="CN125" s="155">
        <v>359299</v>
      </c>
      <c r="CO125" s="155">
        <v>359065</v>
      </c>
      <c r="CP125" s="155">
        <v>358908</v>
      </c>
      <c r="CQ125" s="155">
        <v>358825</v>
      </c>
      <c r="CR125" s="155">
        <v>358800</v>
      </c>
      <c r="CS125" s="155">
        <v>358822</v>
      </c>
      <c r="CT125" s="155">
        <v>358888</v>
      </c>
      <c r="CU125" s="155">
        <v>358962</v>
      </c>
      <c r="CV125" s="155">
        <v>359045</v>
      </c>
      <c r="CW125" s="155">
        <v>359128</v>
      </c>
      <c r="CX125" s="155">
        <v>359187</v>
      </c>
      <c r="CY125" s="154">
        <v>359226</v>
      </c>
    </row>
    <row r="126" spans="1:103">
      <c r="A126" s="155" t="s">
        <v>1139</v>
      </c>
      <c r="B126" s="154">
        <v>17</v>
      </c>
      <c r="C126" s="155">
        <v>399499</v>
      </c>
      <c r="D126" s="155">
        <v>405031</v>
      </c>
      <c r="E126" s="155">
        <v>416179</v>
      </c>
      <c r="F126" s="155">
        <v>434345</v>
      </c>
      <c r="G126" s="155">
        <v>433358</v>
      </c>
      <c r="H126" s="155">
        <v>437255</v>
      </c>
      <c r="I126" s="155">
        <v>444165</v>
      </c>
      <c r="J126" s="155">
        <v>443818</v>
      </c>
      <c r="K126" s="155">
        <v>434351</v>
      </c>
      <c r="L126" s="155">
        <v>425403</v>
      </c>
      <c r="M126" s="155">
        <v>424744</v>
      </c>
      <c r="N126" s="155">
        <v>429971</v>
      </c>
      <c r="O126" s="155">
        <v>419078</v>
      </c>
      <c r="P126" s="155">
        <v>411399</v>
      </c>
      <c r="Q126" s="155">
        <v>408981</v>
      </c>
      <c r="R126" s="155">
        <v>402169</v>
      </c>
      <c r="S126" s="155">
        <v>392708</v>
      </c>
      <c r="T126" s="155">
        <v>396582</v>
      </c>
      <c r="U126" s="155">
        <v>379065</v>
      </c>
      <c r="V126" s="155">
        <v>378389</v>
      </c>
      <c r="W126" s="155">
        <v>380143</v>
      </c>
      <c r="X126" s="155">
        <v>381344</v>
      </c>
      <c r="Y126" s="155">
        <v>382020</v>
      </c>
      <c r="Z126" s="155">
        <v>382431</v>
      </c>
      <c r="AA126" s="155">
        <v>382784</v>
      </c>
      <c r="AB126" s="155">
        <v>383106</v>
      </c>
      <c r="AC126" s="155">
        <v>383413</v>
      </c>
      <c r="AD126" s="155">
        <v>383719</v>
      </c>
      <c r="AE126" s="155">
        <v>384227</v>
      </c>
      <c r="AF126" s="155">
        <v>384995</v>
      </c>
      <c r="AG126" s="155">
        <v>385875</v>
      </c>
      <c r="AH126" s="155">
        <v>386849</v>
      </c>
      <c r="AI126" s="155">
        <v>387980</v>
      </c>
      <c r="AJ126" s="155">
        <v>389285</v>
      </c>
      <c r="AK126" s="155">
        <v>390645</v>
      </c>
      <c r="AL126" s="155">
        <v>391930</v>
      </c>
      <c r="AM126" s="155">
        <v>393095</v>
      </c>
      <c r="AN126" s="155">
        <v>394132</v>
      </c>
      <c r="AO126" s="155">
        <v>394817</v>
      </c>
      <c r="AP126" s="155">
        <v>395053</v>
      </c>
      <c r="AQ126" s="155">
        <v>394988</v>
      </c>
      <c r="AR126" s="155">
        <v>394707</v>
      </c>
      <c r="AS126" s="155">
        <v>394262</v>
      </c>
      <c r="AT126" s="155">
        <v>393169</v>
      </c>
      <c r="AU126" s="155">
        <v>391348</v>
      </c>
      <c r="AV126" s="155">
        <v>389321</v>
      </c>
      <c r="AW126" s="155">
        <v>387165</v>
      </c>
      <c r="AX126" s="155">
        <v>384981</v>
      </c>
      <c r="AY126" s="155">
        <v>382754</v>
      </c>
      <c r="AZ126" s="155">
        <v>380477</v>
      </c>
      <c r="BA126" s="155">
        <v>378374</v>
      </c>
      <c r="BB126" s="155">
        <v>376569</v>
      </c>
      <c r="BC126" s="155">
        <v>375071</v>
      </c>
      <c r="BD126" s="155">
        <v>373799</v>
      </c>
      <c r="BE126" s="155">
        <v>372741</v>
      </c>
      <c r="BF126" s="155">
        <v>371957</v>
      </c>
      <c r="BG126" s="155">
        <v>371436</v>
      </c>
      <c r="BH126" s="155">
        <v>371167</v>
      </c>
      <c r="BI126" s="155">
        <v>371032</v>
      </c>
      <c r="BJ126" s="155">
        <v>370998</v>
      </c>
      <c r="BK126" s="155">
        <v>371153</v>
      </c>
      <c r="BL126" s="155">
        <v>371465</v>
      </c>
      <c r="BM126" s="155">
        <v>371856</v>
      </c>
      <c r="BN126" s="155">
        <v>372302</v>
      </c>
      <c r="BO126" s="155">
        <v>372749</v>
      </c>
      <c r="BP126" s="155">
        <v>373184</v>
      </c>
      <c r="BQ126" s="155">
        <v>373625</v>
      </c>
      <c r="BR126" s="155">
        <v>374011</v>
      </c>
      <c r="BS126" s="155">
        <v>374332</v>
      </c>
      <c r="BT126" s="155">
        <v>374568</v>
      </c>
      <c r="BU126" s="155">
        <v>374701</v>
      </c>
      <c r="BV126" s="155">
        <v>374731</v>
      </c>
      <c r="BW126" s="155">
        <v>374640</v>
      </c>
      <c r="BX126" s="155">
        <v>374425</v>
      </c>
      <c r="BY126" s="155">
        <v>374082</v>
      </c>
      <c r="BZ126" s="155">
        <v>373609</v>
      </c>
      <c r="CA126" s="155">
        <v>373023</v>
      </c>
      <c r="CB126" s="155">
        <v>372331</v>
      </c>
      <c r="CC126" s="155">
        <v>371548</v>
      </c>
      <c r="CD126" s="155">
        <v>370703</v>
      </c>
      <c r="CE126" s="155">
        <v>369800</v>
      </c>
      <c r="CF126" s="155">
        <v>368892</v>
      </c>
      <c r="CG126" s="155">
        <v>367988</v>
      </c>
      <c r="CH126" s="155">
        <v>367109</v>
      </c>
      <c r="CI126" s="155">
        <v>366279</v>
      </c>
      <c r="CJ126" s="155">
        <v>365510</v>
      </c>
      <c r="CK126" s="155">
        <v>364820</v>
      </c>
      <c r="CL126" s="155">
        <v>364213</v>
      </c>
      <c r="CM126" s="155">
        <v>363707</v>
      </c>
      <c r="CN126" s="155">
        <v>363292</v>
      </c>
      <c r="CO126" s="155">
        <v>362967</v>
      </c>
      <c r="CP126" s="155">
        <v>362734</v>
      </c>
      <c r="CQ126" s="155">
        <v>362577</v>
      </c>
      <c r="CR126" s="155">
        <v>362494</v>
      </c>
      <c r="CS126" s="155">
        <v>362469</v>
      </c>
      <c r="CT126" s="155">
        <v>362491</v>
      </c>
      <c r="CU126" s="155">
        <v>362557</v>
      </c>
      <c r="CV126" s="155">
        <v>362632</v>
      </c>
      <c r="CW126" s="155">
        <v>362715</v>
      </c>
      <c r="CX126" s="155">
        <v>362798</v>
      </c>
      <c r="CY126" s="154">
        <v>362858</v>
      </c>
    </row>
    <row r="127" spans="1:103">
      <c r="A127" s="155" t="s">
        <v>1139</v>
      </c>
      <c r="B127" s="154">
        <v>18</v>
      </c>
      <c r="C127" s="155">
        <v>402283</v>
      </c>
      <c r="D127" s="155">
        <v>410470</v>
      </c>
      <c r="E127" s="155">
        <v>414748</v>
      </c>
      <c r="F127" s="155">
        <v>425038</v>
      </c>
      <c r="G127" s="155">
        <v>442336</v>
      </c>
      <c r="H127" s="155">
        <v>440492</v>
      </c>
      <c r="I127" s="155">
        <v>443534</v>
      </c>
      <c r="J127" s="155">
        <v>450444</v>
      </c>
      <c r="K127" s="155">
        <v>450101</v>
      </c>
      <c r="L127" s="155">
        <v>440640</v>
      </c>
      <c r="M127" s="155">
        <v>431698</v>
      </c>
      <c r="N127" s="155">
        <v>431042</v>
      </c>
      <c r="O127" s="155">
        <v>436271</v>
      </c>
      <c r="P127" s="155">
        <v>425385</v>
      </c>
      <c r="Q127" s="155">
        <v>417710</v>
      </c>
      <c r="R127" s="155">
        <v>415294</v>
      </c>
      <c r="S127" s="155">
        <v>408487</v>
      </c>
      <c r="T127" s="155">
        <v>399031</v>
      </c>
      <c r="U127" s="155">
        <v>402905</v>
      </c>
      <c r="V127" s="155">
        <v>385394</v>
      </c>
      <c r="W127" s="155">
        <v>384720</v>
      </c>
      <c r="X127" s="155">
        <v>386473</v>
      </c>
      <c r="Y127" s="155">
        <v>387675</v>
      </c>
      <c r="Z127" s="155">
        <v>388353</v>
      </c>
      <c r="AA127" s="155">
        <v>388765</v>
      </c>
      <c r="AB127" s="155">
        <v>389120</v>
      </c>
      <c r="AC127" s="155">
        <v>389442</v>
      </c>
      <c r="AD127" s="155">
        <v>389749</v>
      </c>
      <c r="AE127" s="155">
        <v>390056</v>
      </c>
      <c r="AF127" s="155">
        <v>390566</v>
      </c>
      <c r="AG127" s="155">
        <v>391332</v>
      </c>
      <c r="AH127" s="155">
        <v>392215</v>
      </c>
      <c r="AI127" s="155">
        <v>393190</v>
      </c>
      <c r="AJ127" s="155">
        <v>394322</v>
      </c>
      <c r="AK127" s="155">
        <v>395628</v>
      </c>
      <c r="AL127" s="155">
        <v>396988</v>
      </c>
      <c r="AM127" s="155">
        <v>398274</v>
      </c>
      <c r="AN127" s="155">
        <v>399438</v>
      </c>
      <c r="AO127" s="155">
        <v>400477</v>
      </c>
      <c r="AP127" s="155">
        <v>401163</v>
      </c>
      <c r="AQ127" s="155">
        <v>401399</v>
      </c>
      <c r="AR127" s="155">
        <v>401337</v>
      </c>
      <c r="AS127" s="155">
        <v>401057</v>
      </c>
      <c r="AT127" s="155">
        <v>400612</v>
      </c>
      <c r="AU127" s="155">
        <v>399520</v>
      </c>
      <c r="AV127" s="155">
        <v>397700</v>
      </c>
      <c r="AW127" s="155">
        <v>395674</v>
      </c>
      <c r="AX127" s="155">
        <v>393520</v>
      </c>
      <c r="AY127" s="155">
        <v>391337</v>
      </c>
      <c r="AZ127" s="155">
        <v>389111</v>
      </c>
      <c r="BA127" s="155">
        <v>386835</v>
      </c>
      <c r="BB127" s="155">
        <v>384733</v>
      </c>
      <c r="BC127" s="155">
        <v>382929</v>
      </c>
      <c r="BD127" s="155">
        <v>381432</v>
      </c>
      <c r="BE127" s="155">
        <v>380162</v>
      </c>
      <c r="BF127" s="155">
        <v>379104</v>
      </c>
      <c r="BG127" s="155">
        <v>378322</v>
      </c>
      <c r="BH127" s="155">
        <v>377802</v>
      </c>
      <c r="BI127" s="155">
        <v>377532</v>
      </c>
      <c r="BJ127" s="155">
        <v>377399</v>
      </c>
      <c r="BK127" s="155">
        <v>377364</v>
      </c>
      <c r="BL127" s="155">
        <v>377521</v>
      </c>
      <c r="BM127" s="155">
        <v>377833</v>
      </c>
      <c r="BN127" s="155">
        <v>378225</v>
      </c>
      <c r="BO127" s="155">
        <v>378671</v>
      </c>
      <c r="BP127" s="155">
        <v>379119</v>
      </c>
      <c r="BQ127" s="155">
        <v>379554</v>
      </c>
      <c r="BR127" s="155">
        <v>379996</v>
      </c>
      <c r="BS127" s="155">
        <v>380384</v>
      </c>
      <c r="BT127" s="155">
        <v>380706</v>
      </c>
      <c r="BU127" s="155">
        <v>380942</v>
      </c>
      <c r="BV127" s="155">
        <v>381077</v>
      </c>
      <c r="BW127" s="155">
        <v>381106</v>
      </c>
      <c r="BX127" s="155">
        <v>381016</v>
      </c>
      <c r="BY127" s="155">
        <v>380801</v>
      </c>
      <c r="BZ127" s="155">
        <v>380459</v>
      </c>
      <c r="CA127" s="155">
        <v>379985</v>
      </c>
      <c r="CB127" s="155">
        <v>379401</v>
      </c>
      <c r="CC127" s="155">
        <v>378708</v>
      </c>
      <c r="CD127" s="155">
        <v>377926</v>
      </c>
      <c r="CE127" s="155">
        <v>377083</v>
      </c>
      <c r="CF127" s="155">
        <v>376181</v>
      </c>
      <c r="CG127" s="155">
        <v>375273</v>
      </c>
      <c r="CH127" s="155">
        <v>374370</v>
      </c>
      <c r="CI127" s="155">
        <v>373492</v>
      </c>
      <c r="CJ127" s="155">
        <v>372662</v>
      </c>
      <c r="CK127" s="155">
        <v>371894</v>
      </c>
      <c r="CL127" s="155">
        <v>371204</v>
      </c>
      <c r="CM127" s="155">
        <v>370598</v>
      </c>
      <c r="CN127" s="155">
        <v>370092</v>
      </c>
      <c r="CO127" s="155">
        <v>369678</v>
      </c>
      <c r="CP127" s="155">
        <v>369353</v>
      </c>
      <c r="CQ127" s="155">
        <v>369121</v>
      </c>
      <c r="CR127" s="155">
        <v>368964</v>
      </c>
      <c r="CS127" s="155">
        <v>368882</v>
      </c>
      <c r="CT127" s="155">
        <v>368858</v>
      </c>
      <c r="CU127" s="155">
        <v>368881</v>
      </c>
      <c r="CV127" s="155">
        <v>368947</v>
      </c>
      <c r="CW127" s="155">
        <v>369022</v>
      </c>
      <c r="CX127" s="155">
        <v>369107</v>
      </c>
      <c r="CY127" s="154">
        <v>369190</v>
      </c>
    </row>
    <row r="128" spans="1:103">
      <c r="A128" s="155" t="s">
        <v>1139</v>
      </c>
      <c r="B128" s="154">
        <v>19</v>
      </c>
      <c r="C128" s="155">
        <v>402747</v>
      </c>
      <c r="D128" s="155">
        <v>421438</v>
      </c>
      <c r="E128" s="155">
        <v>427563</v>
      </c>
      <c r="F128" s="155">
        <v>430400</v>
      </c>
      <c r="G128" s="155">
        <v>439248</v>
      </c>
      <c r="H128" s="155">
        <v>455101</v>
      </c>
      <c r="I128" s="155">
        <v>451823</v>
      </c>
      <c r="J128" s="155">
        <v>454866</v>
      </c>
      <c r="K128" s="155">
        <v>461776</v>
      </c>
      <c r="L128" s="155">
        <v>461437</v>
      </c>
      <c r="M128" s="155">
        <v>451984</v>
      </c>
      <c r="N128" s="155">
        <v>443048</v>
      </c>
      <c r="O128" s="155">
        <v>442396</v>
      </c>
      <c r="P128" s="155">
        <v>447627</v>
      </c>
      <c r="Q128" s="155">
        <v>436747</v>
      </c>
      <c r="R128" s="155">
        <v>429079</v>
      </c>
      <c r="S128" s="155">
        <v>426665</v>
      </c>
      <c r="T128" s="155">
        <v>419862</v>
      </c>
      <c r="U128" s="155">
        <v>410413</v>
      </c>
      <c r="V128" s="155">
        <v>414287</v>
      </c>
      <c r="W128" s="155">
        <v>396783</v>
      </c>
      <c r="X128" s="155">
        <v>396112</v>
      </c>
      <c r="Y128" s="155">
        <v>397865</v>
      </c>
      <c r="Z128" s="155">
        <v>399069</v>
      </c>
      <c r="AA128" s="155">
        <v>399746</v>
      </c>
      <c r="AB128" s="155">
        <v>400159</v>
      </c>
      <c r="AC128" s="155">
        <v>400515</v>
      </c>
      <c r="AD128" s="155">
        <v>400838</v>
      </c>
      <c r="AE128" s="155">
        <v>401146</v>
      </c>
      <c r="AF128" s="155">
        <v>401455</v>
      </c>
      <c r="AG128" s="155">
        <v>401967</v>
      </c>
      <c r="AH128" s="155">
        <v>402735</v>
      </c>
      <c r="AI128" s="155">
        <v>403619</v>
      </c>
      <c r="AJ128" s="155">
        <v>404594</v>
      </c>
      <c r="AK128" s="155">
        <v>405727</v>
      </c>
      <c r="AL128" s="155">
        <v>407034</v>
      </c>
      <c r="AM128" s="155">
        <v>408393</v>
      </c>
      <c r="AN128" s="155">
        <v>409682</v>
      </c>
      <c r="AO128" s="155">
        <v>410847</v>
      </c>
      <c r="AP128" s="155">
        <v>411886</v>
      </c>
      <c r="AQ128" s="155">
        <v>412573</v>
      </c>
      <c r="AR128" s="155">
        <v>412810</v>
      </c>
      <c r="AS128" s="155">
        <v>412749</v>
      </c>
      <c r="AT128" s="155">
        <v>412471</v>
      </c>
      <c r="AU128" s="155">
        <v>412026</v>
      </c>
      <c r="AV128" s="155">
        <v>410936</v>
      </c>
      <c r="AW128" s="155">
        <v>409117</v>
      </c>
      <c r="AX128" s="155">
        <v>407093</v>
      </c>
      <c r="AY128" s="155">
        <v>404940</v>
      </c>
      <c r="AZ128" s="155">
        <v>402759</v>
      </c>
      <c r="BA128" s="155">
        <v>400534</v>
      </c>
      <c r="BB128" s="155">
        <v>398260</v>
      </c>
      <c r="BC128" s="155">
        <v>396159</v>
      </c>
      <c r="BD128" s="155">
        <v>394355</v>
      </c>
      <c r="BE128" s="155">
        <v>392862</v>
      </c>
      <c r="BF128" s="155">
        <v>391593</v>
      </c>
      <c r="BG128" s="155">
        <v>390536</v>
      </c>
      <c r="BH128" s="155">
        <v>389755</v>
      </c>
      <c r="BI128" s="155">
        <v>389235</v>
      </c>
      <c r="BJ128" s="155">
        <v>388966</v>
      </c>
      <c r="BK128" s="155">
        <v>388834</v>
      </c>
      <c r="BL128" s="155">
        <v>388799</v>
      </c>
      <c r="BM128" s="155">
        <v>388957</v>
      </c>
      <c r="BN128" s="155">
        <v>389270</v>
      </c>
      <c r="BO128" s="155">
        <v>389664</v>
      </c>
      <c r="BP128" s="155">
        <v>390110</v>
      </c>
      <c r="BQ128" s="155">
        <v>390558</v>
      </c>
      <c r="BR128" s="155">
        <v>390993</v>
      </c>
      <c r="BS128" s="155">
        <v>391436</v>
      </c>
      <c r="BT128" s="155">
        <v>391824</v>
      </c>
      <c r="BU128" s="155">
        <v>392148</v>
      </c>
      <c r="BV128" s="155">
        <v>392384</v>
      </c>
      <c r="BW128" s="155">
        <v>392519</v>
      </c>
      <c r="BX128" s="155">
        <v>392550</v>
      </c>
      <c r="BY128" s="155">
        <v>392461</v>
      </c>
      <c r="BZ128" s="155">
        <v>392248</v>
      </c>
      <c r="CA128" s="155">
        <v>391905</v>
      </c>
      <c r="CB128" s="155">
        <v>391432</v>
      </c>
      <c r="CC128" s="155">
        <v>390850</v>
      </c>
      <c r="CD128" s="155">
        <v>390157</v>
      </c>
      <c r="CE128" s="155">
        <v>389376</v>
      </c>
      <c r="CF128" s="155">
        <v>388534</v>
      </c>
      <c r="CG128" s="155">
        <v>387632</v>
      </c>
      <c r="CH128" s="155">
        <v>386725</v>
      </c>
      <c r="CI128" s="155">
        <v>385824</v>
      </c>
      <c r="CJ128" s="155">
        <v>384947</v>
      </c>
      <c r="CK128" s="155">
        <v>384119</v>
      </c>
      <c r="CL128" s="155">
        <v>383350</v>
      </c>
      <c r="CM128" s="155">
        <v>382661</v>
      </c>
      <c r="CN128" s="155">
        <v>382055</v>
      </c>
      <c r="CO128" s="155">
        <v>381550</v>
      </c>
      <c r="CP128" s="155">
        <v>381137</v>
      </c>
      <c r="CQ128" s="155">
        <v>380812</v>
      </c>
      <c r="CR128" s="155">
        <v>380581</v>
      </c>
      <c r="CS128" s="155">
        <v>380424</v>
      </c>
      <c r="CT128" s="155">
        <v>380343</v>
      </c>
      <c r="CU128" s="155">
        <v>380319</v>
      </c>
      <c r="CV128" s="155">
        <v>380342</v>
      </c>
      <c r="CW128" s="155">
        <v>380409</v>
      </c>
      <c r="CX128" s="155">
        <v>380484</v>
      </c>
      <c r="CY128" s="154">
        <v>380571</v>
      </c>
    </row>
    <row r="129" spans="1:103">
      <c r="A129" s="155" t="s">
        <v>1139</v>
      </c>
      <c r="B129" s="154">
        <v>20</v>
      </c>
      <c r="C129" s="155">
        <v>400954</v>
      </c>
      <c r="D129" s="155">
        <v>424424</v>
      </c>
      <c r="E129" s="155">
        <v>440620</v>
      </c>
      <c r="F129" s="155">
        <v>445065</v>
      </c>
      <c r="G129" s="155">
        <v>446224</v>
      </c>
      <c r="H129" s="155">
        <v>453392</v>
      </c>
      <c r="I129" s="155">
        <v>467566</v>
      </c>
      <c r="J129" s="155">
        <v>464294</v>
      </c>
      <c r="K129" s="155">
        <v>467338</v>
      </c>
      <c r="L129" s="155">
        <v>474247</v>
      </c>
      <c r="M129" s="155">
        <v>473911</v>
      </c>
      <c r="N129" s="155">
        <v>464466</v>
      </c>
      <c r="O129" s="155">
        <v>455539</v>
      </c>
      <c r="P129" s="155">
        <v>454890</v>
      </c>
      <c r="Q129" s="155">
        <v>460123</v>
      </c>
      <c r="R129" s="155">
        <v>449250</v>
      </c>
      <c r="S129" s="155">
        <v>441588</v>
      </c>
      <c r="T129" s="155">
        <v>439177</v>
      </c>
      <c r="U129" s="155">
        <v>432379</v>
      </c>
      <c r="V129" s="155">
        <v>422935</v>
      </c>
      <c r="W129" s="155">
        <v>426810</v>
      </c>
      <c r="X129" s="155">
        <v>409316</v>
      </c>
      <c r="Y129" s="155">
        <v>408646</v>
      </c>
      <c r="Z129" s="155">
        <v>410400</v>
      </c>
      <c r="AA129" s="155">
        <v>411605</v>
      </c>
      <c r="AB129" s="155">
        <v>412282</v>
      </c>
      <c r="AC129" s="155">
        <v>412696</v>
      </c>
      <c r="AD129" s="155">
        <v>413054</v>
      </c>
      <c r="AE129" s="155">
        <v>413378</v>
      </c>
      <c r="AF129" s="155">
        <v>413688</v>
      </c>
      <c r="AG129" s="155">
        <v>413999</v>
      </c>
      <c r="AH129" s="155">
        <v>414512</v>
      </c>
      <c r="AI129" s="155">
        <v>415282</v>
      </c>
      <c r="AJ129" s="155">
        <v>416166</v>
      </c>
      <c r="AK129" s="155">
        <v>417142</v>
      </c>
      <c r="AL129" s="155">
        <v>418276</v>
      </c>
      <c r="AM129" s="155">
        <v>419585</v>
      </c>
      <c r="AN129" s="155">
        <v>420944</v>
      </c>
      <c r="AO129" s="155">
        <v>422235</v>
      </c>
      <c r="AP129" s="155">
        <v>423401</v>
      </c>
      <c r="AQ129" s="155">
        <v>424439</v>
      </c>
      <c r="AR129" s="155">
        <v>425127</v>
      </c>
      <c r="AS129" s="155">
        <v>425366</v>
      </c>
      <c r="AT129" s="155">
        <v>425306</v>
      </c>
      <c r="AU129" s="155">
        <v>425030</v>
      </c>
      <c r="AV129" s="155">
        <v>424585</v>
      </c>
      <c r="AW129" s="155">
        <v>423497</v>
      </c>
      <c r="AX129" s="155">
        <v>421680</v>
      </c>
      <c r="AY129" s="155">
        <v>419659</v>
      </c>
      <c r="AZ129" s="155">
        <v>417508</v>
      </c>
      <c r="BA129" s="155">
        <v>415328</v>
      </c>
      <c r="BB129" s="155">
        <v>413105</v>
      </c>
      <c r="BC129" s="155">
        <v>410833</v>
      </c>
      <c r="BD129" s="155">
        <v>408734</v>
      </c>
      <c r="BE129" s="155">
        <v>406931</v>
      </c>
      <c r="BF129" s="155">
        <v>405438</v>
      </c>
      <c r="BG129" s="155">
        <v>404171</v>
      </c>
      <c r="BH129" s="155">
        <v>403117</v>
      </c>
      <c r="BI129" s="155">
        <v>402336</v>
      </c>
      <c r="BJ129" s="155">
        <v>401816</v>
      </c>
      <c r="BK129" s="155">
        <v>401548</v>
      </c>
      <c r="BL129" s="155">
        <v>401417</v>
      </c>
      <c r="BM129" s="155">
        <v>401383</v>
      </c>
      <c r="BN129" s="155">
        <v>401543</v>
      </c>
      <c r="BO129" s="155">
        <v>401857</v>
      </c>
      <c r="BP129" s="155">
        <v>402252</v>
      </c>
      <c r="BQ129" s="155">
        <v>402700</v>
      </c>
      <c r="BR129" s="155">
        <v>403150</v>
      </c>
      <c r="BS129" s="155">
        <v>403585</v>
      </c>
      <c r="BT129" s="155">
        <v>404029</v>
      </c>
      <c r="BU129" s="155">
        <v>404417</v>
      </c>
      <c r="BV129" s="155">
        <v>404741</v>
      </c>
      <c r="BW129" s="155">
        <v>404978</v>
      </c>
      <c r="BX129" s="155">
        <v>405115</v>
      </c>
      <c r="BY129" s="155">
        <v>405145</v>
      </c>
      <c r="BZ129" s="155">
        <v>405059</v>
      </c>
      <c r="CA129" s="155">
        <v>404846</v>
      </c>
      <c r="CB129" s="155">
        <v>404503</v>
      </c>
      <c r="CC129" s="155">
        <v>404032</v>
      </c>
      <c r="CD129" s="155">
        <v>403451</v>
      </c>
      <c r="CE129" s="155">
        <v>402759</v>
      </c>
      <c r="CF129" s="155">
        <v>401978</v>
      </c>
      <c r="CG129" s="155">
        <v>401136</v>
      </c>
      <c r="CH129" s="155">
        <v>400236</v>
      </c>
      <c r="CI129" s="155">
        <v>399331</v>
      </c>
      <c r="CJ129" s="155">
        <v>398429</v>
      </c>
      <c r="CK129" s="155">
        <v>397553</v>
      </c>
      <c r="CL129" s="155">
        <v>396726</v>
      </c>
      <c r="CM129" s="155">
        <v>395959</v>
      </c>
      <c r="CN129" s="155">
        <v>395271</v>
      </c>
      <c r="CO129" s="155">
        <v>394665</v>
      </c>
      <c r="CP129" s="155">
        <v>394161</v>
      </c>
      <c r="CQ129" s="155">
        <v>393748</v>
      </c>
      <c r="CR129" s="155">
        <v>393424</v>
      </c>
      <c r="CS129" s="155">
        <v>393194</v>
      </c>
      <c r="CT129" s="155">
        <v>393040</v>
      </c>
      <c r="CU129" s="155">
        <v>392959</v>
      </c>
      <c r="CV129" s="155">
        <v>392936</v>
      </c>
      <c r="CW129" s="155">
        <v>392958</v>
      </c>
      <c r="CX129" s="155">
        <v>393026</v>
      </c>
      <c r="CY129" s="154">
        <v>393102</v>
      </c>
    </row>
    <row r="130" spans="1:103">
      <c r="A130" s="155" t="s">
        <v>1139</v>
      </c>
      <c r="B130" s="154">
        <v>21</v>
      </c>
      <c r="C130" s="155">
        <v>402021</v>
      </c>
      <c r="D130" s="155">
        <v>419040</v>
      </c>
      <c r="E130" s="155">
        <v>439826</v>
      </c>
      <c r="F130" s="155">
        <v>454397</v>
      </c>
      <c r="G130" s="155">
        <v>457224</v>
      </c>
      <c r="H130" s="155">
        <v>456765</v>
      </c>
      <c r="I130" s="155">
        <v>462319</v>
      </c>
      <c r="J130" s="155">
        <v>476488</v>
      </c>
      <c r="K130" s="155">
        <v>473221</v>
      </c>
      <c r="L130" s="155">
        <v>476266</v>
      </c>
      <c r="M130" s="155">
        <v>483176</v>
      </c>
      <c r="N130" s="155">
        <v>482842</v>
      </c>
      <c r="O130" s="155">
        <v>473405</v>
      </c>
      <c r="P130" s="155">
        <v>464486</v>
      </c>
      <c r="Q130" s="155">
        <v>463841</v>
      </c>
      <c r="R130" s="155">
        <v>469075</v>
      </c>
      <c r="S130" s="155">
        <v>458210</v>
      </c>
      <c r="T130" s="155">
        <v>450555</v>
      </c>
      <c r="U130" s="155">
        <v>448148</v>
      </c>
      <c r="V130" s="155">
        <v>441355</v>
      </c>
      <c r="W130" s="155">
        <v>431915</v>
      </c>
      <c r="X130" s="155">
        <v>435791</v>
      </c>
      <c r="Y130" s="155">
        <v>418307</v>
      </c>
      <c r="Z130" s="155">
        <v>417638</v>
      </c>
      <c r="AA130" s="155">
        <v>419394</v>
      </c>
      <c r="AB130" s="155">
        <v>420599</v>
      </c>
      <c r="AC130" s="155">
        <v>421278</v>
      </c>
      <c r="AD130" s="155">
        <v>421693</v>
      </c>
      <c r="AE130" s="155">
        <v>422054</v>
      </c>
      <c r="AF130" s="155">
        <v>422379</v>
      </c>
      <c r="AG130" s="155">
        <v>422690</v>
      </c>
      <c r="AH130" s="155">
        <v>423004</v>
      </c>
      <c r="AI130" s="155">
        <v>423518</v>
      </c>
      <c r="AJ130" s="155">
        <v>424289</v>
      </c>
      <c r="AK130" s="155">
        <v>425174</v>
      </c>
      <c r="AL130" s="155">
        <v>426151</v>
      </c>
      <c r="AM130" s="155">
        <v>427286</v>
      </c>
      <c r="AN130" s="155">
        <v>428595</v>
      </c>
      <c r="AO130" s="155">
        <v>429956</v>
      </c>
      <c r="AP130" s="155">
        <v>431248</v>
      </c>
      <c r="AQ130" s="155">
        <v>432416</v>
      </c>
      <c r="AR130" s="155">
        <v>433455</v>
      </c>
      <c r="AS130" s="155">
        <v>434145</v>
      </c>
      <c r="AT130" s="155">
        <v>434386</v>
      </c>
      <c r="AU130" s="155">
        <v>434327</v>
      </c>
      <c r="AV130" s="155">
        <v>434052</v>
      </c>
      <c r="AW130" s="155">
        <v>433609</v>
      </c>
      <c r="AX130" s="155">
        <v>432523</v>
      </c>
      <c r="AY130" s="155">
        <v>430708</v>
      </c>
      <c r="AZ130" s="155">
        <v>428689</v>
      </c>
      <c r="BA130" s="155">
        <v>426539</v>
      </c>
      <c r="BB130" s="155">
        <v>424361</v>
      </c>
      <c r="BC130" s="155">
        <v>422140</v>
      </c>
      <c r="BD130" s="155">
        <v>419869</v>
      </c>
      <c r="BE130" s="155">
        <v>417771</v>
      </c>
      <c r="BF130" s="155">
        <v>415971</v>
      </c>
      <c r="BG130" s="155">
        <v>414480</v>
      </c>
      <c r="BH130" s="155">
        <v>413216</v>
      </c>
      <c r="BI130" s="155">
        <v>412163</v>
      </c>
      <c r="BJ130" s="155">
        <v>411383</v>
      </c>
      <c r="BK130" s="155">
        <v>410865</v>
      </c>
      <c r="BL130" s="155">
        <v>410597</v>
      </c>
      <c r="BM130" s="155">
        <v>410467</v>
      </c>
      <c r="BN130" s="155">
        <v>410434</v>
      </c>
      <c r="BO130" s="155">
        <v>410595</v>
      </c>
      <c r="BP130" s="155">
        <v>410910</v>
      </c>
      <c r="BQ130" s="155">
        <v>411306</v>
      </c>
      <c r="BR130" s="155">
        <v>411755</v>
      </c>
      <c r="BS130" s="155">
        <v>412206</v>
      </c>
      <c r="BT130" s="155">
        <v>412642</v>
      </c>
      <c r="BU130" s="155">
        <v>413087</v>
      </c>
      <c r="BV130" s="155">
        <v>413475</v>
      </c>
      <c r="BW130" s="155">
        <v>413799</v>
      </c>
      <c r="BX130" s="155">
        <v>414038</v>
      </c>
      <c r="BY130" s="155">
        <v>414177</v>
      </c>
      <c r="BZ130" s="155">
        <v>414207</v>
      </c>
      <c r="CA130" s="155">
        <v>414121</v>
      </c>
      <c r="CB130" s="155">
        <v>413911</v>
      </c>
      <c r="CC130" s="155">
        <v>413570</v>
      </c>
      <c r="CD130" s="155">
        <v>413100</v>
      </c>
      <c r="CE130" s="155">
        <v>412519</v>
      </c>
      <c r="CF130" s="155">
        <v>411828</v>
      </c>
      <c r="CG130" s="155">
        <v>411049</v>
      </c>
      <c r="CH130" s="155">
        <v>410207</v>
      </c>
      <c r="CI130" s="155">
        <v>409308</v>
      </c>
      <c r="CJ130" s="155">
        <v>408406</v>
      </c>
      <c r="CK130" s="155">
        <v>407503</v>
      </c>
      <c r="CL130" s="155">
        <v>406628</v>
      </c>
      <c r="CM130" s="155">
        <v>405802</v>
      </c>
      <c r="CN130" s="155">
        <v>405036</v>
      </c>
      <c r="CO130" s="155">
        <v>404350</v>
      </c>
      <c r="CP130" s="155">
        <v>403743</v>
      </c>
      <c r="CQ130" s="155">
        <v>403241</v>
      </c>
      <c r="CR130" s="155">
        <v>402829</v>
      </c>
      <c r="CS130" s="155">
        <v>402505</v>
      </c>
      <c r="CT130" s="155">
        <v>402276</v>
      </c>
      <c r="CU130" s="155">
        <v>402124</v>
      </c>
      <c r="CV130" s="155">
        <v>402042</v>
      </c>
      <c r="CW130" s="155">
        <v>402020</v>
      </c>
      <c r="CX130" s="155">
        <v>402042</v>
      </c>
      <c r="CY130" s="154">
        <v>402111</v>
      </c>
    </row>
    <row r="131" spans="1:103">
      <c r="A131" s="155" t="s">
        <v>1139</v>
      </c>
      <c r="B131" s="154">
        <v>22</v>
      </c>
      <c r="C131" s="155">
        <v>410434</v>
      </c>
      <c r="D131" s="155">
        <v>419102</v>
      </c>
      <c r="E131" s="155">
        <v>432830</v>
      </c>
      <c r="F131" s="155">
        <v>451799</v>
      </c>
      <c r="G131" s="155">
        <v>464560</v>
      </c>
      <c r="H131" s="155">
        <v>465580</v>
      </c>
      <c r="I131" s="155">
        <v>463325</v>
      </c>
      <c r="J131" s="155">
        <v>468876</v>
      </c>
      <c r="K131" s="155">
        <v>483042</v>
      </c>
      <c r="L131" s="155">
        <v>479778</v>
      </c>
      <c r="M131" s="155">
        <v>482826</v>
      </c>
      <c r="N131" s="155">
        <v>489735</v>
      </c>
      <c r="O131" s="155">
        <v>489404</v>
      </c>
      <c r="P131" s="155">
        <v>479976</v>
      </c>
      <c r="Q131" s="155">
        <v>471064</v>
      </c>
      <c r="R131" s="155">
        <v>470422</v>
      </c>
      <c r="S131" s="155">
        <v>475658</v>
      </c>
      <c r="T131" s="155">
        <v>464801</v>
      </c>
      <c r="U131" s="155">
        <v>457152</v>
      </c>
      <c r="V131" s="155">
        <v>454748</v>
      </c>
      <c r="W131" s="155">
        <v>447961</v>
      </c>
      <c r="X131" s="155">
        <v>438528</v>
      </c>
      <c r="Y131" s="155">
        <v>442405</v>
      </c>
      <c r="Z131" s="155">
        <v>424930</v>
      </c>
      <c r="AA131" s="155">
        <v>424262</v>
      </c>
      <c r="AB131" s="155">
        <v>426020</v>
      </c>
      <c r="AC131" s="155">
        <v>427226</v>
      </c>
      <c r="AD131" s="155">
        <v>427908</v>
      </c>
      <c r="AE131" s="155">
        <v>428324</v>
      </c>
      <c r="AF131" s="155">
        <v>428687</v>
      </c>
      <c r="AG131" s="155">
        <v>429013</v>
      </c>
      <c r="AH131" s="155">
        <v>429326</v>
      </c>
      <c r="AI131" s="155">
        <v>429641</v>
      </c>
      <c r="AJ131" s="155">
        <v>430158</v>
      </c>
      <c r="AK131" s="155">
        <v>430930</v>
      </c>
      <c r="AL131" s="155">
        <v>431816</v>
      </c>
      <c r="AM131" s="155">
        <v>432794</v>
      </c>
      <c r="AN131" s="155">
        <v>433931</v>
      </c>
      <c r="AO131" s="155">
        <v>435241</v>
      </c>
      <c r="AP131" s="155">
        <v>436603</v>
      </c>
      <c r="AQ131" s="155">
        <v>437897</v>
      </c>
      <c r="AR131" s="155">
        <v>439066</v>
      </c>
      <c r="AS131" s="155">
        <v>440106</v>
      </c>
      <c r="AT131" s="155">
        <v>440797</v>
      </c>
      <c r="AU131" s="155">
        <v>441040</v>
      </c>
      <c r="AV131" s="155">
        <v>440983</v>
      </c>
      <c r="AW131" s="155">
        <v>440708</v>
      </c>
      <c r="AX131" s="155">
        <v>440267</v>
      </c>
      <c r="AY131" s="155">
        <v>439183</v>
      </c>
      <c r="AZ131" s="155">
        <v>437371</v>
      </c>
      <c r="BA131" s="155">
        <v>435352</v>
      </c>
      <c r="BB131" s="155">
        <v>433205</v>
      </c>
      <c r="BC131" s="155">
        <v>431031</v>
      </c>
      <c r="BD131" s="155">
        <v>428811</v>
      </c>
      <c r="BE131" s="155">
        <v>426542</v>
      </c>
      <c r="BF131" s="155">
        <v>424446</v>
      </c>
      <c r="BG131" s="155">
        <v>422647</v>
      </c>
      <c r="BH131" s="155">
        <v>421160</v>
      </c>
      <c r="BI131" s="155">
        <v>419895</v>
      </c>
      <c r="BJ131" s="155">
        <v>418844</v>
      </c>
      <c r="BK131" s="155">
        <v>418064</v>
      </c>
      <c r="BL131" s="155">
        <v>417549</v>
      </c>
      <c r="BM131" s="155">
        <v>417282</v>
      </c>
      <c r="BN131" s="155">
        <v>417153</v>
      </c>
      <c r="BO131" s="155">
        <v>417123</v>
      </c>
      <c r="BP131" s="155">
        <v>417285</v>
      </c>
      <c r="BQ131" s="155">
        <v>417600</v>
      </c>
      <c r="BR131" s="155">
        <v>417998</v>
      </c>
      <c r="BS131" s="155">
        <v>418448</v>
      </c>
      <c r="BT131" s="155">
        <v>418900</v>
      </c>
      <c r="BU131" s="155">
        <v>419336</v>
      </c>
      <c r="BV131" s="155">
        <v>419782</v>
      </c>
      <c r="BW131" s="155">
        <v>420173</v>
      </c>
      <c r="BX131" s="155">
        <v>420497</v>
      </c>
      <c r="BY131" s="155">
        <v>420738</v>
      </c>
      <c r="BZ131" s="155">
        <v>420878</v>
      </c>
      <c r="CA131" s="155">
        <v>420906</v>
      </c>
      <c r="CB131" s="155">
        <v>420821</v>
      </c>
      <c r="CC131" s="155">
        <v>420613</v>
      </c>
      <c r="CD131" s="155">
        <v>420273</v>
      </c>
      <c r="CE131" s="155">
        <v>419805</v>
      </c>
      <c r="CF131" s="155">
        <v>419225</v>
      </c>
      <c r="CG131" s="155">
        <v>418535</v>
      </c>
      <c r="CH131" s="155">
        <v>417757</v>
      </c>
      <c r="CI131" s="155">
        <v>416918</v>
      </c>
      <c r="CJ131" s="155">
        <v>416019</v>
      </c>
      <c r="CK131" s="155">
        <v>415118</v>
      </c>
      <c r="CL131" s="155">
        <v>414216</v>
      </c>
      <c r="CM131" s="155">
        <v>413343</v>
      </c>
      <c r="CN131" s="155">
        <v>412518</v>
      </c>
      <c r="CO131" s="155">
        <v>411753</v>
      </c>
      <c r="CP131" s="155">
        <v>411067</v>
      </c>
      <c r="CQ131" s="155">
        <v>410461</v>
      </c>
      <c r="CR131" s="155">
        <v>409960</v>
      </c>
      <c r="CS131" s="155">
        <v>409550</v>
      </c>
      <c r="CT131" s="155">
        <v>409226</v>
      </c>
      <c r="CU131" s="155">
        <v>408997</v>
      </c>
      <c r="CV131" s="155">
        <v>408847</v>
      </c>
      <c r="CW131" s="155">
        <v>408766</v>
      </c>
      <c r="CX131" s="155">
        <v>408743</v>
      </c>
      <c r="CY131" s="154">
        <v>408767</v>
      </c>
    </row>
    <row r="132" spans="1:103">
      <c r="A132" s="155" t="s">
        <v>1139</v>
      </c>
      <c r="B132" s="154">
        <v>23</v>
      </c>
      <c r="C132" s="155">
        <v>423214</v>
      </c>
      <c r="D132" s="155">
        <v>430777</v>
      </c>
      <c r="E132" s="155">
        <v>435134</v>
      </c>
      <c r="F132" s="155">
        <v>446554</v>
      </c>
      <c r="G132" s="155">
        <v>463212</v>
      </c>
      <c r="H132" s="155">
        <v>473665</v>
      </c>
      <c r="I132" s="155">
        <v>472394</v>
      </c>
      <c r="J132" s="155">
        <v>470141</v>
      </c>
      <c r="K132" s="155">
        <v>475692</v>
      </c>
      <c r="L132" s="155">
        <v>489852</v>
      </c>
      <c r="M132" s="155">
        <v>486593</v>
      </c>
      <c r="N132" s="155">
        <v>489643</v>
      </c>
      <c r="O132" s="155">
        <v>496551</v>
      </c>
      <c r="P132" s="155">
        <v>496223</v>
      </c>
      <c r="Q132" s="155">
        <v>486803</v>
      </c>
      <c r="R132" s="155">
        <v>477899</v>
      </c>
      <c r="S132" s="155">
        <v>477261</v>
      </c>
      <c r="T132" s="155">
        <v>482498</v>
      </c>
      <c r="U132" s="155">
        <v>471649</v>
      </c>
      <c r="V132" s="155">
        <v>464006</v>
      </c>
      <c r="W132" s="155">
        <v>461607</v>
      </c>
      <c r="X132" s="155">
        <v>454825</v>
      </c>
      <c r="Y132" s="155">
        <v>445398</v>
      </c>
      <c r="Z132" s="155">
        <v>449276</v>
      </c>
      <c r="AA132" s="155">
        <v>431811</v>
      </c>
      <c r="AB132" s="155">
        <v>431145</v>
      </c>
      <c r="AC132" s="155">
        <v>432904</v>
      </c>
      <c r="AD132" s="155">
        <v>434112</v>
      </c>
      <c r="AE132" s="155">
        <v>434795</v>
      </c>
      <c r="AF132" s="155">
        <v>435213</v>
      </c>
      <c r="AG132" s="155">
        <v>435579</v>
      </c>
      <c r="AH132" s="155">
        <v>435907</v>
      </c>
      <c r="AI132" s="155">
        <v>436222</v>
      </c>
      <c r="AJ132" s="155">
        <v>436538</v>
      </c>
      <c r="AK132" s="155">
        <v>437056</v>
      </c>
      <c r="AL132" s="155">
        <v>437830</v>
      </c>
      <c r="AM132" s="155">
        <v>438719</v>
      </c>
      <c r="AN132" s="155">
        <v>439697</v>
      </c>
      <c r="AO132" s="155">
        <v>440836</v>
      </c>
      <c r="AP132" s="155">
        <v>442146</v>
      </c>
      <c r="AQ132" s="155">
        <v>443510</v>
      </c>
      <c r="AR132" s="155">
        <v>444805</v>
      </c>
      <c r="AS132" s="155">
        <v>445976</v>
      </c>
      <c r="AT132" s="155">
        <v>447017</v>
      </c>
      <c r="AU132" s="155">
        <v>447709</v>
      </c>
      <c r="AV132" s="155">
        <v>447953</v>
      </c>
      <c r="AW132" s="155">
        <v>447900</v>
      </c>
      <c r="AX132" s="155">
        <v>447626</v>
      </c>
      <c r="AY132" s="155">
        <v>447185</v>
      </c>
      <c r="AZ132" s="155">
        <v>446103</v>
      </c>
      <c r="BA132" s="155">
        <v>444294</v>
      </c>
      <c r="BB132" s="155">
        <v>442277</v>
      </c>
      <c r="BC132" s="155">
        <v>440133</v>
      </c>
      <c r="BD132" s="155">
        <v>437961</v>
      </c>
      <c r="BE132" s="155">
        <v>435743</v>
      </c>
      <c r="BF132" s="155">
        <v>433477</v>
      </c>
      <c r="BG132" s="155">
        <v>431383</v>
      </c>
      <c r="BH132" s="155">
        <v>429586</v>
      </c>
      <c r="BI132" s="155">
        <v>428100</v>
      </c>
      <c r="BJ132" s="155">
        <v>426836</v>
      </c>
      <c r="BK132" s="155">
        <v>425788</v>
      </c>
      <c r="BL132" s="155">
        <v>425009</v>
      </c>
      <c r="BM132" s="155">
        <v>424495</v>
      </c>
      <c r="BN132" s="155">
        <v>424229</v>
      </c>
      <c r="BO132" s="155">
        <v>424102</v>
      </c>
      <c r="BP132" s="155">
        <v>424074</v>
      </c>
      <c r="BQ132" s="155">
        <v>424237</v>
      </c>
      <c r="BR132" s="155">
        <v>424552</v>
      </c>
      <c r="BS132" s="155">
        <v>424952</v>
      </c>
      <c r="BT132" s="155">
        <v>425403</v>
      </c>
      <c r="BU132" s="155">
        <v>425856</v>
      </c>
      <c r="BV132" s="155">
        <v>426295</v>
      </c>
      <c r="BW132" s="155">
        <v>426742</v>
      </c>
      <c r="BX132" s="155">
        <v>427133</v>
      </c>
      <c r="BY132" s="155">
        <v>427458</v>
      </c>
      <c r="BZ132" s="155">
        <v>427700</v>
      </c>
      <c r="CA132" s="155">
        <v>427841</v>
      </c>
      <c r="CB132" s="155">
        <v>427870</v>
      </c>
      <c r="CC132" s="155">
        <v>427785</v>
      </c>
      <c r="CD132" s="155">
        <v>427580</v>
      </c>
      <c r="CE132" s="155">
        <v>427241</v>
      </c>
      <c r="CF132" s="155">
        <v>426774</v>
      </c>
      <c r="CG132" s="155">
        <v>426194</v>
      </c>
      <c r="CH132" s="155">
        <v>425506</v>
      </c>
      <c r="CI132" s="155">
        <v>424728</v>
      </c>
      <c r="CJ132" s="155">
        <v>423890</v>
      </c>
      <c r="CK132" s="155">
        <v>422994</v>
      </c>
      <c r="CL132" s="155">
        <v>422096</v>
      </c>
      <c r="CM132" s="155">
        <v>421195</v>
      </c>
      <c r="CN132" s="155">
        <v>420323</v>
      </c>
      <c r="CO132" s="155">
        <v>419498</v>
      </c>
      <c r="CP132" s="155">
        <v>418734</v>
      </c>
      <c r="CQ132" s="155">
        <v>418049</v>
      </c>
      <c r="CR132" s="155">
        <v>417443</v>
      </c>
      <c r="CS132" s="155">
        <v>416944</v>
      </c>
      <c r="CT132" s="155">
        <v>416535</v>
      </c>
      <c r="CU132" s="155">
        <v>416212</v>
      </c>
      <c r="CV132" s="155">
        <v>415984</v>
      </c>
      <c r="CW132" s="155">
        <v>415835</v>
      </c>
      <c r="CX132" s="155">
        <v>415754</v>
      </c>
      <c r="CY132" s="154">
        <v>415731</v>
      </c>
    </row>
    <row r="133" spans="1:103">
      <c r="A133" s="155" t="s">
        <v>1139</v>
      </c>
      <c r="B133" s="154">
        <v>24</v>
      </c>
      <c r="C133" s="155">
        <v>423512</v>
      </c>
      <c r="D133" s="155">
        <v>442811</v>
      </c>
      <c r="E133" s="155">
        <v>445372</v>
      </c>
      <c r="F133" s="155">
        <v>447186</v>
      </c>
      <c r="G133" s="155">
        <v>456060</v>
      </c>
      <c r="H133" s="155">
        <v>470167</v>
      </c>
      <c r="I133" s="155">
        <v>478087</v>
      </c>
      <c r="J133" s="155">
        <v>476819</v>
      </c>
      <c r="K133" s="155">
        <v>474568</v>
      </c>
      <c r="L133" s="155">
        <v>480119</v>
      </c>
      <c r="M133" s="155">
        <v>494272</v>
      </c>
      <c r="N133" s="155">
        <v>491016</v>
      </c>
      <c r="O133" s="155">
        <v>494068</v>
      </c>
      <c r="P133" s="155">
        <v>500977</v>
      </c>
      <c r="Q133" s="155">
        <v>500652</v>
      </c>
      <c r="R133" s="155">
        <v>491241</v>
      </c>
      <c r="S133" s="155">
        <v>482342</v>
      </c>
      <c r="T133" s="155">
        <v>481708</v>
      </c>
      <c r="U133" s="155">
        <v>486946</v>
      </c>
      <c r="V133" s="155">
        <v>476107</v>
      </c>
      <c r="W133" s="155">
        <v>468470</v>
      </c>
      <c r="X133" s="155">
        <v>466075</v>
      </c>
      <c r="Y133" s="155">
        <v>459298</v>
      </c>
      <c r="Z133" s="155">
        <v>449880</v>
      </c>
      <c r="AA133" s="155">
        <v>453757</v>
      </c>
      <c r="AB133" s="155">
        <v>436303</v>
      </c>
      <c r="AC133" s="155">
        <v>435640</v>
      </c>
      <c r="AD133" s="155">
        <v>437399</v>
      </c>
      <c r="AE133" s="155">
        <v>438609</v>
      </c>
      <c r="AF133" s="155">
        <v>439293</v>
      </c>
      <c r="AG133" s="155">
        <v>439714</v>
      </c>
      <c r="AH133" s="155">
        <v>440080</v>
      </c>
      <c r="AI133" s="155">
        <v>440411</v>
      </c>
      <c r="AJ133" s="155">
        <v>440727</v>
      </c>
      <c r="AK133" s="155">
        <v>441048</v>
      </c>
      <c r="AL133" s="155">
        <v>441567</v>
      </c>
      <c r="AM133" s="155">
        <v>442342</v>
      </c>
      <c r="AN133" s="155">
        <v>443232</v>
      </c>
      <c r="AO133" s="155">
        <v>444212</v>
      </c>
      <c r="AP133" s="155">
        <v>445352</v>
      </c>
      <c r="AQ133" s="155">
        <v>446663</v>
      </c>
      <c r="AR133" s="155">
        <v>448028</v>
      </c>
      <c r="AS133" s="155">
        <v>449324</v>
      </c>
      <c r="AT133" s="155">
        <v>450497</v>
      </c>
      <c r="AU133" s="155">
        <v>451540</v>
      </c>
      <c r="AV133" s="155">
        <v>452234</v>
      </c>
      <c r="AW133" s="155">
        <v>452478</v>
      </c>
      <c r="AX133" s="155">
        <v>452427</v>
      </c>
      <c r="AY133" s="155">
        <v>452156</v>
      </c>
      <c r="AZ133" s="155">
        <v>451716</v>
      </c>
      <c r="BA133" s="155">
        <v>450637</v>
      </c>
      <c r="BB133" s="155">
        <v>448830</v>
      </c>
      <c r="BC133" s="155">
        <v>446817</v>
      </c>
      <c r="BD133" s="155">
        <v>444675</v>
      </c>
      <c r="BE133" s="155">
        <v>442504</v>
      </c>
      <c r="BF133" s="155">
        <v>440289</v>
      </c>
      <c r="BG133" s="155">
        <v>438024</v>
      </c>
      <c r="BH133" s="155">
        <v>435934</v>
      </c>
      <c r="BI133" s="155">
        <v>434137</v>
      </c>
      <c r="BJ133" s="155">
        <v>432655</v>
      </c>
      <c r="BK133" s="155">
        <v>431392</v>
      </c>
      <c r="BL133" s="155">
        <v>430345</v>
      </c>
      <c r="BM133" s="155">
        <v>429568</v>
      </c>
      <c r="BN133" s="155">
        <v>429055</v>
      </c>
      <c r="BO133" s="155">
        <v>428792</v>
      </c>
      <c r="BP133" s="155">
        <v>428667</v>
      </c>
      <c r="BQ133" s="155">
        <v>428640</v>
      </c>
      <c r="BR133" s="155">
        <v>428804</v>
      </c>
      <c r="BS133" s="155">
        <v>429119</v>
      </c>
      <c r="BT133" s="155">
        <v>429520</v>
      </c>
      <c r="BU133" s="155">
        <v>429972</v>
      </c>
      <c r="BV133" s="155">
        <v>430426</v>
      </c>
      <c r="BW133" s="155">
        <v>430868</v>
      </c>
      <c r="BX133" s="155">
        <v>431316</v>
      </c>
      <c r="BY133" s="155">
        <v>431708</v>
      </c>
      <c r="BZ133" s="155">
        <v>432034</v>
      </c>
      <c r="CA133" s="155">
        <v>432276</v>
      </c>
      <c r="CB133" s="155">
        <v>432418</v>
      </c>
      <c r="CC133" s="155">
        <v>432448</v>
      </c>
      <c r="CD133" s="155">
        <v>432365</v>
      </c>
      <c r="CE133" s="155">
        <v>432161</v>
      </c>
      <c r="CF133" s="155">
        <v>431823</v>
      </c>
      <c r="CG133" s="155">
        <v>431357</v>
      </c>
      <c r="CH133" s="155">
        <v>430779</v>
      </c>
      <c r="CI133" s="155">
        <v>430091</v>
      </c>
      <c r="CJ133" s="155">
        <v>429316</v>
      </c>
      <c r="CK133" s="155">
        <v>428480</v>
      </c>
      <c r="CL133" s="155">
        <v>427585</v>
      </c>
      <c r="CM133" s="155">
        <v>426688</v>
      </c>
      <c r="CN133" s="155">
        <v>425788</v>
      </c>
      <c r="CO133" s="155">
        <v>424917</v>
      </c>
      <c r="CP133" s="155">
        <v>424094</v>
      </c>
      <c r="CQ133" s="155">
        <v>423332</v>
      </c>
      <c r="CR133" s="155">
        <v>422647</v>
      </c>
      <c r="CS133" s="155">
        <v>422043</v>
      </c>
      <c r="CT133" s="155">
        <v>421544</v>
      </c>
      <c r="CU133" s="155">
        <v>421137</v>
      </c>
      <c r="CV133" s="155">
        <v>420814</v>
      </c>
      <c r="CW133" s="155">
        <v>420587</v>
      </c>
      <c r="CX133" s="155">
        <v>420438</v>
      </c>
      <c r="CY133" s="154">
        <v>420359</v>
      </c>
    </row>
    <row r="134" spans="1:103">
      <c r="A134" s="155" t="s">
        <v>1139</v>
      </c>
      <c r="B134" s="154">
        <v>25</v>
      </c>
      <c r="C134" s="155">
        <v>430401</v>
      </c>
      <c r="D134" s="155">
        <v>439553</v>
      </c>
      <c r="E134" s="155">
        <v>454101</v>
      </c>
      <c r="F134" s="155">
        <v>454336</v>
      </c>
      <c r="G134" s="155">
        <v>453828</v>
      </c>
      <c r="H134" s="155">
        <v>460372</v>
      </c>
      <c r="I134" s="155">
        <v>472160</v>
      </c>
      <c r="J134" s="155">
        <v>480075</v>
      </c>
      <c r="K134" s="155">
        <v>478811</v>
      </c>
      <c r="L134" s="155">
        <v>476562</v>
      </c>
      <c r="M134" s="155">
        <v>482112</v>
      </c>
      <c r="N134" s="155">
        <v>496260</v>
      </c>
      <c r="O134" s="155">
        <v>493008</v>
      </c>
      <c r="P134" s="155">
        <v>496061</v>
      </c>
      <c r="Q134" s="155">
        <v>502969</v>
      </c>
      <c r="R134" s="155">
        <v>502647</v>
      </c>
      <c r="S134" s="155">
        <v>493245</v>
      </c>
      <c r="T134" s="155">
        <v>484354</v>
      </c>
      <c r="U134" s="155">
        <v>483723</v>
      </c>
      <c r="V134" s="155">
        <v>488963</v>
      </c>
      <c r="W134" s="155">
        <v>478132</v>
      </c>
      <c r="X134" s="155">
        <v>470503</v>
      </c>
      <c r="Y134" s="155">
        <v>468110</v>
      </c>
      <c r="Z134" s="155">
        <v>461340</v>
      </c>
      <c r="AA134" s="155">
        <v>451928</v>
      </c>
      <c r="AB134" s="155">
        <v>455807</v>
      </c>
      <c r="AC134" s="155">
        <v>438364</v>
      </c>
      <c r="AD134" s="155">
        <v>437702</v>
      </c>
      <c r="AE134" s="155">
        <v>439462</v>
      </c>
      <c r="AF134" s="155">
        <v>440672</v>
      </c>
      <c r="AG134" s="155">
        <v>441361</v>
      </c>
      <c r="AH134" s="155">
        <v>441782</v>
      </c>
      <c r="AI134" s="155">
        <v>442151</v>
      </c>
      <c r="AJ134" s="155">
        <v>442482</v>
      </c>
      <c r="AK134" s="155">
        <v>442801</v>
      </c>
      <c r="AL134" s="155">
        <v>443124</v>
      </c>
      <c r="AM134" s="155">
        <v>443645</v>
      </c>
      <c r="AN134" s="155">
        <v>444422</v>
      </c>
      <c r="AO134" s="155">
        <v>445314</v>
      </c>
      <c r="AP134" s="155">
        <v>446295</v>
      </c>
      <c r="AQ134" s="155">
        <v>447437</v>
      </c>
      <c r="AR134" s="155">
        <v>448748</v>
      </c>
      <c r="AS134" s="155">
        <v>450115</v>
      </c>
      <c r="AT134" s="155">
        <v>451412</v>
      </c>
      <c r="AU134" s="155">
        <v>452586</v>
      </c>
      <c r="AV134" s="155">
        <v>453633</v>
      </c>
      <c r="AW134" s="155">
        <v>454327</v>
      </c>
      <c r="AX134" s="155">
        <v>454572</v>
      </c>
      <c r="AY134" s="155">
        <v>454525</v>
      </c>
      <c r="AZ134" s="155">
        <v>454255</v>
      </c>
      <c r="BA134" s="155">
        <v>453818</v>
      </c>
      <c r="BB134" s="155">
        <v>452740</v>
      </c>
      <c r="BC134" s="155">
        <v>450937</v>
      </c>
      <c r="BD134" s="155">
        <v>448925</v>
      </c>
      <c r="BE134" s="155">
        <v>446785</v>
      </c>
      <c r="BF134" s="155">
        <v>444617</v>
      </c>
      <c r="BG134" s="155">
        <v>442404</v>
      </c>
      <c r="BH134" s="155">
        <v>440141</v>
      </c>
      <c r="BI134" s="155">
        <v>438054</v>
      </c>
      <c r="BJ134" s="155">
        <v>436259</v>
      </c>
      <c r="BK134" s="155">
        <v>434780</v>
      </c>
      <c r="BL134" s="155">
        <v>433518</v>
      </c>
      <c r="BM134" s="155">
        <v>432473</v>
      </c>
      <c r="BN134" s="155">
        <v>431697</v>
      </c>
      <c r="BO134" s="155">
        <v>431187</v>
      </c>
      <c r="BP134" s="155">
        <v>430924</v>
      </c>
      <c r="BQ134" s="155">
        <v>430801</v>
      </c>
      <c r="BR134" s="155">
        <v>430775</v>
      </c>
      <c r="BS134" s="155">
        <v>430940</v>
      </c>
      <c r="BT134" s="155">
        <v>431256</v>
      </c>
      <c r="BU134" s="155">
        <v>431659</v>
      </c>
      <c r="BV134" s="155">
        <v>432113</v>
      </c>
      <c r="BW134" s="155">
        <v>432567</v>
      </c>
      <c r="BX134" s="155">
        <v>433011</v>
      </c>
      <c r="BY134" s="155">
        <v>433459</v>
      </c>
      <c r="BZ134" s="155">
        <v>433853</v>
      </c>
      <c r="CA134" s="155">
        <v>434180</v>
      </c>
      <c r="CB134" s="155">
        <v>434424</v>
      </c>
      <c r="CC134" s="155">
        <v>434567</v>
      </c>
      <c r="CD134" s="155">
        <v>434598</v>
      </c>
      <c r="CE134" s="155">
        <v>434516</v>
      </c>
      <c r="CF134" s="155">
        <v>434313</v>
      </c>
      <c r="CG134" s="155">
        <v>433977</v>
      </c>
      <c r="CH134" s="155">
        <v>433514</v>
      </c>
      <c r="CI134" s="155">
        <v>432935</v>
      </c>
      <c r="CJ134" s="155">
        <v>432249</v>
      </c>
      <c r="CK134" s="155">
        <v>431475</v>
      </c>
      <c r="CL134" s="155">
        <v>430640</v>
      </c>
      <c r="CM134" s="155">
        <v>429746</v>
      </c>
      <c r="CN134" s="155">
        <v>428849</v>
      </c>
      <c r="CO134" s="155">
        <v>427953</v>
      </c>
      <c r="CP134" s="155">
        <v>427082</v>
      </c>
      <c r="CQ134" s="155">
        <v>426260</v>
      </c>
      <c r="CR134" s="155">
        <v>425500</v>
      </c>
      <c r="CS134" s="155">
        <v>424817</v>
      </c>
      <c r="CT134" s="155">
        <v>424213</v>
      </c>
      <c r="CU134" s="155">
        <v>423715</v>
      </c>
      <c r="CV134" s="155">
        <v>423310</v>
      </c>
      <c r="CW134" s="155">
        <v>422989</v>
      </c>
      <c r="CX134" s="155">
        <v>422762</v>
      </c>
      <c r="CY134" s="154">
        <v>422614</v>
      </c>
    </row>
    <row r="135" spans="1:103">
      <c r="A135" s="155" t="s">
        <v>1139</v>
      </c>
      <c r="B135" s="154">
        <v>26</v>
      </c>
      <c r="C135" s="155">
        <v>423314</v>
      </c>
      <c r="D135" s="155">
        <v>446682</v>
      </c>
      <c r="E135" s="155">
        <v>451732</v>
      </c>
      <c r="F135" s="155">
        <v>464180</v>
      </c>
      <c r="G135" s="155">
        <v>462325</v>
      </c>
      <c r="H135" s="155">
        <v>459728</v>
      </c>
      <c r="I135" s="155">
        <v>464187</v>
      </c>
      <c r="J135" s="155">
        <v>475969</v>
      </c>
      <c r="K135" s="155">
        <v>483881</v>
      </c>
      <c r="L135" s="155">
        <v>482622</v>
      </c>
      <c r="M135" s="155">
        <v>480374</v>
      </c>
      <c r="N135" s="155">
        <v>485922</v>
      </c>
      <c r="O135" s="155">
        <v>500065</v>
      </c>
      <c r="P135" s="155">
        <v>496817</v>
      </c>
      <c r="Q135" s="155">
        <v>499871</v>
      </c>
      <c r="R135" s="155">
        <v>506778</v>
      </c>
      <c r="S135" s="155">
        <v>506460</v>
      </c>
      <c r="T135" s="155">
        <v>497066</v>
      </c>
      <c r="U135" s="155">
        <v>488183</v>
      </c>
      <c r="V135" s="155">
        <v>487556</v>
      </c>
      <c r="W135" s="155">
        <v>492796</v>
      </c>
      <c r="X135" s="155">
        <v>481974</v>
      </c>
      <c r="Y135" s="155">
        <v>474353</v>
      </c>
      <c r="Z135" s="155">
        <v>471963</v>
      </c>
      <c r="AA135" s="155">
        <v>465199</v>
      </c>
      <c r="AB135" s="155">
        <v>455795</v>
      </c>
      <c r="AC135" s="155">
        <v>459674</v>
      </c>
      <c r="AD135" s="155">
        <v>442242</v>
      </c>
      <c r="AE135" s="155">
        <v>441581</v>
      </c>
      <c r="AF135" s="155">
        <v>443343</v>
      </c>
      <c r="AG135" s="155">
        <v>444555</v>
      </c>
      <c r="AH135" s="155">
        <v>445247</v>
      </c>
      <c r="AI135" s="155">
        <v>445670</v>
      </c>
      <c r="AJ135" s="155">
        <v>446041</v>
      </c>
      <c r="AK135" s="155">
        <v>446373</v>
      </c>
      <c r="AL135" s="155">
        <v>446693</v>
      </c>
      <c r="AM135" s="155">
        <v>447020</v>
      </c>
      <c r="AN135" s="155">
        <v>447542</v>
      </c>
      <c r="AO135" s="155">
        <v>448320</v>
      </c>
      <c r="AP135" s="155">
        <v>449213</v>
      </c>
      <c r="AQ135" s="155">
        <v>450196</v>
      </c>
      <c r="AR135" s="155">
        <v>451340</v>
      </c>
      <c r="AS135" s="155">
        <v>452654</v>
      </c>
      <c r="AT135" s="155">
        <v>454022</v>
      </c>
      <c r="AU135" s="155">
        <v>455321</v>
      </c>
      <c r="AV135" s="155">
        <v>456496</v>
      </c>
      <c r="AW135" s="155">
        <v>457544</v>
      </c>
      <c r="AX135" s="155">
        <v>458240</v>
      </c>
      <c r="AY135" s="155">
        <v>458487</v>
      </c>
      <c r="AZ135" s="155">
        <v>458443</v>
      </c>
      <c r="BA135" s="155">
        <v>458174</v>
      </c>
      <c r="BB135" s="155">
        <v>457739</v>
      </c>
      <c r="BC135" s="155">
        <v>456662</v>
      </c>
      <c r="BD135" s="155">
        <v>454862</v>
      </c>
      <c r="BE135" s="155">
        <v>452853</v>
      </c>
      <c r="BF135" s="155">
        <v>450715</v>
      </c>
      <c r="BG135" s="155">
        <v>448551</v>
      </c>
      <c r="BH135" s="155">
        <v>446339</v>
      </c>
      <c r="BI135" s="155">
        <v>444079</v>
      </c>
      <c r="BJ135" s="155">
        <v>441994</v>
      </c>
      <c r="BK135" s="155">
        <v>440201</v>
      </c>
      <c r="BL135" s="155">
        <v>438724</v>
      </c>
      <c r="BM135" s="155">
        <v>437463</v>
      </c>
      <c r="BN135" s="155">
        <v>436424</v>
      </c>
      <c r="BO135" s="155">
        <v>435648</v>
      </c>
      <c r="BP135" s="155">
        <v>435139</v>
      </c>
      <c r="BQ135" s="155">
        <v>434878</v>
      </c>
      <c r="BR135" s="155">
        <v>434756</v>
      </c>
      <c r="BS135" s="155">
        <v>434730</v>
      </c>
      <c r="BT135" s="155">
        <v>434898</v>
      </c>
      <c r="BU135" s="155">
        <v>435215</v>
      </c>
      <c r="BV135" s="155">
        <v>435619</v>
      </c>
      <c r="BW135" s="155">
        <v>436074</v>
      </c>
      <c r="BX135" s="155">
        <v>436529</v>
      </c>
      <c r="BY135" s="155">
        <v>436974</v>
      </c>
      <c r="BZ135" s="155">
        <v>437422</v>
      </c>
      <c r="CA135" s="155">
        <v>437818</v>
      </c>
      <c r="CB135" s="155">
        <v>438147</v>
      </c>
      <c r="CC135" s="155">
        <v>438392</v>
      </c>
      <c r="CD135" s="155">
        <v>438537</v>
      </c>
      <c r="CE135" s="155">
        <v>438569</v>
      </c>
      <c r="CF135" s="155">
        <v>438489</v>
      </c>
      <c r="CG135" s="155">
        <v>438288</v>
      </c>
      <c r="CH135" s="155">
        <v>437954</v>
      </c>
      <c r="CI135" s="155">
        <v>437492</v>
      </c>
      <c r="CJ135" s="155">
        <v>436913</v>
      </c>
      <c r="CK135" s="155">
        <v>436229</v>
      </c>
      <c r="CL135" s="155">
        <v>435456</v>
      </c>
      <c r="CM135" s="155">
        <v>434623</v>
      </c>
      <c r="CN135" s="155">
        <v>433729</v>
      </c>
      <c r="CO135" s="155">
        <v>432834</v>
      </c>
      <c r="CP135" s="155">
        <v>431938</v>
      </c>
      <c r="CQ135" s="155">
        <v>431069</v>
      </c>
      <c r="CR135" s="155">
        <v>430249</v>
      </c>
      <c r="CS135" s="155">
        <v>429490</v>
      </c>
      <c r="CT135" s="155">
        <v>428808</v>
      </c>
      <c r="CU135" s="155">
        <v>428205</v>
      </c>
      <c r="CV135" s="155">
        <v>427709</v>
      </c>
      <c r="CW135" s="155">
        <v>427306</v>
      </c>
      <c r="CX135" s="155">
        <v>426985</v>
      </c>
      <c r="CY135" s="154">
        <v>426759</v>
      </c>
    </row>
    <row r="136" spans="1:103">
      <c r="A136" s="155" t="s">
        <v>1139</v>
      </c>
      <c r="B136" s="154">
        <v>27</v>
      </c>
      <c r="C136" s="155">
        <v>426655</v>
      </c>
      <c r="D136" s="155">
        <v>439918</v>
      </c>
      <c r="E136" s="155">
        <v>459632</v>
      </c>
      <c r="F136" s="155">
        <v>462755</v>
      </c>
      <c r="G136" s="155">
        <v>473269</v>
      </c>
      <c r="H136" s="155">
        <v>469491</v>
      </c>
      <c r="I136" s="155">
        <v>464977</v>
      </c>
      <c r="J136" s="155">
        <v>469435</v>
      </c>
      <c r="K136" s="155">
        <v>481211</v>
      </c>
      <c r="L136" s="155">
        <v>489118</v>
      </c>
      <c r="M136" s="155">
        <v>487863</v>
      </c>
      <c r="N136" s="155">
        <v>485617</v>
      </c>
      <c r="O136" s="155">
        <v>491164</v>
      </c>
      <c r="P136" s="155">
        <v>505301</v>
      </c>
      <c r="Q136" s="155">
        <v>502057</v>
      </c>
      <c r="R136" s="155">
        <v>505114</v>
      </c>
      <c r="S136" s="155">
        <v>512019</v>
      </c>
      <c r="T136" s="155">
        <v>511705</v>
      </c>
      <c r="U136" s="155">
        <v>502320</v>
      </c>
      <c r="V136" s="155">
        <v>493444</v>
      </c>
      <c r="W136" s="155">
        <v>492821</v>
      </c>
      <c r="X136" s="155">
        <v>498062</v>
      </c>
      <c r="Y136" s="155">
        <v>487250</v>
      </c>
      <c r="Z136" s="155">
        <v>479635</v>
      </c>
      <c r="AA136" s="155">
        <v>477248</v>
      </c>
      <c r="AB136" s="155">
        <v>470491</v>
      </c>
      <c r="AC136" s="155">
        <v>461095</v>
      </c>
      <c r="AD136" s="155">
        <v>464974</v>
      </c>
      <c r="AE136" s="155">
        <v>447553</v>
      </c>
      <c r="AF136" s="155">
        <v>446895</v>
      </c>
      <c r="AG136" s="155">
        <v>448660</v>
      </c>
      <c r="AH136" s="155">
        <v>449873</v>
      </c>
      <c r="AI136" s="155">
        <v>450566</v>
      </c>
      <c r="AJ136" s="155">
        <v>450992</v>
      </c>
      <c r="AK136" s="155">
        <v>451365</v>
      </c>
      <c r="AL136" s="155">
        <v>451699</v>
      </c>
      <c r="AM136" s="155">
        <v>452021</v>
      </c>
      <c r="AN136" s="155">
        <v>452351</v>
      </c>
      <c r="AO136" s="155">
        <v>452875</v>
      </c>
      <c r="AP136" s="155">
        <v>453655</v>
      </c>
      <c r="AQ136" s="155">
        <v>454549</v>
      </c>
      <c r="AR136" s="155">
        <v>455534</v>
      </c>
      <c r="AS136" s="155">
        <v>456679</v>
      </c>
      <c r="AT136" s="155">
        <v>457995</v>
      </c>
      <c r="AU136" s="155">
        <v>459364</v>
      </c>
      <c r="AV136" s="155">
        <v>460665</v>
      </c>
      <c r="AW136" s="155">
        <v>461841</v>
      </c>
      <c r="AX136" s="155">
        <v>462891</v>
      </c>
      <c r="AY136" s="155">
        <v>463590</v>
      </c>
      <c r="AZ136" s="155">
        <v>463838</v>
      </c>
      <c r="BA136" s="155">
        <v>463797</v>
      </c>
      <c r="BB136" s="155">
        <v>463529</v>
      </c>
      <c r="BC136" s="155">
        <v>463096</v>
      </c>
      <c r="BD136" s="155">
        <v>462022</v>
      </c>
      <c r="BE136" s="155">
        <v>460224</v>
      </c>
      <c r="BF136" s="155">
        <v>458219</v>
      </c>
      <c r="BG136" s="155">
        <v>456083</v>
      </c>
      <c r="BH136" s="155">
        <v>453923</v>
      </c>
      <c r="BI136" s="155">
        <v>451713</v>
      </c>
      <c r="BJ136" s="155">
        <v>449454</v>
      </c>
      <c r="BK136" s="155">
        <v>447372</v>
      </c>
      <c r="BL136" s="155">
        <v>445581</v>
      </c>
      <c r="BM136" s="155">
        <v>444106</v>
      </c>
      <c r="BN136" s="155">
        <v>442847</v>
      </c>
      <c r="BO136" s="155">
        <v>441810</v>
      </c>
      <c r="BP136" s="155">
        <v>441036</v>
      </c>
      <c r="BQ136" s="155">
        <v>440529</v>
      </c>
      <c r="BR136" s="155">
        <v>440270</v>
      </c>
      <c r="BS136" s="155">
        <v>440149</v>
      </c>
      <c r="BT136" s="155">
        <v>440127</v>
      </c>
      <c r="BU136" s="155">
        <v>440295</v>
      </c>
      <c r="BV136" s="155">
        <v>440613</v>
      </c>
      <c r="BW136" s="155">
        <v>441018</v>
      </c>
      <c r="BX136" s="155">
        <v>441474</v>
      </c>
      <c r="BY136" s="155">
        <v>441931</v>
      </c>
      <c r="BZ136" s="155">
        <v>442378</v>
      </c>
      <c r="CA136" s="155">
        <v>442826</v>
      </c>
      <c r="CB136" s="155">
        <v>443223</v>
      </c>
      <c r="CC136" s="155">
        <v>443553</v>
      </c>
      <c r="CD136" s="155">
        <v>443799</v>
      </c>
      <c r="CE136" s="155">
        <v>443945</v>
      </c>
      <c r="CF136" s="155">
        <v>443980</v>
      </c>
      <c r="CG136" s="155">
        <v>443901</v>
      </c>
      <c r="CH136" s="155">
        <v>443701</v>
      </c>
      <c r="CI136" s="155">
        <v>443369</v>
      </c>
      <c r="CJ136" s="155">
        <v>442908</v>
      </c>
      <c r="CK136" s="155">
        <v>442330</v>
      </c>
      <c r="CL136" s="155">
        <v>441648</v>
      </c>
      <c r="CM136" s="155">
        <v>440876</v>
      </c>
      <c r="CN136" s="155">
        <v>440046</v>
      </c>
      <c r="CO136" s="155">
        <v>439153</v>
      </c>
      <c r="CP136" s="155">
        <v>438259</v>
      </c>
      <c r="CQ136" s="155">
        <v>437364</v>
      </c>
      <c r="CR136" s="155">
        <v>436497</v>
      </c>
      <c r="CS136" s="155">
        <v>435678</v>
      </c>
      <c r="CT136" s="155">
        <v>434920</v>
      </c>
      <c r="CU136" s="155">
        <v>434239</v>
      </c>
      <c r="CV136" s="155">
        <v>433637</v>
      </c>
      <c r="CW136" s="155">
        <v>433143</v>
      </c>
      <c r="CX136" s="155">
        <v>432740</v>
      </c>
      <c r="CY136" s="154">
        <v>432421</v>
      </c>
    </row>
    <row r="137" spans="1:103">
      <c r="A137" s="155" t="s">
        <v>1139</v>
      </c>
      <c r="B137" s="154">
        <v>28</v>
      </c>
      <c r="C137" s="155">
        <v>436371</v>
      </c>
      <c r="D137" s="155">
        <v>443109</v>
      </c>
      <c r="E137" s="155">
        <v>452978</v>
      </c>
      <c r="F137" s="155">
        <v>470859</v>
      </c>
      <c r="G137" s="155">
        <v>472158</v>
      </c>
      <c r="H137" s="155">
        <v>480843</v>
      </c>
      <c r="I137" s="155">
        <v>475250</v>
      </c>
      <c r="J137" s="155">
        <v>470741</v>
      </c>
      <c r="K137" s="155">
        <v>475197</v>
      </c>
      <c r="L137" s="155">
        <v>486966</v>
      </c>
      <c r="M137" s="155">
        <v>494870</v>
      </c>
      <c r="N137" s="155">
        <v>493617</v>
      </c>
      <c r="O137" s="155">
        <v>491376</v>
      </c>
      <c r="P137" s="155">
        <v>496922</v>
      </c>
      <c r="Q137" s="155">
        <v>511050</v>
      </c>
      <c r="R137" s="155">
        <v>507812</v>
      </c>
      <c r="S137" s="155">
        <v>510870</v>
      </c>
      <c r="T137" s="155">
        <v>517775</v>
      </c>
      <c r="U137" s="155">
        <v>517463</v>
      </c>
      <c r="V137" s="155">
        <v>508089</v>
      </c>
      <c r="W137" s="155">
        <v>499220</v>
      </c>
      <c r="X137" s="155">
        <v>498601</v>
      </c>
      <c r="Y137" s="155">
        <v>503844</v>
      </c>
      <c r="Z137" s="155">
        <v>493042</v>
      </c>
      <c r="AA137" s="155">
        <v>485433</v>
      </c>
      <c r="AB137" s="155">
        <v>483051</v>
      </c>
      <c r="AC137" s="155">
        <v>476299</v>
      </c>
      <c r="AD137" s="155">
        <v>466912</v>
      </c>
      <c r="AE137" s="155">
        <v>470791</v>
      </c>
      <c r="AF137" s="155">
        <v>453381</v>
      </c>
      <c r="AG137" s="155">
        <v>452726</v>
      </c>
      <c r="AH137" s="155">
        <v>454493</v>
      </c>
      <c r="AI137" s="155">
        <v>455709</v>
      </c>
      <c r="AJ137" s="155">
        <v>456403</v>
      </c>
      <c r="AK137" s="155">
        <v>456832</v>
      </c>
      <c r="AL137" s="155">
        <v>457208</v>
      </c>
      <c r="AM137" s="155">
        <v>457543</v>
      </c>
      <c r="AN137" s="155">
        <v>457868</v>
      </c>
      <c r="AO137" s="155">
        <v>458199</v>
      </c>
      <c r="AP137" s="155">
        <v>458726</v>
      </c>
      <c r="AQ137" s="155">
        <v>459508</v>
      </c>
      <c r="AR137" s="155">
        <v>460403</v>
      </c>
      <c r="AS137" s="155">
        <v>461390</v>
      </c>
      <c r="AT137" s="155">
        <v>462537</v>
      </c>
      <c r="AU137" s="155">
        <v>463855</v>
      </c>
      <c r="AV137" s="155">
        <v>465225</v>
      </c>
      <c r="AW137" s="155">
        <v>466528</v>
      </c>
      <c r="AX137" s="155">
        <v>467706</v>
      </c>
      <c r="AY137" s="155">
        <v>468758</v>
      </c>
      <c r="AZ137" s="155">
        <v>469458</v>
      </c>
      <c r="BA137" s="155">
        <v>469708</v>
      </c>
      <c r="BB137" s="155">
        <v>469670</v>
      </c>
      <c r="BC137" s="155">
        <v>469404</v>
      </c>
      <c r="BD137" s="155">
        <v>468972</v>
      </c>
      <c r="BE137" s="155">
        <v>467903</v>
      </c>
      <c r="BF137" s="155">
        <v>466106</v>
      </c>
      <c r="BG137" s="155">
        <v>464103</v>
      </c>
      <c r="BH137" s="155">
        <v>461972</v>
      </c>
      <c r="BI137" s="155">
        <v>459814</v>
      </c>
      <c r="BJ137" s="155">
        <v>457606</v>
      </c>
      <c r="BK137" s="155">
        <v>455349</v>
      </c>
      <c r="BL137" s="155">
        <v>453272</v>
      </c>
      <c r="BM137" s="155">
        <v>451482</v>
      </c>
      <c r="BN137" s="155">
        <v>450009</v>
      </c>
      <c r="BO137" s="155">
        <v>448753</v>
      </c>
      <c r="BP137" s="155">
        <v>447718</v>
      </c>
      <c r="BQ137" s="155">
        <v>446946</v>
      </c>
      <c r="BR137" s="155">
        <v>446440</v>
      </c>
      <c r="BS137" s="155">
        <v>446183</v>
      </c>
      <c r="BT137" s="155">
        <v>446063</v>
      </c>
      <c r="BU137" s="155">
        <v>446043</v>
      </c>
      <c r="BV137" s="155">
        <v>446212</v>
      </c>
      <c r="BW137" s="155">
        <v>446532</v>
      </c>
      <c r="BX137" s="155">
        <v>446939</v>
      </c>
      <c r="BY137" s="155">
        <v>447397</v>
      </c>
      <c r="BZ137" s="155">
        <v>447856</v>
      </c>
      <c r="CA137" s="155">
        <v>448303</v>
      </c>
      <c r="CB137" s="155">
        <v>448752</v>
      </c>
      <c r="CC137" s="155">
        <v>449151</v>
      </c>
      <c r="CD137" s="155">
        <v>449482</v>
      </c>
      <c r="CE137" s="155">
        <v>449730</v>
      </c>
      <c r="CF137" s="155">
        <v>449877</v>
      </c>
      <c r="CG137" s="155">
        <v>449914</v>
      </c>
      <c r="CH137" s="155">
        <v>449835</v>
      </c>
      <c r="CI137" s="155">
        <v>449637</v>
      </c>
      <c r="CJ137" s="155">
        <v>449306</v>
      </c>
      <c r="CK137" s="155">
        <v>448847</v>
      </c>
      <c r="CL137" s="155">
        <v>448270</v>
      </c>
      <c r="CM137" s="155">
        <v>447590</v>
      </c>
      <c r="CN137" s="155">
        <v>446818</v>
      </c>
      <c r="CO137" s="155">
        <v>445991</v>
      </c>
      <c r="CP137" s="155">
        <v>445101</v>
      </c>
      <c r="CQ137" s="155">
        <v>444208</v>
      </c>
      <c r="CR137" s="155">
        <v>443314</v>
      </c>
      <c r="CS137" s="155">
        <v>442448</v>
      </c>
      <c r="CT137" s="155">
        <v>441632</v>
      </c>
      <c r="CU137" s="155">
        <v>440875</v>
      </c>
      <c r="CV137" s="155">
        <v>440196</v>
      </c>
      <c r="CW137" s="155">
        <v>439594</v>
      </c>
      <c r="CX137" s="155">
        <v>439102</v>
      </c>
      <c r="CY137" s="154">
        <v>438700</v>
      </c>
    </row>
    <row r="138" spans="1:103">
      <c r="A138" s="155" t="s">
        <v>1139</v>
      </c>
      <c r="B138" s="154">
        <v>29</v>
      </c>
      <c r="C138" s="155">
        <v>436460</v>
      </c>
      <c r="D138" s="155">
        <v>452326</v>
      </c>
      <c r="E138" s="155">
        <v>455843</v>
      </c>
      <c r="F138" s="155">
        <v>463965</v>
      </c>
      <c r="G138" s="155">
        <v>480093</v>
      </c>
      <c r="H138" s="155">
        <v>479649</v>
      </c>
      <c r="I138" s="155">
        <v>486591</v>
      </c>
      <c r="J138" s="155">
        <v>481001</v>
      </c>
      <c r="K138" s="155">
        <v>476496</v>
      </c>
      <c r="L138" s="155">
        <v>480951</v>
      </c>
      <c r="M138" s="155">
        <v>492713</v>
      </c>
      <c r="N138" s="155">
        <v>500615</v>
      </c>
      <c r="O138" s="155">
        <v>499364</v>
      </c>
      <c r="P138" s="155">
        <v>497128</v>
      </c>
      <c r="Q138" s="155">
        <v>502672</v>
      </c>
      <c r="R138" s="155">
        <v>516793</v>
      </c>
      <c r="S138" s="155">
        <v>513560</v>
      </c>
      <c r="T138" s="155">
        <v>516621</v>
      </c>
      <c r="U138" s="155">
        <v>523523</v>
      </c>
      <c r="V138" s="155">
        <v>523217</v>
      </c>
      <c r="W138" s="155">
        <v>513852</v>
      </c>
      <c r="X138" s="155">
        <v>504991</v>
      </c>
      <c r="Y138" s="155">
        <v>504376</v>
      </c>
      <c r="Z138" s="155">
        <v>509619</v>
      </c>
      <c r="AA138" s="155">
        <v>498827</v>
      </c>
      <c r="AB138" s="155">
        <v>491226</v>
      </c>
      <c r="AC138" s="155">
        <v>488847</v>
      </c>
      <c r="AD138" s="155">
        <v>482102</v>
      </c>
      <c r="AE138" s="155">
        <v>472725</v>
      </c>
      <c r="AF138" s="155">
        <v>476604</v>
      </c>
      <c r="AG138" s="155">
        <v>459206</v>
      </c>
      <c r="AH138" s="155">
        <v>458554</v>
      </c>
      <c r="AI138" s="155">
        <v>460322</v>
      </c>
      <c r="AJ138" s="155">
        <v>461542</v>
      </c>
      <c r="AK138" s="155">
        <v>462238</v>
      </c>
      <c r="AL138" s="155">
        <v>462669</v>
      </c>
      <c r="AM138" s="155">
        <v>463047</v>
      </c>
      <c r="AN138" s="155">
        <v>463385</v>
      </c>
      <c r="AO138" s="155">
        <v>463711</v>
      </c>
      <c r="AP138" s="155">
        <v>464045</v>
      </c>
      <c r="AQ138" s="155">
        <v>464573</v>
      </c>
      <c r="AR138" s="155">
        <v>465359</v>
      </c>
      <c r="AS138" s="155">
        <v>466256</v>
      </c>
      <c r="AT138" s="155">
        <v>467245</v>
      </c>
      <c r="AU138" s="155">
        <v>468393</v>
      </c>
      <c r="AV138" s="155">
        <v>469714</v>
      </c>
      <c r="AW138" s="155">
        <v>471085</v>
      </c>
      <c r="AX138" s="155">
        <v>472388</v>
      </c>
      <c r="AY138" s="155">
        <v>473569</v>
      </c>
      <c r="AZ138" s="155">
        <v>474623</v>
      </c>
      <c r="BA138" s="155">
        <v>475325</v>
      </c>
      <c r="BB138" s="155">
        <v>475578</v>
      </c>
      <c r="BC138" s="155">
        <v>475542</v>
      </c>
      <c r="BD138" s="155">
        <v>475278</v>
      </c>
      <c r="BE138" s="155">
        <v>474848</v>
      </c>
      <c r="BF138" s="155">
        <v>473782</v>
      </c>
      <c r="BG138" s="155">
        <v>471987</v>
      </c>
      <c r="BH138" s="155">
        <v>469987</v>
      </c>
      <c r="BI138" s="155">
        <v>467860</v>
      </c>
      <c r="BJ138" s="155">
        <v>465706</v>
      </c>
      <c r="BK138" s="155">
        <v>463499</v>
      </c>
      <c r="BL138" s="155">
        <v>461245</v>
      </c>
      <c r="BM138" s="155">
        <v>459171</v>
      </c>
      <c r="BN138" s="155">
        <v>457383</v>
      </c>
      <c r="BO138" s="155">
        <v>455913</v>
      </c>
      <c r="BP138" s="155">
        <v>454659</v>
      </c>
      <c r="BQ138" s="155">
        <v>453625</v>
      </c>
      <c r="BR138" s="155">
        <v>452857</v>
      </c>
      <c r="BS138" s="155">
        <v>452353</v>
      </c>
      <c r="BT138" s="155">
        <v>452098</v>
      </c>
      <c r="BU138" s="155">
        <v>451979</v>
      </c>
      <c r="BV138" s="155">
        <v>451961</v>
      </c>
      <c r="BW138" s="155">
        <v>452131</v>
      </c>
      <c r="BX138" s="155">
        <v>452452</v>
      </c>
      <c r="BY138" s="155">
        <v>452862</v>
      </c>
      <c r="BZ138" s="155">
        <v>453321</v>
      </c>
      <c r="CA138" s="155">
        <v>453781</v>
      </c>
      <c r="CB138" s="155">
        <v>454229</v>
      </c>
      <c r="CC138" s="155">
        <v>454679</v>
      </c>
      <c r="CD138" s="155">
        <v>455079</v>
      </c>
      <c r="CE138" s="155">
        <v>455413</v>
      </c>
      <c r="CF138" s="155">
        <v>455663</v>
      </c>
      <c r="CG138" s="155">
        <v>455812</v>
      </c>
      <c r="CH138" s="155">
        <v>455849</v>
      </c>
      <c r="CI138" s="155">
        <v>455772</v>
      </c>
      <c r="CJ138" s="155">
        <v>455577</v>
      </c>
      <c r="CK138" s="155">
        <v>455247</v>
      </c>
      <c r="CL138" s="155">
        <v>454789</v>
      </c>
      <c r="CM138" s="155">
        <v>454212</v>
      </c>
      <c r="CN138" s="155">
        <v>453535</v>
      </c>
      <c r="CO138" s="155">
        <v>452765</v>
      </c>
      <c r="CP138" s="155">
        <v>451939</v>
      </c>
      <c r="CQ138" s="155">
        <v>451052</v>
      </c>
      <c r="CR138" s="155">
        <v>450158</v>
      </c>
      <c r="CS138" s="155">
        <v>449266</v>
      </c>
      <c r="CT138" s="155">
        <v>448403</v>
      </c>
      <c r="CU138" s="155">
        <v>447588</v>
      </c>
      <c r="CV138" s="155">
        <v>446832</v>
      </c>
      <c r="CW138" s="155">
        <v>446155</v>
      </c>
      <c r="CX138" s="155">
        <v>445555</v>
      </c>
      <c r="CY138" s="154">
        <v>445063</v>
      </c>
    </row>
    <row r="139" spans="1:103">
      <c r="A139" s="155" t="s">
        <v>1139</v>
      </c>
      <c r="B139" s="154">
        <v>30</v>
      </c>
      <c r="C139" s="155">
        <v>449351</v>
      </c>
      <c r="D139" s="155">
        <v>451694</v>
      </c>
      <c r="E139" s="155">
        <v>464492</v>
      </c>
      <c r="F139" s="155">
        <v>466353</v>
      </c>
      <c r="G139" s="155">
        <v>472815</v>
      </c>
      <c r="H139" s="155">
        <v>487273</v>
      </c>
      <c r="I139" s="155">
        <v>485178</v>
      </c>
      <c r="J139" s="155">
        <v>492117</v>
      </c>
      <c r="K139" s="155">
        <v>486530</v>
      </c>
      <c r="L139" s="155">
        <v>482030</v>
      </c>
      <c r="M139" s="155">
        <v>486483</v>
      </c>
      <c r="N139" s="155">
        <v>498238</v>
      </c>
      <c r="O139" s="155">
        <v>506138</v>
      </c>
      <c r="P139" s="155">
        <v>504890</v>
      </c>
      <c r="Q139" s="155">
        <v>502657</v>
      </c>
      <c r="R139" s="155">
        <v>508200</v>
      </c>
      <c r="S139" s="155">
        <v>522315</v>
      </c>
      <c r="T139" s="155">
        <v>519086</v>
      </c>
      <c r="U139" s="155">
        <v>522149</v>
      </c>
      <c r="V139" s="155">
        <v>529050</v>
      </c>
      <c r="W139" s="155">
        <v>528749</v>
      </c>
      <c r="X139" s="155">
        <v>519394</v>
      </c>
      <c r="Y139" s="155">
        <v>510542</v>
      </c>
      <c r="Z139" s="155">
        <v>509931</v>
      </c>
      <c r="AA139" s="155">
        <v>515175</v>
      </c>
      <c r="AB139" s="155">
        <v>504394</v>
      </c>
      <c r="AC139" s="155">
        <v>496800</v>
      </c>
      <c r="AD139" s="155">
        <v>494425</v>
      </c>
      <c r="AE139" s="155">
        <v>487688</v>
      </c>
      <c r="AF139" s="155">
        <v>478319</v>
      </c>
      <c r="AG139" s="155">
        <v>482198</v>
      </c>
      <c r="AH139" s="155">
        <v>464813</v>
      </c>
      <c r="AI139" s="155">
        <v>464165</v>
      </c>
      <c r="AJ139" s="155">
        <v>465933</v>
      </c>
      <c r="AK139" s="155">
        <v>467157</v>
      </c>
      <c r="AL139" s="155">
        <v>467855</v>
      </c>
      <c r="AM139" s="155">
        <v>468289</v>
      </c>
      <c r="AN139" s="155">
        <v>468670</v>
      </c>
      <c r="AO139" s="155">
        <v>469009</v>
      </c>
      <c r="AP139" s="155">
        <v>469339</v>
      </c>
      <c r="AQ139" s="155">
        <v>469675</v>
      </c>
      <c r="AR139" s="155">
        <v>470206</v>
      </c>
      <c r="AS139" s="155">
        <v>470993</v>
      </c>
      <c r="AT139" s="155">
        <v>471893</v>
      </c>
      <c r="AU139" s="155">
        <v>472884</v>
      </c>
      <c r="AV139" s="155">
        <v>474033</v>
      </c>
      <c r="AW139" s="155">
        <v>475355</v>
      </c>
      <c r="AX139" s="155">
        <v>476730</v>
      </c>
      <c r="AY139" s="155">
        <v>478035</v>
      </c>
      <c r="AZ139" s="155">
        <v>479218</v>
      </c>
      <c r="BA139" s="155">
        <v>480274</v>
      </c>
      <c r="BB139" s="155">
        <v>480977</v>
      </c>
      <c r="BC139" s="155">
        <v>481232</v>
      </c>
      <c r="BD139" s="155">
        <v>481199</v>
      </c>
      <c r="BE139" s="155">
        <v>480936</v>
      </c>
      <c r="BF139" s="155">
        <v>480509</v>
      </c>
      <c r="BG139" s="155">
        <v>479446</v>
      </c>
      <c r="BH139" s="155">
        <v>477654</v>
      </c>
      <c r="BI139" s="155">
        <v>475657</v>
      </c>
      <c r="BJ139" s="155">
        <v>473534</v>
      </c>
      <c r="BK139" s="155">
        <v>471382</v>
      </c>
      <c r="BL139" s="155">
        <v>469179</v>
      </c>
      <c r="BM139" s="155">
        <v>466927</v>
      </c>
      <c r="BN139" s="155">
        <v>464856</v>
      </c>
      <c r="BO139" s="155">
        <v>463070</v>
      </c>
      <c r="BP139" s="155">
        <v>461602</v>
      </c>
      <c r="BQ139" s="155">
        <v>460351</v>
      </c>
      <c r="BR139" s="155">
        <v>459319</v>
      </c>
      <c r="BS139" s="155">
        <v>458555</v>
      </c>
      <c r="BT139" s="155">
        <v>458052</v>
      </c>
      <c r="BU139" s="155">
        <v>457799</v>
      </c>
      <c r="BV139" s="155">
        <v>457682</v>
      </c>
      <c r="BW139" s="155">
        <v>457665</v>
      </c>
      <c r="BX139" s="155">
        <v>457836</v>
      </c>
      <c r="BY139" s="155">
        <v>458162</v>
      </c>
      <c r="BZ139" s="155">
        <v>458572</v>
      </c>
      <c r="CA139" s="155">
        <v>459033</v>
      </c>
      <c r="CB139" s="155">
        <v>459494</v>
      </c>
      <c r="CC139" s="155">
        <v>459943</v>
      </c>
      <c r="CD139" s="155">
        <v>460395</v>
      </c>
      <c r="CE139" s="155">
        <v>460796</v>
      </c>
      <c r="CF139" s="155">
        <v>461132</v>
      </c>
      <c r="CG139" s="155">
        <v>461383</v>
      </c>
      <c r="CH139" s="155">
        <v>461535</v>
      </c>
      <c r="CI139" s="155">
        <v>461574</v>
      </c>
      <c r="CJ139" s="155">
        <v>461497</v>
      </c>
      <c r="CK139" s="155">
        <v>461304</v>
      </c>
      <c r="CL139" s="155">
        <v>460976</v>
      </c>
      <c r="CM139" s="155">
        <v>460519</v>
      </c>
      <c r="CN139" s="155">
        <v>459945</v>
      </c>
      <c r="CO139" s="155">
        <v>459269</v>
      </c>
      <c r="CP139" s="155">
        <v>458500</v>
      </c>
      <c r="CQ139" s="155">
        <v>457676</v>
      </c>
      <c r="CR139" s="155">
        <v>456790</v>
      </c>
      <c r="CS139" s="155">
        <v>455898</v>
      </c>
      <c r="CT139" s="155">
        <v>455008</v>
      </c>
      <c r="CU139" s="155">
        <v>454146</v>
      </c>
      <c r="CV139" s="155">
        <v>453332</v>
      </c>
      <c r="CW139" s="155">
        <v>452578</v>
      </c>
      <c r="CX139" s="155">
        <v>451901</v>
      </c>
      <c r="CY139" s="154">
        <v>451304</v>
      </c>
    </row>
    <row r="140" spans="1:103">
      <c r="A140" s="155" t="s">
        <v>1139</v>
      </c>
      <c r="B140" s="154">
        <v>31</v>
      </c>
      <c r="C140" s="155">
        <v>456655</v>
      </c>
      <c r="D140" s="155">
        <v>463925</v>
      </c>
      <c r="E140" s="155">
        <v>463366</v>
      </c>
      <c r="F140" s="155">
        <v>474583</v>
      </c>
      <c r="G140" s="155">
        <v>474869</v>
      </c>
      <c r="H140" s="155">
        <v>479749</v>
      </c>
      <c r="I140" s="155">
        <v>492627</v>
      </c>
      <c r="J140" s="155">
        <v>490534</v>
      </c>
      <c r="K140" s="155">
        <v>497468</v>
      </c>
      <c r="L140" s="155">
        <v>491886</v>
      </c>
      <c r="M140" s="155">
        <v>487393</v>
      </c>
      <c r="N140" s="155">
        <v>491844</v>
      </c>
      <c r="O140" s="155">
        <v>503591</v>
      </c>
      <c r="P140" s="155">
        <v>511489</v>
      </c>
      <c r="Q140" s="155">
        <v>510244</v>
      </c>
      <c r="R140" s="155">
        <v>508015</v>
      </c>
      <c r="S140" s="155">
        <v>513557</v>
      </c>
      <c r="T140" s="155">
        <v>527665</v>
      </c>
      <c r="U140" s="155">
        <v>524442</v>
      </c>
      <c r="V140" s="155">
        <v>527509</v>
      </c>
      <c r="W140" s="155">
        <v>534407</v>
      </c>
      <c r="X140" s="155">
        <v>534111</v>
      </c>
      <c r="Y140" s="155">
        <v>524766</v>
      </c>
      <c r="Z140" s="155">
        <v>515924</v>
      </c>
      <c r="AA140" s="155">
        <v>515316</v>
      </c>
      <c r="AB140" s="155">
        <v>520561</v>
      </c>
      <c r="AC140" s="155">
        <v>509790</v>
      </c>
      <c r="AD140" s="155">
        <v>502204</v>
      </c>
      <c r="AE140" s="155">
        <v>499834</v>
      </c>
      <c r="AF140" s="155">
        <v>493105</v>
      </c>
      <c r="AG140" s="155">
        <v>483744</v>
      </c>
      <c r="AH140" s="155">
        <v>487624</v>
      </c>
      <c r="AI140" s="155">
        <v>470253</v>
      </c>
      <c r="AJ140" s="155">
        <v>469609</v>
      </c>
      <c r="AK140" s="155">
        <v>471378</v>
      </c>
      <c r="AL140" s="155">
        <v>472604</v>
      </c>
      <c r="AM140" s="155">
        <v>473306</v>
      </c>
      <c r="AN140" s="155">
        <v>473743</v>
      </c>
      <c r="AO140" s="155">
        <v>474126</v>
      </c>
      <c r="AP140" s="155">
        <v>474466</v>
      </c>
      <c r="AQ140" s="155">
        <v>474798</v>
      </c>
      <c r="AR140" s="155">
        <v>475137</v>
      </c>
      <c r="AS140" s="155">
        <v>475671</v>
      </c>
      <c r="AT140" s="155">
        <v>476460</v>
      </c>
      <c r="AU140" s="155">
        <v>477364</v>
      </c>
      <c r="AV140" s="155">
        <v>478357</v>
      </c>
      <c r="AW140" s="155">
        <v>479507</v>
      </c>
      <c r="AX140" s="155">
        <v>480831</v>
      </c>
      <c r="AY140" s="155">
        <v>482209</v>
      </c>
      <c r="AZ140" s="155">
        <v>483516</v>
      </c>
      <c r="BA140" s="155">
        <v>484700</v>
      </c>
      <c r="BB140" s="155">
        <v>485758</v>
      </c>
      <c r="BC140" s="155">
        <v>486463</v>
      </c>
      <c r="BD140" s="155">
        <v>486719</v>
      </c>
      <c r="BE140" s="155">
        <v>486690</v>
      </c>
      <c r="BF140" s="155">
        <v>486430</v>
      </c>
      <c r="BG140" s="155">
        <v>486004</v>
      </c>
      <c r="BH140" s="155">
        <v>484944</v>
      </c>
      <c r="BI140" s="155">
        <v>483157</v>
      </c>
      <c r="BJ140" s="155">
        <v>481161</v>
      </c>
      <c r="BK140" s="155">
        <v>479042</v>
      </c>
      <c r="BL140" s="155">
        <v>476893</v>
      </c>
      <c r="BM140" s="155">
        <v>474694</v>
      </c>
      <c r="BN140" s="155">
        <v>472444</v>
      </c>
      <c r="BO140" s="155">
        <v>470376</v>
      </c>
      <c r="BP140" s="155">
        <v>468594</v>
      </c>
      <c r="BQ140" s="155">
        <v>467128</v>
      </c>
      <c r="BR140" s="155">
        <v>465880</v>
      </c>
      <c r="BS140" s="155">
        <v>464850</v>
      </c>
      <c r="BT140" s="155">
        <v>464089</v>
      </c>
      <c r="BU140" s="155">
        <v>463589</v>
      </c>
      <c r="BV140" s="155">
        <v>463336</v>
      </c>
      <c r="BW140" s="155">
        <v>463221</v>
      </c>
      <c r="BX140" s="155">
        <v>463207</v>
      </c>
      <c r="BY140" s="155">
        <v>463379</v>
      </c>
      <c r="BZ140" s="155">
        <v>463707</v>
      </c>
      <c r="CA140" s="155">
        <v>464118</v>
      </c>
      <c r="CB140" s="155">
        <v>464580</v>
      </c>
      <c r="CC140" s="155">
        <v>465042</v>
      </c>
      <c r="CD140" s="155">
        <v>465493</v>
      </c>
      <c r="CE140" s="155">
        <v>465949</v>
      </c>
      <c r="CF140" s="155">
        <v>466352</v>
      </c>
      <c r="CG140" s="155">
        <v>466689</v>
      </c>
      <c r="CH140" s="155">
        <v>466942</v>
      </c>
      <c r="CI140" s="155">
        <v>467095</v>
      </c>
      <c r="CJ140" s="155">
        <v>467136</v>
      </c>
      <c r="CK140" s="155">
        <v>467060</v>
      </c>
      <c r="CL140" s="155">
        <v>466868</v>
      </c>
      <c r="CM140" s="155">
        <v>466543</v>
      </c>
      <c r="CN140" s="155">
        <v>466087</v>
      </c>
      <c r="CO140" s="155">
        <v>465514</v>
      </c>
      <c r="CP140" s="155">
        <v>464840</v>
      </c>
      <c r="CQ140" s="155">
        <v>464073</v>
      </c>
      <c r="CR140" s="155">
        <v>463251</v>
      </c>
      <c r="CS140" s="155">
        <v>462368</v>
      </c>
      <c r="CT140" s="155">
        <v>461476</v>
      </c>
      <c r="CU140" s="155">
        <v>460588</v>
      </c>
      <c r="CV140" s="155">
        <v>459728</v>
      </c>
      <c r="CW140" s="155">
        <v>458915</v>
      </c>
      <c r="CX140" s="155">
        <v>458164</v>
      </c>
      <c r="CY140" s="154">
        <v>457487</v>
      </c>
    </row>
    <row r="141" spans="1:103">
      <c r="A141" s="155" t="s">
        <v>1139</v>
      </c>
      <c r="B141" s="154">
        <v>32</v>
      </c>
      <c r="C141" s="155">
        <v>453661</v>
      </c>
      <c r="D141" s="155">
        <v>469987</v>
      </c>
      <c r="E141" s="155">
        <v>474527</v>
      </c>
      <c r="F141" s="155">
        <v>472501</v>
      </c>
      <c r="G141" s="155">
        <v>482242</v>
      </c>
      <c r="H141" s="155">
        <v>481056</v>
      </c>
      <c r="I141" s="155">
        <v>484467</v>
      </c>
      <c r="J141" s="155">
        <v>497339</v>
      </c>
      <c r="K141" s="155">
        <v>495250</v>
      </c>
      <c r="L141" s="155">
        <v>502181</v>
      </c>
      <c r="M141" s="155">
        <v>496603</v>
      </c>
      <c r="N141" s="155">
        <v>492115</v>
      </c>
      <c r="O141" s="155">
        <v>496566</v>
      </c>
      <c r="P141" s="155">
        <v>508306</v>
      </c>
      <c r="Q141" s="155">
        <v>516200</v>
      </c>
      <c r="R141" s="155">
        <v>514960</v>
      </c>
      <c r="S141" s="155">
        <v>512737</v>
      </c>
      <c r="T141" s="155">
        <v>518277</v>
      </c>
      <c r="U141" s="155">
        <v>532379</v>
      </c>
      <c r="V141" s="155">
        <v>529162</v>
      </c>
      <c r="W141" s="155">
        <v>532231</v>
      </c>
      <c r="X141" s="155">
        <v>539126</v>
      </c>
      <c r="Y141" s="155">
        <v>538835</v>
      </c>
      <c r="Z141" s="155">
        <v>529501</v>
      </c>
      <c r="AA141" s="155">
        <v>520670</v>
      </c>
      <c r="AB141" s="155">
        <v>520065</v>
      </c>
      <c r="AC141" s="155">
        <v>525311</v>
      </c>
      <c r="AD141" s="155">
        <v>514551</v>
      </c>
      <c r="AE141" s="155">
        <v>506974</v>
      </c>
      <c r="AF141" s="155">
        <v>504608</v>
      </c>
      <c r="AG141" s="155">
        <v>497887</v>
      </c>
      <c r="AH141" s="155">
        <v>488534</v>
      </c>
      <c r="AI141" s="155">
        <v>492416</v>
      </c>
      <c r="AJ141" s="155">
        <v>475059</v>
      </c>
      <c r="AK141" s="155">
        <v>474417</v>
      </c>
      <c r="AL141" s="155">
        <v>476189</v>
      </c>
      <c r="AM141" s="155">
        <v>477419</v>
      </c>
      <c r="AN141" s="155">
        <v>478122</v>
      </c>
      <c r="AO141" s="155">
        <v>478562</v>
      </c>
      <c r="AP141" s="155">
        <v>478948</v>
      </c>
      <c r="AQ141" s="155">
        <v>479290</v>
      </c>
      <c r="AR141" s="155">
        <v>479625</v>
      </c>
      <c r="AS141" s="155">
        <v>479966</v>
      </c>
      <c r="AT141" s="155">
        <v>480505</v>
      </c>
      <c r="AU141" s="155">
        <v>481296</v>
      </c>
      <c r="AV141" s="155">
        <v>482201</v>
      </c>
      <c r="AW141" s="155">
        <v>483197</v>
      </c>
      <c r="AX141" s="155">
        <v>484349</v>
      </c>
      <c r="AY141" s="155">
        <v>485675</v>
      </c>
      <c r="AZ141" s="155">
        <v>487054</v>
      </c>
      <c r="BA141" s="155">
        <v>488364</v>
      </c>
      <c r="BB141" s="155">
        <v>489550</v>
      </c>
      <c r="BC141" s="155">
        <v>490608</v>
      </c>
      <c r="BD141" s="155">
        <v>491318</v>
      </c>
      <c r="BE141" s="155">
        <v>491575</v>
      </c>
      <c r="BF141" s="155">
        <v>491549</v>
      </c>
      <c r="BG141" s="155">
        <v>491292</v>
      </c>
      <c r="BH141" s="155">
        <v>490868</v>
      </c>
      <c r="BI141" s="155">
        <v>489812</v>
      </c>
      <c r="BJ141" s="155">
        <v>488028</v>
      </c>
      <c r="BK141" s="155">
        <v>486036</v>
      </c>
      <c r="BL141" s="155">
        <v>483919</v>
      </c>
      <c r="BM141" s="155">
        <v>481773</v>
      </c>
      <c r="BN141" s="155">
        <v>479578</v>
      </c>
      <c r="BO141" s="155">
        <v>477330</v>
      </c>
      <c r="BP141" s="155">
        <v>475265</v>
      </c>
      <c r="BQ141" s="155">
        <v>473487</v>
      </c>
      <c r="BR141" s="155">
        <v>472024</v>
      </c>
      <c r="BS141" s="155">
        <v>470778</v>
      </c>
      <c r="BT141" s="155">
        <v>469751</v>
      </c>
      <c r="BU141" s="155">
        <v>468992</v>
      </c>
      <c r="BV141" s="155">
        <v>468494</v>
      </c>
      <c r="BW141" s="155">
        <v>468244</v>
      </c>
      <c r="BX141" s="155">
        <v>468131</v>
      </c>
      <c r="BY141" s="155">
        <v>468120</v>
      </c>
      <c r="BZ141" s="155">
        <v>468293</v>
      </c>
      <c r="CA141" s="155">
        <v>468623</v>
      </c>
      <c r="CB141" s="155">
        <v>469035</v>
      </c>
      <c r="CC141" s="155">
        <v>469499</v>
      </c>
      <c r="CD141" s="155">
        <v>469963</v>
      </c>
      <c r="CE141" s="155">
        <v>470416</v>
      </c>
      <c r="CF141" s="155">
        <v>470873</v>
      </c>
      <c r="CG141" s="155">
        <v>471277</v>
      </c>
      <c r="CH141" s="155">
        <v>471617</v>
      </c>
      <c r="CI141" s="155">
        <v>471871</v>
      </c>
      <c r="CJ141" s="155">
        <v>472026</v>
      </c>
      <c r="CK141" s="155">
        <v>472069</v>
      </c>
      <c r="CL141" s="155">
        <v>471994</v>
      </c>
      <c r="CM141" s="155">
        <v>471806</v>
      </c>
      <c r="CN141" s="155">
        <v>471482</v>
      </c>
      <c r="CO141" s="155">
        <v>471027</v>
      </c>
      <c r="CP141" s="155">
        <v>470455</v>
      </c>
      <c r="CQ141" s="155">
        <v>469784</v>
      </c>
      <c r="CR141" s="155">
        <v>469019</v>
      </c>
      <c r="CS141" s="155">
        <v>468198</v>
      </c>
      <c r="CT141" s="155">
        <v>467317</v>
      </c>
      <c r="CU141" s="155">
        <v>466426</v>
      </c>
      <c r="CV141" s="155">
        <v>465540</v>
      </c>
      <c r="CW141" s="155">
        <v>464683</v>
      </c>
      <c r="CX141" s="155">
        <v>463872</v>
      </c>
      <c r="CY141" s="154">
        <v>463121</v>
      </c>
    </row>
    <row r="142" spans="1:103">
      <c r="A142" s="155" t="s">
        <v>1139</v>
      </c>
      <c r="B142" s="154">
        <v>33</v>
      </c>
      <c r="C142" s="155">
        <v>450701</v>
      </c>
      <c r="D142" s="155">
        <v>465465</v>
      </c>
      <c r="E142" s="155">
        <v>479253</v>
      </c>
      <c r="F142" s="155">
        <v>482448</v>
      </c>
      <c r="G142" s="155">
        <v>479082</v>
      </c>
      <c r="H142" s="155">
        <v>487472</v>
      </c>
      <c r="I142" s="155">
        <v>484947</v>
      </c>
      <c r="J142" s="155">
        <v>488360</v>
      </c>
      <c r="K142" s="155">
        <v>501224</v>
      </c>
      <c r="L142" s="155">
        <v>499139</v>
      </c>
      <c r="M142" s="155">
        <v>506068</v>
      </c>
      <c r="N142" s="155">
        <v>500492</v>
      </c>
      <c r="O142" s="155">
        <v>496011</v>
      </c>
      <c r="P142" s="155">
        <v>500461</v>
      </c>
      <c r="Q142" s="155">
        <v>512194</v>
      </c>
      <c r="R142" s="155">
        <v>520087</v>
      </c>
      <c r="S142" s="155">
        <v>518852</v>
      </c>
      <c r="T142" s="155">
        <v>516634</v>
      </c>
      <c r="U142" s="155">
        <v>522173</v>
      </c>
      <c r="V142" s="155">
        <v>536268</v>
      </c>
      <c r="W142" s="155">
        <v>533057</v>
      </c>
      <c r="X142" s="155">
        <v>536127</v>
      </c>
      <c r="Y142" s="155">
        <v>543023</v>
      </c>
      <c r="Z142" s="155">
        <v>542737</v>
      </c>
      <c r="AA142" s="155">
        <v>533413</v>
      </c>
      <c r="AB142" s="155">
        <v>524593</v>
      </c>
      <c r="AC142" s="155">
        <v>523992</v>
      </c>
      <c r="AD142" s="155">
        <v>529239</v>
      </c>
      <c r="AE142" s="155">
        <v>518489</v>
      </c>
      <c r="AF142" s="155">
        <v>510922</v>
      </c>
      <c r="AG142" s="155">
        <v>508560</v>
      </c>
      <c r="AH142" s="155">
        <v>501848</v>
      </c>
      <c r="AI142" s="155">
        <v>492503</v>
      </c>
      <c r="AJ142" s="155">
        <v>496386</v>
      </c>
      <c r="AK142" s="155">
        <v>479045</v>
      </c>
      <c r="AL142" s="155">
        <v>478405</v>
      </c>
      <c r="AM142" s="155">
        <v>480181</v>
      </c>
      <c r="AN142" s="155">
        <v>481414</v>
      </c>
      <c r="AO142" s="155">
        <v>482119</v>
      </c>
      <c r="AP142" s="155">
        <v>482562</v>
      </c>
      <c r="AQ142" s="155">
        <v>482949</v>
      </c>
      <c r="AR142" s="155">
        <v>483295</v>
      </c>
      <c r="AS142" s="155">
        <v>483633</v>
      </c>
      <c r="AT142" s="155">
        <v>483977</v>
      </c>
      <c r="AU142" s="155">
        <v>484519</v>
      </c>
      <c r="AV142" s="155">
        <v>485313</v>
      </c>
      <c r="AW142" s="155">
        <v>486219</v>
      </c>
      <c r="AX142" s="155">
        <v>487217</v>
      </c>
      <c r="AY142" s="155">
        <v>488373</v>
      </c>
      <c r="AZ142" s="155">
        <v>489700</v>
      </c>
      <c r="BA142" s="155">
        <v>491080</v>
      </c>
      <c r="BB142" s="155">
        <v>492393</v>
      </c>
      <c r="BC142" s="155">
        <v>493582</v>
      </c>
      <c r="BD142" s="155">
        <v>494642</v>
      </c>
      <c r="BE142" s="155">
        <v>495354</v>
      </c>
      <c r="BF142" s="155">
        <v>495614</v>
      </c>
      <c r="BG142" s="155">
        <v>495591</v>
      </c>
      <c r="BH142" s="155">
        <v>495337</v>
      </c>
      <c r="BI142" s="155">
        <v>494915</v>
      </c>
      <c r="BJ142" s="155">
        <v>493864</v>
      </c>
      <c r="BK142" s="155">
        <v>492082</v>
      </c>
      <c r="BL142" s="155">
        <v>490095</v>
      </c>
      <c r="BM142" s="155">
        <v>487981</v>
      </c>
      <c r="BN142" s="155">
        <v>485836</v>
      </c>
      <c r="BO142" s="155">
        <v>483646</v>
      </c>
      <c r="BP142" s="155">
        <v>481402</v>
      </c>
      <c r="BQ142" s="155">
        <v>479340</v>
      </c>
      <c r="BR142" s="155">
        <v>477565</v>
      </c>
      <c r="BS142" s="155">
        <v>476105</v>
      </c>
      <c r="BT142" s="155">
        <v>474862</v>
      </c>
      <c r="BU142" s="155">
        <v>473836</v>
      </c>
      <c r="BV142" s="155">
        <v>473080</v>
      </c>
      <c r="BW142" s="155">
        <v>472584</v>
      </c>
      <c r="BX142" s="155">
        <v>472337</v>
      </c>
      <c r="BY142" s="155">
        <v>472227</v>
      </c>
      <c r="BZ142" s="155">
        <v>472218</v>
      </c>
      <c r="CA142" s="155">
        <v>472391</v>
      </c>
      <c r="CB142" s="155">
        <v>472724</v>
      </c>
      <c r="CC142" s="155">
        <v>473137</v>
      </c>
      <c r="CD142" s="155">
        <v>473603</v>
      </c>
      <c r="CE142" s="155">
        <v>474068</v>
      </c>
      <c r="CF142" s="155">
        <v>474525</v>
      </c>
      <c r="CG142" s="155">
        <v>474984</v>
      </c>
      <c r="CH142" s="155">
        <v>475390</v>
      </c>
      <c r="CI142" s="155">
        <v>475732</v>
      </c>
      <c r="CJ142" s="155">
        <v>475987</v>
      </c>
      <c r="CK142" s="155">
        <v>476144</v>
      </c>
      <c r="CL142" s="155">
        <v>476188</v>
      </c>
      <c r="CM142" s="155">
        <v>476115</v>
      </c>
      <c r="CN142" s="155">
        <v>475928</v>
      </c>
      <c r="CO142" s="155">
        <v>475606</v>
      </c>
      <c r="CP142" s="155">
        <v>475153</v>
      </c>
      <c r="CQ142" s="155">
        <v>474583</v>
      </c>
      <c r="CR142" s="155">
        <v>473915</v>
      </c>
      <c r="CS142" s="155">
        <v>473152</v>
      </c>
      <c r="CT142" s="155">
        <v>472332</v>
      </c>
      <c r="CU142" s="155">
        <v>471454</v>
      </c>
      <c r="CV142" s="155">
        <v>470565</v>
      </c>
      <c r="CW142" s="155">
        <v>469679</v>
      </c>
      <c r="CX142" s="155">
        <v>468824</v>
      </c>
      <c r="CY142" s="154">
        <v>468015</v>
      </c>
    </row>
    <row r="143" spans="1:103">
      <c r="A143" s="155" t="s">
        <v>1139</v>
      </c>
      <c r="B143" s="154">
        <v>34</v>
      </c>
      <c r="C143" s="155">
        <v>455038</v>
      </c>
      <c r="D143" s="155">
        <v>461710</v>
      </c>
      <c r="E143" s="155">
        <v>474106</v>
      </c>
      <c r="F143" s="155">
        <v>486627</v>
      </c>
      <c r="G143" s="155">
        <v>488568</v>
      </c>
      <c r="H143" s="155">
        <v>483952</v>
      </c>
      <c r="I143" s="155">
        <v>491082</v>
      </c>
      <c r="J143" s="155">
        <v>488565</v>
      </c>
      <c r="K143" s="155">
        <v>491980</v>
      </c>
      <c r="L143" s="155">
        <v>504838</v>
      </c>
      <c r="M143" s="155">
        <v>502757</v>
      </c>
      <c r="N143" s="155">
        <v>509680</v>
      </c>
      <c r="O143" s="155">
        <v>504113</v>
      </c>
      <c r="P143" s="155">
        <v>499639</v>
      </c>
      <c r="Q143" s="155">
        <v>504087</v>
      </c>
      <c r="R143" s="155">
        <v>515813</v>
      </c>
      <c r="S143" s="155">
        <v>523705</v>
      </c>
      <c r="T143" s="155">
        <v>522474</v>
      </c>
      <c r="U143" s="155">
        <v>520261</v>
      </c>
      <c r="V143" s="155">
        <v>525800</v>
      </c>
      <c r="W143" s="155">
        <v>539888</v>
      </c>
      <c r="X143" s="155">
        <v>536685</v>
      </c>
      <c r="Y143" s="155">
        <v>539756</v>
      </c>
      <c r="Z143" s="155">
        <v>546652</v>
      </c>
      <c r="AA143" s="155">
        <v>546370</v>
      </c>
      <c r="AB143" s="155">
        <v>537058</v>
      </c>
      <c r="AC143" s="155">
        <v>528248</v>
      </c>
      <c r="AD143" s="155">
        <v>527653</v>
      </c>
      <c r="AE143" s="155">
        <v>532901</v>
      </c>
      <c r="AF143" s="155">
        <v>522161</v>
      </c>
      <c r="AG143" s="155">
        <v>514605</v>
      </c>
      <c r="AH143" s="155">
        <v>512247</v>
      </c>
      <c r="AI143" s="155">
        <v>505543</v>
      </c>
      <c r="AJ143" s="155">
        <v>496207</v>
      </c>
      <c r="AK143" s="155">
        <v>500092</v>
      </c>
      <c r="AL143" s="155">
        <v>482765</v>
      </c>
      <c r="AM143" s="155">
        <v>482131</v>
      </c>
      <c r="AN143" s="155">
        <v>483909</v>
      </c>
      <c r="AO143" s="155">
        <v>485144</v>
      </c>
      <c r="AP143" s="155">
        <v>485852</v>
      </c>
      <c r="AQ143" s="155">
        <v>486298</v>
      </c>
      <c r="AR143" s="155">
        <v>486688</v>
      </c>
      <c r="AS143" s="155">
        <v>487036</v>
      </c>
      <c r="AT143" s="155">
        <v>487379</v>
      </c>
      <c r="AU143" s="155">
        <v>487726</v>
      </c>
      <c r="AV143" s="155">
        <v>488271</v>
      </c>
      <c r="AW143" s="155">
        <v>489068</v>
      </c>
      <c r="AX143" s="155">
        <v>489976</v>
      </c>
      <c r="AY143" s="155">
        <v>490976</v>
      </c>
      <c r="AZ143" s="155">
        <v>492134</v>
      </c>
      <c r="BA143" s="155">
        <v>493463</v>
      </c>
      <c r="BB143" s="155">
        <v>494845</v>
      </c>
      <c r="BC143" s="155">
        <v>496160</v>
      </c>
      <c r="BD143" s="155">
        <v>497352</v>
      </c>
      <c r="BE143" s="155">
        <v>498414</v>
      </c>
      <c r="BF143" s="155">
        <v>499130</v>
      </c>
      <c r="BG143" s="155">
        <v>499391</v>
      </c>
      <c r="BH143" s="155">
        <v>499371</v>
      </c>
      <c r="BI143" s="155">
        <v>499120</v>
      </c>
      <c r="BJ143" s="155">
        <v>498701</v>
      </c>
      <c r="BK143" s="155">
        <v>497654</v>
      </c>
      <c r="BL143" s="155">
        <v>495876</v>
      </c>
      <c r="BM143" s="155">
        <v>493892</v>
      </c>
      <c r="BN143" s="155">
        <v>491781</v>
      </c>
      <c r="BO143" s="155">
        <v>489641</v>
      </c>
      <c r="BP143" s="155">
        <v>487454</v>
      </c>
      <c r="BQ143" s="155">
        <v>485212</v>
      </c>
      <c r="BR143" s="155">
        <v>483155</v>
      </c>
      <c r="BS143" s="155">
        <v>481382</v>
      </c>
      <c r="BT143" s="155">
        <v>479927</v>
      </c>
      <c r="BU143" s="155">
        <v>478688</v>
      </c>
      <c r="BV143" s="155">
        <v>477664</v>
      </c>
      <c r="BW143" s="155">
        <v>476910</v>
      </c>
      <c r="BX143" s="155">
        <v>476415</v>
      </c>
      <c r="BY143" s="155">
        <v>476171</v>
      </c>
      <c r="BZ143" s="155">
        <v>476063</v>
      </c>
      <c r="CA143" s="155">
        <v>476055</v>
      </c>
      <c r="CB143" s="155">
        <v>476230</v>
      </c>
      <c r="CC143" s="155">
        <v>476567</v>
      </c>
      <c r="CD143" s="155">
        <v>476981</v>
      </c>
      <c r="CE143" s="155">
        <v>477450</v>
      </c>
      <c r="CF143" s="155">
        <v>477916</v>
      </c>
      <c r="CG143" s="155">
        <v>478375</v>
      </c>
      <c r="CH143" s="155">
        <v>478837</v>
      </c>
      <c r="CI143" s="155">
        <v>479245</v>
      </c>
      <c r="CJ143" s="155">
        <v>479588</v>
      </c>
      <c r="CK143" s="155">
        <v>479845</v>
      </c>
      <c r="CL143" s="155">
        <v>480005</v>
      </c>
      <c r="CM143" s="155">
        <v>480050</v>
      </c>
      <c r="CN143" s="155">
        <v>479979</v>
      </c>
      <c r="CO143" s="155">
        <v>479794</v>
      </c>
      <c r="CP143" s="155">
        <v>479473</v>
      </c>
      <c r="CQ143" s="155">
        <v>479022</v>
      </c>
      <c r="CR143" s="155">
        <v>478454</v>
      </c>
      <c r="CS143" s="155">
        <v>477789</v>
      </c>
      <c r="CT143" s="155">
        <v>477027</v>
      </c>
      <c r="CU143" s="155">
        <v>476210</v>
      </c>
      <c r="CV143" s="155">
        <v>475334</v>
      </c>
      <c r="CW143" s="155">
        <v>474445</v>
      </c>
      <c r="CX143" s="155">
        <v>473562</v>
      </c>
      <c r="CY143" s="154">
        <v>472710</v>
      </c>
    </row>
    <row r="144" spans="1:103">
      <c r="A144" s="155" t="s">
        <v>1139</v>
      </c>
      <c r="B144" s="154">
        <v>35</v>
      </c>
      <c r="C144" s="155">
        <v>444369</v>
      </c>
      <c r="D144" s="155">
        <v>465132</v>
      </c>
      <c r="E144" s="155">
        <v>469611</v>
      </c>
      <c r="F144" s="155">
        <v>480833</v>
      </c>
      <c r="G144" s="155">
        <v>492179</v>
      </c>
      <c r="H144" s="155">
        <v>492958</v>
      </c>
      <c r="I144" s="155">
        <v>487189</v>
      </c>
      <c r="J144" s="155">
        <v>494318</v>
      </c>
      <c r="K144" s="155">
        <v>491811</v>
      </c>
      <c r="L144" s="155">
        <v>495228</v>
      </c>
      <c r="M144" s="155">
        <v>508079</v>
      </c>
      <c r="N144" s="155">
        <v>506004</v>
      </c>
      <c r="O144" s="155">
        <v>512924</v>
      </c>
      <c r="P144" s="155">
        <v>507363</v>
      </c>
      <c r="Q144" s="155">
        <v>502896</v>
      </c>
      <c r="R144" s="155">
        <v>507343</v>
      </c>
      <c r="S144" s="155">
        <v>519064</v>
      </c>
      <c r="T144" s="155">
        <v>526953</v>
      </c>
      <c r="U144" s="155">
        <v>525728</v>
      </c>
      <c r="V144" s="155">
        <v>523521</v>
      </c>
      <c r="W144" s="155">
        <v>529060</v>
      </c>
      <c r="X144" s="155">
        <v>543139</v>
      </c>
      <c r="Y144" s="155">
        <v>539942</v>
      </c>
      <c r="Z144" s="155">
        <v>543016</v>
      </c>
      <c r="AA144" s="155">
        <v>549912</v>
      </c>
      <c r="AB144" s="155">
        <v>549635</v>
      </c>
      <c r="AC144" s="155">
        <v>540336</v>
      </c>
      <c r="AD144" s="155">
        <v>531535</v>
      </c>
      <c r="AE144" s="155">
        <v>530947</v>
      </c>
      <c r="AF144" s="155">
        <v>536195</v>
      </c>
      <c r="AG144" s="155">
        <v>525467</v>
      </c>
      <c r="AH144" s="155">
        <v>517921</v>
      </c>
      <c r="AI144" s="155">
        <v>515568</v>
      </c>
      <c r="AJ144" s="155">
        <v>508874</v>
      </c>
      <c r="AK144" s="155">
        <v>499548</v>
      </c>
      <c r="AL144" s="155">
        <v>503434</v>
      </c>
      <c r="AM144" s="155">
        <v>486124</v>
      </c>
      <c r="AN144" s="155">
        <v>485494</v>
      </c>
      <c r="AO144" s="155">
        <v>487274</v>
      </c>
      <c r="AP144" s="155">
        <v>488512</v>
      </c>
      <c r="AQ144" s="155">
        <v>489222</v>
      </c>
      <c r="AR144" s="155">
        <v>489673</v>
      </c>
      <c r="AS144" s="155">
        <v>490065</v>
      </c>
      <c r="AT144" s="155">
        <v>490418</v>
      </c>
      <c r="AU144" s="155">
        <v>490762</v>
      </c>
      <c r="AV144" s="155">
        <v>491113</v>
      </c>
      <c r="AW144" s="155">
        <v>491660</v>
      </c>
      <c r="AX144" s="155">
        <v>492460</v>
      </c>
      <c r="AY144" s="155">
        <v>493371</v>
      </c>
      <c r="AZ144" s="155">
        <v>494374</v>
      </c>
      <c r="BA144" s="155">
        <v>495535</v>
      </c>
      <c r="BB144" s="155">
        <v>496866</v>
      </c>
      <c r="BC144" s="155">
        <v>498251</v>
      </c>
      <c r="BD144" s="155">
        <v>499568</v>
      </c>
      <c r="BE144" s="155">
        <v>500762</v>
      </c>
      <c r="BF144" s="155">
        <v>501826</v>
      </c>
      <c r="BG144" s="155">
        <v>502545</v>
      </c>
      <c r="BH144" s="155">
        <v>502809</v>
      </c>
      <c r="BI144" s="155">
        <v>502792</v>
      </c>
      <c r="BJ144" s="155">
        <v>502545</v>
      </c>
      <c r="BK144" s="155">
        <v>502128</v>
      </c>
      <c r="BL144" s="155">
        <v>501084</v>
      </c>
      <c r="BM144" s="155">
        <v>499310</v>
      </c>
      <c r="BN144" s="155">
        <v>497329</v>
      </c>
      <c r="BO144" s="155">
        <v>495224</v>
      </c>
      <c r="BP144" s="155">
        <v>493087</v>
      </c>
      <c r="BQ144" s="155">
        <v>490905</v>
      </c>
      <c r="BR144" s="155">
        <v>488665</v>
      </c>
      <c r="BS144" s="155">
        <v>486613</v>
      </c>
      <c r="BT144" s="155">
        <v>484842</v>
      </c>
      <c r="BU144" s="155">
        <v>483390</v>
      </c>
      <c r="BV144" s="155">
        <v>482155</v>
      </c>
      <c r="BW144" s="155">
        <v>481135</v>
      </c>
      <c r="BX144" s="155">
        <v>480382</v>
      </c>
      <c r="BY144" s="155">
        <v>479889</v>
      </c>
      <c r="BZ144" s="155">
        <v>479650</v>
      </c>
      <c r="CA144" s="155">
        <v>479542</v>
      </c>
      <c r="CB144" s="155">
        <v>479536</v>
      </c>
      <c r="CC144" s="155">
        <v>479714</v>
      </c>
      <c r="CD144" s="155">
        <v>480054</v>
      </c>
      <c r="CE144" s="155">
        <v>480469</v>
      </c>
      <c r="CF144" s="155">
        <v>480940</v>
      </c>
      <c r="CG144" s="155">
        <v>481408</v>
      </c>
      <c r="CH144" s="155">
        <v>481868</v>
      </c>
      <c r="CI144" s="155">
        <v>482332</v>
      </c>
      <c r="CJ144" s="155">
        <v>482742</v>
      </c>
      <c r="CK144" s="155">
        <v>483088</v>
      </c>
      <c r="CL144" s="155">
        <v>483347</v>
      </c>
      <c r="CM144" s="155">
        <v>483509</v>
      </c>
      <c r="CN144" s="155">
        <v>483557</v>
      </c>
      <c r="CO144" s="155">
        <v>483487</v>
      </c>
      <c r="CP144" s="155">
        <v>483304</v>
      </c>
      <c r="CQ144" s="155">
        <v>482986</v>
      </c>
      <c r="CR144" s="155">
        <v>482537</v>
      </c>
      <c r="CS144" s="155">
        <v>481970</v>
      </c>
      <c r="CT144" s="155">
        <v>481308</v>
      </c>
      <c r="CU144" s="155">
        <v>480550</v>
      </c>
      <c r="CV144" s="155">
        <v>479733</v>
      </c>
      <c r="CW144" s="155">
        <v>478858</v>
      </c>
      <c r="CX144" s="155">
        <v>477971</v>
      </c>
      <c r="CY144" s="154">
        <v>477092</v>
      </c>
    </row>
    <row r="145" spans="1:103">
      <c r="A145" s="155" t="s">
        <v>1139</v>
      </c>
      <c r="B145" s="154">
        <v>36</v>
      </c>
      <c r="C145" s="155">
        <v>444150</v>
      </c>
      <c r="D145" s="155">
        <v>453281</v>
      </c>
      <c r="E145" s="155">
        <v>472018</v>
      </c>
      <c r="F145" s="155">
        <v>475435</v>
      </c>
      <c r="G145" s="155">
        <v>485591</v>
      </c>
      <c r="H145" s="155">
        <v>495871</v>
      </c>
      <c r="I145" s="155">
        <v>495600</v>
      </c>
      <c r="J145" s="155">
        <v>489845</v>
      </c>
      <c r="K145" s="155">
        <v>496977</v>
      </c>
      <c r="L145" s="155">
        <v>494480</v>
      </c>
      <c r="M145" s="155">
        <v>497899</v>
      </c>
      <c r="N145" s="155">
        <v>510743</v>
      </c>
      <c r="O145" s="155">
        <v>508674</v>
      </c>
      <c r="P145" s="155">
        <v>515589</v>
      </c>
      <c r="Q145" s="155">
        <v>510036</v>
      </c>
      <c r="R145" s="155">
        <v>505576</v>
      </c>
      <c r="S145" s="155">
        <v>510025</v>
      </c>
      <c r="T145" s="155">
        <v>521736</v>
      </c>
      <c r="U145" s="155">
        <v>529625</v>
      </c>
      <c r="V145" s="155">
        <v>528406</v>
      </c>
      <c r="W145" s="155">
        <v>526204</v>
      </c>
      <c r="X145" s="155">
        <v>531744</v>
      </c>
      <c r="Y145" s="155">
        <v>545817</v>
      </c>
      <c r="Z145" s="155">
        <v>542625</v>
      </c>
      <c r="AA145" s="155">
        <v>545703</v>
      </c>
      <c r="AB145" s="155">
        <v>552597</v>
      </c>
      <c r="AC145" s="155">
        <v>552327</v>
      </c>
      <c r="AD145" s="155">
        <v>543040</v>
      </c>
      <c r="AE145" s="155">
        <v>534251</v>
      </c>
      <c r="AF145" s="155">
        <v>533668</v>
      </c>
      <c r="AG145" s="155">
        <v>538917</v>
      </c>
      <c r="AH145" s="155">
        <v>528203</v>
      </c>
      <c r="AI145" s="155">
        <v>520665</v>
      </c>
      <c r="AJ145" s="155">
        <v>518318</v>
      </c>
      <c r="AK145" s="155">
        <v>511635</v>
      </c>
      <c r="AL145" s="155">
        <v>502320</v>
      </c>
      <c r="AM145" s="155">
        <v>506206</v>
      </c>
      <c r="AN145" s="155">
        <v>488913</v>
      </c>
      <c r="AO145" s="155">
        <v>488289</v>
      </c>
      <c r="AP145" s="155">
        <v>490070</v>
      </c>
      <c r="AQ145" s="155">
        <v>491311</v>
      </c>
      <c r="AR145" s="155">
        <v>492025</v>
      </c>
      <c r="AS145" s="155">
        <v>492480</v>
      </c>
      <c r="AT145" s="155">
        <v>492874</v>
      </c>
      <c r="AU145" s="155">
        <v>493230</v>
      </c>
      <c r="AV145" s="155">
        <v>493578</v>
      </c>
      <c r="AW145" s="155">
        <v>493934</v>
      </c>
      <c r="AX145" s="155">
        <v>494483</v>
      </c>
      <c r="AY145" s="155">
        <v>495287</v>
      </c>
      <c r="AZ145" s="155">
        <v>496199</v>
      </c>
      <c r="BA145" s="155">
        <v>497204</v>
      </c>
      <c r="BB145" s="155">
        <v>498369</v>
      </c>
      <c r="BC145" s="155">
        <v>499703</v>
      </c>
      <c r="BD145" s="155">
        <v>501090</v>
      </c>
      <c r="BE145" s="155">
        <v>502409</v>
      </c>
      <c r="BF145" s="155">
        <v>503605</v>
      </c>
      <c r="BG145" s="155">
        <v>504671</v>
      </c>
      <c r="BH145" s="155">
        <v>505395</v>
      </c>
      <c r="BI145" s="155">
        <v>505662</v>
      </c>
      <c r="BJ145" s="155">
        <v>505648</v>
      </c>
      <c r="BK145" s="155">
        <v>505405</v>
      </c>
      <c r="BL145" s="155">
        <v>504991</v>
      </c>
      <c r="BM145" s="155">
        <v>503951</v>
      </c>
      <c r="BN145" s="155">
        <v>502182</v>
      </c>
      <c r="BO145" s="155">
        <v>500204</v>
      </c>
      <c r="BP145" s="155">
        <v>498102</v>
      </c>
      <c r="BQ145" s="155">
        <v>495969</v>
      </c>
      <c r="BR145" s="155">
        <v>493791</v>
      </c>
      <c r="BS145" s="155">
        <v>491557</v>
      </c>
      <c r="BT145" s="155">
        <v>489508</v>
      </c>
      <c r="BU145" s="155">
        <v>487741</v>
      </c>
      <c r="BV145" s="155">
        <v>486290</v>
      </c>
      <c r="BW145" s="155">
        <v>485058</v>
      </c>
      <c r="BX145" s="155">
        <v>484044</v>
      </c>
      <c r="BY145" s="155">
        <v>483293</v>
      </c>
      <c r="BZ145" s="155">
        <v>482802</v>
      </c>
      <c r="CA145" s="155">
        <v>482566</v>
      </c>
      <c r="CB145" s="155">
        <v>482460</v>
      </c>
      <c r="CC145" s="155">
        <v>482456</v>
      </c>
      <c r="CD145" s="155">
        <v>482636</v>
      </c>
      <c r="CE145" s="155">
        <v>482979</v>
      </c>
      <c r="CF145" s="155">
        <v>483396</v>
      </c>
      <c r="CG145" s="155">
        <v>483870</v>
      </c>
      <c r="CH145" s="155">
        <v>484339</v>
      </c>
      <c r="CI145" s="155">
        <v>484802</v>
      </c>
      <c r="CJ145" s="155">
        <v>485268</v>
      </c>
      <c r="CK145" s="155">
        <v>485679</v>
      </c>
      <c r="CL145" s="155">
        <v>486027</v>
      </c>
      <c r="CM145" s="155">
        <v>486288</v>
      </c>
      <c r="CN145" s="155">
        <v>486453</v>
      </c>
      <c r="CO145" s="155">
        <v>486502</v>
      </c>
      <c r="CP145" s="155">
        <v>486436</v>
      </c>
      <c r="CQ145" s="155">
        <v>486255</v>
      </c>
      <c r="CR145" s="155">
        <v>485940</v>
      </c>
      <c r="CS145" s="155">
        <v>485492</v>
      </c>
      <c r="CT145" s="155">
        <v>484926</v>
      </c>
      <c r="CU145" s="155">
        <v>484268</v>
      </c>
      <c r="CV145" s="155">
        <v>483513</v>
      </c>
      <c r="CW145" s="155">
        <v>482698</v>
      </c>
      <c r="CX145" s="155">
        <v>481825</v>
      </c>
      <c r="CY145" s="154">
        <v>480941</v>
      </c>
    </row>
    <row r="146" spans="1:103">
      <c r="A146" s="155" t="s">
        <v>1139</v>
      </c>
      <c r="B146" s="154">
        <v>37</v>
      </c>
      <c r="C146" s="155">
        <v>442893</v>
      </c>
      <c r="D146" s="155">
        <v>452002</v>
      </c>
      <c r="E146" s="155">
        <v>459291</v>
      </c>
      <c r="F146" s="155">
        <v>477047</v>
      </c>
      <c r="G146" s="155">
        <v>479500</v>
      </c>
      <c r="H146" s="155">
        <v>488687</v>
      </c>
      <c r="I146" s="155">
        <v>498003</v>
      </c>
      <c r="J146" s="155">
        <v>497744</v>
      </c>
      <c r="K146" s="155">
        <v>492006</v>
      </c>
      <c r="L146" s="155">
        <v>499137</v>
      </c>
      <c r="M146" s="155">
        <v>496651</v>
      </c>
      <c r="N146" s="155">
        <v>500071</v>
      </c>
      <c r="O146" s="155">
        <v>512910</v>
      </c>
      <c r="P146" s="155">
        <v>510847</v>
      </c>
      <c r="Q146" s="155">
        <v>517757</v>
      </c>
      <c r="R146" s="155">
        <v>512214</v>
      </c>
      <c r="S146" s="155">
        <v>507762</v>
      </c>
      <c r="T146" s="155">
        <v>512211</v>
      </c>
      <c r="U146" s="155">
        <v>523914</v>
      </c>
      <c r="V146" s="155">
        <v>531802</v>
      </c>
      <c r="W146" s="155">
        <v>530590</v>
      </c>
      <c r="X146" s="155">
        <v>528395</v>
      </c>
      <c r="Y146" s="155">
        <v>533934</v>
      </c>
      <c r="Z146" s="155">
        <v>548000</v>
      </c>
      <c r="AA146" s="155">
        <v>544817</v>
      </c>
      <c r="AB146" s="155">
        <v>547896</v>
      </c>
      <c r="AC146" s="155">
        <v>554791</v>
      </c>
      <c r="AD146" s="155">
        <v>554525</v>
      </c>
      <c r="AE146" s="155">
        <v>545253</v>
      </c>
      <c r="AF146" s="155">
        <v>536476</v>
      </c>
      <c r="AG146" s="155">
        <v>535899</v>
      </c>
      <c r="AH146" s="155">
        <v>541147</v>
      </c>
      <c r="AI146" s="155">
        <v>530447</v>
      </c>
      <c r="AJ146" s="155">
        <v>522921</v>
      </c>
      <c r="AK146" s="155">
        <v>520581</v>
      </c>
      <c r="AL146" s="155">
        <v>513906</v>
      </c>
      <c r="AM146" s="155">
        <v>504603</v>
      </c>
      <c r="AN146" s="155">
        <v>508491</v>
      </c>
      <c r="AO146" s="155">
        <v>491216</v>
      </c>
      <c r="AP146" s="155">
        <v>490596</v>
      </c>
      <c r="AQ146" s="155">
        <v>492382</v>
      </c>
      <c r="AR146" s="155">
        <v>493625</v>
      </c>
      <c r="AS146" s="155">
        <v>494341</v>
      </c>
      <c r="AT146" s="155">
        <v>494800</v>
      </c>
      <c r="AU146" s="155">
        <v>495197</v>
      </c>
      <c r="AV146" s="155">
        <v>495558</v>
      </c>
      <c r="AW146" s="155">
        <v>495910</v>
      </c>
      <c r="AX146" s="155">
        <v>496268</v>
      </c>
      <c r="AY146" s="155">
        <v>496821</v>
      </c>
      <c r="AZ146" s="155">
        <v>497629</v>
      </c>
      <c r="BA146" s="155">
        <v>498543</v>
      </c>
      <c r="BB146" s="155">
        <v>499550</v>
      </c>
      <c r="BC146" s="155">
        <v>500719</v>
      </c>
      <c r="BD146" s="155">
        <v>502057</v>
      </c>
      <c r="BE146" s="155">
        <v>503447</v>
      </c>
      <c r="BF146" s="155">
        <v>504767</v>
      </c>
      <c r="BG146" s="155">
        <v>505965</v>
      </c>
      <c r="BH146" s="155">
        <v>507036</v>
      </c>
      <c r="BI146" s="155">
        <v>507762</v>
      </c>
      <c r="BJ146" s="155">
        <v>508034</v>
      </c>
      <c r="BK146" s="155">
        <v>508022</v>
      </c>
      <c r="BL146" s="155">
        <v>507783</v>
      </c>
      <c r="BM146" s="155">
        <v>507372</v>
      </c>
      <c r="BN146" s="155">
        <v>506335</v>
      </c>
      <c r="BO146" s="155">
        <v>504570</v>
      </c>
      <c r="BP146" s="155">
        <v>502598</v>
      </c>
      <c r="BQ146" s="155">
        <v>500499</v>
      </c>
      <c r="BR146" s="155">
        <v>498371</v>
      </c>
      <c r="BS146" s="155">
        <v>496197</v>
      </c>
      <c r="BT146" s="155">
        <v>493968</v>
      </c>
      <c r="BU146" s="155">
        <v>491923</v>
      </c>
      <c r="BV146" s="155">
        <v>490159</v>
      </c>
      <c r="BW146" s="155">
        <v>488711</v>
      </c>
      <c r="BX146" s="155">
        <v>487484</v>
      </c>
      <c r="BY146" s="155">
        <v>486473</v>
      </c>
      <c r="BZ146" s="155">
        <v>485724</v>
      </c>
      <c r="CA146" s="155">
        <v>485237</v>
      </c>
      <c r="CB146" s="155">
        <v>485002</v>
      </c>
      <c r="CC146" s="155">
        <v>484899</v>
      </c>
      <c r="CD146" s="155">
        <v>484898</v>
      </c>
      <c r="CE146" s="155">
        <v>485080</v>
      </c>
      <c r="CF146" s="155">
        <v>485425</v>
      </c>
      <c r="CG146" s="155">
        <v>485845</v>
      </c>
      <c r="CH146" s="155">
        <v>486321</v>
      </c>
      <c r="CI146" s="155">
        <v>486793</v>
      </c>
      <c r="CJ146" s="155">
        <v>487258</v>
      </c>
      <c r="CK146" s="155">
        <v>487727</v>
      </c>
      <c r="CL146" s="155">
        <v>488139</v>
      </c>
      <c r="CM146" s="155">
        <v>488490</v>
      </c>
      <c r="CN146" s="155">
        <v>488753</v>
      </c>
      <c r="CO146" s="155">
        <v>488922</v>
      </c>
      <c r="CP146" s="155">
        <v>488973</v>
      </c>
      <c r="CQ146" s="155">
        <v>488908</v>
      </c>
      <c r="CR146" s="155">
        <v>488729</v>
      </c>
      <c r="CS146" s="155">
        <v>488417</v>
      </c>
      <c r="CT146" s="155">
        <v>487970</v>
      </c>
      <c r="CU146" s="155">
        <v>487407</v>
      </c>
      <c r="CV146" s="155">
        <v>486752</v>
      </c>
      <c r="CW146" s="155">
        <v>485999</v>
      </c>
      <c r="CX146" s="155">
        <v>485186</v>
      </c>
      <c r="CY146" s="154">
        <v>484315</v>
      </c>
    </row>
    <row r="147" spans="1:103">
      <c r="A147" s="155" t="s">
        <v>1139</v>
      </c>
      <c r="B147" s="154">
        <v>38</v>
      </c>
      <c r="C147" s="155">
        <v>429340</v>
      </c>
      <c r="D147" s="155">
        <v>449741</v>
      </c>
      <c r="E147" s="155">
        <v>457174</v>
      </c>
      <c r="F147" s="155">
        <v>463590</v>
      </c>
      <c r="G147" s="155">
        <v>480456</v>
      </c>
      <c r="H147" s="155">
        <v>482040</v>
      </c>
      <c r="I147" s="155">
        <v>490356</v>
      </c>
      <c r="J147" s="155">
        <v>499672</v>
      </c>
      <c r="K147" s="155">
        <v>499425</v>
      </c>
      <c r="L147" s="155">
        <v>493705</v>
      </c>
      <c r="M147" s="155">
        <v>500836</v>
      </c>
      <c r="N147" s="155">
        <v>498362</v>
      </c>
      <c r="O147" s="155">
        <v>501785</v>
      </c>
      <c r="P147" s="155">
        <v>514614</v>
      </c>
      <c r="Q147" s="155">
        <v>512560</v>
      </c>
      <c r="R147" s="155">
        <v>519466</v>
      </c>
      <c r="S147" s="155">
        <v>513932</v>
      </c>
      <c r="T147" s="155">
        <v>509491</v>
      </c>
      <c r="U147" s="155">
        <v>513939</v>
      </c>
      <c r="V147" s="155">
        <v>525636</v>
      </c>
      <c r="W147" s="155">
        <v>533522</v>
      </c>
      <c r="X147" s="155">
        <v>532316</v>
      </c>
      <c r="Y147" s="155">
        <v>530129</v>
      </c>
      <c r="Z147" s="155">
        <v>535668</v>
      </c>
      <c r="AA147" s="155">
        <v>549728</v>
      </c>
      <c r="AB147" s="155">
        <v>546553</v>
      </c>
      <c r="AC147" s="155">
        <v>549633</v>
      </c>
      <c r="AD147" s="155">
        <v>556527</v>
      </c>
      <c r="AE147" s="155">
        <v>556269</v>
      </c>
      <c r="AF147" s="155">
        <v>547011</v>
      </c>
      <c r="AG147" s="155">
        <v>538246</v>
      </c>
      <c r="AH147" s="155">
        <v>537675</v>
      </c>
      <c r="AI147" s="155">
        <v>542924</v>
      </c>
      <c r="AJ147" s="155">
        <v>532239</v>
      </c>
      <c r="AK147" s="155">
        <v>524725</v>
      </c>
      <c r="AL147" s="155">
        <v>522392</v>
      </c>
      <c r="AM147" s="155">
        <v>515728</v>
      </c>
      <c r="AN147" s="155">
        <v>506436</v>
      </c>
      <c r="AO147" s="155">
        <v>510325</v>
      </c>
      <c r="AP147" s="155">
        <v>493070</v>
      </c>
      <c r="AQ147" s="155">
        <v>492454</v>
      </c>
      <c r="AR147" s="155">
        <v>494243</v>
      </c>
      <c r="AS147" s="155">
        <v>495491</v>
      </c>
      <c r="AT147" s="155">
        <v>496210</v>
      </c>
      <c r="AU147" s="155">
        <v>496673</v>
      </c>
      <c r="AV147" s="155">
        <v>497073</v>
      </c>
      <c r="AW147" s="155">
        <v>497437</v>
      </c>
      <c r="AX147" s="155">
        <v>497795</v>
      </c>
      <c r="AY147" s="155">
        <v>498156</v>
      </c>
      <c r="AZ147" s="155">
        <v>498711</v>
      </c>
      <c r="BA147" s="155">
        <v>499524</v>
      </c>
      <c r="BB147" s="155">
        <v>500440</v>
      </c>
      <c r="BC147" s="155">
        <v>501451</v>
      </c>
      <c r="BD147" s="155">
        <v>502623</v>
      </c>
      <c r="BE147" s="155">
        <v>503964</v>
      </c>
      <c r="BF147" s="155">
        <v>505356</v>
      </c>
      <c r="BG147" s="155">
        <v>506679</v>
      </c>
      <c r="BH147" s="155">
        <v>507880</v>
      </c>
      <c r="BI147" s="155">
        <v>508955</v>
      </c>
      <c r="BJ147" s="155">
        <v>509684</v>
      </c>
      <c r="BK147" s="155">
        <v>509960</v>
      </c>
      <c r="BL147" s="155">
        <v>509951</v>
      </c>
      <c r="BM147" s="155">
        <v>509716</v>
      </c>
      <c r="BN147" s="155">
        <v>509308</v>
      </c>
      <c r="BO147" s="155">
        <v>508275</v>
      </c>
      <c r="BP147" s="155">
        <v>506515</v>
      </c>
      <c r="BQ147" s="155">
        <v>504547</v>
      </c>
      <c r="BR147" s="155">
        <v>502451</v>
      </c>
      <c r="BS147" s="155">
        <v>500331</v>
      </c>
      <c r="BT147" s="155">
        <v>498161</v>
      </c>
      <c r="BU147" s="155">
        <v>495935</v>
      </c>
      <c r="BV147" s="155">
        <v>493894</v>
      </c>
      <c r="BW147" s="155">
        <v>492136</v>
      </c>
      <c r="BX147" s="155">
        <v>490690</v>
      </c>
      <c r="BY147" s="155">
        <v>489468</v>
      </c>
      <c r="BZ147" s="155">
        <v>488459</v>
      </c>
      <c r="CA147" s="155">
        <v>487714</v>
      </c>
      <c r="CB147" s="155">
        <v>487231</v>
      </c>
      <c r="CC147" s="155">
        <v>486998</v>
      </c>
      <c r="CD147" s="155">
        <v>486897</v>
      </c>
      <c r="CE147" s="155">
        <v>486901</v>
      </c>
      <c r="CF147" s="155">
        <v>487084</v>
      </c>
      <c r="CG147" s="155">
        <v>487431</v>
      </c>
      <c r="CH147" s="155">
        <v>487854</v>
      </c>
      <c r="CI147" s="155">
        <v>488332</v>
      </c>
      <c r="CJ147" s="155">
        <v>488807</v>
      </c>
      <c r="CK147" s="155">
        <v>489275</v>
      </c>
      <c r="CL147" s="155">
        <v>489746</v>
      </c>
      <c r="CM147" s="155">
        <v>490161</v>
      </c>
      <c r="CN147" s="155">
        <v>490514</v>
      </c>
      <c r="CO147" s="155">
        <v>490779</v>
      </c>
      <c r="CP147" s="155">
        <v>490949</v>
      </c>
      <c r="CQ147" s="155">
        <v>491004</v>
      </c>
      <c r="CR147" s="155">
        <v>490941</v>
      </c>
      <c r="CS147" s="155">
        <v>490765</v>
      </c>
      <c r="CT147" s="155">
        <v>490456</v>
      </c>
      <c r="CU147" s="155">
        <v>490012</v>
      </c>
      <c r="CV147" s="155">
        <v>489450</v>
      </c>
      <c r="CW147" s="155">
        <v>488797</v>
      </c>
      <c r="CX147" s="155">
        <v>488047</v>
      </c>
      <c r="CY147" s="154">
        <v>487236</v>
      </c>
    </row>
    <row r="148" spans="1:103">
      <c r="A148" s="155" t="s">
        <v>1139</v>
      </c>
      <c r="B148" s="154">
        <v>39</v>
      </c>
      <c r="C148" s="155">
        <v>429938</v>
      </c>
      <c r="D148" s="155">
        <v>435383</v>
      </c>
      <c r="E148" s="155">
        <v>454246</v>
      </c>
      <c r="F148" s="155">
        <v>460887</v>
      </c>
      <c r="G148" s="155">
        <v>466511</v>
      </c>
      <c r="H148" s="155">
        <v>482571</v>
      </c>
      <c r="I148" s="155">
        <v>483372</v>
      </c>
      <c r="J148" s="155">
        <v>491690</v>
      </c>
      <c r="K148" s="155">
        <v>501004</v>
      </c>
      <c r="L148" s="155">
        <v>500771</v>
      </c>
      <c r="M148" s="155">
        <v>495068</v>
      </c>
      <c r="N148" s="155">
        <v>502200</v>
      </c>
      <c r="O148" s="155">
        <v>499737</v>
      </c>
      <c r="P148" s="155">
        <v>503164</v>
      </c>
      <c r="Q148" s="155">
        <v>515983</v>
      </c>
      <c r="R148" s="155">
        <v>513937</v>
      </c>
      <c r="S148" s="155">
        <v>520841</v>
      </c>
      <c r="T148" s="155">
        <v>515316</v>
      </c>
      <c r="U148" s="155">
        <v>510885</v>
      </c>
      <c r="V148" s="155">
        <v>515335</v>
      </c>
      <c r="W148" s="155">
        <v>527025</v>
      </c>
      <c r="X148" s="155">
        <v>534909</v>
      </c>
      <c r="Y148" s="155">
        <v>533711</v>
      </c>
      <c r="Z148" s="155">
        <v>531532</v>
      </c>
      <c r="AA148" s="155">
        <v>537073</v>
      </c>
      <c r="AB148" s="155">
        <v>551123</v>
      </c>
      <c r="AC148" s="155">
        <v>547958</v>
      </c>
      <c r="AD148" s="155">
        <v>551041</v>
      </c>
      <c r="AE148" s="155">
        <v>557933</v>
      </c>
      <c r="AF148" s="155">
        <v>557681</v>
      </c>
      <c r="AG148" s="155">
        <v>548439</v>
      </c>
      <c r="AH148" s="155">
        <v>539688</v>
      </c>
      <c r="AI148" s="155">
        <v>539123</v>
      </c>
      <c r="AJ148" s="155">
        <v>544373</v>
      </c>
      <c r="AK148" s="155">
        <v>533703</v>
      </c>
      <c r="AL148" s="155">
        <v>526203</v>
      </c>
      <c r="AM148" s="155">
        <v>523876</v>
      </c>
      <c r="AN148" s="155">
        <v>517223</v>
      </c>
      <c r="AO148" s="155">
        <v>507946</v>
      </c>
      <c r="AP148" s="155">
        <v>511837</v>
      </c>
      <c r="AQ148" s="155">
        <v>494599</v>
      </c>
      <c r="AR148" s="155">
        <v>493988</v>
      </c>
      <c r="AS148" s="155">
        <v>495781</v>
      </c>
      <c r="AT148" s="155">
        <v>497033</v>
      </c>
      <c r="AU148" s="155">
        <v>497756</v>
      </c>
      <c r="AV148" s="155">
        <v>498222</v>
      </c>
      <c r="AW148" s="155">
        <v>498626</v>
      </c>
      <c r="AX148" s="155">
        <v>498995</v>
      </c>
      <c r="AY148" s="155">
        <v>499356</v>
      </c>
      <c r="AZ148" s="155">
        <v>499721</v>
      </c>
      <c r="BA148" s="155">
        <v>500279</v>
      </c>
      <c r="BB148" s="155">
        <v>501094</v>
      </c>
      <c r="BC148" s="155">
        <v>502016</v>
      </c>
      <c r="BD148" s="155">
        <v>503031</v>
      </c>
      <c r="BE148" s="155">
        <v>504206</v>
      </c>
      <c r="BF148" s="155">
        <v>505550</v>
      </c>
      <c r="BG148" s="155">
        <v>506945</v>
      </c>
      <c r="BH148" s="155">
        <v>508271</v>
      </c>
      <c r="BI148" s="155">
        <v>509474</v>
      </c>
      <c r="BJ148" s="155">
        <v>510553</v>
      </c>
      <c r="BK148" s="155">
        <v>511284</v>
      </c>
      <c r="BL148" s="155">
        <v>511565</v>
      </c>
      <c r="BM148" s="155">
        <v>511559</v>
      </c>
      <c r="BN148" s="155">
        <v>511327</v>
      </c>
      <c r="BO148" s="155">
        <v>510924</v>
      </c>
      <c r="BP148" s="155">
        <v>509896</v>
      </c>
      <c r="BQ148" s="155">
        <v>508143</v>
      </c>
      <c r="BR148" s="155">
        <v>506178</v>
      </c>
      <c r="BS148" s="155">
        <v>504087</v>
      </c>
      <c r="BT148" s="155">
        <v>501971</v>
      </c>
      <c r="BU148" s="155">
        <v>499806</v>
      </c>
      <c r="BV148" s="155">
        <v>497584</v>
      </c>
      <c r="BW148" s="155">
        <v>495549</v>
      </c>
      <c r="BX148" s="155">
        <v>493793</v>
      </c>
      <c r="BY148" s="155">
        <v>492354</v>
      </c>
      <c r="BZ148" s="155">
        <v>491134</v>
      </c>
      <c r="CA148" s="155">
        <v>490129</v>
      </c>
      <c r="CB148" s="155">
        <v>489388</v>
      </c>
      <c r="CC148" s="155">
        <v>488909</v>
      </c>
      <c r="CD148" s="155">
        <v>488678</v>
      </c>
      <c r="CE148" s="155">
        <v>488580</v>
      </c>
      <c r="CF148" s="155">
        <v>488586</v>
      </c>
      <c r="CG148" s="155">
        <v>488772</v>
      </c>
      <c r="CH148" s="155">
        <v>489122</v>
      </c>
      <c r="CI148" s="155">
        <v>489549</v>
      </c>
      <c r="CJ148" s="155">
        <v>490029</v>
      </c>
      <c r="CK148" s="155">
        <v>490506</v>
      </c>
      <c r="CL148" s="155">
        <v>490977</v>
      </c>
      <c r="CM148" s="155">
        <v>491450</v>
      </c>
      <c r="CN148" s="155">
        <v>491867</v>
      </c>
      <c r="CO148" s="155">
        <v>492224</v>
      </c>
      <c r="CP148" s="155">
        <v>492491</v>
      </c>
      <c r="CQ148" s="155">
        <v>492664</v>
      </c>
      <c r="CR148" s="155">
        <v>492720</v>
      </c>
      <c r="CS148" s="155">
        <v>492661</v>
      </c>
      <c r="CT148" s="155">
        <v>492487</v>
      </c>
      <c r="CU148" s="155">
        <v>492181</v>
      </c>
      <c r="CV148" s="155">
        <v>491738</v>
      </c>
      <c r="CW148" s="155">
        <v>491180</v>
      </c>
      <c r="CX148" s="155">
        <v>490529</v>
      </c>
      <c r="CY148" s="154">
        <v>489783</v>
      </c>
    </row>
    <row r="149" spans="1:103">
      <c r="A149" s="155" t="s">
        <v>1139</v>
      </c>
      <c r="B149" s="154">
        <v>40</v>
      </c>
      <c r="C149" s="155">
        <v>429306</v>
      </c>
      <c r="D149" s="155">
        <v>435147</v>
      </c>
      <c r="E149" s="155">
        <v>439230</v>
      </c>
      <c r="F149" s="155">
        <v>457368</v>
      </c>
      <c r="G149" s="155">
        <v>463301</v>
      </c>
      <c r="H149" s="155">
        <v>468220</v>
      </c>
      <c r="I149" s="155">
        <v>483558</v>
      </c>
      <c r="J149" s="155">
        <v>484371</v>
      </c>
      <c r="K149" s="155">
        <v>492690</v>
      </c>
      <c r="L149" s="155">
        <v>502003</v>
      </c>
      <c r="M149" s="155">
        <v>501784</v>
      </c>
      <c r="N149" s="155">
        <v>496099</v>
      </c>
      <c r="O149" s="155">
        <v>503231</v>
      </c>
      <c r="P149" s="155">
        <v>500781</v>
      </c>
      <c r="Q149" s="155">
        <v>504210</v>
      </c>
      <c r="R149" s="155">
        <v>517021</v>
      </c>
      <c r="S149" s="155">
        <v>514983</v>
      </c>
      <c r="T149" s="155">
        <v>521885</v>
      </c>
      <c r="U149" s="155">
        <v>516371</v>
      </c>
      <c r="V149" s="155">
        <v>511950</v>
      </c>
      <c r="W149" s="155">
        <v>516404</v>
      </c>
      <c r="X149" s="155">
        <v>528084</v>
      </c>
      <c r="Y149" s="155">
        <v>535968</v>
      </c>
      <c r="Z149" s="155">
        <v>534779</v>
      </c>
      <c r="AA149" s="155">
        <v>532606</v>
      </c>
      <c r="AB149" s="155">
        <v>538148</v>
      </c>
      <c r="AC149" s="155">
        <v>552189</v>
      </c>
      <c r="AD149" s="155">
        <v>549034</v>
      </c>
      <c r="AE149" s="155">
        <v>552120</v>
      </c>
      <c r="AF149" s="155">
        <v>559011</v>
      </c>
      <c r="AG149" s="155">
        <v>558767</v>
      </c>
      <c r="AH149" s="155">
        <v>549540</v>
      </c>
      <c r="AI149" s="155">
        <v>540803</v>
      </c>
      <c r="AJ149" s="155">
        <v>540246</v>
      </c>
      <c r="AK149" s="155">
        <v>545496</v>
      </c>
      <c r="AL149" s="155">
        <v>534843</v>
      </c>
      <c r="AM149" s="155">
        <v>527355</v>
      </c>
      <c r="AN149" s="155">
        <v>525037</v>
      </c>
      <c r="AO149" s="155">
        <v>518395</v>
      </c>
      <c r="AP149" s="155">
        <v>509132</v>
      </c>
      <c r="AQ149" s="155">
        <v>513023</v>
      </c>
      <c r="AR149" s="155">
        <v>495807</v>
      </c>
      <c r="AS149" s="155">
        <v>495202</v>
      </c>
      <c r="AT149" s="155">
        <v>496998</v>
      </c>
      <c r="AU149" s="155">
        <v>498253</v>
      </c>
      <c r="AV149" s="155">
        <v>498980</v>
      </c>
      <c r="AW149" s="155">
        <v>499451</v>
      </c>
      <c r="AX149" s="155">
        <v>499858</v>
      </c>
      <c r="AY149" s="155">
        <v>500231</v>
      </c>
      <c r="AZ149" s="155">
        <v>500598</v>
      </c>
      <c r="BA149" s="155">
        <v>500967</v>
      </c>
      <c r="BB149" s="155">
        <v>501528</v>
      </c>
      <c r="BC149" s="155">
        <v>502347</v>
      </c>
      <c r="BD149" s="155">
        <v>503272</v>
      </c>
      <c r="BE149" s="155">
        <v>504292</v>
      </c>
      <c r="BF149" s="155">
        <v>505470</v>
      </c>
      <c r="BG149" s="155">
        <v>506818</v>
      </c>
      <c r="BH149" s="155">
        <v>508215</v>
      </c>
      <c r="BI149" s="155">
        <v>509545</v>
      </c>
      <c r="BJ149" s="155">
        <v>510750</v>
      </c>
      <c r="BK149" s="155">
        <v>511834</v>
      </c>
      <c r="BL149" s="155">
        <v>512568</v>
      </c>
      <c r="BM149" s="155">
        <v>512853</v>
      </c>
      <c r="BN149" s="155">
        <v>512851</v>
      </c>
      <c r="BO149" s="155">
        <v>512624</v>
      </c>
      <c r="BP149" s="155">
        <v>512225</v>
      </c>
      <c r="BQ149" s="155">
        <v>511203</v>
      </c>
      <c r="BR149" s="155">
        <v>509453</v>
      </c>
      <c r="BS149" s="155">
        <v>507493</v>
      </c>
      <c r="BT149" s="155">
        <v>505408</v>
      </c>
      <c r="BU149" s="155">
        <v>503296</v>
      </c>
      <c r="BV149" s="155">
        <v>501136</v>
      </c>
      <c r="BW149" s="155">
        <v>498920</v>
      </c>
      <c r="BX149" s="155">
        <v>496890</v>
      </c>
      <c r="BY149" s="155">
        <v>495138</v>
      </c>
      <c r="BZ149" s="155">
        <v>493704</v>
      </c>
      <c r="CA149" s="155">
        <v>492487</v>
      </c>
      <c r="CB149" s="155">
        <v>491487</v>
      </c>
      <c r="CC149" s="155">
        <v>490749</v>
      </c>
      <c r="CD149" s="155">
        <v>490273</v>
      </c>
      <c r="CE149" s="155">
        <v>490045</v>
      </c>
      <c r="CF149" s="155">
        <v>489951</v>
      </c>
      <c r="CG149" s="155">
        <v>489960</v>
      </c>
      <c r="CH149" s="155">
        <v>490150</v>
      </c>
      <c r="CI149" s="155">
        <v>490502</v>
      </c>
      <c r="CJ149" s="155">
        <v>490932</v>
      </c>
      <c r="CK149" s="155">
        <v>491415</v>
      </c>
      <c r="CL149" s="155">
        <v>491894</v>
      </c>
      <c r="CM149" s="155">
        <v>492367</v>
      </c>
      <c r="CN149" s="155">
        <v>492842</v>
      </c>
      <c r="CO149" s="155">
        <v>493263</v>
      </c>
      <c r="CP149" s="155">
        <v>493622</v>
      </c>
      <c r="CQ149" s="155">
        <v>493892</v>
      </c>
      <c r="CR149" s="155">
        <v>494068</v>
      </c>
      <c r="CS149" s="155">
        <v>494126</v>
      </c>
      <c r="CT149" s="155">
        <v>494070</v>
      </c>
      <c r="CU149" s="155">
        <v>493899</v>
      </c>
      <c r="CV149" s="155">
        <v>493596</v>
      </c>
      <c r="CW149" s="155">
        <v>493155</v>
      </c>
      <c r="CX149" s="155">
        <v>492602</v>
      </c>
      <c r="CY149" s="154">
        <v>491953</v>
      </c>
    </row>
    <row r="150" spans="1:103">
      <c r="A150" s="155" t="s">
        <v>1139</v>
      </c>
      <c r="B150" s="154">
        <v>41</v>
      </c>
      <c r="C150" s="155">
        <v>433629</v>
      </c>
      <c r="D150" s="155">
        <v>433650</v>
      </c>
      <c r="E150" s="155">
        <v>438288</v>
      </c>
      <c r="F150" s="155">
        <v>441756</v>
      </c>
      <c r="G150" s="155">
        <v>459255</v>
      </c>
      <c r="H150" s="155">
        <v>464572</v>
      </c>
      <c r="I150" s="155">
        <v>468874</v>
      </c>
      <c r="J150" s="155">
        <v>484200</v>
      </c>
      <c r="K150" s="155">
        <v>485023</v>
      </c>
      <c r="L150" s="155">
        <v>493344</v>
      </c>
      <c r="M150" s="155">
        <v>502657</v>
      </c>
      <c r="N150" s="155">
        <v>502452</v>
      </c>
      <c r="O150" s="155">
        <v>496785</v>
      </c>
      <c r="P150" s="155">
        <v>503919</v>
      </c>
      <c r="Q150" s="155">
        <v>501481</v>
      </c>
      <c r="R150" s="155">
        <v>504914</v>
      </c>
      <c r="S150" s="155">
        <v>517715</v>
      </c>
      <c r="T150" s="155">
        <v>515685</v>
      </c>
      <c r="U150" s="155">
        <v>522586</v>
      </c>
      <c r="V150" s="155">
        <v>517082</v>
      </c>
      <c r="W150" s="155">
        <v>512674</v>
      </c>
      <c r="X150" s="155">
        <v>517129</v>
      </c>
      <c r="Y150" s="155">
        <v>528802</v>
      </c>
      <c r="Z150" s="155">
        <v>536685</v>
      </c>
      <c r="AA150" s="155">
        <v>535505</v>
      </c>
      <c r="AB150" s="155">
        <v>533340</v>
      </c>
      <c r="AC150" s="155">
        <v>538883</v>
      </c>
      <c r="AD150" s="155">
        <v>552914</v>
      </c>
      <c r="AE150" s="155">
        <v>549770</v>
      </c>
      <c r="AF150" s="155">
        <v>552860</v>
      </c>
      <c r="AG150" s="155">
        <v>559750</v>
      </c>
      <c r="AH150" s="155">
        <v>559512</v>
      </c>
      <c r="AI150" s="155">
        <v>550302</v>
      </c>
      <c r="AJ150" s="155">
        <v>541581</v>
      </c>
      <c r="AK150" s="155">
        <v>541030</v>
      </c>
      <c r="AL150" s="155">
        <v>546282</v>
      </c>
      <c r="AM150" s="155">
        <v>535646</v>
      </c>
      <c r="AN150" s="155">
        <v>528172</v>
      </c>
      <c r="AO150" s="155">
        <v>525862</v>
      </c>
      <c r="AP150" s="155">
        <v>519233</v>
      </c>
      <c r="AQ150" s="155">
        <v>509984</v>
      </c>
      <c r="AR150" s="155">
        <v>513877</v>
      </c>
      <c r="AS150" s="155">
        <v>496682</v>
      </c>
      <c r="AT150" s="155">
        <v>496084</v>
      </c>
      <c r="AU150" s="155">
        <v>497884</v>
      </c>
      <c r="AV150" s="155">
        <v>499141</v>
      </c>
      <c r="AW150" s="155">
        <v>499875</v>
      </c>
      <c r="AX150" s="155">
        <v>500349</v>
      </c>
      <c r="AY150" s="155">
        <v>500759</v>
      </c>
      <c r="AZ150" s="155">
        <v>501136</v>
      </c>
      <c r="BA150" s="155">
        <v>501510</v>
      </c>
      <c r="BB150" s="155">
        <v>501882</v>
      </c>
      <c r="BC150" s="155">
        <v>502448</v>
      </c>
      <c r="BD150" s="155">
        <v>503270</v>
      </c>
      <c r="BE150" s="155">
        <v>504199</v>
      </c>
      <c r="BF150" s="155">
        <v>505222</v>
      </c>
      <c r="BG150" s="155">
        <v>506405</v>
      </c>
      <c r="BH150" s="155">
        <v>507756</v>
      </c>
      <c r="BI150" s="155">
        <v>509158</v>
      </c>
      <c r="BJ150" s="155">
        <v>510490</v>
      </c>
      <c r="BK150" s="155">
        <v>511699</v>
      </c>
      <c r="BL150" s="155">
        <v>512787</v>
      </c>
      <c r="BM150" s="155">
        <v>513524</v>
      </c>
      <c r="BN150" s="155">
        <v>513815</v>
      </c>
      <c r="BO150" s="155">
        <v>513816</v>
      </c>
      <c r="BP150" s="155">
        <v>513594</v>
      </c>
      <c r="BQ150" s="155">
        <v>513199</v>
      </c>
      <c r="BR150" s="155">
        <v>512182</v>
      </c>
      <c r="BS150" s="155">
        <v>510437</v>
      </c>
      <c r="BT150" s="155">
        <v>508483</v>
      </c>
      <c r="BU150" s="155">
        <v>506403</v>
      </c>
      <c r="BV150" s="155">
        <v>504295</v>
      </c>
      <c r="BW150" s="155">
        <v>502141</v>
      </c>
      <c r="BX150" s="155">
        <v>499932</v>
      </c>
      <c r="BY150" s="155">
        <v>497905</v>
      </c>
      <c r="BZ150" s="155">
        <v>496160</v>
      </c>
      <c r="CA150" s="155">
        <v>494730</v>
      </c>
      <c r="CB150" s="155">
        <v>493517</v>
      </c>
      <c r="CC150" s="155">
        <v>492521</v>
      </c>
      <c r="CD150" s="155">
        <v>491786</v>
      </c>
      <c r="CE150" s="155">
        <v>491314</v>
      </c>
      <c r="CF150" s="155">
        <v>491089</v>
      </c>
      <c r="CG150" s="155">
        <v>491001</v>
      </c>
      <c r="CH150" s="155">
        <v>491011</v>
      </c>
      <c r="CI150" s="155">
        <v>491205</v>
      </c>
      <c r="CJ150" s="155">
        <v>491561</v>
      </c>
      <c r="CK150" s="155">
        <v>491993</v>
      </c>
      <c r="CL150" s="155">
        <v>492478</v>
      </c>
      <c r="CM150" s="155">
        <v>492960</v>
      </c>
      <c r="CN150" s="155">
        <v>493437</v>
      </c>
      <c r="CO150" s="155">
        <v>493914</v>
      </c>
      <c r="CP150" s="155">
        <v>494338</v>
      </c>
      <c r="CQ150" s="155">
        <v>494699</v>
      </c>
      <c r="CR150" s="155">
        <v>494972</v>
      </c>
      <c r="CS150" s="155">
        <v>495151</v>
      </c>
      <c r="CT150" s="155">
        <v>495211</v>
      </c>
      <c r="CU150" s="155">
        <v>495159</v>
      </c>
      <c r="CV150" s="155">
        <v>494991</v>
      </c>
      <c r="CW150" s="155">
        <v>494691</v>
      </c>
      <c r="CX150" s="155">
        <v>494253</v>
      </c>
      <c r="CY150" s="154">
        <v>493704</v>
      </c>
    </row>
    <row r="151" spans="1:103">
      <c r="A151" s="155" t="s">
        <v>1139</v>
      </c>
      <c r="B151" s="154">
        <v>42</v>
      </c>
      <c r="C151" s="155">
        <v>436556</v>
      </c>
      <c r="D151" s="155">
        <v>437409</v>
      </c>
      <c r="E151" s="155">
        <v>436348</v>
      </c>
      <c r="F151" s="155">
        <v>440424</v>
      </c>
      <c r="G151" s="155">
        <v>443335</v>
      </c>
      <c r="H151" s="155">
        <v>460255</v>
      </c>
      <c r="I151" s="155">
        <v>465013</v>
      </c>
      <c r="J151" s="155">
        <v>469320</v>
      </c>
      <c r="K151" s="155">
        <v>484634</v>
      </c>
      <c r="L151" s="155">
        <v>485468</v>
      </c>
      <c r="M151" s="155">
        <v>493789</v>
      </c>
      <c r="N151" s="155">
        <v>503102</v>
      </c>
      <c r="O151" s="155">
        <v>502911</v>
      </c>
      <c r="P151" s="155">
        <v>497264</v>
      </c>
      <c r="Q151" s="155">
        <v>504398</v>
      </c>
      <c r="R151" s="155">
        <v>501974</v>
      </c>
      <c r="S151" s="155">
        <v>505409</v>
      </c>
      <c r="T151" s="155">
        <v>518203</v>
      </c>
      <c r="U151" s="155">
        <v>516182</v>
      </c>
      <c r="V151" s="155">
        <v>523080</v>
      </c>
      <c r="W151" s="155">
        <v>517588</v>
      </c>
      <c r="X151" s="155">
        <v>513194</v>
      </c>
      <c r="Y151" s="155">
        <v>517651</v>
      </c>
      <c r="Z151" s="155">
        <v>529316</v>
      </c>
      <c r="AA151" s="155">
        <v>537199</v>
      </c>
      <c r="AB151" s="155">
        <v>536027</v>
      </c>
      <c r="AC151" s="155">
        <v>533872</v>
      </c>
      <c r="AD151" s="155">
        <v>539414</v>
      </c>
      <c r="AE151" s="155">
        <v>553437</v>
      </c>
      <c r="AF151" s="155">
        <v>550302</v>
      </c>
      <c r="AG151" s="155">
        <v>553397</v>
      </c>
      <c r="AH151" s="155">
        <v>560285</v>
      </c>
      <c r="AI151" s="155">
        <v>560055</v>
      </c>
      <c r="AJ151" s="155">
        <v>550863</v>
      </c>
      <c r="AK151" s="155">
        <v>542159</v>
      </c>
      <c r="AL151" s="155">
        <v>541615</v>
      </c>
      <c r="AM151" s="155">
        <v>546867</v>
      </c>
      <c r="AN151" s="155">
        <v>536250</v>
      </c>
      <c r="AO151" s="155">
        <v>528791</v>
      </c>
      <c r="AP151" s="155">
        <v>526489</v>
      </c>
      <c r="AQ151" s="155">
        <v>519875</v>
      </c>
      <c r="AR151" s="155">
        <v>510641</v>
      </c>
      <c r="AS151" s="155">
        <v>514536</v>
      </c>
      <c r="AT151" s="155">
        <v>497364</v>
      </c>
      <c r="AU151" s="155">
        <v>496770</v>
      </c>
      <c r="AV151" s="155">
        <v>498575</v>
      </c>
      <c r="AW151" s="155">
        <v>499836</v>
      </c>
      <c r="AX151" s="155">
        <v>500576</v>
      </c>
      <c r="AY151" s="155">
        <v>501052</v>
      </c>
      <c r="AZ151" s="155">
        <v>501469</v>
      </c>
      <c r="BA151" s="155">
        <v>501850</v>
      </c>
      <c r="BB151" s="155">
        <v>502229</v>
      </c>
      <c r="BC151" s="155">
        <v>502605</v>
      </c>
      <c r="BD151" s="155">
        <v>503177</v>
      </c>
      <c r="BE151" s="155">
        <v>504003</v>
      </c>
      <c r="BF151" s="155">
        <v>504935</v>
      </c>
      <c r="BG151" s="155">
        <v>505963</v>
      </c>
      <c r="BH151" s="155">
        <v>507149</v>
      </c>
      <c r="BI151" s="155">
        <v>508505</v>
      </c>
      <c r="BJ151" s="155">
        <v>509910</v>
      </c>
      <c r="BK151" s="155">
        <v>511246</v>
      </c>
      <c r="BL151" s="155">
        <v>512458</v>
      </c>
      <c r="BM151" s="155">
        <v>513551</v>
      </c>
      <c r="BN151" s="155">
        <v>514290</v>
      </c>
      <c r="BO151" s="155">
        <v>514586</v>
      </c>
      <c r="BP151" s="155">
        <v>514591</v>
      </c>
      <c r="BQ151" s="155">
        <v>514373</v>
      </c>
      <c r="BR151" s="155">
        <v>513985</v>
      </c>
      <c r="BS151" s="155">
        <v>512974</v>
      </c>
      <c r="BT151" s="155">
        <v>511233</v>
      </c>
      <c r="BU151" s="155">
        <v>509284</v>
      </c>
      <c r="BV151" s="155">
        <v>507211</v>
      </c>
      <c r="BW151" s="155">
        <v>505108</v>
      </c>
      <c r="BX151" s="155">
        <v>502960</v>
      </c>
      <c r="BY151" s="155">
        <v>500757</v>
      </c>
      <c r="BZ151" s="155">
        <v>498735</v>
      </c>
      <c r="CA151" s="155">
        <v>496996</v>
      </c>
      <c r="CB151" s="155">
        <v>495570</v>
      </c>
      <c r="CC151" s="155">
        <v>494362</v>
      </c>
      <c r="CD151" s="155">
        <v>493370</v>
      </c>
      <c r="CE151" s="155">
        <v>492639</v>
      </c>
      <c r="CF151" s="155">
        <v>492171</v>
      </c>
      <c r="CG151" s="155">
        <v>491950</v>
      </c>
      <c r="CH151" s="155">
        <v>491866</v>
      </c>
      <c r="CI151" s="155">
        <v>491879</v>
      </c>
      <c r="CJ151" s="155">
        <v>492076</v>
      </c>
      <c r="CK151" s="155">
        <v>492437</v>
      </c>
      <c r="CL151" s="155">
        <v>492871</v>
      </c>
      <c r="CM151" s="155">
        <v>493360</v>
      </c>
      <c r="CN151" s="155">
        <v>493845</v>
      </c>
      <c r="CO151" s="155">
        <v>494323</v>
      </c>
      <c r="CP151" s="155">
        <v>494803</v>
      </c>
      <c r="CQ151" s="155">
        <v>495230</v>
      </c>
      <c r="CR151" s="155">
        <v>495595</v>
      </c>
      <c r="CS151" s="155">
        <v>495870</v>
      </c>
      <c r="CT151" s="155">
        <v>496054</v>
      </c>
      <c r="CU151" s="155">
        <v>496115</v>
      </c>
      <c r="CV151" s="155">
        <v>496067</v>
      </c>
      <c r="CW151" s="155">
        <v>495901</v>
      </c>
      <c r="CX151" s="155">
        <v>495605</v>
      </c>
      <c r="CY151" s="154">
        <v>495169</v>
      </c>
    </row>
    <row r="152" spans="1:103">
      <c r="A152" s="155" t="s">
        <v>1139</v>
      </c>
      <c r="B152" s="154">
        <v>43</v>
      </c>
      <c r="C152" s="155">
        <v>420463</v>
      </c>
      <c r="D152" s="155">
        <v>439920</v>
      </c>
      <c r="E152" s="155">
        <v>439779</v>
      </c>
      <c r="F152" s="155">
        <v>438210</v>
      </c>
      <c r="G152" s="155">
        <v>441770</v>
      </c>
      <c r="H152" s="155">
        <v>444171</v>
      </c>
      <c r="I152" s="155">
        <v>460557</v>
      </c>
      <c r="J152" s="155">
        <v>465320</v>
      </c>
      <c r="K152" s="155">
        <v>469634</v>
      </c>
      <c r="L152" s="155">
        <v>484935</v>
      </c>
      <c r="M152" s="155">
        <v>485781</v>
      </c>
      <c r="N152" s="155">
        <v>494103</v>
      </c>
      <c r="O152" s="155">
        <v>503416</v>
      </c>
      <c r="P152" s="155">
        <v>503237</v>
      </c>
      <c r="Q152" s="155">
        <v>497612</v>
      </c>
      <c r="R152" s="155">
        <v>504747</v>
      </c>
      <c r="S152" s="155">
        <v>502337</v>
      </c>
      <c r="T152" s="155">
        <v>505775</v>
      </c>
      <c r="U152" s="155">
        <v>518559</v>
      </c>
      <c r="V152" s="155">
        <v>516549</v>
      </c>
      <c r="W152" s="155">
        <v>523443</v>
      </c>
      <c r="X152" s="155">
        <v>517966</v>
      </c>
      <c r="Y152" s="155">
        <v>513587</v>
      </c>
      <c r="Z152" s="155">
        <v>518046</v>
      </c>
      <c r="AA152" s="155">
        <v>529701</v>
      </c>
      <c r="AB152" s="155">
        <v>537585</v>
      </c>
      <c r="AC152" s="155">
        <v>536423</v>
      </c>
      <c r="AD152" s="155">
        <v>534277</v>
      </c>
      <c r="AE152" s="155">
        <v>539819</v>
      </c>
      <c r="AF152" s="155">
        <v>553833</v>
      </c>
      <c r="AG152" s="155">
        <v>550709</v>
      </c>
      <c r="AH152" s="155">
        <v>553806</v>
      </c>
      <c r="AI152" s="155">
        <v>560695</v>
      </c>
      <c r="AJ152" s="155">
        <v>560473</v>
      </c>
      <c r="AK152" s="155">
        <v>551299</v>
      </c>
      <c r="AL152" s="155">
        <v>542612</v>
      </c>
      <c r="AM152" s="155">
        <v>542076</v>
      </c>
      <c r="AN152" s="155">
        <v>547329</v>
      </c>
      <c r="AO152" s="155">
        <v>536732</v>
      </c>
      <c r="AP152" s="155">
        <v>529289</v>
      </c>
      <c r="AQ152" s="155">
        <v>526995</v>
      </c>
      <c r="AR152" s="155">
        <v>520397</v>
      </c>
      <c r="AS152" s="155">
        <v>511178</v>
      </c>
      <c r="AT152" s="155">
        <v>515075</v>
      </c>
      <c r="AU152" s="155">
        <v>497926</v>
      </c>
      <c r="AV152" s="155">
        <v>497341</v>
      </c>
      <c r="AW152" s="155">
        <v>499148</v>
      </c>
      <c r="AX152" s="155">
        <v>500414</v>
      </c>
      <c r="AY152" s="155">
        <v>501158</v>
      </c>
      <c r="AZ152" s="155">
        <v>501640</v>
      </c>
      <c r="BA152" s="155">
        <v>502063</v>
      </c>
      <c r="BB152" s="155">
        <v>502447</v>
      </c>
      <c r="BC152" s="155">
        <v>502833</v>
      </c>
      <c r="BD152" s="155">
        <v>503213</v>
      </c>
      <c r="BE152" s="155">
        <v>503791</v>
      </c>
      <c r="BF152" s="155">
        <v>504620</v>
      </c>
      <c r="BG152" s="155">
        <v>505557</v>
      </c>
      <c r="BH152" s="155">
        <v>506590</v>
      </c>
      <c r="BI152" s="155">
        <v>507779</v>
      </c>
      <c r="BJ152" s="155">
        <v>509139</v>
      </c>
      <c r="BK152" s="155">
        <v>510548</v>
      </c>
      <c r="BL152" s="155">
        <v>511887</v>
      </c>
      <c r="BM152" s="155">
        <v>513105</v>
      </c>
      <c r="BN152" s="155">
        <v>514201</v>
      </c>
      <c r="BO152" s="155">
        <v>514944</v>
      </c>
      <c r="BP152" s="155">
        <v>515246</v>
      </c>
      <c r="BQ152" s="155">
        <v>515256</v>
      </c>
      <c r="BR152" s="155">
        <v>515042</v>
      </c>
      <c r="BS152" s="155">
        <v>514659</v>
      </c>
      <c r="BT152" s="155">
        <v>513653</v>
      </c>
      <c r="BU152" s="155">
        <v>511918</v>
      </c>
      <c r="BV152" s="155">
        <v>509976</v>
      </c>
      <c r="BW152" s="155">
        <v>507909</v>
      </c>
      <c r="BX152" s="155">
        <v>505813</v>
      </c>
      <c r="BY152" s="155">
        <v>503670</v>
      </c>
      <c r="BZ152" s="155">
        <v>501472</v>
      </c>
      <c r="CA152" s="155">
        <v>499457</v>
      </c>
      <c r="CB152" s="155">
        <v>497723</v>
      </c>
      <c r="CC152" s="155">
        <v>496302</v>
      </c>
      <c r="CD152" s="155">
        <v>495100</v>
      </c>
      <c r="CE152" s="155">
        <v>494111</v>
      </c>
      <c r="CF152" s="155">
        <v>493386</v>
      </c>
      <c r="CG152" s="155">
        <v>492921</v>
      </c>
      <c r="CH152" s="155">
        <v>492704</v>
      </c>
      <c r="CI152" s="155">
        <v>492625</v>
      </c>
      <c r="CJ152" s="155">
        <v>492640</v>
      </c>
      <c r="CK152" s="155">
        <v>492840</v>
      </c>
      <c r="CL152" s="155">
        <v>493205</v>
      </c>
      <c r="CM152" s="155">
        <v>493642</v>
      </c>
      <c r="CN152" s="155">
        <v>494134</v>
      </c>
      <c r="CO152" s="155">
        <v>494624</v>
      </c>
      <c r="CP152" s="155">
        <v>495105</v>
      </c>
      <c r="CQ152" s="155">
        <v>495589</v>
      </c>
      <c r="CR152" s="155">
        <v>496019</v>
      </c>
      <c r="CS152" s="155">
        <v>496386</v>
      </c>
      <c r="CT152" s="155">
        <v>496665</v>
      </c>
      <c r="CU152" s="155">
        <v>496853</v>
      </c>
      <c r="CV152" s="155">
        <v>496915</v>
      </c>
      <c r="CW152" s="155">
        <v>496871</v>
      </c>
      <c r="CX152" s="155">
        <v>496708</v>
      </c>
      <c r="CY152" s="154">
        <v>496415</v>
      </c>
    </row>
    <row r="153" spans="1:103">
      <c r="A153" s="155" t="s">
        <v>1139</v>
      </c>
      <c r="B153" s="154">
        <v>44</v>
      </c>
      <c r="C153" s="155">
        <v>391126</v>
      </c>
      <c r="D153" s="155">
        <v>423354</v>
      </c>
      <c r="E153" s="155">
        <v>441889</v>
      </c>
      <c r="F153" s="155">
        <v>441290</v>
      </c>
      <c r="G153" s="155">
        <v>439269</v>
      </c>
      <c r="H153" s="155">
        <v>442368</v>
      </c>
      <c r="I153" s="155">
        <v>444314</v>
      </c>
      <c r="J153" s="155">
        <v>460685</v>
      </c>
      <c r="K153" s="155">
        <v>465455</v>
      </c>
      <c r="L153" s="155">
        <v>469777</v>
      </c>
      <c r="M153" s="155">
        <v>485061</v>
      </c>
      <c r="N153" s="155">
        <v>485922</v>
      </c>
      <c r="O153" s="155">
        <v>494244</v>
      </c>
      <c r="P153" s="155">
        <v>503555</v>
      </c>
      <c r="Q153" s="155">
        <v>503391</v>
      </c>
      <c r="R153" s="155">
        <v>497789</v>
      </c>
      <c r="S153" s="155">
        <v>504924</v>
      </c>
      <c r="T153" s="155">
        <v>502529</v>
      </c>
      <c r="U153" s="155">
        <v>505971</v>
      </c>
      <c r="V153" s="155">
        <v>518743</v>
      </c>
      <c r="W153" s="155">
        <v>516745</v>
      </c>
      <c r="X153" s="155">
        <v>523635</v>
      </c>
      <c r="Y153" s="155">
        <v>518174</v>
      </c>
      <c r="Z153" s="155">
        <v>513810</v>
      </c>
      <c r="AA153" s="155">
        <v>518272</v>
      </c>
      <c r="AB153" s="155">
        <v>529917</v>
      </c>
      <c r="AC153" s="155">
        <v>537802</v>
      </c>
      <c r="AD153" s="155">
        <v>536650</v>
      </c>
      <c r="AE153" s="155">
        <v>534514</v>
      </c>
      <c r="AF153" s="155">
        <v>540058</v>
      </c>
      <c r="AG153" s="155">
        <v>554059</v>
      </c>
      <c r="AH153" s="155">
        <v>550948</v>
      </c>
      <c r="AI153" s="155">
        <v>554050</v>
      </c>
      <c r="AJ153" s="155">
        <v>560937</v>
      </c>
      <c r="AK153" s="155">
        <v>560724</v>
      </c>
      <c r="AL153" s="155">
        <v>551568</v>
      </c>
      <c r="AM153" s="155">
        <v>542901</v>
      </c>
      <c r="AN153" s="155">
        <v>542373</v>
      </c>
      <c r="AO153" s="155">
        <v>547627</v>
      </c>
      <c r="AP153" s="155">
        <v>537051</v>
      </c>
      <c r="AQ153" s="155">
        <v>529625</v>
      </c>
      <c r="AR153" s="155">
        <v>527340</v>
      </c>
      <c r="AS153" s="155">
        <v>520756</v>
      </c>
      <c r="AT153" s="155">
        <v>511556</v>
      </c>
      <c r="AU153" s="155">
        <v>515454</v>
      </c>
      <c r="AV153" s="155">
        <v>498331</v>
      </c>
      <c r="AW153" s="155">
        <v>497753</v>
      </c>
      <c r="AX153" s="155">
        <v>499564</v>
      </c>
      <c r="AY153" s="155">
        <v>500835</v>
      </c>
      <c r="AZ153" s="155">
        <v>501584</v>
      </c>
      <c r="BA153" s="155">
        <v>502073</v>
      </c>
      <c r="BB153" s="155">
        <v>502501</v>
      </c>
      <c r="BC153" s="155">
        <v>502890</v>
      </c>
      <c r="BD153" s="155">
        <v>503282</v>
      </c>
      <c r="BE153" s="155">
        <v>503665</v>
      </c>
      <c r="BF153" s="155">
        <v>504250</v>
      </c>
      <c r="BG153" s="155">
        <v>505082</v>
      </c>
      <c r="BH153" s="155">
        <v>506024</v>
      </c>
      <c r="BI153" s="155">
        <v>507061</v>
      </c>
      <c r="BJ153" s="155">
        <v>508255</v>
      </c>
      <c r="BK153" s="155">
        <v>509620</v>
      </c>
      <c r="BL153" s="155">
        <v>511033</v>
      </c>
      <c r="BM153" s="155">
        <v>512376</v>
      </c>
      <c r="BN153" s="155">
        <v>513599</v>
      </c>
      <c r="BO153" s="155">
        <v>514699</v>
      </c>
      <c r="BP153" s="155">
        <v>515446</v>
      </c>
      <c r="BQ153" s="155">
        <v>515754</v>
      </c>
      <c r="BR153" s="155">
        <v>515768</v>
      </c>
      <c r="BS153" s="155">
        <v>515559</v>
      </c>
      <c r="BT153" s="155">
        <v>515182</v>
      </c>
      <c r="BU153" s="155">
        <v>514182</v>
      </c>
      <c r="BV153" s="155">
        <v>512452</v>
      </c>
      <c r="BW153" s="155">
        <v>510518</v>
      </c>
      <c r="BX153" s="155">
        <v>508458</v>
      </c>
      <c r="BY153" s="155">
        <v>506368</v>
      </c>
      <c r="BZ153" s="155">
        <v>504230</v>
      </c>
      <c r="CA153" s="155">
        <v>502039</v>
      </c>
      <c r="CB153" s="155">
        <v>500030</v>
      </c>
      <c r="CC153" s="155">
        <v>498304</v>
      </c>
      <c r="CD153" s="155">
        <v>496887</v>
      </c>
      <c r="CE153" s="155">
        <v>495689</v>
      </c>
      <c r="CF153" s="155">
        <v>494705</v>
      </c>
      <c r="CG153" s="155">
        <v>493985</v>
      </c>
      <c r="CH153" s="155">
        <v>493525</v>
      </c>
      <c r="CI153" s="155">
        <v>493311</v>
      </c>
      <c r="CJ153" s="155">
        <v>493237</v>
      </c>
      <c r="CK153" s="155">
        <v>493257</v>
      </c>
      <c r="CL153" s="155">
        <v>493460</v>
      </c>
      <c r="CM153" s="155">
        <v>493829</v>
      </c>
      <c r="CN153" s="155">
        <v>494269</v>
      </c>
      <c r="CO153" s="155">
        <v>494765</v>
      </c>
      <c r="CP153" s="155">
        <v>495259</v>
      </c>
      <c r="CQ153" s="155">
        <v>495743</v>
      </c>
      <c r="CR153" s="155">
        <v>496230</v>
      </c>
      <c r="CS153" s="155">
        <v>496663</v>
      </c>
      <c r="CT153" s="155">
        <v>497033</v>
      </c>
      <c r="CU153" s="155">
        <v>497316</v>
      </c>
      <c r="CV153" s="155">
        <v>497507</v>
      </c>
      <c r="CW153" s="155">
        <v>497573</v>
      </c>
      <c r="CX153" s="155">
        <v>497532</v>
      </c>
      <c r="CY153" s="154">
        <v>497372</v>
      </c>
    </row>
    <row r="154" spans="1:103">
      <c r="A154" s="155" t="s">
        <v>1139</v>
      </c>
      <c r="B154" s="154">
        <v>45</v>
      </c>
      <c r="C154" s="155">
        <v>385507</v>
      </c>
      <c r="D154" s="155">
        <v>393623</v>
      </c>
      <c r="E154" s="155">
        <v>424994</v>
      </c>
      <c r="F154" s="155">
        <v>443084</v>
      </c>
      <c r="G154" s="155">
        <v>442079</v>
      </c>
      <c r="H154" s="155">
        <v>439658</v>
      </c>
      <c r="I154" s="155">
        <v>442346</v>
      </c>
      <c r="J154" s="155">
        <v>444305</v>
      </c>
      <c r="K154" s="155">
        <v>460661</v>
      </c>
      <c r="L154" s="155">
        <v>465437</v>
      </c>
      <c r="M154" s="155">
        <v>469766</v>
      </c>
      <c r="N154" s="155">
        <v>485037</v>
      </c>
      <c r="O154" s="155">
        <v>485911</v>
      </c>
      <c r="P154" s="155">
        <v>494233</v>
      </c>
      <c r="Q154" s="155">
        <v>503541</v>
      </c>
      <c r="R154" s="155">
        <v>503392</v>
      </c>
      <c r="S154" s="155">
        <v>497813</v>
      </c>
      <c r="T154" s="155">
        <v>504949</v>
      </c>
      <c r="U154" s="155">
        <v>502568</v>
      </c>
      <c r="V154" s="155">
        <v>506016</v>
      </c>
      <c r="W154" s="155">
        <v>518775</v>
      </c>
      <c r="X154" s="155">
        <v>516788</v>
      </c>
      <c r="Y154" s="155">
        <v>523677</v>
      </c>
      <c r="Z154" s="155">
        <v>518233</v>
      </c>
      <c r="AA154" s="155">
        <v>513884</v>
      </c>
      <c r="AB154" s="155">
        <v>518350</v>
      </c>
      <c r="AC154" s="155">
        <v>529986</v>
      </c>
      <c r="AD154" s="155">
        <v>537868</v>
      </c>
      <c r="AE154" s="155">
        <v>536728</v>
      </c>
      <c r="AF154" s="155">
        <v>534602</v>
      </c>
      <c r="AG154" s="155">
        <v>540147</v>
      </c>
      <c r="AH154" s="155">
        <v>554137</v>
      </c>
      <c r="AI154" s="155">
        <v>551039</v>
      </c>
      <c r="AJ154" s="155">
        <v>554146</v>
      </c>
      <c r="AK154" s="155">
        <v>561031</v>
      </c>
      <c r="AL154" s="155">
        <v>560828</v>
      </c>
      <c r="AM154" s="155">
        <v>551693</v>
      </c>
      <c r="AN154" s="155">
        <v>543045</v>
      </c>
      <c r="AO154" s="155">
        <v>542526</v>
      </c>
      <c r="AP154" s="155">
        <v>547782</v>
      </c>
      <c r="AQ154" s="155">
        <v>537228</v>
      </c>
      <c r="AR154" s="155">
        <v>529818</v>
      </c>
      <c r="AS154" s="155">
        <v>527544</v>
      </c>
      <c r="AT154" s="155">
        <v>520977</v>
      </c>
      <c r="AU154" s="155">
        <v>511796</v>
      </c>
      <c r="AV154" s="155">
        <v>515694</v>
      </c>
      <c r="AW154" s="155">
        <v>498599</v>
      </c>
      <c r="AX154" s="155">
        <v>498030</v>
      </c>
      <c r="AY154" s="155">
        <v>499845</v>
      </c>
      <c r="AZ154" s="155">
        <v>501120</v>
      </c>
      <c r="BA154" s="155">
        <v>501874</v>
      </c>
      <c r="BB154" s="155">
        <v>502370</v>
      </c>
      <c r="BC154" s="155">
        <v>502804</v>
      </c>
      <c r="BD154" s="155">
        <v>503198</v>
      </c>
      <c r="BE154" s="155">
        <v>503595</v>
      </c>
      <c r="BF154" s="155">
        <v>503985</v>
      </c>
      <c r="BG154" s="155">
        <v>504575</v>
      </c>
      <c r="BH154" s="155">
        <v>505413</v>
      </c>
      <c r="BI154" s="155">
        <v>506360</v>
      </c>
      <c r="BJ154" s="155">
        <v>507401</v>
      </c>
      <c r="BK154" s="155">
        <v>508600</v>
      </c>
      <c r="BL154" s="155">
        <v>509968</v>
      </c>
      <c r="BM154" s="155">
        <v>511387</v>
      </c>
      <c r="BN154" s="155">
        <v>512734</v>
      </c>
      <c r="BO154" s="155">
        <v>513963</v>
      </c>
      <c r="BP154" s="155">
        <v>515068</v>
      </c>
      <c r="BQ154" s="155">
        <v>515819</v>
      </c>
      <c r="BR154" s="155">
        <v>516133</v>
      </c>
      <c r="BS154" s="155">
        <v>516151</v>
      </c>
      <c r="BT154" s="155">
        <v>515947</v>
      </c>
      <c r="BU154" s="155">
        <v>515576</v>
      </c>
      <c r="BV154" s="155">
        <v>514583</v>
      </c>
      <c r="BW154" s="155">
        <v>512859</v>
      </c>
      <c r="BX154" s="155">
        <v>510933</v>
      </c>
      <c r="BY154" s="155">
        <v>508879</v>
      </c>
      <c r="BZ154" s="155">
        <v>506796</v>
      </c>
      <c r="CA154" s="155">
        <v>504666</v>
      </c>
      <c r="CB154" s="155">
        <v>502480</v>
      </c>
      <c r="CC154" s="155">
        <v>500478</v>
      </c>
      <c r="CD154" s="155">
        <v>498758</v>
      </c>
      <c r="CE154" s="155">
        <v>497347</v>
      </c>
      <c r="CF154" s="155">
        <v>496156</v>
      </c>
      <c r="CG154" s="155">
        <v>495176</v>
      </c>
      <c r="CH154" s="155">
        <v>494460</v>
      </c>
      <c r="CI154" s="155">
        <v>494006</v>
      </c>
      <c r="CJ154" s="155">
        <v>493797</v>
      </c>
      <c r="CK154" s="155">
        <v>493727</v>
      </c>
      <c r="CL154" s="155">
        <v>493752</v>
      </c>
      <c r="CM154" s="155">
        <v>493957</v>
      </c>
      <c r="CN154" s="155">
        <v>494331</v>
      </c>
      <c r="CO154" s="155">
        <v>494775</v>
      </c>
      <c r="CP154" s="155">
        <v>495274</v>
      </c>
      <c r="CQ154" s="155">
        <v>495773</v>
      </c>
      <c r="CR154" s="155">
        <v>496260</v>
      </c>
      <c r="CS154" s="155">
        <v>496751</v>
      </c>
      <c r="CT154" s="155">
        <v>497187</v>
      </c>
      <c r="CU154" s="155">
        <v>497559</v>
      </c>
      <c r="CV154" s="155">
        <v>497848</v>
      </c>
      <c r="CW154" s="155">
        <v>498042</v>
      </c>
      <c r="CX154" s="155">
        <v>498111</v>
      </c>
      <c r="CY154" s="154">
        <v>498076</v>
      </c>
    </row>
    <row r="155" spans="1:103">
      <c r="A155" s="155" t="s">
        <v>1139</v>
      </c>
      <c r="B155" s="154">
        <v>46</v>
      </c>
      <c r="C155" s="155">
        <v>394932</v>
      </c>
      <c r="D155" s="155">
        <v>387671</v>
      </c>
      <c r="E155" s="155">
        <v>395070</v>
      </c>
      <c r="F155" s="155">
        <v>426001</v>
      </c>
      <c r="G155" s="155">
        <v>443685</v>
      </c>
      <c r="H155" s="155">
        <v>442314</v>
      </c>
      <c r="I155" s="155">
        <v>439533</v>
      </c>
      <c r="J155" s="155">
        <v>442231</v>
      </c>
      <c r="K155" s="155">
        <v>444205</v>
      </c>
      <c r="L155" s="155">
        <v>460544</v>
      </c>
      <c r="M155" s="155">
        <v>465327</v>
      </c>
      <c r="N155" s="155">
        <v>469663</v>
      </c>
      <c r="O155" s="155">
        <v>484919</v>
      </c>
      <c r="P155" s="155">
        <v>485806</v>
      </c>
      <c r="Q155" s="155">
        <v>494128</v>
      </c>
      <c r="R155" s="155">
        <v>503434</v>
      </c>
      <c r="S155" s="155">
        <v>503300</v>
      </c>
      <c r="T155" s="155">
        <v>497746</v>
      </c>
      <c r="U155" s="155">
        <v>504881</v>
      </c>
      <c r="V155" s="155">
        <v>502516</v>
      </c>
      <c r="W155" s="155">
        <v>505967</v>
      </c>
      <c r="X155" s="155">
        <v>518714</v>
      </c>
      <c r="Y155" s="155">
        <v>516742</v>
      </c>
      <c r="Z155" s="155">
        <v>523628</v>
      </c>
      <c r="AA155" s="155">
        <v>518201</v>
      </c>
      <c r="AB155" s="155">
        <v>513870</v>
      </c>
      <c r="AC155" s="155">
        <v>518338</v>
      </c>
      <c r="AD155" s="155">
        <v>529964</v>
      </c>
      <c r="AE155" s="155">
        <v>537845</v>
      </c>
      <c r="AF155" s="155">
        <v>536718</v>
      </c>
      <c r="AG155" s="155">
        <v>534603</v>
      </c>
      <c r="AH155" s="155">
        <v>540150</v>
      </c>
      <c r="AI155" s="155">
        <v>554127</v>
      </c>
      <c r="AJ155" s="155">
        <v>551041</v>
      </c>
      <c r="AK155" s="155">
        <v>554154</v>
      </c>
      <c r="AL155" s="155">
        <v>561038</v>
      </c>
      <c r="AM155" s="155">
        <v>560843</v>
      </c>
      <c r="AN155" s="155">
        <v>551732</v>
      </c>
      <c r="AO155" s="155">
        <v>543105</v>
      </c>
      <c r="AP155" s="155">
        <v>542597</v>
      </c>
      <c r="AQ155" s="155">
        <v>547853</v>
      </c>
      <c r="AR155" s="155">
        <v>537323</v>
      </c>
      <c r="AS155" s="155">
        <v>529932</v>
      </c>
      <c r="AT155" s="155">
        <v>527668</v>
      </c>
      <c r="AU155" s="155">
        <v>521117</v>
      </c>
      <c r="AV155" s="155">
        <v>511957</v>
      </c>
      <c r="AW155" s="155">
        <v>515858</v>
      </c>
      <c r="AX155" s="155">
        <v>498791</v>
      </c>
      <c r="AY155" s="155">
        <v>498231</v>
      </c>
      <c r="AZ155" s="155">
        <v>500051</v>
      </c>
      <c r="BA155" s="155">
        <v>501331</v>
      </c>
      <c r="BB155" s="155">
        <v>502092</v>
      </c>
      <c r="BC155" s="155">
        <v>502593</v>
      </c>
      <c r="BD155" s="155">
        <v>503034</v>
      </c>
      <c r="BE155" s="155">
        <v>503435</v>
      </c>
      <c r="BF155" s="155">
        <v>503837</v>
      </c>
      <c r="BG155" s="155">
        <v>504233</v>
      </c>
      <c r="BH155" s="155">
        <v>504830</v>
      </c>
      <c r="BI155" s="155">
        <v>505673</v>
      </c>
      <c r="BJ155" s="155">
        <v>506625</v>
      </c>
      <c r="BK155" s="155">
        <v>507671</v>
      </c>
      <c r="BL155" s="155">
        <v>508875</v>
      </c>
      <c r="BM155" s="155">
        <v>510248</v>
      </c>
      <c r="BN155" s="155">
        <v>511671</v>
      </c>
      <c r="BO155" s="155">
        <v>513023</v>
      </c>
      <c r="BP155" s="155">
        <v>514258</v>
      </c>
      <c r="BQ155" s="155">
        <v>515365</v>
      </c>
      <c r="BR155" s="155">
        <v>516123</v>
      </c>
      <c r="BS155" s="155">
        <v>516444</v>
      </c>
      <c r="BT155" s="155">
        <v>516468</v>
      </c>
      <c r="BU155" s="155">
        <v>516269</v>
      </c>
      <c r="BV155" s="155">
        <v>515904</v>
      </c>
      <c r="BW155" s="155">
        <v>514918</v>
      </c>
      <c r="BX155" s="155">
        <v>513202</v>
      </c>
      <c r="BY155" s="155">
        <v>511284</v>
      </c>
      <c r="BZ155" s="155">
        <v>509237</v>
      </c>
      <c r="CA155" s="155">
        <v>507160</v>
      </c>
      <c r="CB155" s="155">
        <v>505037</v>
      </c>
      <c r="CC155" s="155">
        <v>502859</v>
      </c>
      <c r="CD155" s="155">
        <v>500865</v>
      </c>
      <c r="CE155" s="155">
        <v>499151</v>
      </c>
      <c r="CF155" s="155">
        <v>497745</v>
      </c>
      <c r="CG155" s="155">
        <v>496562</v>
      </c>
      <c r="CH155" s="155">
        <v>495586</v>
      </c>
      <c r="CI155" s="155">
        <v>494875</v>
      </c>
      <c r="CJ155" s="155">
        <v>494427</v>
      </c>
      <c r="CK155" s="155">
        <v>494223</v>
      </c>
      <c r="CL155" s="155">
        <v>494158</v>
      </c>
      <c r="CM155" s="155">
        <v>494187</v>
      </c>
      <c r="CN155" s="155">
        <v>494395</v>
      </c>
      <c r="CO155" s="155">
        <v>494773</v>
      </c>
      <c r="CP155" s="155">
        <v>495222</v>
      </c>
      <c r="CQ155" s="155">
        <v>495724</v>
      </c>
      <c r="CR155" s="155">
        <v>496229</v>
      </c>
      <c r="CS155" s="155">
        <v>496720</v>
      </c>
      <c r="CT155" s="155">
        <v>497214</v>
      </c>
      <c r="CU155" s="155">
        <v>497654</v>
      </c>
      <c r="CV155" s="155">
        <v>498029</v>
      </c>
      <c r="CW155" s="155">
        <v>498323</v>
      </c>
      <c r="CX155" s="155">
        <v>498521</v>
      </c>
      <c r="CY155" s="154">
        <v>498594</v>
      </c>
    </row>
    <row r="156" spans="1:103">
      <c r="A156" s="155" t="s">
        <v>1139</v>
      </c>
      <c r="B156" s="154">
        <v>47</v>
      </c>
      <c r="C156" s="155">
        <v>402960</v>
      </c>
      <c r="D156" s="155">
        <v>396729</v>
      </c>
      <c r="E156" s="155">
        <v>388864</v>
      </c>
      <c r="F156" s="155">
        <v>395918</v>
      </c>
      <c r="G156" s="155">
        <v>426440</v>
      </c>
      <c r="H156" s="155">
        <v>443750</v>
      </c>
      <c r="I156" s="155">
        <v>442046</v>
      </c>
      <c r="J156" s="155">
        <v>439289</v>
      </c>
      <c r="K156" s="155">
        <v>441999</v>
      </c>
      <c r="L156" s="155">
        <v>443984</v>
      </c>
      <c r="M156" s="155">
        <v>460306</v>
      </c>
      <c r="N156" s="155">
        <v>465097</v>
      </c>
      <c r="O156" s="155">
        <v>469440</v>
      </c>
      <c r="P156" s="155">
        <v>484680</v>
      </c>
      <c r="Q156" s="155">
        <v>485580</v>
      </c>
      <c r="R156" s="155">
        <v>493900</v>
      </c>
      <c r="S156" s="155">
        <v>503202</v>
      </c>
      <c r="T156" s="155">
        <v>503087</v>
      </c>
      <c r="U156" s="155">
        <v>497556</v>
      </c>
      <c r="V156" s="155">
        <v>504691</v>
      </c>
      <c r="W156" s="155">
        <v>502343</v>
      </c>
      <c r="X156" s="155">
        <v>505799</v>
      </c>
      <c r="Y156" s="155">
        <v>518533</v>
      </c>
      <c r="Z156" s="155">
        <v>516575</v>
      </c>
      <c r="AA156" s="155">
        <v>523457</v>
      </c>
      <c r="AB156" s="155">
        <v>518049</v>
      </c>
      <c r="AC156" s="155">
        <v>513737</v>
      </c>
      <c r="AD156" s="155">
        <v>518209</v>
      </c>
      <c r="AE156" s="155">
        <v>529825</v>
      </c>
      <c r="AF156" s="155">
        <v>537704</v>
      </c>
      <c r="AG156" s="155">
        <v>536589</v>
      </c>
      <c r="AH156" s="155">
        <v>534486</v>
      </c>
      <c r="AI156" s="155">
        <v>540033</v>
      </c>
      <c r="AJ156" s="155">
        <v>553999</v>
      </c>
      <c r="AK156" s="155">
        <v>550928</v>
      </c>
      <c r="AL156" s="155">
        <v>554046</v>
      </c>
      <c r="AM156" s="155">
        <v>560927</v>
      </c>
      <c r="AN156" s="155">
        <v>560743</v>
      </c>
      <c r="AO156" s="155">
        <v>551657</v>
      </c>
      <c r="AP156" s="155">
        <v>543052</v>
      </c>
      <c r="AQ156" s="155">
        <v>542554</v>
      </c>
      <c r="AR156" s="155">
        <v>547811</v>
      </c>
      <c r="AS156" s="155">
        <v>537307</v>
      </c>
      <c r="AT156" s="155">
        <v>529936</v>
      </c>
      <c r="AU156" s="155">
        <v>527683</v>
      </c>
      <c r="AV156" s="155">
        <v>521152</v>
      </c>
      <c r="AW156" s="155">
        <v>512014</v>
      </c>
      <c r="AX156" s="155">
        <v>515916</v>
      </c>
      <c r="AY156" s="155">
        <v>498882</v>
      </c>
      <c r="AZ156" s="155">
        <v>498329</v>
      </c>
      <c r="BA156" s="155">
        <v>500155</v>
      </c>
      <c r="BB156" s="155">
        <v>501441</v>
      </c>
      <c r="BC156" s="155">
        <v>502207</v>
      </c>
      <c r="BD156" s="155">
        <v>502717</v>
      </c>
      <c r="BE156" s="155">
        <v>503163</v>
      </c>
      <c r="BF156" s="155">
        <v>503570</v>
      </c>
      <c r="BG156" s="155">
        <v>503980</v>
      </c>
      <c r="BH156" s="155">
        <v>504382</v>
      </c>
      <c r="BI156" s="155">
        <v>504985</v>
      </c>
      <c r="BJ156" s="155">
        <v>505834</v>
      </c>
      <c r="BK156" s="155">
        <v>506792</v>
      </c>
      <c r="BL156" s="155">
        <v>507843</v>
      </c>
      <c r="BM156" s="155">
        <v>509053</v>
      </c>
      <c r="BN156" s="155">
        <v>510432</v>
      </c>
      <c r="BO156" s="155">
        <v>511859</v>
      </c>
      <c r="BP156" s="155">
        <v>513215</v>
      </c>
      <c r="BQ156" s="155">
        <v>514456</v>
      </c>
      <c r="BR156" s="155">
        <v>515569</v>
      </c>
      <c r="BS156" s="155">
        <v>516331</v>
      </c>
      <c r="BT156" s="155">
        <v>516659</v>
      </c>
      <c r="BU156" s="155">
        <v>516689</v>
      </c>
      <c r="BV156" s="155">
        <v>516496</v>
      </c>
      <c r="BW156" s="155">
        <v>516138</v>
      </c>
      <c r="BX156" s="155">
        <v>515160</v>
      </c>
      <c r="BY156" s="155">
        <v>513451</v>
      </c>
      <c r="BZ156" s="155">
        <v>511541</v>
      </c>
      <c r="CA156" s="155">
        <v>509502</v>
      </c>
      <c r="CB156" s="155">
        <v>507432</v>
      </c>
      <c r="CC156" s="155">
        <v>505318</v>
      </c>
      <c r="CD156" s="155">
        <v>503149</v>
      </c>
      <c r="CE156" s="155">
        <v>501161</v>
      </c>
      <c r="CF156" s="155">
        <v>499455</v>
      </c>
      <c r="CG156" s="155">
        <v>498054</v>
      </c>
      <c r="CH156" s="155">
        <v>496878</v>
      </c>
      <c r="CI156" s="155">
        <v>495908</v>
      </c>
      <c r="CJ156" s="155">
        <v>495204</v>
      </c>
      <c r="CK156" s="155">
        <v>494761</v>
      </c>
      <c r="CL156" s="155">
        <v>494563</v>
      </c>
      <c r="CM156" s="155">
        <v>494502</v>
      </c>
      <c r="CN156" s="155">
        <v>494537</v>
      </c>
      <c r="CO156" s="155">
        <v>494749</v>
      </c>
      <c r="CP156" s="155">
        <v>495131</v>
      </c>
      <c r="CQ156" s="155">
        <v>495585</v>
      </c>
      <c r="CR156" s="155">
        <v>496091</v>
      </c>
      <c r="CS156" s="155">
        <v>496600</v>
      </c>
      <c r="CT156" s="155">
        <v>497095</v>
      </c>
      <c r="CU156" s="155">
        <v>497594</v>
      </c>
      <c r="CV156" s="155">
        <v>498037</v>
      </c>
      <c r="CW156" s="155">
        <v>498416</v>
      </c>
      <c r="CX156" s="155">
        <v>498713</v>
      </c>
      <c r="CY156" s="154">
        <v>498918</v>
      </c>
    </row>
    <row r="157" spans="1:103">
      <c r="A157" s="155" t="s">
        <v>1139</v>
      </c>
      <c r="B157" s="154">
        <v>48</v>
      </c>
      <c r="C157" s="155">
        <v>408685</v>
      </c>
      <c r="D157" s="155">
        <v>404389</v>
      </c>
      <c r="E157" s="155">
        <v>397620</v>
      </c>
      <c r="F157" s="155">
        <v>389488</v>
      </c>
      <c r="G157" s="155">
        <v>396229</v>
      </c>
      <c r="H157" s="155">
        <v>426368</v>
      </c>
      <c r="I157" s="155">
        <v>443333</v>
      </c>
      <c r="J157" s="155">
        <v>441649</v>
      </c>
      <c r="K157" s="155">
        <v>438915</v>
      </c>
      <c r="L157" s="155">
        <v>441635</v>
      </c>
      <c r="M157" s="155">
        <v>443635</v>
      </c>
      <c r="N157" s="155">
        <v>459938</v>
      </c>
      <c r="O157" s="155">
        <v>464736</v>
      </c>
      <c r="P157" s="155">
        <v>469085</v>
      </c>
      <c r="Q157" s="155">
        <v>484307</v>
      </c>
      <c r="R157" s="155">
        <v>485222</v>
      </c>
      <c r="S157" s="155">
        <v>493541</v>
      </c>
      <c r="T157" s="155">
        <v>502838</v>
      </c>
      <c r="U157" s="155">
        <v>502739</v>
      </c>
      <c r="V157" s="155">
        <v>497235</v>
      </c>
      <c r="W157" s="155">
        <v>504368</v>
      </c>
      <c r="X157" s="155">
        <v>502039</v>
      </c>
      <c r="Y157" s="155">
        <v>505498</v>
      </c>
      <c r="Z157" s="155">
        <v>518218</v>
      </c>
      <c r="AA157" s="155">
        <v>516276</v>
      </c>
      <c r="AB157" s="155">
        <v>523154</v>
      </c>
      <c r="AC157" s="155">
        <v>517766</v>
      </c>
      <c r="AD157" s="155">
        <v>513475</v>
      </c>
      <c r="AE157" s="155">
        <v>517950</v>
      </c>
      <c r="AF157" s="155">
        <v>529555</v>
      </c>
      <c r="AG157" s="155">
        <v>537431</v>
      </c>
      <c r="AH157" s="155">
        <v>536330</v>
      </c>
      <c r="AI157" s="155">
        <v>534242</v>
      </c>
      <c r="AJ157" s="155">
        <v>539788</v>
      </c>
      <c r="AK157" s="155">
        <v>553740</v>
      </c>
      <c r="AL157" s="155">
        <v>550687</v>
      </c>
      <c r="AM157" s="155">
        <v>553809</v>
      </c>
      <c r="AN157" s="155">
        <v>560689</v>
      </c>
      <c r="AO157" s="155">
        <v>560517</v>
      </c>
      <c r="AP157" s="155">
        <v>551456</v>
      </c>
      <c r="AQ157" s="155">
        <v>542875</v>
      </c>
      <c r="AR157" s="155">
        <v>542388</v>
      </c>
      <c r="AS157" s="155">
        <v>547645</v>
      </c>
      <c r="AT157" s="155">
        <v>537170</v>
      </c>
      <c r="AU157" s="155">
        <v>529821</v>
      </c>
      <c r="AV157" s="155">
        <v>527579</v>
      </c>
      <c r="AW157" s="155">
        <v>521070</v>
      </c>
      <c r="AX157" s="155">
        <v>511954</v>
      </c>
      <c r="AY157" s="155">
        <v>515859</v>
      </c>
      <c r="AZ157" s="155">
        <v>498859</v>
      </c>
      <c r="BA157" s="155">
        <v>498315</v>
      </c>
      <c r="BB157" s="155">
        <v>500147</v>
      </c>
      <c r="BC157" s="155">
        <v>501439</v>
      </c>
      <c r="BD157" s="155">
        <v>502212</v>
      </c>
      <c r="BE157" s="155">
        <v>502728</v>
      </c>
      <c r="BF157" s="155">
        <v>503183</v>
      </c>
      <c r="BG157" s="155">
        <v>503596</v>
      </c>
      <c r="BH157" s="155">
        <v>504013</v>
      </c>
      <c r="BI157" s="155">
        <v>504422</v>
      </c>
      <c r="BJ157" s="155">
        <v>505032</v>
      </c>
      <c r="BK157" s="155">
        <v>505887</v>
      </c>
      <c r="BL157" s="155">
        <v>506852</v>
      </c>
      <c r="BM157" s="155">
        <v>507909</v>
      </c>
      <c r="BN157" s="155">
        <v>509125</v>
      </c>
      <c r="BO157" s="155">
        <v>510510</v>
      </c>
      <c r="BP157" s="155">
        <v>511942</v>
      </c>
      <c r="BQ157" s="155">
        <v>513302</v>
      </c>
      <c r="BR157" s="155">
        <v>514548</v>
      </c>
      <c r="BS157" s="155">
        <v>515669</v>
      </c>
      <c r="BT157" s="155">
        <v>516436</v>
      </c>
      <c r="BU157" s="155">
        <v>516770</v>
      </c>
      <c r="BV157" s="155">
        <v>516807</v>
      </c>
      <c r="BW157" s="155">
        <v>516620</v>
      </c>
      <c r="BX157" s="155">
        <v>516270</v>
      </c>
      <c r="BY157" s="155">
        <v>515299</v>
      </c>
      <c r="BZ157" s="155">
        <v>513602</v>
      </c>
      <c r="CA157" s="155">
        <v>511698</v>
      </c>
      <c r="CB157" s="155">
        <v>509668</v>
      </c>
      <c r="CC157" s="155">
        <v>507606</v>
      </c>
      <c r="CD157" s="155">
        <v>505502</v>
      </c>
      <c r="CE157" s="155">
        <v>503341</v>
      </c>
      <c r="CF157" s="155">
        <v>501359</v>
      </c>
      <c r="CG157" s="155">
        <v>499662</v>
      </c>
      <c r="CH157" s="155">
        <v>498268</v>
      </c>
      <c r="CI157" s="155">
        <v>497099</v>
      </c>
      <c r="CJ157" s="155">
        <v>496135</v>
      </c>
      <c r="CK157" s="155">
        <v>495436</v>
      </c>
      <c r="CL157" s="155">
        <v>494999</v>
      </c>
      <c r="CM157" s="155">
        <v>494807</v>
      </c>
      <c r="CN157" s="155">
        <v>494750</v>
      </c>
      <c r="CO157" s="155">
        <v>494792</v>
      </c>
      <c r="CP157" s="155">
        <v>495010</v>
      </c>
      <c r="CQ157" s="155">
        <v>495396</v>
      </c>
      <c r="CR157" s="155">
        <v>495855</v>
      </c>
      <c r="CS157" s="155">
        <v>496365</v>
      </c>
      <c r="CT157" s="155">
        <v>496878</v>
      </c>
      <c r="CU157" s="155">
        <v>497379</v>
      </c>
      <c r="CV157" s="155">
        <v>497882</v>
      </c>
      <c r="CW157" s="155">
        <v>498329</v>
      </c>
      <c r="CX157" s="155">
        <v>498713</v>
      </c>
      <c r="CY157" s="154">
        <v>499015</v>
      </c>
    </row>
    <row r="158" spans="1:103">
      <c r="A158" s="155" t="s">
        <v>1139</v>
      </c>
      <c r="B158" s="154">
        <v>49</v>
      </c>
      <c r="C158" s="155">
        <v>425222</v>
      </c>
      <c r="D158" s="155">
        <v>409761</v>
      </c>
      <c r="E158" s="155">
        <v>404979</v>
      </c>
      <c r="F158" s="155">
        <v>397975</v>
      </c>
      <c r="G158" s="155">
        <v>389605</v>
      </c>
      <c r="H158" s="155">
        <v>396060</v>
      </c>
      <c r="I158" s="155">
        <v>425841</v>
      </c>
      <c r="J158" s="155">
        <v>442778</v>
      </c>
      <c r="K158" s="155">
        <v>441114</v>
      </c>
      <c r="L158" s="155">
        <v>438407</v>
      </c>
      <c r="M158" s="155">
        <v>441137</v>
      </c>
      <c r="N158" s="155">
        <v>443151</v>
      </c>
      <c r="O158" s="155">
        <v>459434</v>
      </c>
      <c r="P158" s="155">
        <v>464239</v>
      </c>
      <c r="Q158" s="155">
        <v>468597</v>
      </c>
      <c r="R158" s="155">
        <v>483796</v>
      </c>
      <c r="S158" s="155">
        <v>484726</v>
      </c>
      <c r="T158" s="155">
        <v>493043</v>
      </c>
      <c r="U158" s="155">
        <v>502334</v>
      </c>
      <c r="V158" s="155">
        <v>502250</v>
      </c>
      <c r="W158" s="155">
        <v>496776</v>
      </c>
      <c r="X158" s="155">
        <v>503907</v>
      </c>
      <c r="Y158" s="155">
        <v>501597</v>
      </c>
      <c r="Z158" s="155">
        <v>505061</v>
      </c>
      <c r="AA158" s="155">
        <v>517764</v>
      </c>
      <c r="AB158" s="155">
        <v>515841</v>
      </c>
      <c r="AC158" s="155">
        <v>522715</v>
      </c>
      <c r="AD158" s="155">
        <v>517348</v>
      </c>
      <c r="AE158" s="155">
        <v>513079</v>
      </c>
      <c r="AF158" s="155">
        <v>517556</v>
      </c>
      <c r="AG158" s="155">
        <v>529150</v>
      </c>
      <c r="AH158" s="155">
        <v>537024</v>
      </c>
      <c r="AI158" s="155">
        <v>535937</v>
      </c>
      <c r="AJ158" s="155">
        <v>533864</v>
      </c>
      <c r="AK158" s="155">
        <v>539413</v>
      </c>
      <c r="AL158" s="155">
        <v>553349</v>
      </c>
      <c r="AM158" s="155">
        <v>550312</v>
      </c>
      <c r="AN158" s="155">
        <v>553440</v>
      </c>
      <c r="AO158" s="155">
        <v>560320</v>
      </c>
      <c r="AP158" s="155">
        <v>560159</v>
      </c>
      <c r="AQ158" s="155">
        <v>551126</v>
      </c>
      <c r="AR158" s="155">
        <v>542571</v>
      </c>
      <c r="AS158" s="155">
        <v>542095</v>
      </c>
      <c r="AT158" s="155">
        <v>547355</v>
      </c>
      <c r="AU158" s="155">
        <v>536910</v>
      </c>
      <c r="AV158" s="155">
        <v>529584</v>
      </c>
      <c r="AW158" s="155">
        <v>527354</v>
      </c>
      <c r="AX158" s="155">
        <v>520867</v>
      </c>
      <c r="AY158" s="155">
        <v>511776</v>
      </c>
      <c r="AZ158" s="155">
        <v>515684</v>
      </c>
      <c r="BA158" s="155">
        <v>498721</v>
      </c>
      <c r="BB158" s="155">
        <v>498186</v>
      </c>
      <c r="BC158" s="155">
        <v>500023</v>
      </c>
      <c r="BD158" s="155">
        <v>501323</v>
      </c>
      <c r="BE158" s="155">
        <v>502103</v>
      </c>
      <c r="BF158" s="155">
        <v>502626</v>
      </c>
      <c r="BG158" s="155">
        <v>503089</v>
      </c>
      <c r="BH158" s="155">
        <v>503510</v>
      </c>
      <c r="BI158" s="155">
        <v>503934</v>
      </c>
      <c r="BJ158" s="155">
        <v>504351</v>
      </c>
      <c r="BK158" s="155">
        <v>504969</v>
      </c>
      <c r="BL158" s="155">
        <v>505830</v>
      </c>
      <c r="BM158" s="155">
        <v>506802</v>
      </c>
      <c r="BN158" s="155">
        <v>507866</v>
      </c>
      <c r="BO158" s="155">
        <v>509088</v>
      </c>
      <c r="BP158" s="155">
        <v>510480</v>
      </c>
      <c r="BQ158" s="155">
        <v>511917</v>
      </c>
      <c r="BR158" s="155">
        <v>513283</v>
      </c>
      <c r="BS158" s="155">
        <v>514534</v>
      </c>
      <c r="BT158" s="155">
        <v>515662</v>
      </c>
      <c r="BU158" s="155">
        <v>516436</v>
      </c>
      <c r="BV158" s="155">
        <v>516777</v>
      </c>
      <c r="BW158" s="155">
        <v>516820</v>
      </c>
      <c r="BX158" s="155">
        <v>516642</v>
      </c>
      <c r="BY158" s="155">
        <v>516300</v>
      </c>
      <c r="BZ158" s="155">
        <v>515337</v>
      </c>
      <c r="CA158" s="155">
        <v>513649</v>
      </c>
      <c r="CB158" s="155">
        <v>511753</v>
      </c>
      <c r="CC158" s="155">
        <v>509733</v>
      </c>
      <c r="CD158" s="155">
        <v>507681</v>
      </c>
      <c r="CE158" s="155">
        <v>505586</v>
      </c>
      <c r="CF158" s="155">
        <v>503434</v>
      </c>
      <c r="CG158" s="155">
        <v>501461</v>
      </c>
      <c r="CH158" s="155">
        <v>499771</v>
      </c>
      <c r="CI158" s="155">
        <v>498385</v>
      </c>
      <c r="CJ158" s="155">
        <v>497223</v>
      </c>
      <c r="CK158" s="155">
        <v>496267</v>
      </c>
      <c r="CL158" s="155">
        <v>495574</v>
      </c>
      <c r="CM158" s="155">
        <v>495143</v>
      </c>
      <c r="CN158" s="155">
        <v>494959</v>
      </c>
      <c r="CO158" s="155">
        <v>494907</v>
      </c>
      <c r="CP158" s="155">
        <v>494955</v>
      </c>
      <c r="CQ158" s="155">
        <v>495177</v>
      </c>
      <c r="CR158" s="155">
        <v>495569</v>
      </c>
      <c r="CS158" s="155">
        <v>496032</v>
      </c>
      <c r="CT158" s="155">
        <v>496547</v>
      </c>
      <c r="CU158" s="155">
        <v>497065</v>
      </c>
      <c r="CV158" s="155">
        <v>497573</v>
      </c>
      <c r="CW158" s="155">
        <v>498080</v>
      </c>
      <c r="CX158" s="155">
        <v>498532</v>
      </c>
      <c r="CY158" s="154">
        <v>498920</v>
      </c>
    </row>
    <row r="159" spans="1:103">
      <c r="A159" s="155" t="s">
        <v>1139</v>
      </c>
      <c r="B159" s="154">
        <v>50</v>
      </c>
      <c r="C159" s="155">
        <v>441156</v>
      </c>
      <c r="D159" s="155">
        <v>425961</v>
      </c>
      <c r="E159" s="155">
        <v>410098</v>
      </c>
      <c r="F159" s="155">
        <v>405096</v>
      </c>
      <c r="G159" s="155">
        <v>397880</v>
      </c>
      <c r="H159" s="155">
        <v>389301</v>
      </c>
      <c r="I159" s="155">
        <v>395495</v>
      </c>
      <c r="J159" s="155">
        <v>425204</v>
      </c>
      <c r="K159" s="155">
        <v>442111</v>
      </c>
      <c r="L159" s="155">
        <v>440468</v>
      </c>
      <c r="M159" s="155">
        <v>437788</v>
      </c>
      <c r="N159" s="155">
        <v>440531</v>
      </c>
      <c r="O159" s="155">
        <v>442561</v>
      </c>
      <c r="P159" s="155">
        <v>458818</v>
      </c>
      <c r="Q159" s="155">
        <v>463630</v>
      </c>
      <c r="R159" s="155">
        <v>467997</v>
      </c>
      <c r="S159" s="155">
        <v>483172</v>
      </c>
      <c r="T159" s="155">
        <v>484119</v>
      </c>
      <c r="U159" s="155">
        <v>492431</v>
      </c>
      <c r="V159" s="155">
        <v>501714</v>
      </c>
      <c r="W159" s="155">
        <v>501648</v>
      </c>
      <c r="X159" s="155">
        <v>496204</v>
      </c>
      <c r="Y159" s="155">
        <v>503332</v>
      </c>
      <c r="Z159" s="155">
        <v>501042</v>
      </c>
      <c r="AA159" s="155">
        <v>504512</v>
      </c>
      <c r="AB159" s="155">
        <v>517197</v>
      </c>
      <c r="AC159" s="155">
        <v>515291</v>
      </c>
      <c r="AD159" s="155">
        <v>522162</v>
      </c>
      <c r="AE159" s="155">
        <v>516819</v>
      </c>
      <c r="AF159" s="155">
        <v>512574</v>
      </c>
      <c r="AG159" s="155">
        <v>517054</v>
      </c>
      <c r="AH159" s="155">
        <v>528635</v>
      </c>
      <c r="AI159" s="155">
        <v>536507</v>
      </c>
      <c r="AJ159" s="155">
        <v>535438</v>
      </c>
      <c r="AK159" s="155">
        <v>533378</v>
      </c>
      <c r="AL159" s="155">
        <v>538930</v>
      </c>
      <c r="AM159" s="155">
        <v>552849</v>
      </c>
      <c r="AN159" s="155">
        <v>549829</v>
      </c>
      <c r="AO159" s="155">
        <v>552964</v>
      </c>
      <c r="AP159" s="155">
        <v>559842</v>
      </c>
      <c r="AQ159" s="155">
        <v>559695</v>
      </c>
      <c r="AR159" s="155">
        <v>550693</v>
      </c>
      <c r="AS159" s="155">
        <v>542166</v>
      </c>
      <c r="AT159" s="155">
        <v>541702</v>
      </c>
      <c r="AU159" s="155">
        <v>546965</v>
      </c>
      <c r="AV159" s="155">
        <v>536551</v>
      </c>
      <c r="AW159" s="155">
        <v>529250</v>
      </c>
      <c r="AX159" s="155">
        <v>527033</v>
      </c>
      <c r="AY159" s="155">
        <v>520570</v>
      </c>
      <c r="AZ159" s="155">
        <v>511505</v>
      </c>
      <c r="BA159" s="155">
        <v>515418</v>
      </c>
      <c r="BB159" s="155">
        <v>498495</v>
      </c>
      <c r="BC159" s="155">
        <v>497971</v>
      </c>
      <c r="BD159" s="155">
        <v>499812</v>
      </c>
      <c r="BE159" s="155">
        <v>501120</v>
      </c>
      <c r="BF159" s="155">
        <v>501909</v>
      </c>
      <c r="BG159" s="155">
        <v>502440</v>
      </c>
      <c r="BH159" s="155">
        <v>502911</v>
      </c>
      <c r="BI159" s="155">
        <v>503342</v>
      </c>
      <c r="BJ159" s="155">
        <v>503774</v>
      </c>
      <c r="BK159" s="155">
        <v>504198</v>
      </c>
      <c r="BL159" s="155">
        <v>504825</v>
      </c>
      <c r="BM159" s="155">
        <v>505694</v>
      </c>
      <c r="BN159" s="155">
        <v>506672</v>
      </c>
      <c r="BO159" s="155">
        <v>507742</v>
      </c>
      <c r="BP159" s="155">
        <v>508972</v>
      </c>
      <c r="BQ159" s="155">
        <v>510370</v>
      </c>
      <c r="BR159" s="155">
        <v>511813</v>
      </c>
      <c r="BS159" s="155">
        <v>513185</v>
      </c>
      <c r="BT159" s="155">
        <v>514445</v>
      </c>
      <c r="BU159" s="155">
        <v>515577</v>
      </c>
      <c r="BV159" s="155">
        <v>516360</v>
      </c>
      <c r="BW159" s="155">
        <v>516709</v>
      </c>
      <c r="BX159" s="155">
        <v>516759</v>
      </c>
      <c r="BY159" s="155">
        <v>516589</v>
      </c>
      <c r="BZ159" s="155">
        <v>516255</v>
      </c>
      <c r="CA159" s="155">
        <v>515302</v>
      </c>
      <c r="CB159" s="155">
        <v>513624</v>
      </c>
      <c r="CC159" s="155">
        <v>511737</v>
      </c>
      <c r="CD159" s="155">
        <v>509727</v>
      </c>
      <c r="CE159" s="155">
        <v>507686</v>
      </c>
      <c r="CF159" s="155">
        <v>505601</v>
      </c>
      <c r="CG159" s="155">
        <v>503459</v>
      </c>
      <c r="CH159" s="155">
        <v>501494</v>
      </c>
      <c r="CI159" s="155">
        <v>499814</v>
      </c>
      <c r="CJ159" s="155">
        <v>498436</v>
      </c>
      <c r="CK159" s="155">
        <v>497280</v>
      </c>
      <c r="CL159" s="155">
        <v>496335</v>
      </c>
      <c r="CM159" s="155">
        <v>495647</v>
      </c>
      <c r="CN159" s="155">
        <v>495225</v>
      </c>
      <c r="CO159" s="155">
        <v>495047</v>
      </c>
      <c r="CP159" s="155">
        <v>495000</v>
      </c>
      <c r="CQ159" s="155">
        <v>495054</v>
      </c>
      <c r="CR159" s="155">
        <v>495282</v>
      </c>
      <c r="CS159" s="155">
        <v>495680</v>
      </c>
      <c r="CT159" s="155">
        <v>496148</v>
      </c>
      <c r="CU159" s="155">
        <v>496671</v>
      </c>
      <c r="CV159" s="155">
        <v>497193</v>
      </c>
      <c r="CW159" s="155">
        <v>497705</v>
      </c>
      <c r="CX159" s="155">
        <v>498218</v>
      </c>
      <c r="CY159" s="154">
        <v>498675</v>
      </c>
    </row>
    <row r="160" spans="1:103">
      <c r="A160" s="155" t="s">
        <v>1139</v>
      </c>
      <c r="B160" s="154">
        <v>51</v>
      </c>
      <c r="C160" s="155">
        <v>456146</v>
      </c>
      <c r="D160" s="155">
        <v>441528</v>
      </c>
      <c r="E160" s="155">
        <v>425973</v>
      </c>
      <c r="F160" s="155">
        <v>409943</v>
      </c>
      <c r="G160" s="155">
        <v>404745</v>
      </c>
      <c r="H160" s="155">
        <v>397341</v>
      </c>
      <c r="I160" s="155">
        <v>388579</v>
      </c>
      <c r="J160" s="155">
        <v>394778</v>
      </c>
      <c r="K160" s="155">
        <v>424410</v>
      </c>
      <c r="L160" s="155">
        <v>441282</v>
      </c>
      <c r="M160" s="155">
        <v>439663</v>
      </c>
      <c r="N160" s="155">
        <v>437015</v>
      </c>
      <c r="O160" s="155">
        <v>439768</v>
      </c>
      <c r="P160" s="155">
        <v>441815</v>
      </c>
      <c r="Q160" s="155">
        <v>458044</v>
      </c>
      <c r="R160" s="155">
        <v>462864</v>
      </c>
      <c r="S160" s="155">
        <v>467237</v>
      </c>
      <c r="T160" s="155">
        <v>482386</v>
      </c>
      <c r="U160" s="155">
        <v>483349</v>
      </c>
      <c r="V160" s="155">
        <v>491657</v>
      </c>
      <c r="W160" s="155">
        <v>500931</v>
      </c>
      <c r="X160" s="155">
        <v>500883</v>
      </c>
      <c r="Y160" s="155">
        <v>495472</v>
      </c>
      <c r="Z160" s="155">
        <v>502596</v>
      </c>
      <c r="AA160" s="155">
        <v>500329</v>
      </c>
      <c r="AB160" s="155">
        <v>503802</v>
      </c>
      <c r="AC160" s="155">
        <v>516468</v>
      </c>
      <c r="AD160" s="155">
        <v>514584</v>
      </c>
      <c r="AE160" s="155">
        <v>521449</v>
      </c>
      <c r="AF160" s="155">
        <v>516131</v>
      </c>
      <c r="AG160" s="155">
        <v>511913</v>
      </c>
      <c r="AH160" s="155">
        <v>516396</v>
      </c>
      <c r="AI160" s="155">
        <v>527964</v>
      </c>
      <c r="AJ160" s="155">
        <v>535833</v>
      </c>
      <c r="AK160" s="155">
        <v>534783</v>
      </c>
      <c r="AL160" s="155">
        <v>532738</v>
      </c>
      <c r="AM160" s="155">
        <v>538291</v>
      </c>
      <c r="AN160" s="155">
        <v>552193</v>
      </c>
      <c r="AO160" s="155">
        <v>549192</v>
      </c>
      <c r="AP160" s="155">
        <v>552334</v>
      </c>
      <c r="AQ160" s="155">
        <v>559211</v>
      </c>
      <c r="AR160" s="155">
        <v>559077</v>
      </c>
      <c r="AS160" s="155">
        <v>550108</v>
      </c>
      <c r="AT160" s="155">
        <v>541613</v>
      </c>
      <c r="AU160" s="155">
        <v>541163</v>
      </c>
      <c r="AV160" s="155">
        <v>546427</v>
      </c>
      <c r="AW160" s="155">
        <v>536048</v>
      </c>
      <c r="AX160" s="155">
        <v>528773</v>
      </c>
      <c r="AY160" s="155">
        <v>526572</v>
      </c>
      <c r="AZ160" s="155">
        <v>520136</v>
      </c>
      <c r="BA160" s="155">
        <v>511099</v>
      </c>
      <c r="BB160" s="155">
        <v>515015</v>
      </c>
      <c r="BC160" s="155">
        <v>498137</v>
      </c>
      <c r="BD160" s="155">
        <v>497624</v>
      </c>
      <c r="BE160" s="155">
        <v>499471</v>
      </c>
      <c r="BF160" s="155">
        <v>500787</v>
      </c>
      <c r="BG160" s="155">
        <v>501585</v>
      </c>
      <c r="BH160" s="155">
        <v>502125</v>
      </c>
      <c r="BI160" s="155">
        <v>502605</v>
      </c>
      <c r="BJ160" s="155">
        <v>503044</v>
      </c>
      <c r="BK160" s="155">
        <v>503486</v>
      </c>
      <c r="BL160" s="155">
        <v>503918</v>
      </c>
      <c r="BM160" s="155">
        <v>504554</v>
      </c>
      <c r="BN160" s="155">
        <v>505431</v>
      </c>
      <c r="BO160" s="155">
        <v>506416</v>
      </c>
      <c r="BP160" s="155">
        <v>507495</v>
      </c>
      <c r="BQ160" s="155">
        <v>508733</v>
      </c>
      <c r="BR160" s="155">
        <v>510137</v>
      </c>
      <c r="BS160" s="155">
        <v>511587</v>
      </c>
      <c r="BT160" s="155">
        <v>512966</v>
      </c>
      <c r="BU160" s="155">
        <v>514233</v>
      </c>
      <c r="BV160" s="155">
        <v>515373</v>
      </c>
      <c r="BW160" s="155">
        <v>516163</v>
      </c>
      <c r="BX160" s="155">
        <v>516522</v>
      </c>
      <c r="BY160" s="155">
        <v>516580</v>
      </c>
      <c r="BZ160" s="155">
        <v>516419</v>
      </c>
      <c r="CA160" s="155">
        <v>516093</v>
      </c>
      <c r="CB160" s="155">
        <v>515150</v>
      </c>
      <c r="CC160" s="155">
        <v>513481</v>
      </c>
      <c r="CD160" s="155">
        <v>511605</v>
      </c>
      <c r="CE160" s="155">
        <v>509607</v>
      </c>
      <c r="CF160" s="155">
        <v>507577</v>
      </c>
      <c r="CG160" s="155">
        <v>505502</v>
      </c>
      <c r="CH160" s="155">
        <v>503370</v>
      </c>
      <c r="CI160" s="155">
        <v>501416</v>
      </c>
      <c r="CJ160" s="155">
        <v>499747</v>
      </c>
      <c r="CK160" s="155">
        <v>498377</v>
      </c>
      <c r="CL160" s="155">
        <v>497229</v>
      </c>
      <c r="CM160" s="155">
        <v>496293</v>
      </c>
      <c r="CN160" s="155">
        <v>495613</v>
      </c>
      <c r="CO160" s="155">
        <v>495200</v>
      </c>
      <c r="CP160" s="155">
        <v>495028</v>
      </c>
      <c r="CQ160" s="155">
        <v>494987</v>
      </c>
      <c r="CR160" s="155">
        <v>495049</v>
      </c>
      <c r="CS160" s="155">
        <v>495282</v>
      </c>
      <c r="CT160" s="155">
        <v>495687</v>
      </c>
      <c r="CU160" s="155">
        <v>496160</v>
      </c>
      <c r="CV160" s="155">
        <v>496689</v>
      </c>
      <c r="CW160" s="155">
        <v>497218</v>
      </c>
      <c r="CX160" s="155">
        <v>497734</v>
      </c>
      <c r="CY160" s="154">
        <v>498253</v>
      </c>
    </row>
    <row r="161" spans="1:103">
      <c r="A161" s="155" t="s">
        <v>1139</v>
      </c>
      <c r="B161" s="154">
        <v>52</v>
      </c>
      <c r="C161" s="155">
        <v>445934</v>
      </c>
      <c r="D161" s="155">
        <v>456129</v>
      </c>
      <c r="E161" s="155">
        <v>441190</v>
      </c>
      <c r="F161" s="155">
        <v>425486</v>
      </c>
      <c r="G161" s="155">
        <v>409315</v>
      </c>
      <c r="H161" s="155">
        <v>403943</v>
      </c>
      <c r="I161" s="155">
        <v>396373</v>
      </c>
      <c r="J161" s="155">
        <v>387679</v>
      </c>
      <c r="K161" s="155">
        <v>393884</v>
      </c>
      <c r="L161" s="155">
        <v>423432</v>
      </c>
      <c r="M161" s="155">
        <v>440268</v>
      </c>
      <c r="N161" s="155">
        <v>438674</v>
      </c>
      <c r="O161" s="155">
        <v>436056</v>
      </c>
      <c r="P161" s="155">
        <v>438824</v>
      </c>
      <c r="Q161" s="155">
        <v>440886</v>
      </c>
      <c r="R161" s="155">
        <v>457085</v>
      </c>
      <c r="S161" s="155">
        <v>461912</v>
      </c>
      <c r="T161" s="155">
        <v>466290</v>
      </c>
      <c r="U161" s="155">
        <v>481412</v>
      </c>
      <c r="V161" s="155">
        <v>482393</v>
      </c>
      <c r="W161" s="155">
        <v>490693</v>
      </c>
      <c r="X161" s="155">
        <v>499956</v>
      </c>
      <c r="Y161" s="155">
        <v>499928</v>
      </c>
      <c r="Z161" s="155">
        <v>494551</v>
      </c>
      <c r="AA161" s="155">
        <v>501672</v>
      </c>
      <c r="AB161" s="155">
        <v>499428</v>
      </c>
      <c r="AC161" s="155">
        <v>502907</v>
      </c>
      <c r="AD161" s="155">
        <v>515551</v>
      </c>
      <c r="AE161" s="155">
        <v>513689</v>
      </c>
      <c r="AF161" s="155">
        <v>520550</v>
      </c>
      <c r="AG161" s="155">
        <v>515257</v>
      </c>
      <c r="AH161" s="155">
        <v>511069</v>
      </c>
      <c r="AI161" s="155">
        <v>515556</v>
      </c>
      <c r="AJ161" s="155">
        <v>527108</v>
      </c>
      <c r="AK161" s="155">
        <v>534973</v>
      </c>
      <c r="AL161" s="155">
        <v>533942</v>
      </c>
      <c r="AM161" s="155">
        <v>531919</v>
      </c>
      <c r="AN161" s="155">
        <v>537472</v>
      </c>
      <c r="AO161" s="155">
        <v>551353</v>
      </c>
      <c r="AP161" s="155">
        <v>548374</v>
      </c>
      <c r="AQ161" s="155">
        <v>551523</v>
      </c>
      <c r="AR161" s="155">
        <v>558398</v>
      </c>
      <c r="AS161" s="155">
        <v>558280</v>
      </c>
      <c r="AT161" s="155">
        <v>549348</v>
      </c>
      <c r="AU161" s="155">
        <v>540885</v>
      </c>
      <c r="AV161" s="155">
        <v>540450</v>
      </c>
      <c r="AW161" s="155">
        <v>545715</v>
      </c>
      <c r="AX161" s="155">
        <v>535372</v>
      </c>
      <c r="AY161" s="155">
        <v>528128</v>
      </c>
      <c r="AZ161" s="155">
        <v>525945</v>
      </c>
      <c r="BA161" s="155">
        <v>519535</v>
      </c>
      <c r="BB161" s="155">
        <v>510529</v>
      </c>
      <c r="BC161" s="155">
        <v>514450</v>
      </c>
      <c r="BD161" s="155">
        <v>497618</v>
      </c>
      <c r="BE161" s="155">
        <v>497117</v>
      </c>
      <c r="BF161" s="155">
        <v>498972</v>
      </c>
      <c r="BG161" s="155">
        <v>500296</v>
      </c>
      <c r="BH161" s="155">
        <v>501105</v>
      </c>
      <c r="BI161" s="155">
        <v>501654</v>
      </c>
      <c r="BJ161" s="155">
        <v>502144</v>
      </c>
      <c r="BK161" s="155">
        <v>502593</v>
      </c>
      <c r="BL161" s="155">
        <v>503045</v>
      </c>
      <c r="BM161" s="155">
        <v>503485</v>
      </c>
      <c r="BN161" s="155">
        <v>504131</v>
      </c>
      <c r="BO161" s="155">
        <v>505016</v>
      </c>
      <c r="BP161" s="155">
        <v>506011</v>
      </c>
      <c r="BQ161" s="155">
        <v>507098</v>
      </c>
      <c r="BR161" s="155">
        <v>508344</v>
      </c>
      <c r="BS161" s="155">
        <v>509755</v>
      </c>
      <c r="BT161" s="155">
        <v>511211</v>
      </c>
      <c r="BU161" s="155">
        <v>512599</v>
      </c>
      <c r="BV161" s="155">
        <v>513873</v>
      </c>
      <c r="BW161" s="155">
        <v>515020</v>
      </c>
      <c r="BX161" s="155">
        <v>515820</v>
      </c>
      <c r="BY161" s="155">
        <v>516188</v>
      </c>
      <c r="BZ161" s="155">
        <v>516256</v>
      </c>
      <c r="CA161" s="155">
        <v>516103</v>
      </c>
      <c r="CB161" s="155">
        <v>515788</v>
      </c>
      <c r="CC161" s="155">
        <v>514853</v>
      </c>
      <c r="CD161" s="155">
        <v>513199</v>
      </c>
      <c r="CE161" s="155">
        <v>511333</v>
      </c>
      <c r="CF161" s="155">
        <v>509346</v>
      </c>
      <c r="CG161" s="155">
        <v>507329</v>
      </c>
      <c r="CH161" s="155">
        <v>505267</v>
      </c>
      <c r="CI161" s="155">
        <v>503144</v>
      </c>
      <c r="CJ161" s="155">
        <v>501203</v>
      </c>
      <c r="CK161" s="155">
        <v>499543</v>
      </c>
      <c r="CL161" s="155">
        <v>498183</v>
      </c>
      <c r="CM161" s="155">
        <v>497044</v>
      </c>
      <c r="CN161" s="155">
        <v>496119</v>
      </c>
      <c r="CO161" s="155">
        <v>495445</v>
      </c>
      <c r="CP161" s="155">
        <v>495041</v>
      </c>
      <c r="CQ161" s="155">
        <v>494876</v>
      </c>
      <c r="CR161" s="155">
        <v>494843</v>
      </c>
      <c r="CS161" s="155">
        <v>494913</v>
      </c>
      <c r="CT161" s="155">
        <v>495152</v>
      </c>
      <c r="CU161" s="155">
        <v>495564</v>
      </c>
      <c r="CV161" s="155">
        <v>496044</v>
      </c>
      <c r="CW161" s="155">
        <v>496579</v>
      </c>
      <c r="CX161" s="155">
        <v>497113</v>
      </c>
      <c r="CY161" s="154">
        <v>497636</v>
      </c>
    </row>
    <row r="162" spans="1:103">
      <c r="A162" s="155" t="s">
        <v>1139</v>
      </c>
      <c r="B162" s="154">
        <v>53</v>
      </c>
      <c r="C162" s="155">
        <v>456662</v>
      </c>
      <c r="D162" s="155">
        <v>445631</v>
      </c>
      <c r="E162" s="155">
        <v>455431</v>
      </c>
      <c r="F162" s="155">
        <v>440356</v>
      </c>
      <c r="G162" s="155">
        <v>424524</v>
      </c>
      <c r="H162" s="155">
        <v>408237</v>
      </c>
      <c r="I162" s="155">
        <v>402706</v>
      </c>
      <c r="J162" s="155">
        <v>395205</v>
      </c>
      <c r="K162" s="155">
        <v>386583</v>
      </c>
      <c r="L162" s="155">
        <v>392793</v>
      </c>
      <c r="M162" s="155">
        <v>422252</v>
      </c>
      <c r="N162" s="155">
        <v>439048</v>
      </c>
      <c r="O162" s="155">
        <v>437481</v>
      </c>
      <c r="P162" s="155">
        <v>434896</v>
      </c>
      <c r="Q162" s="155">
        <v>437675</v>
      </c>
      <c r="R162" s="155">
        <v>439753</v>
      </c>
      <c r="S162" s="155">
        <v>455921</v>
      </c>
      <c r="T162" s="155">
        <v>460753</v>
      </c>
      <c r="U162" s="155">
        <v>465138</v>
      </c>
      <c r="V162" s="155">
        <v>480229</v>
      </c>
      <c r="W162" s="155">
        <v>481226</v>
      </c>
      <c r="X162" s="155">
        <v>489520</v>
      </c>
      <c r="Y162" s="155">
        <v>498772</v>
      </c>
      <c r="Z162" s="155">
        <v>498763</v>
      </c>
      <c r="AA162" s="155">
        <v>493422</v>
      </c>
      <c r="AB162" s="155">
        <v>500537</v>
      </c>
      <c r="AC162" s="155">
        <v>498319</v>
      </c>
      <c r="AD162" s="155">
        <v>501805</v>
      </c>
      <c r="AE162" s="155">
        <v>514426</v>
      </c>
      <c r="AF162" s="155">
        <v>512588</v>
      </c>
      <c r="AG162" s="155">
        <v>519443</v>
      </c>
      <c r="AH162" s="155">
        <v>514179</v>
      </c>
      <c r="AI162" s="155">
        <v>510021</v>
      </c>
      <c r="AJ162" s="155">
        <v>514514</v>
      </c>
      <c r="AK162" s="155">
        <v>526048</v>
      </c>
      <c r="AL162" s="155">
        <v>533909</v>
      </c>
      <c r="AM162" s="155">
        <v>532899</v>
      </c>
      <c r="AN162" s="155">
        <v>530897</v>
      </c>
      <c r="AO162" s="155">
        <v>536451</v>
      </c>
      <c r="AP162" s="155">
        <v>550310</v>
      </c>
      <c r="AQ162" s="155">
        <v>547356</v>
      </c>
      <c r="AR162" s="155">
        <v>550511</v>
      </c>
      <c r="AS162" s="155">
        <v>557385</v>
      </c>
      <c r="AT162" s="155">
        <v>557283</v>
      </c>
      <c r="AU162" s="155">
        <v>548390</v>
      </c>
      <c r="AV162" s="155">
        <v>539964</v>
      </c>
      <c r="AW162" s="155">
        <v>539543</v>
      </c>
      <c r="AX162" s="155">
        <v>544810</v>
      </c>
      <c r="AY162" s="155">
        <v>534509</v>
      </c>
      <c r="AZ162" s="155">
        <v>527296</v>
      </c>
      <c r="BA162" s="155">
        <v>525131</v>
      </c>
      <c r="BB162" s="155">
        <v>518751</v>
      </c>
      <c r="BC162" s="155">
        <v>509781</v>
      </c>
      <c r="BD162" s="155">
        <v>513705</v>
      </c>
      <c r="BE162" s="155">
        <v>496924</v>
      </c>
      <c r="BF162" s="155">
        <v>496435</v>
      </c>
      <c r="BG162" s="155">
        <v>498300</v>
      </c>
      <c r="BH162" s="155">
        <v>499632</v>
      </c>
      <c r="BI162" s="155">
        <v>500451</v>
      </c>
      <c r="BJ162" s="155">
        <v>501010</v>
      </c>
      <c r="BK162" s="155">
        <v>501511</v>
      </c>
      <c r="BL162" s="155">
        <v>501971</v>
      </c>
      <c r="BM162" s="155">
        <v>502434</v>
      </c>
      <c r="BN162" s="155">
        <v>502883</v>
      </c>
      <c r="BO162" s="155">
        <v>503541</v>
      </c>
      <c r="BP162" s="155">
        <v>504433</v>
      </c>
      <c r="BQ162" s="155">
        <v>505437</v>
      </c>
      <c r="BR162" s="155">
        <v>506534</v>
      </c>
      <c r="BS162" s="155">
        <v>507788</v>
      </c>
      <c r="BT162" s="155">
        <v>509209</v>
      </c>
      <c r="BU162" s="155">
        <v>510671</v>
      </c>
      <c r="BV162" s="155">
        <v>512068</v>
      </c>
      <c r="BW162" s="155">
        <v>513350</v>
      </c>
      <c r="BX162" s="155">
        <v>514504</v>
      </c>
      <c r="BY162" s="155">
        <v>515315</v>
      </c>
      <c r="BZ162" s="155">
        <v>515693</v>
      </c>
      <c r="CA162" s="155">
        <v>515771</v>
      </c>
      <c r="CB162" s="155">
        <v>515627</v>
      </c>
      <c r="CC162" s="155">
        <v>515323</v>
      </c>
      <c r="CD162" s="155">
        <v>514400</v>
      </c>
      <c r="CE162" s="155">
        <v>512758</v>
      </c>
      <c r="CF162" s="155">
        <v>510905</v>
      </c>
      <c r="CG162" s="155">
        <v>508930</v>
      </c>
      <c r="CH162" s="155">
        <v>506927</v>
      </c>
      <c r="CI162" s="155">
        <v>504877</v>
      </c>
      <c r="CJ162" s="155">
        <v>502766</v>
      </c>
      <c r="CK162" s="155">
        <v>500837</v>
      </c>
      <c r="CL162" s="155">
        <v>499189</v>
      </c>
      <c r="CM162" s="155">
        <v>497838</v>
      </c>
      <c r="CN162" s="155">
        <v>496710</v>
      </c>
      <c r="CO162" s="155">
        <v>495795</v>
      </c>
      <c r="CP162" s="155">
        <v>495130</v>
      </c>
      <c r="CQ162" s="155">
        <v>494735</v>
      </c>
      <c r="CR162" s="155">
        <v>494579</v>
      </c>
      <c r="CS162" s="155">
        <v>494553</v>
      </c>
      <c r="CT162" s="155">
        <v>494632</v>
      </c>
      <c r="CU162" s="155">
        <v>494879</v>
      </c>
      <c r="CV162" s="155">
        <v>495298</v>
      </c>
      <c r="CW162" s="155">
        <v>495783</v>
      </c>
      <c r="CX162" s="155">
        <v>496326</v>
      </c>
      <c r="CY162" s="154">
        <v>496867</v>
      </c>
    </row>
    <row r="163" spans="1:103">
      <c r="A163" s="155" t="s">
        <v>1139</v>
      </c>
      <c r="B163" s="154">
        <v>54</v>
      </c>
      <c r="C163" s="155">
        <v>455524</v>
      </c>
      <c r="D163" s="155">
        <v>455969</v>
      </c>
      <c r="E163" s="155">
        <v>444665</v>
      </c>
      <c r="F163" s="155">
        <v>454234</v>
      </c>
      <c r="G163" s="155">
        <v>439045</v>
      </c>
      <c r="H163" s="155">
        <v>423106</v>
      </c>
      <c r="I163" s="155">
        <v>406720</v>
      </c>
      <c r="J163" s="155">
        <v>401251</v>
      </c>
      <c r="K163" s="155">
        <v>393822</v>
      </c>
      <c r="L163" s="155">
        <v>385275</v>
      </c>
      <c r="M163" s="155">
        <v>391491</v>
      </c>
      <c r="N163" s="155">
        <v>420852</v>
      </c>
      <c r="O163" s="155">
        <v>437605</v>
      </c>
      <c r="P163" s="155">
        <v>436066</v>
      </c>
      <c r="Q163" s="155">
        <v>433514</v>
      </c>
      <c r="R163" s="155">
        <v>436307</v>
      </c>
      <c r="S163" s="155">
        <v>438403</v>
      </c>
      <c r="T163" s="155">
        <v>454534</v>
      </c>
      <c r="U163" s="155">
        <v>459370</v>
      </c>
      <c r="V163" s="155">
        <v>463763</v>
      </c>
      <c r="W163" s="155">
        <v>478818</v>
      </c>
      <c r="X163" s="155">
        <v>479834</v>
      </c>
      <c r="Y163" s="155">
        <v>488119</v>
      </c>
      <c r="Z163" s="155">
        <v>497359</v>
      </c>
      <c r="AA163" s="155">
        <v>497369</v>
      </c>
      <c r="AB163" s="155">
        <v>492067</v>
      </c>
      <c r="AC163" s="155">
        <v>499177</v>
      </c>
      <c r="AD163" s="155">
        <v>496985</v>
      </c>
      <c r="AE163" s="155">
        <v>500478</v>
      </c>
      <c r="AF163" s="155">
        <v>513076</v>
      </c>
      <c r="AG163" s="155">
        <v>511262</v>
      </c>
      <c r="AH163" s="155">
        <v>518111</v>
      </c>
      <c r="AI163" s="155">
        <v>512880</v>
      </c>
      <c r="AJ163" s="155">
        <v>508754</v>
      </c>
      <c r="AK163" s="155">
        <v>513251</v>
      </c>
      <c r="AL163" s="155">
        <v>524767</v>
      </c>
      <c r="AM163" s="155">
        <v>532625</v>
      </c>
      <c r="AN163" s="155">
        <v>531638</v>
      </c>
      <c r="AO163" s="155">
        <v>529656</v>
      </c>
      <c r="AP163" s="155">
        <v>535211</v>
      </c>
      <c r="AQ163" s="155">
        <v>549048</v>
      </c>
      <c r="AR163" s="155">
        <v>546120</v>
      </c>
      <c r="AS163" s="155">
        <v>549284</v>
      </c>
      <c r="AT163" s="155">
        <v>556155</v>
      </c>
      <c r="AU163" s="155">
        <v>556071</v>
      </c>
      <c r="AV163" s="155">
        <v>547220</v>
      </c>
      <c r="AW163" s="155">
        <v>538833</v>
      </c>
      <c r="AX163" s="155">
        <v>538428</v>
      </c>
      <c r="AY163" s="155">
        <v>543699</v>
      </c>
      <c r="AZ163" s="155">
        <v>533440</v>
      </c>
      <c r="BA163" s="155">
        <v>526262</v>
      </c>
      <c r="BB163" s="155">
        <v>524117</v>
      </c>
      <c r="BC163" s="155">
        <v>517770</v>
      </c>
      <c r="BD163" s="155">
        <v>508835</v>
      </c>
      <c r="BE163" s="155">
        <v>512764</v>
      </c>
      <c r="BF163" s="155">
        <v>496039</v>
      </c>
      <c r="BG163" s="155">
        <v>495564</v>
      </c>
      <c r="BH163" s="155">
        <v>497437</v>
      </c>
      <c r="BI163" s="155">
        <v>498780</v>
      </c>
      <c r="BJ163" s="155">
        <v>499609</v>
      </c>
      <c r="BK163" s="155">
        <v>500179</v>
      </c>
      <c r="BL163" s="155">
        <v>500693</v>
      </c>
      <c r="BM163" s="155">
        <v>501164</v>
      </c>
      <c r="BN163" s="155">
        <v>501639</v>
      </c>
      <c r="BO163" s="155">
        <v>502100</v>
      </c>
      <c r="BP163" s="155">
        <v>502769</v>
      </c>
      <c r="BQ163" s="155">
        <v>503671</v>
      </c>
      <c r="BR163" s="155">
        <v>504684</v>
      </c>
      <c r="BS163" s="155">
        <v>505791</v>
      </c>
      <c r="BT163" s="155">
        <v>507054</v>
      </c>
      <c r="BU163" s="155">
        <v>508483</v>
      </c>
      <c r="BV163" s="155">
        <v>509954</v>
      </c>
      <c r="BW163" s="155">
        <v>511361</v>
      </c>
      <c r="BX163" s="155">
        <v>512651</v>
      </c>
      <c r="BY163" s="155">
        <v>513814</v>
      </c>
      <c r="BZ163" s="155">
        <v>514634</v>
      </c>
      <c r="CA163" s="155">
        <v>515023</v>
      </c>
      <c r="CB163" s="155">
        <v>515112</v>
      </c>
      <c r="CC163" s="155">
        <v>514980</v>
      </c>
      <c r="CD163" s="155">
        <v>514688</v>
      </c>
      <c r="CE163" s="155">
        <v>513776</v>
      </c>
      <c r="CF163" s="155">
        <v>512147</v>
      </c>
      <c r="CG163" s="155">
        <v>510309</v>
      </c>
      <c r="CH163" s="155">
        <v>508347</v>
      </c>
      <c r="CI163" s="155">
        <v>506358</v>
      </c>
      <c r="CJ163" s="155">
        <v>504322</v>
      </c>
      <c r="CK163" s="155">
        <v>502225</v>
      </c>
      <c r="CL163" s="155">
        <v>500306</v>
      </c>
      <c r="CM163" s="155">
        <v>498674</v>
      </c>
      <c r="CN163" s="155">
        <v>497334</v>
      </c>
      <c r="CO163" s="155">
        <v>496215</v>
      </c>
      <c r="CP163" s="155">
        <v>495312</v>
      </c>
      <c r="CQ163" s="155">
        <v>494656</v>
      </c>
      <c r="CR163" s="155">
        <v>494270</v>
      </c>
      <c r="CS163" s="155">
        <v>494123</v>
      </c>
      <c r="CT163" s="155">
        <v>494108</v>
      </c>
      <c r="CU163" s="155">
        <v>494194</v>
      </c>
      <c r="CV163" s="155">
        <v>494449</v>
      </c>
      <c r="CW163" s="155">
        <v>494875</v>
      </c>
      <c r="CX163" s="155">
        <v>495368</v>
      </c>
      <c r="CY163" s="154">
        <v>495920</v>
      </c>
    </row>
    <row r="164" spans="1:103">
      <c r="A164" s="155" t="s">
        <v>1139</v>
      </c>
      <c r="B164" s="154">
        <v>55</v>
      </c>
      <c r="C164" s="155">
        <v>459356</v>
      </c>
      <c r="D164" s="155">
        <v>454520</v>
      </c>
      <c r="E164" s="155">
        <v>454656</v>
      </c>
      <c r="F164" s="155">
        <v>443238</v>
      </c>
      <c r="G164" s="155">
        <v>452586</v>
      </c>
      <c r="H164" s="155">
        <v>437304</v>
      </c>
      <c r="I164" s="155">
        <v>421276</v>
      </c>
      <c r="J164" s="155">
        <v>405000</v>
      </c>
      <c r="K164" s="155">
        <v>399597</v>
      </c>
      <c r="L164" s="155">
        <v>392242</v>
      </c>
      <c r="M164" s="155">
        <v>383775</v>
      </c>
      <c r="N164" s="155">
        <v>389995</v>
      </c>
      <c r="O164" s="155">
        <v>419249</v>
      </c>
      <c r="P164" s="155">
        <v>435956</v>
      </c>
      <c r="Q164" s="155">
        <v>434447</v>
      </c>
      <c r="R164" s="155">
        <v>431932</v>
      </c>
      <c r="S164" s="155">
        <v>434738</v>
      </c>
      <c r="T164" s="155">
        <v>436851</v>
      </c>
      <c r="U164" s="155">
        <v>452942</v>
      </c>
      <c r="V164" s="155">
        <v>457784</v>
      </c>
      <c r="W164" s="155">
        <v>462181</v>
      </c>
      <c r="X164" s="155">
        <v>477196</v>
      </c>
      <c r="Y164" s="155">
        <v>478232</v>
      </c>
      <c r="Z164" s="155">
        <v>486507</v>
      </c>
      <c r="AA164" s="155">
        <v>495733</v>
      </c>
      <c r="AB164" s="155">
        <v>495764</v>
      </c>
      <c r="AC164" s="155">
        <v>490504</v>
      </c>
      <c r="AD164" s="155">
        <v>497608</v>
      </c>
      <c r="AE164" s="155">
        <v>495445</v>
      </c>
      <c r="AF164" s="155">
        <v>498945</v>
      </c>
      <c r="AG164" s="155">
        <v>511518</v>
      </c>
      <c r="AH164" s="155">
        <v>509729</v>
      </c>
      <c r="AI164" s="155">
        <v>516573</v>
      </c>
      <c r="AJ164" s="155">
        <v>511377</v>
      </c>
      <c r="AK164" s="155">
        <v>507286</v>
      </c>
      <c r="AL164" s="155">
        <v>511788</v>
      </c>
      <c r="AM164" s="155">
        <v>523283</v>
      </c>
      <c r="AN164" s="155">
        <v>531138</v>
      </c>
      <c r="AO164" s="155">
        <v>530175</v>
      </c>
      <c r="AP164" s="155">
        <v>528217</v>
      </c>
      <c r="AQ164" s="155">
        <v>533773</v>
      </c>
      <c r="AR164" s="155">
        <v>547585</v>
      </c>
      <c r="AS164" s="155">
        <v>544686</v>
      </c>
      <c r="AT164" s="155">
        <v>547858</v>
      </c>
      <c r="AU164" s="155">
        <v>554728</v>
      </c>
      <c r="AV164" s="155">
        <v>554662</v>
      </c>
      <c r="AW164" s="155">
        <v>545856</v>
      </c>
      <c r="AX164" s="155">
        <v>537511</v>
      </c>
      <c r="AY164" s="155">
        <v>537124</v>
      </c>
      <c r="AZ164" s="155">
        <v>542398</v>
      </c>
      <c r="BA164" s="155">
        <v>532186</v>
      </c>
      <c r="BB164" s="155">
        <v>525046</v>
      </c>
      <c r="BC164" s="155">
        <v>522922</v>
      </c>
      <c r="BD164" s="155">
        <v>516611</v>
      </c>
      <c r="BE164" s="155">
        <v>507715</v>
      </c>
      <c r="BF164" s="155">
        <v>511649</v>
      </c>
      <c r="BG164" s="155">
        <v>494984</v>
      </c>
      <c r="BH164" s="155">
        <v>494525</v>
      </c>
      <c r="BI164" s="155">
        <v>496405</v>
      </c>
      <c r="BJ164" s="155">
        <v>497762</v>
      </c>
      <c r="BK164" s="155">
        <v>498602</v>
      </c>
      <c r="BL164" s="155">
        <v>499183</v>
      </c>
      <c r="BM164" s="155">
        <v>499710</v>
      </c>
      <c r="BN164" s="155">
        <v>500195</v>
      </c>
      <c r="BO164" s="155">
        <v>500681</v>
      </c>
      <c r="BP164" s="155">
        <v>501155</v>
      </c>
      <c r="BQ164" s="155">
        <v>501835</v>
      </c>
      <c r="BR164" s="155">
        <v>502748</v>
      </c>
      <c r="BS164" s="155">
        <v>503773</v>
      </c>
      <c r="BT164" s="155">
        <v>504890</v>
      </c>
      <c r="BU164" s="155">
        <v>506163</v>
      </c>
      <c r="BV164" s="155">
        <v>507602</v>
      </c>
      <c r="BW164" s="155">
        <v>509081</v>
      </c>
      <c r="BX164" s="155">
        <v>510498</v>
      </c>
      <c r="BY164" s="155">
        <v>511797</v>
      </c>
      <c r="BZ164" s="155">
        <v>512971</v>
      </c>
      <c r="CA164" s="155">
        <v>513801</v>
      </c>
      <c r="CB164" s="155">
        <v>514202</v>
      </c>
      <c r="CC164" s="155">
        <v>514301</v>
      </c>
      <c r="CD164" s="155">
        <v>514183</v>
      </c>
      <c r="CE164" s="155">
        <v>513904</v>
      </c>
      <c r="CF164" s="155">
        <v>513005</v>
      </c>
      <c r="CG164" s="155">
        <v>511391</v>
      </c>
      <c r="CH164" s="155">
        <v>509567</v>
      </c>
      <c r="CI164" s="155">
        <v>507620</v>
      </c>
      <c r="CJ164" s="155">
        <v>505647</v>
      </c>
      <c r="CK164" s="155">
        <v>503625</v>
      </c>
      <c r="CL164" s="155">
        <v>501542</v>
      </c>
      <c r="CM164" s="155">
        <v>499638</v>
      </c>
      <c r="CN164" s="155">
        <v>498019</v>
      </c>
      <c r="CO164" s="155">
        <v>496691</v>
      </c>
      <c r="CP164" s="155">
        <v>495586</v>
      </c>
      <c r="CQ164" s="155">
        <v>494694</v>
      </c>
      <c r="CR164" s="155">
        <v>494049</v>
      </c>
      <c r="CS164" s="155">
        <v>493673</v>
      </c>
      <c r="CT164" s="155">
        <v>493535</v>
      </c>
      <c r="CU164" s="155">
        <v>493530</v>
      </c>
      <c r="CV164" s="155">
        <v>493625</v>
      </c>
      <c r="CW164" s="155">
        <v>493889</v>
      </c>
      <c r="CX164" s="155">
        <v>494324</v>
      </c>
      <c r="CY164" s="154">
        <v>494825</v>
      </c>
    </row>
    <row r="165" spans="1:103">
      <c r="A165" s="155" t="s">
        <v>1139</v>
      </c>
      <c r="B165" s="154">
        <v>56</v>
      </c>
      <c r="C165" s="155">
        <v>455256</v>
      </c>
      <c r="D165" s="155">
        <v>458025</v>
      </c>
      <c r="E165" s="155">
        <v>452934</v>
      </c>
      <c r="F165" s="155">
        <v>452905</v>
      </c>
      <c r="G165" s="155">
        <v>441391</v>
      </c>
      <c r="H165" s="155">
        <v>450530</v>
      </c>
      <c r="I165" s="155">
        <v>435173</v>
      </c>
      <c r="J165" s="155">
        <v>419257</v>
      </c>
      <c r="K165" s="155">
        <v>403098</v>
      </c>
      <c r="L165" s="155">
        <v>397763</v>
      </c>
      <c r="M165" s="155">
        <v>390488</v>
      </c>
      <c r="N165" s="155">
        <v>382103</v>
      </c>
      <c r="O165" s="155">
        <v>388328</v>
      </c>
      <c r="P165" s="155">
        <v>417464</v>
      </c>
      <c r="Q165" s="155">
        <v>434122</v>
      </c>
      <c r="R165" s="155">
        <v>432643</v>
      </c>
      <c r="S165" s="155">
        <v>430167</v>
      </c>
      <c r="T165" s="155">
        <v>432987</v>
      </c>
      <c r="U165" s="155">
        <v>435115</v>
      </c>
      <c r="V165" s="155">
        <v>451164</v>
      </c>
      <c r="W165" s="155">
        <v>456008</v>
      </c>
      <c r="X165" s="155">
        <v>460411</v>
      </c>
      <c r="Y165" s="155">
        <v>475383</v>
      </c>
      <c r="Z165" s="155">
        <v>476439</v>
      </c>
      <c r="AA165" s="155">
        <v>484704</v>
      </c>
      <c r="AB165" s="155">
        <v>493913</v>
      </c>
      <c r="AC165" s="155">
        <v>493967</v>
      </c>
      <c r="AD165" s="155">
        <v>488752</v>
      </c>
      <c r="AE165" s="155">
        <v>495848</v>
      </c>
      <c r="AF165" s="155">
        <v>493718</v>
      </c>
      <c r="AG165" s="155">
        <v>497225</v>
      </c>
      <c r="AH165" s="155">
        <v>509769</v>
      </c>
      <c r="AI165" s="155">
        <v>508010</v>
      </c>
      <c r="AJ165" s="155">
        <v>514848</v>
      </c>
      <c r="AK165" s="155">
        <v>509690</v>
      </c>
      <c r="AL165" s="155">
        <v>505638</v>
      </c>
      <c r="AM165" s="155">
        <v>510143</v>
      </c>
      <c r="AN165" s="155">
        <v>521618</v>
      </c>
      <c r="AO165" s="155">
        <v>529469</v>
      </c>
      <c r="AP165" s="155">
        <v>528531</v>
      </c>
      <c r="AQ165" s="155">
        <v>526599</v>
      </c>
      <c r="AR165" s="155">
        <v>532155</v>
      </c>
      <c r="AS165" s="155">
        <v>545942</v>
      </c>
      <c r="AT165" s="155">
        <v>543073</v>
      </c>
      <c r="AU165" s="155">
        <v>546255</v>
      </c>
      <c r="AV165" s="155">
        <v>553121</v>
      </c>
      <c r="AW165" s="155">
        <v>553075</v>
      </c>
      <c r="AX165" s="155">
        <v>544318</v>
      </c>
      <c r="AY165" s="155">
        <v>536019</v>
      </c>
      <c r="AZ165" s="155">
        <v>535653</v>
      </c>
      <c r="BA165" s="155">
        <v>540929</v>
      </c>
      <c r="BB165" s="155">
        <v>530769</v>
      </c>
      <c r="BC165" s="155">
        <v>523669</v>
      </c>
      <c r="BD165" s="155">
        <v>521569</v>
      </c>
      <c r="BE165" s="155">
        <v>515295</v>
      </c>
      <c r="BF165" s="155">
        <v>506443</v>
      </c>
      <c r="BG165" s="155">
        <v>510381</v>
      </c>
      <c r="BH165" s="155">
        <v>493781</v>
      </c>
      <c r="BI165" s="155">
        <v>493340</v>
      </c>
      <c r="BJ165" s="155">
        <v>495232</v>
      </c>
      <c r="BK165" s="155">
        <v>496600</v>
      </c>
      <c r="BL165" s="155">
        <v>497453</v>
      </c>
      <c r="BM165" s="155">
        <v>498046</v>
      </c>
      <c r="BN165" s="155">
        <v>498588</v>
      </c>
      <c r="BO165" s="155">
        <v>499086</v>
      </c>
      <c r="BP165" s="155">
        <v>499586</v>
      </c>
      <c r="BQ165" s="155">
        <v>500073</v>
      </c>
      <c r="BR165" s="155">
        <v>500764</v>
      </c>
      <c r="BS165" s="155">
        <v>501690</v>
      </c>
      <c r="BT165" s="155">
        <v>502728</v>
      </c>
      <c r="BU165" s="155">
        <v>503855</v>
      </c>
      <c r="BV165" s="155">
        <v>505139</v>
      </c>
      <c r="BW165" s="155">
        <v>506587</v>
      </c>
      <c r="BX165" s="155">
        <v>508077</v>
      </c>
      <c r="BY165" s="155">
        <v>509503</v>
      </c>
      <c r="BZ165" s="155">
        <v>510815</v>
      </c>
      <c r="CA165" s="155">
        <v>511998</v>
      </c>
      <c r="CB165" s="155">
        <v>512842</v>
      </c>
      <c r="CC165" s="155">
        <v>513253</v>
      </c>
      <c r="CD165" s="155">
        <v>513365</v>
      </c>
      <c r="CE165" s="155">
        <v>513261</v>
      </c>
      <c r="CF165" s="155">
        <v>512995</v>
      </c>
      <c r="CG165" s="155">
        <v>512109</v>
      </c>
      <c r="CH165" s="155">
        <v>510513</v>
      </c>
      <c r="CI165" s="155">
        <v>508705</v>
      </c>
      <c r="CJ165" s="155">
        <v>506775</v>
      </c>
      <c r="CK165" s="155">
        <v>504818</v>
      </c>
      <c r="CL165" s="155">
        <v>502811</v>
      </c>
      <c r="CM165" s="155">
        <v>500745</v>
      </c>
      <c r="CN165" s="155">
        <v>498856</v>
      </c>
      <c r="CO165" s="155">
        <v>497251</v>
      </c>
      <c r="CP165" s="155">
        <v>495937</v>
      </c>
      <c r="CQ165" s="155">
        <v>494844</v>
      </c>
      <c r="CR165" s="155">
        <v>493965</v>
      </c>
      <c r="CS165" s="155">
        <v>493332</v>
      </c>
      <c r="CT165" s="155">
        <v>492968</v>
      </c>
      <c r="CU165" s="155">
        <v>492840</v>
      </c>
      <c r="CV165" s="155">
        <v>492846</v>
      </c>
      <c r="CW165" s="155">
        <v>492951</v>
      </c>
      <c r="CX165" s="155">
        <v>493224</v>
      </c>
      <c r="CY165" s="154">
        <v>493669</v>
      </c>
    </row>
    <row r="166" spans="1:103">
      <c r="A166" s="155" t="s">
        <v>1139</v>
      </c>
      <c r="B166" s="154">
        <v>57</v>
      </c>
      <c r="C166" s="155">
        <v>457660</v>
      </c>
      <c r="D166" s="155">
        <v>453613</v>
      </c>
      <c r="E166" s="155">
        <v>456113</v>
      </c>
      <c r="F166" s="155">
        <v>450897</v>
      </c>
      <c r="G166" s="155">
        <v>450720</v>
      </c>
      <c r="H166" s="155">
        <v>439130</v>
      </c>
      <c r="I166" s="155">
        <v>448073</v>
      </c>
      <c r="J166" s="155">
        <v>432827</v>
      </c>
      <c r="K166" s="155">
        <v>417029</v>
      </c>
      <c r="L166" s="155">
        <v>400997</v>
      </c>
      <c r="M166" s="155">
        <v>395733</v>
      </c>
      <c r="N166" s="155">
        <v>388540</v>
      </c>
      <c r="O166" s="155">
        <v>380244</v>
      </c>
      <c r="P166" s="155">
        <v>386470</v>
      </c>
      <c r="Q166" s="155">
        <v>415480</v>
      </c>
      <c r="R166" s="155">
        <v>432083</v>
      </c>
      <c r="S166" s="155">
        <v>430637</v>
      </c>
      <c r="T166" s="155">
        <v>428201</v>
      </c>
      <c r="U166" s="155">
        <v>431035</v>
      </c>
      <c r="V166" s="155">
        <v>433179</v>
      </c>
      <c r="W166" s="155">
        <v>449178</v>
      </c>
      <c r="X166" s="155">
        <v>454025</v>
      </c>
      <c r="Y166" s="155">
        <v>458434</v>
      </c>
      <c r="Z166" s="155">
        <v>473359</v>
      </c>
      <c r="AA166" s="155">
        <v>474437</v>
      </c>
      <c r="AB166" s="155">
        <v>482689</v>
      </c>
      <c r="AC166" s="155">
        <v>491879</v>
      </c>
      <c r="AD166" s="155">
        <v>491959</v>
      </c>
      <c r="AE166" s="155">
        <v>486793</v>
      </c>
      <c r="AF166" s="155">
        <v>493881</v>
      </c>
      <c r="AG166" s="155">
        <v>491785</v>
      </c>
      <c r="AH166" s="155">
        <v>495299</v>
      </c>
      <c r="AI166" s="155">
        <v>507814</v>
      </c>
      <c r="AJ166" s="155">
        <v>506085</v>
      </c>
      <c r="AK166" s="155">
        <v>512917</v>
      </c>
      <c r="AL166" s="155">
        <v>507801</v>
      </c>
      <c r="AM166" s="155">
        <v>503789</v>
      </c>
      <c r="AN166" s="155">
        <v>508301</v>
      </c>
      <c r="AO166" s="155">
        <v>519750</v>
      </c>
      <c r="AP166" s="155">
        <v>527597</v>
      </c>
      <c r="AQ166" s="155">
        <v>526687</v>
      </c>
      <c r="AR166" s="155">
        <v>524783</v>
      </c>
      <c r="AS166" s="155">
        <v>530341</v>
      </c>
      <c r="AT166" s="155">
        <v>544098</v>
      </c>
      <c r="AU166" s="155">
        <v>541262</v>
      </c>
      <c r="AV166" s="155">
        <v>544455</v>
      </c>
      <c r="AW166" s="155">
        <v>551317</v>
      </c>
      <c r="AX166" s="155">
        <v>551294</v>
      </c>
      <c r="AY166" s="155">
        <v>542591</v>
      </c>
      <c r="AZ166" s="155">
        <v>534341</v>
      </c>
      <c r="BA166" s="155">
        <v>533998</v>
      </c>
      <c r="BB166" s="155">
        <v>539276</v>
      </c>
      <c r="BC166" s="155">
        <v>529171</v>
      </c>
      <c r="BD166" s="155">
        <v>522115</v>
      </c>
      <c r="BE166" s="155">
        <v>520041</v>
      </c>
      <c r="BF166" s="155">
        <v>513807</v>
      </c>
      <c r="BG166" s="155">
        <v>505003</v>
      </c>
      <c r="BH166" s="155">
        <v>508947</v>
      </c>
      <c r="BI166" s="155">
        <v>492418</v>
      </c>
      <c r="BJ166" s="155">
        <v>491994</v>
      </c>
      <c r="BK166" s="155">
        <v>493897</v>
      </c>
      <c r="BL166" s="155">
        <v>495278</v>
      </c>
      <c r="BM166" s="155">
        <v>496145</v>
      </c>
      <c r="BN166" s="155">
        <v>496753</v>
      </c>
      <c r="BO166" s="155">
        <v>497310</v>
      </c>
      <c r="BP166" s="155">
        <v>497824</v>
      </c>
      <c r="BQ166" s="155">
        <v>498338</v>
      </c>
      <c r="BR166" s="155">
        <v>498838</v>
      </c>
      <c r="BS166" s="155">
        <v>499544</v>
      </c>
      <c r="BT166" s="155">
        <v>500482</v>
      </c>
      <c r="BU166" s="155">
        <v>501534</v>
      </c>
      <c r="BV166" s="155">
        <v>502673</v>
      </c>
      <c r="BW166" s="155">
        <v>503967</v>
      </c>
      <c r="BX166" s="155">
        <v>505428</v>
      </c>
      <c r="BY166" s="155">
        <v>506929</v>
      </c>
      <c r="BZ166" s="155">
        <v>508365</v>
      </c>
      <c r="CA166" s="155">
        <v>509688</v>
      </c>
      <c r="CB166" s="155">
        <v>510884</v>
      </c>
      <c r="CC166" s="155">
        <v>511741</v>
      </c>
      <c r="CD166" s="155">
        <v>512163</v>
      </c>
      <c r="CE166" s="155">
        <v>512290</v>
      </c>
      <c r="CF166" s="155">
        <v>512200</v>
      </c>
      <c r="CG166" s="155">
        <v>511949</v>
      </c>
      <c r="CH166" s="155">
        <v>511079</v>
      </c>
      <c r="CI166" s="155">
        <v>509500</v>
      </c>
      <c r="CJ166" s="155">
        <v>507710</v>
      </c>
      <c r="CK166" s="155">
        <v>505799</v>
      </c>
      <c r="CL166" s="155">
        <v>503858</v>
      </c>
      <c r="CM166" s="155">
        <v>501869</v>
      </c>
      <c r="CN166" s="155">
        <v>499820</v>
      </c>
      <c r="CO166" s="155">
        <v>497947</v>
      </c>
      <c r="CP166" s="155">
        <v>496358</v>
      </c>
      <c r="CQ166" s="155">
        <v>495059</v>
      </c>
      <c r="CR166" s="155">
        <v>493981</v>
      </c>
      <c r="CS166" s="155">
        <v>493115</v>
      </c>
      <c r="CT166" s="155">
        <v>492496</v>
      </c>
      <c r="CU166" s="155">
        <v>492143</v>
      </c>
      <c r="CV166" s="155">
        <v>492027</v>
      </c>
      <c r="CW166" s="155">
        <v>492043</v>
      </c>
      <c r="CX166" s="155">
        <v>492160</v>
      </c>
      <c r="CY166" s="154">
        <v>492443</v>
      </c>
    </row>
    <row r="167" spans="1:103">
      <c r="A167" s="155" t="s">
        <v>1139</v>
      </c>
      <c r="B167" s="154">
        <v>58</v>
      </c>
      <c r="C167" s="155">
        <v>450790</v>
      </c>
      <c r="D167" s="155">
        <v>455674</v>
      </c>
      <c r="E167" s="155">
        <v>451430</v>
      </c>
      <c r="F167" s="155">
        <v>453766</v>
      </c>
      <c r="G167" s="155">
        <v>448439</v>
      </c>
      <c r="H167" s="155">
        <v>448131</v>
      </c>
      <c r="I167" s="155">
        <v>436484</v>
      </c>
      <c r="J167" s="155">
        <v>445391</v>
      </c>
      <c r="K167" s="155">
        <v>430266</v>
      </c>
      <c r="L167" s="155">
        <v>414595</v>
      </c>
      <c r="M167" s="155">
        <v>398698</v>
      </c>
      <c r="N167" s="155">
        <v>393511</v>
      </c>
      <c r="O167" s="155">
        <v>386404</v>
      </c>
      <c r="P167" s="155">
        <v>378199</v>
      </c>
      <c r="Q167" s="155">
        <v>384426</v>
      </c>
      <c r="R167" s="155">
        <v>413297</v>
      </c>
      <c r="S167" s="155">
        <v>429839</v>
      </c>
      <c r="T167" s="155">
        <v>428430</v>
      </c>
      <c r="U167" s="155">
        <v>426036</v>
      </c>
      <c r="V167" s="155">
        <v>428884</v>
      </c>
      <c r="W167" s="155">
        <v>431046</v>
      </c>
      <c r="X167" s="155">
        <v>446987</v>
      </c>
      <c r="Y167" s="155">
        <v>451838</v>
      </c>
      <c r="Z167" s="155">
        <v>456252</v>
      </c>
      <c r="AA167" s="155">
        <v>471125</v>
      </c>
      <c r="AB167" s="155">
        <v>472225</v>
      </c>
      <c r="AC167" s="155">
        <v>480465</v>
      </c>
      <c r="AD167" s="155">
        <v>489633</v>
      </c>
      <c r="AE167" s="155">
        <v>489742</v>
      </c>
      <c r="AF167" s="155">
        <v>484626</v>
      </c>
      <c r="AG167" s="155">
        <v>491707</v>
      </c>
      <c r="AH167" s="155">
        <v>489648</v>
      </c>
      <c r="AI167" s="155">
        <v>493172</v>
      </c>
      <c r="AJ167" s="155">
        <v>505653</v>
      </c>
      <c r="AK167" s="155">
        <v>503958</v>
      </c>
      <c r="AL167" s="155">
        <v>510783</v>
      </c>
      <c r="AM167" s="155">
        <v>505711</v>
      </c>
      <c r="AN167" s="155">
        <v>501744</v>
      </c>
      <c r="AO167" s="155">
        <v>506263</v>
      </c>
      <c r="AP167" s="155">
        <v>517685</v>
      </c>
      <c r="AQ167" s="155">
        <v>525525</v>
      </c>
      <c r="AR167" s="155">
        <v>524646</v>
      </c>
      <c r="AS167" s="155">
        <v>522773</v>
      </c>
      <c r="AT167" s="155">
        <v>528332</v>
      </c>
      <c r="AU167" s="155">
        <v>542056</v>
      </c>
      <c r="AV167" s="155">
        <v>539256</v>
      </c>
      <c r="AW167" s="155">
        <v>542461</v>
      </c>
      <c r="AX167" s="155">
        <v>549320</v>
      </c>
      <c r="AY167" s="155">
        <v>549320</v>
      </c>
      <c r="AZ167" s="155">
        <v>540677</v>
      </c>
      <c r="BA167" s="155">
        <v>532480</v>
      </c>
      <c r="BB167" s="155">
        <v>532161</v>
      </c>
      <c r="BC167" s="155">
        <v>537441</v>
      </c>
      <c r="BD167" s="155">
        <v>527396</v>
      </c>
      <c r="BE167" s="155">
        <v>520388</v>
      </c>
      <c r="BF167" s="155">
        <v>518342</v>
      </c>
      <c r="BG167" s="155">
        <v>512152</v>
      </c>
      <c r="BH167" s="155">
        <v>503400</v>
      </c>
      <c r="BI167" s="155">
        <v>507350</v>
      </c>
      <c r="BJ167" s="155">
        <v>490897</v>
      </c>
      <c r="BK167" s="155">
        <v>490493</v>
      </c>
      <c r="BL167" s="155">
        <v>492408</v>
      </c>
      <c r="BM167" s="155">
        <v>493804</v>
      </c>
      <c r="BN167" s="155">
        <v>494686</v>
      </c>
      <c r="BO167" s="155">
        <v>495309</v>
      </c>
      <c r="BP167" s="155">
        <v>495883</v>
      </c>
      <c r="BQ167" s="155">
        <v>496412</v>
      </c>
      <c r="BR167" s="155">
        <v>496941</v>
      </c>
      <c r="BS167" s="155">
        <v>497458</v>
      </c>
      <c r="BT167" s="155">
        <v>498178</v>
      </c>
      <c r="BU167" s="155">
        <v>499131</v>
      </c>
      <c r="BV167" s="155">
        <v>500197</v>
      </c>
      <c r="BW167" s="155">
        <v>501349</v>
      </c>
      <c r="BX167" s="155">
        <v>502655</v>
      </c>
      <c r="BY167" s="155">
        <v>504128</v>
      </c>
      <c r="BZ167" s="155">
        <v>505642</v>
      </c>
      <c r="CA167" s="155">
        <v>507089</v>
      </c>
      <c r="CB167" s="155">
        <v>508426</v>
      </c>
      <c r="CC167" s="155">
        <v>509632</v>
      </c>
      <c r="CD167" s="155">
        <v>510504</v>
      </c>
      <c r="CE167" s="155">
        <v>510940</v>
      </c>
      <c r="CF167" s="155">
        <v>511082</v>
      </c>
      <c r="CG167" s="155">
        <v>511007</v>
      </c>
      <c r="CH167" s="155">
        <v>510773</v>
      </c>
      <c r="CI167" s="155">
        <v>509920</v>
      </c>
      <c r="CJ167" s="155">
        <v>508361</v>
      </c>
      <c r="CK167" s="155">
        <v>506590</v>
      </c>
      <c r="CL167" s="155">
        <v>504698</v>
      </c>
      <c r="CM167" s="155">
        <v>502776</v>
      </c>
      <c r="CN167" s="155">
        <v>500807</v>
      </c>
      <c r="CO167" s="155">
        <v>498775</v>
      </c>
      <c r="CP167" s="155">
        <v>496922</v>
      </c>
      <c r="CQ167" s="155">
        <v>495348</v>
      </c>
      <c r="CR167" s="155">
        <v>494067</v>
      </c>
      <c r="CS167" s="155">
        <v>493004</v>
      </c>
      <c r="CT167" s="155">
        <v>492153</v>
      </c>
      <c r="CU167" s="155">
        <v>491547</v>
      </c>
      <c r="CV167" s="155">
        <v>491208</v>
      </c>
      <c r="CW167" s="155">
        <v>491105</v>
      </c>
      <c r="CX167" s="155">
        <v>491132</v>
      </c>
      <c r="CY167" s="154">
        <v>491260</v>
      </c>
    </row>
    <row r="168" spans="1:103">
      <c r="A168" s="155" t="s">
        <v>1139</v>
      </c>
      <c r="B168" s="154">
        <v>59</v>
      </c>
      <c r="C168" s="155">
        <v>440441</v>
      </c>
      <c r="D168" s="155">
        <v>448562</v>
      </c>
      <c r="E168" s="155">
        <v>453212</v>
      </c>
      <c r="F168" s="155">
        <v>448861</v>
      </c>
      <c r="G168" s="155">
        <v>451042</v>
      </c>
      <c r="H168" s="155">
        <v>445623</v>
      </c>
      <c r="I168" s="155">
        <v>445190</v>
      </c>
      <c r="J168" s="155">
        <v>433647</v>
      </c>
      <c r="K168" s="155">
        <v>442517</v>
      </c>
      <c r="L168" s="155">
        <v>427524</v>
      </c>
      <c r="M168" s="155">
        <v>411988</v>
      </c>
      <c r="N168" s="155">
        <v>396236</v>
      </c>
      <c r="O168" s="155">
        <v>391128</v>
      </c>
      <c r="P168" s="155">
        <v>384111</v>
      </c>
      <c r="Q168" s="155">
        <v>376003</v>
      </c>
      <c r="R168" s="155">
        <v>382228</v>
      </c>
      <c r="S168" s="155">
        <v>410950</v>
      </c>
      <c r="T168" s="155">
        <v>427423</v>
      </c>
      <c r="U168" s="155">
        <v>426052</v>
      </c>
      <c r="V168" s="155">
        <v>423704</v>
      </c>
      <c r="W168" s="155">
        <v>426566</v>
      </c>
      <c r="X168" s="155">
        <v>428745</v>
      </c>
      <c r="Y168" s="155">
        <v>444625</v>
      </c>
      <c r="Z168" s="155">
        <v>449478</v>
      </c>
      <c r="AA168" s="155">
        <v>453896</v>
      </c>
      <c r="AB168" s="155">
        <v>468712</v>
      </c>
      <c r="AC168" s="155">
        <v>469836</v>
      </c>
      <c r="AD168" s="155">
        <v>478063</v>
      </c>
      <c r="AE168" s="155">
        <v>487208</v>
      </c>
      <c r="AF168" s="155">
        <v>487347</v>
      </c>
      <c r="AG168" s="155">
        <v>482287</v>
      </c>
      <c r="AH168" s="155">
        <v>489359</v>
      </c>
      <c r="AI168" s="155">
        <v>487339</v>
      </c>
      <c r="AJ168" s="155">
        <v>490872</v>
      </c>
      <c r="AK168" s="155">
        <v>503317</v>
      </c>
      <c r="AL168" s="155">
        <v>501660</v>
      </c>
      <c r="AM168" s="155">
        <v>508476</v>
      </c>
      <c r="AN168" s="155">
        <v>503454</v>
      </c>
      <c r="AO168" s="155">
        <v>499535</v>
      </c>
      <c r="AP168" s="155">
        <v>504059</v>
      </c>
      <c r="AQ168" s="155">
        <v>515453</v>
      </c>
      <c r="AR168" s="155">
        <v>523288</v>
      </c>
      <c r="AS168" s="155">
        <v>522441</v>
      </c>
      <c r="AT168" s="155">
        <v>520599</v>
      </c>
      <c r="AU168" s="155">
        <v>526160</v>
      </c>
      <c r="AV168" s="155">
        <v>539850</v>
      </c>
      <c r="AW168" s="155">
        <v>537087</v>
      </c>
      <c r="AX168" s="155">
        <v>540305</v>
      </c>
      <c r="AY168" s="155">
        <v>547160</v>
      </c>
      <c r="AZ168" s="155">
        <v>547187</v>
      </c>
      <c r="BA168" s="155">
        <v>538606</v>
      </c>
      <c r="BB168" s="155">
        <v>530469</v>
      </c>
      <c r="BC168" s="155">
        <v>530176</v>
      </c>
      <c r="BD168" s="155">
        <v>535458</v>
      </c>
      <c r="BE168" s="155">
        <v>525478</v>
      </c>
      <c r="BF168" s="155">
        <v>518521</v>
      </c>
      <c r="BG168" s="155">
        <v>516507</v>
      </c>
      <c r="BH168" s="155">
        <v>510363</v>
      </c>
      <c r="BI168" s="155">
        <v>501668</v>
      </c>
      <c r="BJ168" s="155">
        <v>505623</v>
      </c>
      <c r="BK168" s="155">
        <v>489254</v>
      </c>
      <c r="BL168" s="155">
        <v>488872</v>
      </c>
      <c r="BM168" s="155">
        <v>490801</v>
      </c>
      <c r="BN168" s="155">
        <v>492211</v>
      </c>
      <c r="BO168" s="155">
        <v>493109</v>
      </c>
      <c r="BP168" s="155">
        <v>493749</v>
      </c>
      <c r="BQ168" s="155">
        <v>494341</v>
      </c>
      <c r="BR168" s="155">
        <v>494887</v>
      </c>
      <c r="BS168" s="155">
        <v>495432</v>
      </c>
      <c r="BT168" s="155">
        <v>495966</v>
      </c>
      <c r="BU168" s="155">
        <v>496704</v>
      </c>
      <c r="BV168" s="155">
        <v>497672</v>
      </c>
      <c r="BW168" s="155">
        <v>498752</v>
      </c>
      <c r="BX168" s="155">
        <v>499918</v>
      </c>
      <c r="BY168" s="155">
        <v>501239</v>
      </c>
      <c r="BZ168" s="155">
        <v>502725</v>
      </c>
      <c r="CA168" s="155">
        <v>504251</v>
      </c>
      <c r="CB168" s="155">
        <v>505712</v>
      </c>
      <c r="CC168" s="155">
        <v>507063</v>
      </c>
      <c r="CD168" s="155">
        <v>508282</v>
      </c>
      <c r="CE168" s="155">
        <v>509168</v>
      </c>
      <c r="CF168" s="155">
        <v>509621</v>
      </c>
      <c r="CG168" s="155">
        <v>509779</v>
      </c>
      <c r="CH168" s="155">
        <v>509721</v>
      </c>
      <c r="CI168" s="155">
        <v>509503</v>
      </c>
      <c r="CJ168" s="155">
        <v>508670</v>
      </c>
      <c r="CK168" s="155">
        <v>507132</v>
      </c>
      <c r="CL168" s="155">
        <v>505382</v>
      </c>
      <c r="CM168" s="155">
        <v>503509</v>
      </c>
      <c r="CN168" s="155">
        <v>501608</v>
      </c>
      <c r="CO168" s="155">
        <v>499661</v>
      </c>
      <c r="CP168" s="155">
        <v>497647</v>
      </c>
      <c r="CQ168" s="155">
        <v>495814</v>
      </c>
      <c r="CR168" s="155">
        <v>494259</v>
      </c>
      <c r="CS168" s="155">
        <v>492996</v>
      </c>
      <c r="CT168" s="155">
        <v>491950</v>
      </c>
      <c r="CU168" s="155">
        <v>491116</v>
      </c>
      <c r="CV168" s="155">
        <v>490525</v>
      </c>
      <c r="CW168" s="155">
        <v>490201</v>
      </c>
      <c r="CX168" s="155">
        <v>490111</v>
      </c>
      <c r="CY168" s="154">
        <v>490150</v>
      </c>
    </row>
    <row r="169" spans="1:103">
      <c r="A169" s="155" t="s">
        <v>1139</v>
      </c>
      <c r="B169" s="154">
        <v>60</v>
      </c>
      <c r="C169" s="155">
        <v>429529</v>
      </c>
      <c r="D169" s="155">
        <v>437929</v>
      </c>
      <c r="E169" s="155">
        <v>445834</v>
      </c>
      <c r="F169" s="155">
        <v>450328</v>
      </c>
      <c r="G169" s="155">
        <v>445888</v>
      </c>
      <c r="H169" s="155">
        <v>447930</v>
      </c>
      <c r="I169" s="155">
        <v>442435</v>
      </c>
      <c r="J169" s="155">
        <v>442023</v>
      </c>
      <c r="K169" s="155">
        <v>430594</v>
      </c>
      <c r="L169" s="155">
        <v>439426</v>
      </c>
      <c r="M169" s="155">
        <v>424573</v>
      </c>
      <c r="N169" s="155">
        <v>409183</v>
      </c>
      <c r="O169" s="155">
        <v>393586</v>
      </c>
      <c r="P169" s="155">
        <v>388558</v>
      </c>
      <c r="Q169" s="155">
        <v>381638</v>
      </c>
      <c r="R169" s="155">
        <v>373631</v>
      </c>
      <c r="S169" s="155">
        <v>379851</v>
      </c>
      <c r="T169" s="155">
        <v>408412</v>
      </c>
      <c r="U169" s="155">
        <v>424810</v>
      </c>
      <c r="V169" s="155">
        <v>423479</v>
      </c>
      <c r="W169" s="155">
        <v>421179</v>
      </c>
      <c r="X169" s="155">
        <v>424055</v>
      </c>
      <c r="Y169" s="155">
        <v>426253</v>
      </c>
      <c r="Z169" s="155">
        <v>442065</v>
      </c>
      <c r="AA169" s="155">
        <v>446918</v>
      </c>
      <c r="AB169" s="155">
        <v>451341</v>
      </c>
      <c r="AC169" s="155">
        <v>466097</v>
      </c>
      <c r="AD169" s="155">
        <v>467246</v>
      </c>
      <c r="AE169" s="155">
        <v>475456</v>
      </c>
      <c r="AF169" s="155">
        <v>484577</v>
      </c>
      <c r="AG169" s="155">
        <v>484748</v>
      </c>
      <c r="AH169" s="155">
        <v>479749</v>
      </c>
      <c r="AI169" s="155">
        <v>486811</v>
      </c>
      <c r="AJ169" s="155">
        <v>484832</v>
      </c>
      <c r="AK169" s="155">
        <v>488375</v>
      </c>
      <c r="AL169" s="155">
        <v>500782</v>
      </c>
      <c r="AM169" s="155">
        <v>499165</v>
      </c>
      <c r="AN169" s="155">
        <v>505971</v>
      </c>
      <c r="AO169" s="155">
        <v>501002</v>
      </c>
      <c r="AP169" s="155">
        <v>497135</v>
      </c>
      <c r="AQ169" s="155">
        <v>501665</v>
      </c>
      <c r="AR169" s="155">
        <v>513030</v>
      </c>
      <c r="AS169" s="155">
        <v>520857</v>
      </c>
      <c r="AT169" s="155">
        <v>520045</v>
      </c>
      <c r="AU169" s="155">
        <v>518237</v>
      </c>
      <c r="AV169" s="155">
        <v>523800</v>
      </c>
      <c r="AW169" s="155">
        <v>537453</v>
      </c>
      <c r="AX169" s="155">
        <v>534731</v>
      </c>
      <c r="AY169" s="155">
        <v>537962</v>
      </c>
      <c r="AZ169" s="155">
        <v>544812</v>
      </c>
      <c r="BA169" s="155">
        <v>544868</v>
      </c>
      <c r="BB169" s="155">
        <v>536355</v>
      </c>
      <c r="BC169" s="155">
        <v>528283</v>
      </c>
      <c r="BD169" s="155">
        <v>528016</v>
      </c>
      <c r="BE169" s="155">
        <v>533302</v>
      </c>
      <c r="BF169" s="155">
        <v>523393</v>
      </c>
      <c r="BG169" s="155">
        <v>516491</v>
      </c>
      <c r="BH169" s="155">
        <v>514509</v>
      </c>
      <c r="BI169" s="155">
        <v>508417</v>
      </c>
      <c r="BJ169" s="155">
        <v>499782</v>
      </c>
      <c r="BK169" s="155">
        <v>503744</v>
      </c>
      <c r="BL169" s="155">
        <v>487466</v>
      </c>
      <c r="BM169" s="155">
        <v>487106</v>
      </c>
      <c r="BN169" s="155">
        <v>489048</v>
      </c>
      <c r="BO169" s="155">
        <v>490476</v>
      </c>
      <c r="BP169" s="155">
        <v>491392</v>
      </c>
      <c r="BQ169" s="155">
        <v>492050</v>
      </c>
      <c r="BR169" s="155">
        <v>492662</v>
      </c>
      <c r="BS169" s="155">
        <v>493226</v>
      </c>
      <c r="BT169" s="155">
        <v>493789</v>
      </c>
      <c r="BU169" s="155">
        <v>494342</v>
      </c>
      <c r="BV169" s="155">
        <v>495096</v>
      </c>
      <c r="BW169" s="155">
        <v>496081</v>
      </c>
      <c r="BX169" s="155">
        <v>497176</v>
      </c>
      <c r="BY169" s="155">
        <v>498359</v>
      </c>
      <c r="BZ169" s="155">
        <v>499694</v>
      </c>
      <c r="CA169" s="155">
        <v>501194</v>
      </c>
      <c r="CB169" s="155">
        <v>502735</v>
      </c>
      <c r="CC169" s="155">
        <v>504210</v>
      </c>
      <c r="CD169" s="155">
        <v>505575</v>
      </c>
      <c r="CE169" s="155">
        <v>506809</v>
      </c>
      <c r="CF169" s="155">
        <v>507712</v>
      </c>
      <c r="CG169" s="155">
        <v>508181</v>
      </c>
      <c r="CH169" s="155">
        <v>508358</v>
      </c>
      <c r="CI169" s="155">
        <v>508318</v>
      </c>
      <c r="CJ169" s="155">
        <v>508118</v>
      </c>
      <c r="CK169" s="155">
        <v>507305</v>
      </c>
      <c r="CL169" s="155">
        <v>505788</v>
      </c>
      <c r="CM169" s="155">
        <v>504062</v>
      </c>
      <c r="CN169" s="155">
        <v>502212</v>
      </c>
      <c r="CO169" s="155">
        <v>500333</v>
      </c>
      <c r="CP169" s="155">
        <v>498408</v>
      </c>
      <c r="CQ169" s="155">
        <v>496416</v>
      </c>
      <c r="CR169" s="155">
        <v>494604</v>
      </c>
      <c r="CS169" s="155">
        <v>493069</v>
      </c>
      <c r="CT169" s="155">
        <v>491825</v>
      </c>
      <c r="CU169" s="155">
        <v>490798</v>
      </c>
      <c r="CV169" s="155">
        <v>489982</v>
      </c>
      <c r="CW169" s="155">
        <v>489407</v>
      </c>
      <c r="CX169" s="155">
        <v>489098</v>
      </c>
      <c r="CY169" s="154">
        <v>489023</v>
      </c>
    </row>
    <row r="170" spans="1:103">
      <c r="A170" s="155" t="s">
        <v>1139</v>
      </c>
      <c r="B170" s="154">
        <v>61</v>
      </c>
      <c r="C170" s="155">
        <v>414478</v>
      </c>
      <c r="D170" s="155">
        <v>426710</v>
      </c>
      <c r="E170" s="155">
        <v>434925</v>
      </c>
      <c r="F170" s="155">
        <v>442662</v>
      </c>
      <c r="G170" s="155">
        <v>447013</v>
      </c>
      <c r="H170" s="155">
        <v>442505</v>
      </c>
      <c r="I170" s="155">
        <v>444420</v>
      </c>
      <c r="J170" s="155">
        <v>438986</v>
      </c>
      <c r="K170" s="155">
        <v>438598</v>
      </c>
      <c r="L170" s="155">
        <v>427293</v>
      </c>
      <c r="M170" s="155">
        <v>436083</v>
      </c>
      <c r="N170" s="155">
        <v>421382</v>
      </c>
      <c r="O170" s="155">
        <v>406150</v>
      </c>
      <c r="P170" s="155">
        <v>390715</v>
      </c>
      <c r="Q170" s="155">
        <v>385773</v>
      </c>
      <c r="R170" s="155">
        <v>378952</v>
      </c>
      <c r="S170" s="155">
        <v>371050</v>
      </c>
      <c r="T170" s="155">
        <v>377265</v>
      </c>
      <c r="U170" s="155">
        <v>405649</v>
      </c>
      <c r="V170" s="155">
        <v>421966</v>
      </c>
      <c r="W170" s="155">
        <v>420677</v>
      </c>
      <c r="X170" s="155">
        <v>418429</v>
      </c>
      <c r="Y170" s="155">
        <v>421319</v>
      </c>
      <c r="Z170" s="155">
        <v>423535</v>
      </c>
      <c r="AA170" s="155">
        <v>439274</v>
      </c>
      <c r="AB170" s="155">
        <v>444128</v>
      </c>
      <c r="AC170" s="155">
        <v>448553</v>
      </c>
      <c r="AD170" s="155">
        <v>463244</v>
      </c>
      <c r="AE170" s="155">
        <v>464421</v>
      </c>
      <c r="AF170" s="155">
        <v>472612</v>
      </c>
      <c r="AG170" s="155">
        <v>481707</v>
      </c>
      <c r="AH170" s="155">
        <v>481912</v>
      </c>
      <c r="AI170" s="155">
        <v>476979</v>
      </c>
      <c r="AJ170" s="155">
        <v>484029</v>
      </c>
      <c r="AK170" s="155">
        <v>482096</v>
      </c>
      <c r="AL170" s="155">
        <v>485650</v>
      </c>
      <c r="AM170" s="155">
        <v>498016</v>
      </c>
      <c r="AN170" s="155">
        <v>496441</v>
      </c>
      <c r="AO170" s="155">
        <v>503236</v>
      </c>
      <c r="AP170" s="155">
        <v>498325</v>
      </c>
      <c r="AQ170" s="155">
        <v>494513</v>
      </c>
      <c r="AR170" s="155">
        <v>499049</v>
      </c>
      <c r="AS170" s="155">
        <v>510381</v>
      </c>
      <c r="AT170" s="155">
        <v>518200</v>
      </c>
      <c r="AU170" s="155">
        <v>517426</v>
      </c>
      <c r="AV170" s="155">
        <v>515657</v>
      </c>
      <c r="AW170" s="155">
        <v>521221</v>
      </c>
      <c r="AX170" s="155">
        <v>534833</v>
      </c>
      <c r="AY170" s="155">
        <v>532156</v>
      </c>
      <c r="AZ170" s="155">
        <v>535400</v>
      </c>
      <c r="BA170" s="155">
        <v>542246</v>
      </c>
      <c r="BB170" s="155">
        <v>542330</v>
      </c>
      <c r="BC170" s="155">
        <v>533892</v>
      </c>
      <c r="BD170" s="155">
        <v>525888</v>
      </c>
      <c r="BE170" s="155">
        <v>525651</v>
      </c>
      <c r="BF170" s="155">
        <v>530940</v>
      </c>
      <c r="BG170" s="155">
        <v>521107</v>
      </c>
      <c r="BH170" s="155">
        <v>514266</v>
      </c>
      <c r="BI170" s="155">
        <v>512319</v>
      </c>
      <c r="BJ170" s="155">
        <v>506282</v>
      </c>
      <c r="BK170" s="155">
        <v>497711</v>
      </c>
      <c r="BL170" s="155">
        <v>501680</v>
      </c>
      <c r="BM170" s="155">
        <v>485501</v>
      </c>
      <c r="BN170" s="155">
        <v>485166</v>
      </c>
      <c r="BO170" s="155">
        <v>487123</v>
      </c>
      <c r="BP170" s="155">
        <v>488568</v>
      </c>
      <c r="BQ170" s="155">
        <v>489503</v>
      </c>
      <c r="BR170" s="155">
        <v>490180</v>
      </c>
      <c r="BS170" s="155">
        <v>490812</v>
      </c>
      <c r="BT170" s="155">
        <v>491397</v>
      </c>
      <c r="BU170" s="155">
        <v>491981</v>
      </c>
      <c r="BV170" s="155">
        <v>492552</v>
      </c>
      <c r="BW170" s="155">
        <v>493325</v>
      </c>
      <c r="BX170" s="155">
        <v>494328</v>
      </c>
      <c r="BY170" s="155">
        <v>495440</v>
      </c>
      <c r="BZ170" s="155">
        <v>496638</v>
      </c>
      <c r="CA170" s="155">
        <v>497991</v>
      </c>
      <c r="CB170" s="155">
        <v>499507</v>
      </c>
      <c r="CC170" s="155">
        <v>501061</v>
      </c>
      <c r="CD170" s="155">
        <v>502551</v>
      </c>
      <c r="CE170" s="155">
        <v>503932</v>
      </c>
      <c r="CF170" s="155">
        <v>505183</v>
      </c>
      <c r="CG170" s="155">
        <v>506103</v>
      </c>
      <c r="CH170" s="155">
        <v>506589</v>
      </c>
      <c r="CI170" s="155">
        <v>506785</v>
      </c>
      <c r="CJ170" s="155">
        <v>506764</v>
      </c>
      <c r="CK170" s="155">
        <v>506585</v>
      </c>
      <c r="CL170" s="155">
        <v>505793</v>
      </c>
      <c r="CM170" s="155">
        <v>504300</v>
      </c>
      <c r="CN170" s="155">
        <v>502599</v>
      </c>
      <c r="CO170" s="155">
        <v>500775</v>
      </c>
      <c r="CP170" s="155">
        <v>498919</v>
      </c>
      <c r="CQ170" s="155">
        <v>497018</v>
      </c>
      <c r="CR170" s="155">
        <v>495051</v>
      </c>
      <c r="CS170" s="155">
        <v>493261</v>
      </c>
      <c r="CT170" s="155">
        <v>491748</v>
      </c>
      <c r="CU170" s="155">
        <v>490524</v>
      </c>
      <c r="CV170" s="155">
        <v>489516</v>
      </c>
      <c r="CW170" s="155">
        <v>488718</v>
      </c>
      <c r="CX170" s="155">
        <v>488161</v>
      </c>
      <c r="CY170" s="154">
        <v>487870</v>
      </c>
    </row>
    <row r="171" spans="1:103">
      <c r="A171" s="155" t="s">
        <v>1139</v>
      </c>
      <c r="B171" s="154">
        <v>62</v>
      </c>
      <c r="C171" s="155">
        <v>397424</v>
      </c>
      <c r="D171" s="155">
        <v>411436</v>
      </c>
      <c r="E171" s="155">
        <v>423469</v>
      </c>
      <c r="F171" s="155">
        <v>431523</v>
      </c>
      <c r="G171" s="155">
        <v>439098</v>
      </c>
      <c r="H171" s="155">
        <v>443314</v>
      </c>
      <c r="I171" s="155">
        <v>438746</v>
      </c>
      <c r="J171" s="155">
        <v>440653</v>
      </c>
      <c r="K171" s="155">
        <v>435288</v>
      </c>
      <c r="L171" s="155">
        <v>434930</v>
      </c>
      <c r="M171" s="155">
        <v>423756</v>
      </c>
      <c r="N171" s="155">
        <v>432502</v>
      </c>
      <c r="O171" s="155">
        <v>417963</v>
      </c>
      <c r="P171" s="155">
        <v>402899</v>
      </c>
      <c r="Q171" s="155">
        <v>387637</v>
      </c>
      <c r="R171" s="155">
        <v>382784</v>
      </c>
      <c r="S171" s="155">
        <v>376068</v>
      </c>
      <c r="T171" s="155">
        <v>368276</v>
      </c>
      <c r="U171" s="155">
        <v>374481</v>
      </c>
      <c r="V171" s="155">
        <v>402677</v>
      </c>
      <c r="W171" s="155">
        <v>418905</v>
      </c>
      <c r="X171" s="155">
        <v>417661</v>
      </c>
      <c r="Y171" s="155">
        <v>415467</v>
      </c>
      <c r="Z171" s="155">
        <v>418372</v>
      </c>
      <c r="AA171" s="155">
        <v>420605</v>
      </c>
      <c r="AB171" s="155">
        <v>436266</v>
      </c>
      <c r="AC171" s="155">
        <v>441120</v>
      </c>
      <c r="AD171" s="155">
        <v>445547</v>
      </c>
      <c r="AE171" s="155">
        <v>460170</v>
      </c>
      <c r="AF171" s="155">
        <v>461374</v>
      </c>
      <c r="AG171" s="155">
        <v>469545</v>
      </c>
      <c r="AH171" s="155">
        <v>478613</v>
      </c>
      <c r="AI171" s="155">
        <v>478854</v>
      </c>
      <c r="AJ171" s="155">
        <v>473991</v>
      </c>
      <c r="AK171" s="155">
        <v>481029</v>
      </c>
      <c r="AL171" s="155">
        <v>479143</v>
      </c>
      <c r="AM171" s="155">
        <v>482709</v>
      </c>
      <c r="AN171" s="155">
        <v>495030</v>
      </c>
      <c r="AO171" s="155">
        <v>493501</v>
      </c>
      <c r="AP171" s="155">
        <v>500285</v>
      </c>
      <c r="AQ171" s="155">
        <v>495435</v>
      </c>
      <c r="AR171" s="155">
        <v>491683</v>
      </c>
      <c r="AS171" s="155">
        <v>496227</v>
      </c>
      <c r="AT171" s="155">
        <v>507522</v>
      </c>
      <c r="AU171" s="155">
        <v>515332</v>
      </c>
      <c r="AV171" s="155">
        <v>514598</v>
      </c>
      <c r="AW171" s="155">
        <v>512870</v>
      </c>
      <c r="AX171" s="155">
        <v>518436</v>
      </c>
      <c r="AY171" s="155">
        <v>532003</v>
      </c>
      <c r="AZ171" s="155">
        <v>529374</v>
      </c>
      <c r="BA171" s="155">
        <v>532632</v>
      </c>
      <c r="BB171" s="155">
        <v>539474</v>
      </c>
      <c r="BC171" s="155">
        <v>539590</v>
      </c>
      <c r="BD171" s="155">
        <v>531230</v>
      </c>
      <c r="BE171" s="155">
        <v>523300</v>
      </c>
      <c r="BF171" s="155">
        <v>523093</v>
      </c>
      <c r="BG171" s="155">
        <v>528388</v>
      </c>
      <c r="BH171" s="155">
        <v>518635</v>
      </c>
      <c r="BI171" s="155">
        <v>511859</v>
      </c>
      <c r="BJ171" s="155">
        <v>509949</v>
      </c>
      <c r="BK171" s="155">
        <v>503970</v>
      </c>
      <c r="BL171" s="155">
        <v>495470</v>
      </c>
      <c r="BM171" s="155">
        <v>499447</v>
      </c>
      <c r="BN171" s="155">
        <v>483372</v>
      </c>
      <c r="BO171" s="155">
        <v>483065</v>
      </c>
      <c r="BP171" s="155">
        <v>485038</v>
      </c>
      <c r="BQ171" s="155">
        <v>486500</v>
      </c>
      <c r="BR171" s="155">
        <v>487457</v>
      </c>
      <c r="BS171" s="155">
        <v>488154</v>
      </c>
      <c r="BT171" s="155">
        <v>488808</v>
      </c>
      <c r="BU171" s="155">
        <v>489414</v>
      </c>
      <c r="BV171" s="155">
        <v>490021</v>
      </c>
      <c r="BW171" s="155">
        <v>490613</v>
      </c>
      <c r="BX171" s="155">
        <v>491405</v>
      </c>
      <c r="BY171" s="155">
        <v>492426</v>
      </c>
      <c r="BZ171" s="155">
        <v>493556</v>
      </c>
      <c r="CA171" s="155">
        <v>494774</v>
      </c>
      <c r="CB171" s="155">
        <v>496145</v>
      </c>
      <c r="CC171" s="155">
        <v>497677</v>
      </c>
      <c r="CD171" s="155">
        <v>499245</v>
      </c>
      <c r="CE171" s="155">
        <v>500753</v>
      </c>
      <c r="CF171" s="155">
        <v>502150</v>
      </c>
      <c r="CG171" s="155">
        <v>503418</v>
      </c>
      <c r="CH171" s="155">
        <v>504356</v>
      </c>
      <c r="CI171" s="155">
        <v>504861</v>
      </c>
      <c r="CJ171" s="155">
        <v>505079</v>
      </c>
      <c r="CK171" s="155">
        <v>505079</v>
      </c>
      <c r="CL171" s="155">
        <v>504922</v>
      </c>
      <c r="CM171" s="155">
        <v>504153</v>
      </c>
      <c r="CN171" s="155">
        <v>502686</v>
      </c>
      <c r="CO171" s="155">
        <v>501011</v>
      </c>
      <c r="CP171" s="155">
        <v>499214</v>
      </c>
      <c r="CQ171" s="155">
        <v>497383</v>
      </c>
      <c r="CR171" s="155">
        <v>495508</v>
      </c>
      <c r="CS171" s="155">
        <v>493566</v>
      </c>
      <c r="CT171" s="155">
        <v>491800</v>
      </c>
      <c r="CU171" s="155">
        <v>490311</v>
      </c>
      <c r="CV171" s="155">
        <v>489108</v>
      </c>
      <c r="CW171" s="155">
        <v>488123</v>
      </c>
      <c r="CX171" s="155">
        <v>487344</v>
      </c>
      <c r="CY171" s="154">
        <v>486807</v>
      </c>
    </row>
    <row r="172" spans="1:103">
      <c r="A172" s="155" t="s">
        <v>1139</v>
      </c>
      <c r="B172" s="154">
        <v>63</v>
      </c>
      <c r="C172" s="155">
        <v>385587</v>
      </c>
      <c r="D172" s="155">
        <v>394152</v>
      </c>
      <c r="E172" s="155">
        <v>407973</v>
      </c>
      <c r="F172" s="155">
        <v>419816</v>
      </c>
      <c r="G172" s="155">
        <v>427715</v>
      </c>
      <c r="H172" s="155">
        <v>435135</v>
      </c>
      <c r="I172" s="155">
        <v>439220</v>
      </c>
      <c r="J172" s="155">
        <v>434711</v>
      </c>
      <c r="K172" s="155">
        <v>436615</v>
      </c>
      <c r="L172" s="155">
        <v>431324</v>
      </c>
      <c r="M172" s="155">
        <v>430998</v>
      </c>
      <c r="N172" s="155">
        <v>419966</v>
      </c>
      <c r="O172" s="155">
        <v>428667</v>
      </c>
      <c r="P172" s="155">
        <v>414302</v>
      </c>
      <c r="Q172" s="155">
        <v>399417</v>
      </c>
      <c r="R172" s="155">
        <v>384339</v>
      </c>
      <c r="S172" s="155">
        <v>379578</v>
      </c>
      <c r="T172" s="155">
        <v>372970</v>
      </c>
      <c r="U172" s="155">
        <v>365293</v>
      </c>
      <c r="V172" s="155">
        <v>371487</v>
      </c>
      <c r="W172" s="155">
        <v>399478</v>
      </c>
      <c r="X172" s="155">
        <v>415611</v>
      </c>
      <c r="Y172" s="155">
        <v>414414</v>
      </c>
      <c r="Z172" s="155">
        <v>412279</v>
      </c>
      <c r="AA172" s="155">
        <v>415197</v>
      </c>
      <c r="AB172" s="155">
        <v>417450</v>
      </c>
      <c r="AC172" s="155">
        <v>433025</v>
      </c>
      <c r="AD172" s="155">
        <v>437879</v>
      </c>
      <c r="AE172" s="155">
        <v>442308</v>
      </c>
      <c r="AF172" s="155">
        <v>456856</v>
      </c>
      <c r="AG172" s="155">
        <v>458090</v>
      </c>
      <c r="AH172" s="155">
        <v>466239</v>
      </c>
      <c r="AI172" s="155">
        <v>475278</v>
      </c>
      <c r="AJ172" s="155">
        <v>475558</v>
      </c>
      <c r="AK172" s="155">
        <v>470769</v>
      </c>
      <c r="AL172" s="155">
        <v>477794</v>
      </c>
      <c r="AM172" s="155">
        <v>475960</v>
      </c>
      <c r="AN172" s="155">
        <v>479537</v>
      </c>
      <c r="AO172" s="155">
        <v>491809</v>
      </c>
      <c r="AP172" s="155">
        <v>490328</v>
      </c>
      <c r="AQ172" s="155">
        <v>497100</v>
      </c>
      <c r="AR172" s="155">
        <v>492318</v>
      </c>
      <c r="AS172" s="155">
        <v>488629</v>
      </c>
      <c r="AT172" s="155">
        <v>493179</v>
      </c>
      <c r="AU172" s="155">
        <v>504435</v>
      </c>
      <c r="AV172" s="155">
        <v>512236</v>
      </c>
      <c r="AW172" s="155">
        <v>511543</v>
      </c>
      <c r="AX172" s="155">
        <v>509860</v>
      </c>
      <c r="AY172" s="155">
        <v>515427</v>
      </c>
      <c r="AZ172" s="155">
        <v>528946</v>
      </c>
      <c r="BA172" s="155">
        <v>526369</v>
      </c>
      <c r="BB172" s="155">
        <v>529643</v>
      </c>
      <c r="BC172" s="155">
        <v>536481</v>
      </c>
      <c r="BD172" s="155">
        <v>536629</v>
      </c>
      <c r="BE172" s="155">
        <v>528354</v>
      </c>
      <c r="BF172" s="155">
        <v>520503</v>
      </c>
      <c r="BG172" s="155">
        <v>520329</v>
      </c>
      <c r="BH172" s="155">
        <v>525628</v>
      </c>
      <c r="BI172" s="155">
        <v>515962</v>
      </c>
      <c r="BJ172" s="155">
        <v>509253</v>
      </c>
      <c r="BK172" s="155">
        <v>507385</v>
      </c>
      <c r="BL172" s="155">
        <v>501469</v>
      </c>
      <c r="BM172" s="155">
        <v>493045</v>
      </c>
      <c r="BN172" s="155">
        <v>497029</v>
      </c>
      <c r="BO172" s="155">
        <v>481067</v>
      </c>
      <c r="BP172" s="155">
        <v>480789</v>
      </c>
      <c r="BQ172" s="155">
        <v>482779</v>
      </c>
      <c r="BR172" s="155">
        <v>484259</v>
      </c>
      <c r="BS172" s="155">
        <v>485240</v>
      </c>
      <c r="BT172" s="155">
        <v>485958</v>
      </c>
      <c r="BU172" s="155">
        <v>486637</v>
      </c>
      <c r="BV172" s="155">
        <v>487264</v>
      </c>
      <c r="BW172" s="155">
        <v>487894</v>
      </c>
      <c r="BX172" s="155">
        <v>488510</v>
      </c>
      <c r="BY172" s="155">
        <v>489322</v>
      </c>
      <c r="BZ172" s="155">
        <v>490364</v>
      </c>
      <c r="CA172" s="155">
        <v>491514</v>
      </c>
      <c r="CB172" s="155">
        <v>492751</v>
      </c>
      <c r="CC172" s="155">
        <v>494140</v>
      </c>
      <c r="CD172" s="155">
        <v>495690</v>
      </c>
      <c r="CE172" s="155">
        <v>497276</v>
      </c>
      <c r="CF172" s="155">
        <v>498800</v>
      </c>
      <c r="CG172" s="155">
        <v>500215</v>
      </c>
      <c r="CH172" s="155">
        <v>501501</v>
      </c>
      <c r="CI172" s="155">
        <v>502460</v>
      </c>
      <c r="CJ172" s="155">
        <v>502985</v>
      </c>
      <c r="CK172" s="155">
        <v>503225</v>
      </c>
      <c r="CL172" s="155">
        <v>503248</v>
      </c>
      <c r="CM172" s="155">
        <v>503114</v>
      </c>
      <c r="CN172" s="155">
        <v>502370</v>
      </c>
      <c r="CO172" s="155">
        <v>500929</v>
      </c>
      <c r="CP172" s="155">
        <v>499284</v>
      </c>
      <c r="CQ172" s="155">
        <v>497513</v>
      </c>
      <c r="CR172" s="155">
        <v>495711</v>
      </c>
      <c r="CS172" s="155">
        <v>493864</v>
      </c>
      <c r="CT172" s="155">
        <v>491949</v>
      </c>
      <c r="CU172" s="155">
        <v>490211</v>
      </c>
      <c r="CV172" s="155">
        <v>488746</v>
      </c>
      <c r="CW172" s="155">
        <v>487566</v>
      </c>
      <c r="CX172" s="155">
        <v>486605</v>
      </c>
      <c r="CY172" s="154">
        <v>485846</v>
      </c>
    </row>
    <row r="173" spans="1:103">
      <c r="A173" s="155" t="s">
        <v>1139</v>
      </c>
      <c r="B173" s="154">
        <v>64</v>
      </c>
      <c r="C173" s="155">
        <v>374114</v>
      </c>
      <c r="D173" s="155">
        <v>382019</v>
      </c>
      <c r="E173" s="155">
        <v>390467</v>
      </c>
      <c r="F173" s="155">
        <v>404090</v>
      </c>
      <c r="G173" s="155">
        <v>415747</v>
      </c>
      <c r="H173" s="155">
        <v>423498</v>
      </c>
      <c r="I173" s="155">
        <v>430767</v>
      </c>
      <c r="J173" s="155">
        <v>434825</v>
      </c>
      <c r="K173" s="155">
        <v>430382</v>
      </c>
      <c r="L173" s="155">
        <v>432285</v>
      </c>
      <c r="M173" s="155">
        <v>427074</v>
      </c>
      <c r="N173" s="155">
        <v>426786</v>
      </c>
      <c r="O173" s="155">
        <v>415905</v>
      </c>
      <c r="P173" s="155">
        <v>424559</v>
      </c>
      <c r="Q173" s="155">
        <v>410378</v>
      </c>
      <c r="R173" s="155">
        <v>395684</v>
      </c>
      <c r="S173" s="155">
        <v>380799</v>
      </c>
      <c r="T173" s="155">
        <v>376137</v>
      </c>
      <c r="U173" s="155">
        <v>369640</v>
      </c>
      <c r="V173" s="155">
        <v>362082</v>
      </c>
      <c r="W173" s="155">
        <v>368262</v>
      </c>
      <c r="X173" s="155">
        <v>396035</v>
      </c>
      <c r="Y173" s="155">
        <v>412066</v>
      </c>
      <c r="Z173" s="155">
        <v>410920</v>
      </c>
      <c r="AA173" s="155">
        <v>408844</v>
      </c>
      <c r="AB173" s="155">
        <v>411776</v>
      </c>
      <c r="AC173" s="155">
        <v>414049</v>
      </c>
      <c r="AD173" s="155">
        <v>429530</v>
      </c>
      <c r="AE173" s="155">
        <v>434385</v>
      </c>
      <c r="AF173" s="155">
        <v>438817</v>
      </c>
      <c r="AG173" s="155">
        <v>453287</v>
      </c>
      <c r="AH173" s="155">
        <v>454551</v>
      </c>
      <c r="AI173" s="155">
        <v>462676</v>
      </c>
      <c r="AJ173" s="155">
        <v>471683</v>
      </c>
      <c r="AK173" s="155">
        <v>472002</v>
      </c>
      <c r="AL173" s="155">
        <v>467293</v>
      </c>
      <c r="AM173" s="155">
        <v>474304</v>
      </c>
      <c r="AN173" s="155">
        <v>472526</v>
      </c>
      <c r="AO173" s="155">
        <v>476116</v>
      </c>
      <c r="AP173" s="155">
        <v>488335</v>
      </c>
      <c r="AQ173" s="155">
        <v>486904</v>
      </c>
      <c r="AR173" s="155">
        <v>493666</v>
      </c>
      <c r="AS173" s="155">
        <v>488954</v>
      </c>
      <c r="AT173" s="155">
        <v>485331</v>
      </c>
      <c r="AU173" s="155">
        <v>489889</v>
      </c>
      <c r="AV173" s="155">
        <v>501104</v>
      </c>
      <c r="AW173" s="155">
        <v>508893</v>
      </c>
      <c r="AX173" s="155">
        <v>508245</v>
      </c>
      <c r="AY173" s="155">
        <v>506610</v>
      </c>
      <c r="AZ173" s="155">
        <v>512176</v>
      </c>
      <c r="BA173" s="155">
        <v>525644</v>
      </c>
      <c r="BB173" s="155">
        <v>523122</v>
      </c>
      <c r="BC173" s="155">
        <v>526412</v>
      </c>
      <c r="BD173" s="155">
        <v>533245</v>
      </c>
      <c r="BE173" s="155">
        <v>533428</v>
      </c>
      <c r="BF173" s="155">
        <v>525242</v>
      </c>
      <c r="BG173" s="155">
        <v>517477</v>
      </c>
      <c r="BH173" s="155">
        <v>517340</v>
      </c>
      <c r="BI173" s="155">
        <v>522640</v>
      </c>
      <c r="BJ173" s="155">
        <v>513067</v>
      </c>
      <c r="BK173" s="155">
        <v>506432</v>
      </c>
      <c r="BL173" s="155">
        <v>504609</v>
      </c>
      <c r="BM173" s="155">
        <v>498760</v>
      </c>
      <c r="BN173" s="155">
        <v>490416</v>
      </c>
      <c r="BO173" s="155">
        <v>494409</v>
      </c>
      <c r="BP173" s="155">
        <v>478566</v>
      </c>
      <c r="BQ173" s="155">
        <v>478319</v>
      </c>
      <c r="BR173" s="155">
        <v>480327</v>
      </c>
      <c r="BS173" s="155">
        <v>481828</v>
      </c>
      <c r="BT173" s="155">
        <v>482833</v>
      </c>
      <c r="BU173" s="155">
        <v>483576</v>
      </c>
      <c r="BV173" s="155">
        <v>484279</v>
      </c>
      <c r="BW173" s="155">
        <v>484930</v>
      </c>
      <c r="BX173" s="155">
        <v>485584</v>
      </c>
      <c r="BY173" s="155">
        <v>486224</v>
      </c>
      <c r="BZ173" s="155">
        <v>487059</v>
      </c>
      <c r="CA173" s="155">
        <v>488124</v>
      </c>
      <c r="CB173" s="155">
        <v>489295</v>
      </c>
      <c r="CC173" s="155">
        <v>490553</v>
      </c>
      <c r="CD173" s="155">
        <v>491960</v>
      </c>
      <c r="CE173" s="155">
        <v>493527</v>
      </c>
      <c r="CF173" s="155">
        <v>495132</v>
      </c>
      <c r="CG173" s="155">
        <v>496676</v>
      </c>
      <c r="CH173" s="155">
        <v>498108</v>
      </c>
      <c r="CI173" s="155">
        <v>499415</v>
      </c>
      <c r="CJ173" s="155">
        <v>500396</v>
      </c>
      <c r="CK173" s="155">
        <v>500942</v>
      </c>
      <c r="CL173" s="155">
        <v>501206</v>
      </c>
      <c r="CM173" s="155">
        <v>501254</v>
      </c>
      <c r="CN173" s="155">
        <v>501144</v>
      </c>
      <c r="CO173" s="155">
        <v>500426</v>
      </c>
      <c r="CP173" s="155">
        <v>499015</v>
      </c>
      <c r="CQ173" s="155">
        <v>497401</v>
      </c>
      <c r="CR173" s="155">
        <v>495660</v>
      </c>
      <c r="CS173" s="155">
        <v>493887</v>
      </c>
      <c r="CT173" s="155">
        <v>492069</v>
      </c>
      <c r="CU173" s="155">
        <v>490184</v>
      </c>
      <c r="CV173" s="155">
        <v>488474</v>
      </c>
      <c r="CW173" s="155">
        <v>487035</v>
      </c>
      <c r="CX173" s="155">
        <v>485881</v>
      </c>
      <c r="CY173" s="154">
        <v>484945</v>
      </c>
    </row>
    <row r="174" spans="1:103">
      <c r="A174" s="155" t="s">
        <v>1139</v>
      </c>
      <c r="B174" s="154">
        <v>65</v>
      </c>
      <c r="C174" s="155">
        <v>356236</v>
      </c>
      <c r="D174" s="155">
        <v>370184</v>
      </c>
      <c r="E174" s="155">
        <v>378022</v>
      </c>
      <c r="F174" s="155">
        <v>386347</v>
      </c>
      <c r="G174" s="155">
        <v>399781</v>
      </c>
      <c r="H174" s="155">
        <v>411262</v>
      </c>
      <c r="I174" s="155">
        <v>418874</v>
      </c>
      <c r="J174" s="155">
        <v>426087</v>
      </c>
      <c r="K174" s="155">
        <v>430121</v>
      </c>
      <c r="L174" s="155">
        <v>425751</v>
      </c>
      <c r="M174" s="155">
        <v>427655</v>
      </c>
      <c r="N174" s="155">
        <v>422533</v>
      </c>
      <c r="O174" s="155">
        <v>422285</v>
      </c>
      <c r="P174" s="155">
        <v>411567</v>
      </c>
      <c r="Q174" s="155">
        <v>420171</v>
      </c>
      <c r="R174" s="155">
        <v>406186</v>
      </c>
      <c r="S174" s="155">
        <v>391695</v>
      </c>
      <c r="T174" s="155">
        <v>377013</v>
      </c>
      <c r="U174" s="155">
        <v>372453</v>
      </c>
      <c r="V174" s="155">
        <v>366071</v>
      </c>
      <c r="W174" s="155">
        <v>358638</v>
      </c>
      <c r="X174" s="155">
        <v>364801</v>
      </c>
      <c r="Y174" s="155">
        <v>392343</v>
      </c>
      <c r="Z174" s="155">
        <v>408260</v>
      </c>
      <c r="AA174" s="155">
        <v>407168</v>
      </c>
      <c r="AB174" s="155">
        <v>405155</v>
      </c>
      <c r="AC174" s="155">
        <v>408103</v>
      </c>
      <c r="AD174" s="155">
        <v>410397</v>
      </c>
      <c r="AE174" s="155">
        <v>425777</v>
      </c>
      <c r="AF174" s="155">
        <v>430632</v>
      </c>
      <c r="AG174" s="155">
        <v>435067</v>
      </c>
      <c r="AH174" s="155">
        <v>449451</v>
      </c>
      <c r="AI174" s="155">
        <v>450749</v>
      </c>
      <c r="AJ174" s="155">
        <v>458848</v>
      </c>
      <c r="AK174" s="155">
        <v>467821</v>
      </c>
      <c r="AL174" s="155">
        <v>468183</v>
      </c>
      <c r="AM174" s="155">
        <v>463557</v>
      </c>
      <c r="AN174" s="155">
        <v>470554</v>
      </c>
      <c r="AO174" s="155">
        <v>468834</v>
      </c>
      <c r="AP174" s="155">
        <v>472437</v>
      </c>
      <c r="AQ174" s="155">
        <v>484598</v>
      </c>
      <c r="AR174" s="155">
        <v>483222</v>
      </c>
      <c r="AS174" s="155">
        <v>489971</v>
      </c>
      <c r="AT174" s="155">
        <v>485336</v>
      </c>
      <c r="AU174" s="155">
        <v>481783</v>
      </c>
      <c r="AV174" s="155">
        <v>486348</v>
      </c>
      <c r="AW174" s="155">
        <v>497518</v>
      </c>
      <c r="AX174" s="155">
        <v>505295</v>
      </c>
      <c r="AY174" s="155">
        <v>504696</v>
      </c>
      <c r="AZ174" s="155">
        <v>503111</v>
      </c>
      <c r="BA174" s="155">
        <v>508678</v>
      </c>
      <c r="BB174" s="155">
        <v>522090</v>
      </c>
      <c r="BC174" s="155">
        <v>519625</v>
      </c>
      <c r="BD174" s="155">
        <v>522933</v>
      </c>
      <c r="BE174" s="155">
        <v>529759</v>
      </c>
      <c r="BF174" s="155">
        <v>529979</v>
      </c>
      <c r="BG174" s="155">
        <v>521890</v>
      </c>
      <c r="BH174" s="155">
        <v>514214</v>
      </c>
      <c r="BI174" s="155">
        <v>514116</v>
      </c>
      <c r="BJ174" s="155">
        <v>519420</v>
      </c>
      <c r="BK174" s="155">
        <v>509946</v>
      </c>
      <c r="BL174" s="155">
        <v>503390</v>
      </c>
      <c r="BM174" s="155">
        <v>501613</v>
      </c>
      <c r="BN174" s="155">
        <v>495836</v>
      </c>
      <c r="BO174" s="155">
        <v>487577</v>
      </c>
      <c r="BP174" s="155">
        <v>491579</v>
      </c>
      <c r="BQ174" s="155">
        <v>475865</v>
      </c>
      <c r="BR174" s="155">
        <v>475650</v>
      </c>
      <c r="BS174" s="155">
        <v>477678</v>
      </c>
      <c r="BT174" s="155">
        <v>479200</v>
      </c>
      <c r="BU174" s="155">
        <v>480231</v>
      </c>
      <c r="BV174" s="155">
        <v>480998</v>
      </c>
      <c r="BW174" s="155">
        <v>481729</v>
      </c>
      <c r="BX174" s="155">
        <v>482407</v>
      </c>
      <c r="BY174" s="155">
        <v>483086</v>
      </c>
      <c r="BZ174" s="155">
        <v>483752</v>
      </c>
      <c r="CA174" s="155">
        <v>484610</v>
      </c>
      <c r="CB174" s="155">
        <v>485697</v>
      </c>
      <c r="CC174" s="155">
        <v>486892</v>
      </c>
      <c r="CD174" s="155">
        <v>488170</v>
      </c>
      <c r="CE174" s="155">
        <v>489598</v>
      </c>
      <c r="CF174" s="155">
        <v>491186</v>
      </c>
      <c r="CG174" s="155">
        <v>492810</v>
      </c>
      <c r="CH174" s="155">
        <v>494375</v>
      </c>
      <c r="CI174" s="155">
        <v>495824</v>
      </c>
      <c r="CJ174" s="155">
        <v>497154</v>
      </c>
      <c r="CK174" s="155">
        <v>498158</v>
      </c>
      <c r="CL174" s="155">
        <v>498728</v>
      </c>
      <c r="CM174" s="155">
        <v>499017</v>
      </c>
      <c r="CN174" s="155">
        <v>499090</v>
      </c>
      <c r="CO174" s="155">
        <v>499007</v>
      </c>
      <c r="CP174" s="155">
        <v>498317</v>
      </c>
      <c r="CQ174" s="155">
        <v>496937</v>
      </c>
      <c r="CR174" s="155">
        <v>495355</v>
      </c>
      <c r="CS174" s="155">
        <v>493646</v>
      </c>
      <c r="CT174" s="155">
        <v>491905</v>
      </c>
      <c r="CU174" s="155">
        <v>490119</v>
      </c>
      <c r="CV174" s="155">
        <v>488265</v>
      </c>
      <c r="CW174" s="155">
        <v>486584</v>
      </c>
      <c r="CX174" s="155">
        <v>485175</v>
      </c>
      <c r="CY174" s="154">
        <v>484047</v>
      </c>
    </row>
    <row r="175" spans="1:103">
      <c r="A175" s="155" t="s">
        <v>1139</v>
      </c>
      <c r="B175" s="154">
        <v>66</v>
      </c>
      <c r="C175" s="155">
        <v>341734</v>
      </c>
      <c r="D175" s="155">
        <v>352000</v>
      </c>
      <c r="E175" s="155">
        <v>365842</v>
      </c>
      <c r="F175" s="155">
        <v>373578</v>
      </c>
      <c r="G175" s="155">
        <v>381793</v>
      </c>
      <c r="H175" s="155">
        <v>395044</v>
      </c>
      <c r="I175" s="155">
        <v>406357</v>
      </c>
      <c r="J175" s="155">
        <v>413908</v>
      </c>
      <c r="K175" s="155">
        <v>421063</v>
      </c>
      <c r="L175" s="155">
        <v>425073</v>
      </c>
      <c r="M175" s="155">
        <v>420785</v>
      </c>
      <c r="N175" s="155">
        <v>422693</v>
      </c>
      <c r="O175" s="155">
        <v>417666</v>
      </c>
      <c r="P175" s="155">
        <v>417465</v>
      </c>
      <c r="Q175" s="155">
        <v>406919</v>
      </c>
      <c r="R175" s="155">
        <v>415470</v>
      </c>
      <c r="S175" s="155">
        <v>401694</v>
      </c>
      <c r="T175" s="155">
        <v>387419</v>
      </c>
      <c r="U175" s="155">
        <v>372952</v>
      </c>
      <c r="V175" s="155">
        <v>368498</v>
      </c>
      <c r="W175" s="155">
        <v>362235</v>
      </c>
      <c r="X175" s="155">
        <v>354932</v>
      </c>
      <c r="Y175" s="155">
        <v>361076</v>
      </c>
      <c r="Z175" s="155">
        <v>388368</v>
      </c>
      <c r="AA175" s="155">
        <v>404167</v>
      </c>
      <c r="AB175" s="155">
        <v>403130</v>
      </c>
      <c r="AC175" s="155">
        <v>401184</v>
      </c>
      <c r="AD175" s="155">
        <v>404147</v>
      </c>
      <c r="AE175" s="155">
        <v>406464</v>
      </c>
      <c r="AF175" s="155">
        <v>421737</v>
      </c>
      <c r="AG175" s="155">
        <v>426591</v>
      </c>
      <c r="AH175" s="155">
        <v>431028</v>
      </c>
      <c r="AI175" s="155">
        <v>445321</v>
      </c>
      <c r="AJ175" s="155">
        <v>446654</v>
      </c>
      <c r="AK175" s="155">
        <v>454726</v>
      </c>
      <c r="AL175" s="155">
        <v>463660</v>
      </c>
      <c r="AM175" s="155">
        <v>464068</v>
      </c>
      <c r="AN175" s="155">
        <v>459531</v>
      </c>
      <c r="AO175" s="155">
        <v>466512</v>
      </c>
      <c r="AP175" s="155">
        <v>464853</v>
      </c>
      <c r="AQ175" s="155">
        <v>468470</v>
      </c>
      <c r="AR175" s="155">
        <v>480571</v>
      </c>
      <c r="AS175" s="155">
        <v>479251</v>
      </c>
      <c r="AT175" s="155">
        <v>485987</v>
      </c>
      <c r="AU175" s="155">
        <v>481432</v>
      </c>
      <c r="AV175" s="155">
        <v>477953</v>
      </c>
      <c r="AW175" s="155">
        <v>482526</v>
      </c>
      <c r="AX175" s="155">
        <v>493648</v>
      </c>
      <c r="AY175" s="155">
        <v>501411</v>
      </c>
      <c r="AZ175" s="155">
        <v>500863</v>
      </c>
      <c r="BA175" s="155">
        <v>499333</v>
      </c>
      <c r="BB175" s="155">
        <v>504898</v>
      </c>
      <c r="BC175" s="155">
        <v>518253</v>
      </c>
      <c r="BD175" s="155">
        <v>515849</v>
      </c>
      <c r="BE175" s="155">
        <v>519174</v>
      </c>
      <c r="BF175" s="155">
        <v>525992</v>
      </c>
      <c r="BG175" s="155">
        <v>526255</v>
      </c>
      <c r="BH175" s="155">
        <v>518267</v>
      </c>
      <c r="BI175" s="155">
        <v>510685</v>
      </c>
      <c r="BJ175" s="155">
        <v>510630</v>
      </c>
      <c r="BK175" s="155">
        <v>515936</v>
      </c>
      <c r="BL175" s="155">
        <v>506568</v>
      </c>
      <c r="BM175" s="155">
        <v>500097</v>
      </c>
      <c r="BN175" s="155">
        <v>498368</v>
      </c>
      <c r="BO175" s="155">
        <v>492668</v>
      </c>
      <c r="BP175" s="155">
        <v>484500</v>
      </c>
      <c r="BQ175" s="155">
        <v>488512</v>
      </c>
      <c r="BR175" s="155">
        <v>472934</v>
      </c>
      <c r="BS175" s="155">
        <v>472753</v>
      </c>
      <c r="BT175" s="155">
        <v>474802</v>
      </c>
      <c r="BU175" s="155">
        <v>476348</v>
      </c>
      <c r="BV175" s="155">
        <v>477405</v>
      </c>
      <c r="BW175" s="155">
        <v>478200</v>
      </c>
      <c r="BX175" s="155">
        <v>478959</v>
      </c>
      <c r="BY175" s="155">
        <v>479664</v>
      </c>
      <c r="BZ175" s="155">
        <v>480372</v>
      </c>
      <c r="CA175" s="155">
        <v>481064</v>
      </c>
      <c r="CB175" s="155">
        <v>481947</v>
      </c>
      <c r="CC175" s="155">
        <v>483061</v>
      </c>
      <c r="CD175" s="155">
        <v>484277</v>
      </c>
      <c r="CE175" s="155">
        <v>485580</v>
      </c>
      <c r="CF175" s="155">
        <v>487030</v>
      </c>
      <c r="CG175" s="155">
        <v>488638</v>
      </c>
      <c r="CH175" s="155">
        <v>490282</v>
      </c>
      <c r="CI175" s="155">
        <v>491870</v>
      </c>
      <c r="CJ175" s="155">
        <v>493339</v>
      </c>
      <c r="CK175" s="155">
        <v>494692</v>
      </c>
      <c r="CL175" s="155">
        <v>495719</v>
      </c>
      <c r="CM175" s="155">
        <v>496314</v>
      </c>
      <c r="CN175" s="155">
        <v>496631</v>
      </c>
      <c r="CO175" s="155">
        <v>496730</v>
      </c>
      <c r="CP175" s="155">
        <v>496676</v>
      </c>
      <c r="CQ175" s="155">
        <v>496017</v>
      </c>
      <c r="CR175" s="155">
        <v>494669</v>
      </c>
      <c r="CS175" s="155">
        <v>493121</v>
      </c>
      <c r="CT175" s="155">
        <v>491448</v>
      </c>
      <c r="CU175" s="155">
        <v>489741</v>
      </c>
      <c r="CV175" s="155">
        <v>487988</v>
      </c>
      <c r="CW175" s="155">
        <v>486167</v>
      </c>
      <c r="CX175" s="155">
        <v>484519</v>
      </c>
      <c r="CY175" s="154">
        <v>483140</v>
      </c>
    </row>
    <row r="176" spans="1:103">
      <c r="A176" s="155" t="s">
        <v>1139</v>
      </c>
      <c r="B176" s="154">
        <v>67</v>
      </c>
      <c r="C176" s="155">
        <v>325207</v>
      </c>
      <c r="D176" s="155">
        <v>337214</v>
      </c>
      <c r="E176" s="155">
        <v>347433</v>
      </c>
      <c r="F176" s="155">
        <v>361100</v>
      </c>
      <c r="G176" s="155">
        <v>368738</v>
      </c>
      <c r="H176" s="155">
        <v>376841</v>
      </c>
      <c r="I176" s="155">
        <v>389903</v>
      </c>
      <c r="J176" s="155">
        <v>401106</v>
      </c>
      <c r="K176" s="155">
        <v>408594</v>
      </c>
      <c r="L176" s="155">
        <v>415689</v>
      </c>
      <c r="M176" s="155">
        <v>419677</v>
      </c>
      <c r="N176" s="155">
        <v>415480</v>
      </c>
      <c r="O176" s="155">
        <v>417397</v>
      </c>
      <c r="P176" s="155">
        <v>412474</v>
      </c>
      <c r="Q176" s="155">
        <v>412321</v>
      </c>
      <c r="R176" s="155">
        <v>401959</v>
      </c>
      <c r="S176" s="155">
        <v>410456</v>
      </c>
      <c r="T176" s="155">
        <v>396902</v>
      </c>
      <c r="U176" s="155">
        <v>382854</v>
      </c>
      <c r="V176" s="155">
        <v>368614</v>
      </c>
      <c r="W176" s="155">
        <v>364268</v>
      </c>
      <c r="X176" s="155">
        <v>358132</v>
      </c>
      <c r="Y176" s="155">
        <v>350964</v>
      </c>
      <c r="Z176" s="155">
        <v>357086</v>
      </c>
      <c r="AA176" s="155">
        <v>384112</v>
      </c>
      <c r="AB176" s="155">
        <v>399784</v>
      </c>
      <c r="AC176" s="155">
        <v>398805</v>
      </c>
      <c r="AD176" s="155">
        <v>396929</v>
      </c>
      <c r="AE176" s="155">
        <v>399910</v>
      </c>
      <c r="AF176" s="155">
        <v>402248</v>
      </c>
      <c r="AG176" s="155">
        <v>417408</v>
      </c>
      <c r="AH176" s="155">
        <v>422259</v>
      </c>
      <c r="AI176" s="155">
        <v>426700</v>
      </c>
      <c r="AJ176" s="155">
        <v>440893</v>
      </c>
      <c r="AK176" s="155">
        <v>442265</v>
      </c>
      <c r="AL176" s="155">
        <v>450306</v>
      </c>
      <c r="AM176" s="155">
        <v>459199</v>
      </c>
      <c r="AN176" s="155">
        <v>459654</v>
      </c>
      <c r="AO176" s="155">
        <v>455214</v>
      </c>
      <c r="AP176" s="155">
        <v>462176</v>
      </c>
      <c r="AQ176" s="155">
        <v>460582</v>
      </c>
      <c r="AR176" s="155">
        <v>464214</v>
      </c>
      <c r="AS176" s="155">
        <v>476249</v>
      </c>
      <c r="AT176" s="155">
        <v>474989</v>
      </c>
      <c r="AU176" s="155">
        <v>481712</v>
      </c>
      <c r="AV176" s="155">
        <v>477242</v>
      </c>
      <c r="AW176" s="155">
        <v>473843</v>
      </c>
      <c r="AX176" s="155">
        <v>478423</v>
      </c>
      <c r="AY176" s="155">
        <v>489495</v>
      </c>
      <c r="AZ176" s="155">
        <v>497241</v>
      </c>
      <c r="BA176" s="155">
        <v>496746</v>
      </c>
      <c r="BB176" s="155">
        <v>495273</v>
      </c>
      <c r="BC176" s="155">
        <v>500837</v>
      </c>
      <c r="BD176" s="155">
        <v>514130</v>
      </c>
      <c r="BE176" s="155">
        <v>511790</v>
      </c>
      <c r="BF176" s="155">
        <v>515134</v>
      </c>
      <c r="BG176" s="155">
        <v>521945</v>
      </c>
      <c r="BH176" s="155">
        <v>522252</v>
      </c>
      <c r="BI176" s="155">
        <v>514371</v>
      </c>
      <c r="BJ176" s="155">
        <v>506890</v>
      </c>
      <c r="BK176" s="155">
        <v>506879</v>
      </c>
      <c r="BL176" s="155">
        <v>512188</v>
      </c>
      <c r="BM176" s="155">
        <v>502933</v>
      </c>
      <c r="BN176" s="155">
        <v>496552</v>
      </c>
      <c r="BO176" s="155">
        <v>494875</v>
      </c>
      <c r="BP176" s="155">
        <v>489259</v>
      </c>
      <c r="BQ176" s="155">
        <v>481188</v>
      </c>
      <c r="BR176" s="155">
        <v>485208</v>
      </c>
      <c r="BS176" s="155">
        <v>469777</v>
      </c>
      <c r="BT176" s="155">
        <v>469633</v>
      </c>
      <c r="BU176" s="155">
        <v>471703</v>
      </c>
      <c r="BV176" s="155">
        <v>473275</v>
      </c>
      <c r="BW176" s="155">
        <v>474360</v>
      </c>
      <c r="BX176" s="155">
        <v>475182</v>
      </c>
      <c r="BY176" s="155">
        <v>475973</v>
      </c>
      <c r="BZ176" s="155">
        <v>476706</v>
      </c>
      <c r="CA176" s="155">
        <v>477444</v>
      </c>
      <c r="CB176" s="155">
        <v>478165</v>
      </c>
      <c r="CC176" s="155">
        <v>479075</v>
      </c>
      <c r="CD176" s="155">
        <v>480216</v>
      </c>
      <c r="CE176" s="155">
        <v>481457</v>
      </c>
      <c r="CF176" s="155">
        <v>482784</v>
      </c>
      <c r="CG176" s="155">
        <v>484257</v>
      </c>
      <c r="CH176" s="155">
        <v>485888</v>
      </c>
      <c r="CI176" s="155">
        <v>487553</v>
      </c>
      <c r="CJ176" s="155">
        <v>489164</v>
      </c>
      <c r="CK176" s="155">
        <v>490655</v>
      </c>
      <c r="CL176" s="155">
        <v>492032</v>
      </c>
      <c r="CM176" s="155">
        <v>493083</v>
      </c>
      <c r="CN176" s="155">
        <v>493706</v>
      </c>
      <c r="CO176" s="155">
        <v>494052</v>
      </c>
      <c r="CP176" s="155">
        <v>494181</v>
      </c>
      <c r="CQ176" s="155">
        <v>494156</v>
      </c>
      <c r="CR176" s="155">
        <v>493528</v>
      </c>
      <c r="CS176" s="155">
        <v>492218</v>
      </c>
      <c r="CT176" s="155">
        <v>490706</v>
      </c>
      <c r="CU176" s="155">
        <v>489070</v>
      </c>
      <c r="CV176" s="155">
        <v>487399</v>
      </c>
      <c r="CW176" s="155">
        <v>485682</v>
      </c>
      <c r="CX176" s="155">
        <v>483896</v>
      </c>
      <c r="CY176" s="154">
        <v>482283</v>
      </c>
    </row>
    <row r="177" spans="1:103">
      <c r="A177" s="155" t="s">
        <v>1139</v>
      </c>
      <c r="B177" s="154">
        <v>68</v>
      </c>
      <c r="C177" s="155">
        <v>322367</v>
      </c>
      <c r="D177" s="155">
        <v>320429</v>
      </c>
      <c r="E177" s="155">
        <v>332371</v>
      </c>
      <c r="F177" s="155">
        <v>342468</v>
      </c>
      <c r="G177" s="155">
        <v>355954</v>
      </c>
      <c r="H177" s="155">
        <v>363497</v>
      </c>
      <c r="I177" s="155">
        <v>371486</v>
      </c>
      <c r="J177" s="155">
        <v>384413</v>
      </c>
      <c r="K177" s="155">
        <v>395501</v>
      </c>
      <c r="L177" s="155">
        <v>402923</v>
      </c>
      <c r="M177" s="155">
        <v>409957</v>
      </c>
      <c r="N177" s="155">
        <v>413924</v>
      </c>
      <c r="O177" s="155">
        <v>409824</v>
      </c>
      <c r="P177" s="155">
        <v>411755</v>
      </c>
      <c r="Q177" s="155">
        <v>406944</v>
      </c>
      <c r="R177" s="155">
        <v>406844</v>
      </c>
      <c r="S177" s="155">
        <v>396678</v>
      </c>
      <c r="T177" s="155">
        <v>405117</v>
      </c>
      <c r="U177" s="155">
        <v>391800</v>
      </c>
      <c r="V177" s="155">
        <v>377992</v>
      </c>
      <c r="W177" s="155">
        <v>363992</v>
      </c>
      <c r="X177" s="155">
        <v>359759</v>
      </c>
      <c r="Y177" s="155">
        <v>353755</v>
      </c>
      <c r="Z177" s="155">
        <v>346729</v>
      </c>
      <c r="AA177" s="155">
        <v>352826</v>
      </c>
      <c r="AB177" s="155">
        <v>379568</v>
      </c>
      <c r="AC177" s="155">
        <v>395104</v>
      </c>
      <c r="AD177" s="155">
        <v>394185</v>
      </c>
      <c r="AE177" s="155">
        <v>392386</v>
      </c>
      <c r="AF177" s="155">
        <v>395382</v>
      </c>
      <c r="AG177" s="155">
        <v>397744</v>
      </c>
      <c r="AH177" s="155">
        <v>412782</v>
      </c>
      <c r="AI177" s="155">
        <v>417629</v>
      </c>
      <c r="AJ177" s="155">
        <v>422074</v>
      </c>
      <c r="AK177" s="155">
        <v>436161</v>
      </c>
      <c r="AL177" s="155">
        <v>437572</v>
      </c>
      <c r="AM177" s="155">
        <v>445580</v>
      </c>
      <c r="AN177" s="155">
        <v>454429</v>
      </c>
      <c r="AO177" s="155">
        <v>454935</v>
      </c>
      <c r="AP177" s="155">
        <v>450594</v>
      </c>
      <c r="AQ177" s="155">
        <v>457537</v>
      </c>
      <c r="AR177" s="155">
        <v>456012</v>
      </c>
      <c r="AS177" s="155">
        <v>459659</v>
      </c>
      <c r="AT177" s="155">
        <v>471624</v>
      </c>
      <c r="AU177" s="155">
        <v>470428</v>
      </c>
      <c r="AV177" s="155">
        <v>477136</v>
      </c>
      <c r="AW177" s="155">
        <v>472756</v>
      </c>
      <c r="AX177" s="155">
        <v>469441</v>
      </c>
      <c r="AY177" s="155">
        <v>474028</v>
      </c>
      <c r="AZ177" s="155">
        <v>485046</v>
      </c>
      <c r="BA177" s="155">
        <v>492775</v>
      </c>
      <c r="BB177" s="155">
        <v>492337</v>
      </c>
      <c r="BC177" s="155">
        <v>490924</v>
      </c>
      <c r="BD177" s="155">
        <v>496487</v>
      </c>
      <c r="BE177" s="155">
        <v>509712</v>
      </c>
      <c r="BF177" s="155">
        <v>507441</v>
      </c>
      <c r="BG177" s="155">
        <v>510804</v>
      </c>
      <c r="BH177" s="155">
        <v>517606</v>
      </c>
      <c r="BI177" s="155">
        <v>517960</v>
      </c>
      <c r="BJ177" s="155">
        <v>510194</v>
      </c>
      <c r="BK177" s="155">
        <v>502821</v>
      </c>
      <c r="BL177" s="155">
        <v>502857</v>
      </c>
      <c r="BM177" s="155">
        <v>508170</v>
      </c>
      <c r="BN177" s="155">
        <v>499034</v>
      </c>
      <c r="BO177" s="155">
        <v>492748</v>
      </c>
      <c r="BP177" s="155">
        <v>491127</v>
      </c>
      <c r="BQ177" s="155">
        <v>485599</v>
      </c>
      <c r="BR177" s="155">
        <v>477630</v>
      </c>
      <c r="BS177" s="155">
        <v>481660</v>
      </c>
      <c r="BT177" s="155">
        <v>466387</v>
      </c>
      <c r="BU177" s="155">
        <v>466281</v>
      </c>
      <c r="BV177" s="155">
        <v>468375</v>
      </c>
      <c r="BW177" s="155">
        <v>469971</v>
      </c>
      <c r="BX177" s="155">
        <v>471088</v>
      </c>
      <c r="BY177" s="155">
        <v>471941</v>
      </c>
      <c r="BZ177" s="155">
        <v>472763</v>
      </c>
      <c r="CA177" s="155">
        <v>473526</v>
      </c>
      <c r="CB177" s="155">
        <v>474296</v>
      </c>
      <c r="CC177" s="155">
        <v>475048</v>
      </c>
      <c r="CD177" s="155">
        <v>475989</v>
      </c>
      <c r="CE177" s="155">
        <v>477157</v>
      </c>
      <c r="CF177" s="155">
        <v>478425</v>
      </c>
      <c r="CG177" s="155">
        <v>479778</v>
      </c>
      <c r="CH177" s="155">
        <v>481276</v>
      </c>
      <c r="CI177" s="155">
        <v>482930</v>
      </c>
      <c r="CJ177" s="155">
        <v>484618</v>
      </c>
      <c r="CK177" s="155">
        <v>486253</v>
      </c>
      <c r="CL177" s="155">
        <v>487769</v>
      </c>
      <c r="CM177" s="155">
        <v>489169</v>
      </c>
      <c r="CN177" s="155">
        <v>490247</v>
      </c>
      <c r="CO177" s="155">
        <v>490899</v>
      </c>
      <c r="CP177" s="155">
        <v>491275</v>
      </c>
      <c r="CQ177" s="155">
        <v>491436</v>
      </c>
      <c r="CR177" s="155">
        <v>491442</v>
      </c>
      <c r="CS177" s="155">
        <v>490849</v>
      </c>
      <c r="CT177" s="155">
        <v>489577</v>
      </c>
      <c r="CU177" s="155">
        <v>488105</v>
      </c>
      <c r="CV177" s="155">
        <v>486507</v>
      </c>
      <c r="CW177" s="155">
        <v>484875</v>
      </c>
      <c r="CX177" s="155">
        <v>483197</v>
      </c>
      <c r="CY177" s="154">
        <v>481449</v>
      </c>
    </row>
    <row r="178" spans="1:103">
      <c r="A178" s="155" t="s">
        <v>1139</v>
      </c>
      <c r="B178" s="154">
        <v>69</v>
      </c>
      <c r="C178" s="155">
        <v>315098</v>
      </c>
      <c r="D178" s="155">
        <v>317054</v>
      </c>
      <c r="E178" s="155">
        <v>315302</v>
      </c>
      <c r="F178" s="155">
        <v>327094</v>
      </c>
      <c r="G178" s="155">
        <v>337071</v>
      </c>
      <c r="H178" s="155">
        <v>350377</v>
      </c>
      <c r="I178" s="155">
        <v>357821</v>
      </c>
      <c r="J178" s="155">
        <v>365751</v>
      </c>
      <c r="K178" s="155">
        <v>378534</v>
      </c>
      <c r="L178" s="155">
        <v>389501</v>
      </c>
      <c r="M178" s="155">
        <v>396855</v>
      </c>
      <c r="N178" s="155">
        <v>403824</v>
      </c>
      <c r="O178" s="155">
        <v>407773</v>
      </c>
      <c r="P178" s="155">
        <v>403781</v>
      </c>
      <c r="Q178" s="155">
        <v>405727</v>
      </c>
      <c r="R178" s="155">
        <v>401037</v>
      </c>
      <c r="S178" s="155">
        <v>400995</v>
      </c>
      <c r="T178" s="155">
        <v>391037</v>
      </c>
      <c r="U178" s="155">
        <v>399414</v>
      </c>
      <c r="V178" s="155">
        <v>386350</v>
      </c>
      <c r="W178" s="155">
        <v>372796</v>
      </c>
      <c r="X178" s="155">
        <v>359050</v>
      </c>
      <c r="Y178" s="155">
        <v>354934</v>
      </c>
      <c r="Z178" s="155">
        <v>349068</v>
      </c>
      <c r="AA178" s="155">
        <v>342192</v>
      </c>
      <c r="AB178" s="155">
        <v>348259</v>
      </c>
      <c r="AC178" s="155">
        <v>374698</v>
      </c>
      <c r="AD178" s="155">
        <v>390088</v>
      </c>
      <c r="AE178" s="155">
        <v>389235</v>
      </c>
      <c r="AF178" s="155">
        <v>387515</v>
      </c>
      <c r="AG178" s="155">
        <v>390526</v>
      </c>
      <c r="AH178" s="155">
        <v>392914</v>
      </c>
      <c r="AI178" s="155">
        <v>407822</v>
      </c>
      <c r="AJ178" s="155">
        <v>412664</v>
      </c>
      <c r="AK178" s="155">
        <v>417111</v>
      </c>
      <c r="AL178" s="155">
        <v>431085</v>
      </c>
      <c r="AM178" s="155">
        <v>432538</v>
      </c>
      <c r="AN178" s="155">
        <v>440510</v>
      </c>
      <c r="AO178" s="155">
        <v>449311</v>
      </c>
      <c r="AP178" s="155">
        <v>449870</v>
      </c>
      <c r="AQ178" s="155">
        <v>445634</v>
      </c>
      <c r="AR178" s="155">
        <v>452556</v>
      </c>
      <c r="AS178" s="155">
        <v>451105</v>
      </c>
      <c r="AT178" s="155">
        <v>454766</v>
      </c>
      <c r="AU178" s="155">
        <v>466656</v>
      </c>
      <c r="AV178" s="155">
        <v>465529</v>
      </c>
      <c r="AW178" s="155">
        <v>472219</v>
      </c>
      <c r="AX178" s="155">
        <v>467935</v>
      </c>
      <c r="AY178" s="155">
        <v>464711</v>
      </c>
      <c r="AZ178" s="155">
        <v>469305</v>
      </c>
      <c r="BA178" s="155">
        <v>480263</v>
      </c>
      <c r="BB178" s="155">
        <v>487973</v>
      </c>
      <c r="BC178" s="155">
        <v>487596</v>
      </c>
      <c r="BD178" s="155">
        <v>486246</v>
      </c>
      <c r="BE178" s="155">
        <v>491807</v>
      </c>
      <c r="BF178" s="155">
        <v>504959</v>
      </c>
      <c r="BG178" s="155">
        <v>502763</v>
      </c>
      <c r="BH178" s="155">
        <v>506146</v>
      </c>
      <c r="BI178" s="155">
        <v>512937</v>
      </c>
      <c r="BJ178" s="155">
        <v>513341</v>
      </c>
      <c r="BK178" s="155">
        <v>505697</v>
      </c>
      <c r="BL178" s="155">
        <v>498439</v>
      </c>
      <c r="BM178" s="155">
        <v>498525</v>
      </c>
      <c r="BN178" s="155">
        <v>503841</v>
      </c>
      <c r="BO178" s="155">
        <v>494832</v>
      </c>
      <c r="BP178" s="155">
        <v>488647</v>
      </c>
      <c r="BQ178" s="155">
        <v>487085</v>
      </c>
      <c r="BR178" s="155">
        <v>481650</v>
      </c>
      <c r="BS178" s="155">
        <v>473793</v>
      </c>
      <c r="BT178" s="155">
        <v>477832</v>
      </c>
      <c r="BU178" s="155">
        <v>462726</v>
      </c>
      <c r="BV178" s="155">
        <v>462663</v>
      </c>
      <c r="BW178" s="155">
        <v>464781</v>
      </c>
      <c r="BX178" s="155">
        <v>466405</v>
      </c>
      <c r="BY178" s="155">
        <v>467554</v>
      </c>
      <c r="BZ178" s="155">
        <v>468439</v>
      </c>
      <c r="CA178" s="155">
        <v>469295</v>
      </c>
      <c r="CB178" s="155">
        <v>470089</v>
      </c>
      <c r="CC178" s="155">
        <v>470892</v>
      </c>
      <c r="CD178" s="155">
        <v>471679</v>
      </c>
      <c r="CE178" s="155">
        <v>472651</v>
      </c>
      <c r="CF178" s="155">
        <v>473847</v>
      </c>
      <c r="CG178" s="155">
        <v>475143</v>
      </c>
      <c r="CH178" s="155">
        <v>476525</v>
      </c>
      <c r="CI178" s="155">
        <v>478049</v>
      </c>
      <c r="CJ178" s="155">
        <v>479728</v>
      </c>
      <c r="CK178" s="155">
        <v>481440</v>
      </c>
      <c r="CL178" s="155">
        <v>483102</v>
      </c>
      <c r="CM178" s="155">
        <v>484643</v>
      </c>
      <c r="CN178" s="155">
        <v>486069</v>
      </c>
      <c r="CO178" s="155">
        <v>487175</v>
      </c>
      <c r="CP178" s="155">
        <v>487857</v>
      </c>
      <c r="CQ178" s="155">
        <v>488266</v>
      </c>
      <c r="CR178" s="155">
        <v>488460</v>
      </c>
      <c r="CS178" s="155">
        <v>488499</v>
      </c>
      <c r="CT178" s="155">
        <v>487945</v>
      </c>
      <c r="CU178" s="155">
        <v>486714</v>
      </c>
      <c r="CV178" s="155">
        <v>485283</v>
      </c>
      <c r="CW178" s="155">
        <v>483725</v>
      </c>
      <c r="CX178" s="155">
        <v>482135</v>
      </c>
      <c r="CY178" s="154">
        <v>480499</v>
      </c>
    </row>
    <row r="179" spans="1:103">
      <c r="A179" s="155" t="s">
        <v>1139</v>
      </c>
      <c r="B179" s="154">
        <v>70</v>
      </c>
      <c r="C179" s="155">
        <v>301314</v>
      </c>
      <c r="D179" s="155">
        <v>309297</v>
      </c>
      <c r="E179" s="155">
        <v>311384</v>
      </c>
      <c r="F179" s="155">
        <v>309722</v>
      </c>
      <c r="G179" s="155">
        <v>321364</v>
      </c>
      <c r="H179" s="155">
        <v>331223</v>
      </c>
      <c r="I179" s="155">
        <v>344341</v>
      </c>
      <c r="J179" s="155">
        <v>351733</v>
      </c>
      <c r="K179" s="155">
        <v>359596</v>
      </c>
      <c r="L179" s="155">
        <v>372225</v>
      </c>
      <c r="M179" s="155">
        <v>383065</v>
      </c>
      <c r="N179" s="155">
        <v>390347</v>
      </c>
      <c r="O179" s="155">
        <v>397250</v>
      </c>
      <c r="P179" s="155">
        <v>401183</v>
      </c>
      <c r="Q179" s="155">
        <v>397307</v>
      </c>
      <c r="R179" s="155">
        <v>399273</v>
      </c>
      <c r="S179" s="155">
        <v>394714</v>
      </c>
      <c r="T179" s="155">
        <v>394733</v>
      </c>
      <c r="U179" s="155">
        <v>384995</v>
      </c>
      <c r="V179" s="155">
        <v>393307</v>
      </c>
      <c r="W179" s="155">
        <v>380509</v>
      </c>
      <c r="X179" s="155">
        <v>367226</v>
      </c>
      <c r="Y179" s="155">
        <v>353748</v>
      </c>
      <c r="Z179" s="155">
        <v>349756</v>
      </c>
      <c r="AA179" s="155">
        <v>344034</v>
      </c>
      <c r="AB179" s="155">
        <v>337315</v>
      </c>
      <c r="AC179" s="155">
        <v>343350</v>
      </c>
      <c r="AD179" s="155">
        <v>369466</v>
      </c>
      <c r="AE179" s="155">
        <v>384699</v>
      </c>
      <c r="AF179" s="155">
        <v>383917</v>
      </c>
      <c r="AG179" s="155">
        <v>382279</v>
      </c>
      <c r="AH179" s="155">
        <v>385305</v>
      </c>
      <c r="AI179" s="155">
        <v>387720</v>
      </c>
      <c r="AJ179" s="155">
        <v>402486</v>
      </c>
      <c r="AK179" s="155">
        <v>407325</v>
      </c>
      <c r="AL179" s="155">
        <v>411774</v>
      </c>
      <c r="AM179" s="155">
        <v>425627</v>
      </c>
      <c r="AN179" s="155">
        <v>427123</v>
      </c>
      <c r="AO179" s="155">
        <v>435056</v>
      </c>
      <c r="AP179" s="155">
        <v>443805</v>
      </c>
      <c r="AQ179" s="155">
        <v>444419</v>
      </c>
      <c r="AR179" s="155">
        <v>440297</v>
      </c>
      <c r="AS179" s="155">
        <v>447195</v>
      </c>
      <c r="AT179" s="155">
        <v>445821</v>
      </c>
      <c r="AU179" s="155">
        <v>449497</v>
      </c>
      <c r="AV179" s="155">
        <v>461306</v>
      </c>
      <c r="AW179" s="155">
        <v>460252</v>
      </c>
      <c r="AX179" s="155">
        <v>466922</v>
      </c>
      <c r="AY179" s="155">
        <v>462740</v>
      </c>
      <c r="AZ179" s="155">
        <v>459612</v>
      </c>
      <c r="BA179" s="155">
        <v>464213</v>
      </c>
      <c r="BB179" s="155">
        <v>475108</v>
      </c>
      <c r="BC179" s="155">
        <v>482795</v>
      </c>
      <c r="BD179" s="155">
        <v>482482</v>
      </c>
      <c r="BE179" s="155">
        <v>481199</v>
      </c>
      <c r="BF179" s="155">
        <v>486758</v>
      </c>
      <c r="BG179" s="155">
        <v>499832</v>
      </c>
      <c r="BH179" s="155">
        <v>497715</v>
      </c>
      <c r="BI179" s="155">
        <v>501120</v>
      </c>
      <c r="BJ179" s="155">
        <v>507898</v>
      </c>
      <c r="BK179" s="155">
        <v>508354</v>
      </c>
      <c r="BL179" s="155">
        <v>500841</v>
      </c>
      <c r="BM179" s="155">
        <v>493706</v>
      </c>
      <c r="BN179" s="155">
        <v>493844</v>
      </c>
      <c r="BO179" s="155">
        <v>499161</v>
      </c>
      <c r="BP179" s="155">
        <v>490290</v>
      </c>
      <c r="BQ179" s="155">
        <v>484212</v>
      </c>
      <c r="BR179" s="155">
        <v>482713</v>
      </c>
      <c r="BS179" s="155">
        <v>477377</v>
      </c>
      <c r="BT179" s="155">
        <v>469638</v>
      </c>
      <c r="BU179" s="155">
        <v>473688</v>
      </c>
      <c r="BV179" s="155">
        <v>458760</v>
      </c>
      <c r="BW179" s="155">
        <v>458741</v>
      </c>
      <c r="BX179" s="155">
        <v>460885</v>
      </c>
      <c r="BY179" s="155">
        <v>462538</v>
      </c>
      <c r="BZ179" s="155">
        <v>463720</v>
      </c>
      <c r="CA179" s="155">
        <v>464641</v>
      </c>
      <c r="CB179" s="155">
        <v>465533</v>
      </c>
      <c r="CC179" s="155">
        <v>466361</v>
      </c>
      <c r="CD179" s="155">
        <v>467200</v>
      </c>
      <c r="CE179" s="155">
        <v>468021</v>
      </c>
      <c r="CF179" s="155">
        <v>469027</v>
      </c>
      <c r="CG179" s="155">
        <v>470253</v>
      </c>
      <c r="CH179" s="155">
        <v>471580</v>
      </c>
      <c r="CI179" s="155">
        <v>472991</v>
      </c>
      <c r="CJ179" s="155">
        <v>474542</v>
      </c>
      <c r="CK179" s="155">
        <v>476249</v>
      </c>
      <c r="CL179" s="155">
        <v>477986</v>
      </c>
      <c r="CM179" s="155">
        <v>479676</v>
      </c>
      <c r="CN179" s="155">
        <v>481244</v>
      </c>
      <c r="CO179" s="155">
        <v>482697</v>
      </c>
      <c r="CP179" s="155">
        <v>483833</v>
      </c>
      <c r="CQ179" s="155">
        <v>484548</v>
      </c>
      <c r="CR179" s="155">
        <v>484993</v>
      </c>
      <c r="CS179" s="155">
        <v>485222</v>
      </c>
      <c r="CT179" s="155">
        <v>485296</v>
      </c>
      <c r="CU179" s="155">
        <v>484782</v>
      </c>
      <c r="CV179" s="155">
        <v>483595</v>
      </c>
      <c r="CW179" s="155">
        <v>482206</v>
      </c>
      <c r="CX179" s="155">
        <v>480695</v>
      </c>
      <c r="CY179" s="154">
        <v>479149</v>
      </c>
    </row>
    <row r="180" spans="1:103">
      <c r="A180" s="155" t="s">
        <v>1139</v>
      </c>
      <c r="B180" s="154">
        <v>71</v>
      </c>
      <c r="C180" s="155">
        <v>300612</v>
      </c>
      <c r="D180" s="155">
        <v>295217</v>
      </c>
      <c r="E180" s="155">
        <v>303190</v>
      </c>
      <c r="F180" s="155">
        <v>305289</v>
      </c>
      <c r="G180" s="155">
        <v>303727</v>
      </c>
      <c r="H180" s="155">
        <v>315212</v>
      </c>
      <c r="I180" s="155">
        <v>324943</v>
      </c>
      <c r="J180" s="155">
        <v>337902</v>
      </c>
      <c r="K180" s="155">
        <v>345235</v>
      </c>
      <c r="L180" s="155">
        <v>353026</v>
      </c>
      <c r="M180" s="155">
        <v>365489</v>
      </c>
      <c r="N180" s="155">
        <v>376193</v>
      </c>
      <c r="O180" s="155">
        <v>383400</v>
      </c>
      <c r="P180" s="155">
        <v>390236</v>
      </c>
      <c r="Q180" s="155">
        <v>394153</v>
      </c>
      <c r="R180" s="155">
        <v>390402</v>
      </c>
      <c r="S180" s="155">
        <v>392391</v>
      </c>
      <c r="T180" s="155">
        <v>387975</v>
      </c>
      <c r="U180" s="155">
        <v>388058</v>
      </c>
      <c r="V180" s="155">
        <v>378556</v>
      </c>
      <c r="W180" s="155">
        <v>386798</v>
      </c>
      <c r="X180" s="155">
        <v>374284</v>
      </c>
      <c r="Y180" s="155">
        <v>361285</v>
      </c>
      <c r="Z180" s="155">
        <v>348094</v>
      </c>
      <c r="AA180" s="155">
        <v>344229</v>
      </c>
      <c r="AB180" s="155">
        <v>338659</v>
      </c>
      <c r="AC180" s="155">
        <v>332105</v>
      </c>
      <c r="AD180" s="155">
        <v>338107</v>
      </c>
      <c r="AE180" s="155">
        <v>363878</v>
      </c>
      <c r="AF180" s="155">
        <v>378942</v>
      </c>
      <c r="AG180" s="155">
        <v>378233</v>
      </c>
      <c r="AH180" s="155">
        <v>376682</v>
      </c>
      <c r="AI180" s="155">
        <v>379726</v>
      </c>
      <c r="AJ180" s="155">
        <v>382167</v>
      </c>
      <c r="AK180" s="155">
        <v>396783</v>
      </c>
      <c r="AL180" s="155">
        <v>401617</v>
      </c>
      <c r="AM180" s="155">
        <v>406066</v>
      </c>
      <c r="AN180" s="155">
        <v>419789</v>
      </c>
      <c r="AO180" s="155">
        <v>421329</v>
      </c>
      <c r="AP180" s="155">
        <v>429219</v>
      </c>
      <c r="AQ180" s="155">
        <v>437914</v>
      </c>
      <c r="AR180" s="155">
        <v>438587</v>
      </c>
      <c r="AS180" s="155">
        <v>434584</v>
      </c>
      <c r="AT180" s="155">
        <v>441453</v>
      </c>
      <c r="AU180" s="155">
        <v>440161</v>
      </c>
      <c r="AV180" s="155">
        <v>443853</v>
      </c>
      <c r="AW180" s="155">
        <v>455575</v>
      </c>
      <c r="AX180" s="155">
        <v>454600</v>
      </c>
      <c r="AY180" s="155">
        <v>461247</v>
      </c>
      <c r="AZ180" s="155">
        <v>457175</v>
      </c>
      <c r="BA180" s="155">
        <v>454147</v>
      </c>
      <c r="BB180" s="155">
        <v>458755</v>
      </c>
      <c r="BC180" s="155">
        <v>469580</v>
      </c>
      <c r="BD180" s="155">
        <v>477243</v>
      </c>
      <c r="BE180" s="155">
        <v>476996</v>
      </c>
      <c r="BF180" s="155">
        <v>475787</v>
      </c>
      <c r="BG180" s="155">
        <v>481344</v>
      </c>
      <c r="BH180" s="155">
        <v>494331</v>
      </c>
      <c r="BI180" s="155">
        <v>492298</v>
      </c>
      <c r="BJ180" s="155">
        <v>495726</v>
      </c>
      <c r="BK180" s="155">
        <v>502491</v>
      </c>
      <c r="BL180" s="155">
        <v>503000</v>
      </c>
      <c r="BM180" s="155">
        <v>495627</v>
      </c>
      <c r="BN180" s="155">
        <v>488623</v>
      </c>
      <c r="BO180" s="155">
        <v>488816</v>
      </c>
      <c r="BP180" s="155">
        <v>494136</v>
      </c>
      <c r="BQ180" s="155">
        <v>485410</v>
      </c>
      <c r="BR180" s="155">
        <v>479446</v>
      </c>
      <c r="BS180" s="155">
        <v>478014</v>
      </c>
      <c r="BT180" s="155">
        <v>472786</v>
      </c>
      <c r="BU180" s="155">
        <v>465171</v>
      </c>
      <c r="BV180" s="155">
        <v>469232</v>
      </c>
      <c r="BW180" s="155">
        <v>454494</v>
      </c>
      <c r="BX180" s="155">
        <v>454522</v>
      </c>
      <c r="BY180" s="155">
        <v>456694</v>
      </c>
      <c r="BZ180" s="155">
        <v>458377</v>
      </c>
      <c r="CA180" s="155">
        <v>459596</v>
      </c>
      <c r="CB180" s="155">
        <v>460553</v>
      </c>
      <c r="CC180" s="155">
        <v>461482</v>
      </c>
      <c r="CD180" s="155">
        <v>462350</v>
      </c>
      <c r="CE180" s="155">
        <v>463225</v>
      </c>
      <c r="CF180" s="155">
        <v>464082</v>
      </c>
      <c r="CG180" s="155">
        <v>465124</v>
      </c>
      <c r="CH180" s="155">
        <v>466382</v>
      </c>
      <c r="CI180" s="155">
        <v>467742</v>
      </c>
      <c r="CJ180" s="155">
        <v>469184</v>
      </c>
      <c r="CK180" s="155">
        <v>470765</v>
      </c>
      <c r="CL180" s="155">
        <v>472499</v>
      </c>
      <c r="CM180" s="155">
        <v>474264</v>
      </c>
      <c r="CN180" s="155">
        <v>475984</v>
      </c>
      <c r="CO180" s="155">
        <v>477580</v>
      </c>
      <c r="CP180" s="155">
        <v>479062</v>
      </c>
      <c r="CQ180" s="155">
        <v>480230</v>
      </c>
      <c r="CR180" s="155">
        <v>480980</v>
      </c>
      <c r="CS180" s="155">
        <v>481461</v>
      </c>
      <c r="CT180" s="155">
        <v>481728</v>
      </c>
      <c r="CU180" s="155">
        <v>481842</v>
      </c>
      <c r="CV180" s="155">
        <v>481369</v>
      </c>
      <c r="CW180" s="155">
        <v>480230</v>
      </c>
      <c r="CX180" s="155">
        <v>478887</v>
      </c>
      <c r="CY180" s="154">
        <v>477423</v>
      </c>
    </row>
    <row r="181" spans="1:103">
      <c r="A181" s="155" t="s">
        <v>1139</v>
      </c>
      <c r="B181" s="154">
        <v>72</v>
      </c>
      <c r="C181" s="155">
        <v>300087</v>
      </c>
      <c r="D181" s="155">
        <v>293956</v>
      </c>
      <c r="E181" s="155">
        <v>288836</v>
      </c>
      <c r="F181" s="155">
        <v>296661</v>
      </c>
      <c r="G181" s="155">
        <v>298776</v>
      </c>
      <c r="H181" s="155">
        <v>297321</v>
      </c>
      <c r="I181" s="155">
        <v>308632</v>
      </c>
      <c r="J181" s="155">
        <v>318260</v>
      </c>
      <c r="K181" s="155">
        <v>331046</v>
      </c>
      <c r="L181" s="155">
        <v>338314</v>
      </c>
      <c r="M181" s="155">
        <v>346027</v>
      </c>
      <c r="N181" s="155">
        <v>358313</v>
      </c>
      <c r="O181" s="155">
        <v>368870</v>
      </c>
      <c r="P181" s="155">
        <v>376001</v>
      </c>
      <c r="Q181" s="155">
        <v>382765</v>
      </c>
      <c r="R181" s="155">
        <v>386667</v>
      </c>
      <c r="S181" s="155">
        <v>383052</v>
      </c>
      <c r="T181" s="155">
        <v>385070</v>
      </c>
      <c r="U181" s="155">
        <v>380805</v>
      </c>
      <c r="V181" s="155">
        <v>380958</v>
      </c>
      <c r="W181" s="155">
        <v>371706</v>
      </c>
      <c r="X181" s="155">
        <v>379872</v>
      </c>
      <c r="Y181" s="155">
        <v>367659</v>
      </c>
      <c r="Z181" s="155">
        <v>354964</v>
      </c>
      <c r="AA181" s="155">
        <v>342073</v>
      </c>
      <c r="AB181" s="155">
        <v>338344</v>
      </c>
      <c r="AC181" s="155">
        <v>332934</v>
      </c>
      <c r="AD181" s="155">
        <v>326557</v>
      </c>
      <c r="AE181" s="155">
        <v>332520</v>
      </c>
      <c r="AF181" s="155">
        <v>357921</v>
      </c>
      <c r="AG181" s="155">
        <v>372806</v>
      </c>
      <c r="AH181" s="155">
        <v>372173</v>
      </c>
      <c r="AI181" s="155">
        <v>370716</v>
      </c>
      <c r="AJ181" s="155">
        <v>373776</v>
      </c>
      <c r="AK181" s="155">
        <v>376244</v>
      </c>
      <c r="AL181" s="155">
        <v>390699</v>
      </c>
      <c r="AM181" s="155">
        <v>395525</v>
      </c>
      <c r="AN181" s="155">
        <v>399974</v>
      </c>
      <c r="AO181" s="155">
        <v>413558</v>
      </c>
      <c r="AP181" s="155">
        <v>415144</v>
      </c>
      <c r="AQ181" s="155">
        <v>422987</v>
      </c>
      <c r="AR181" s="155">
        <v>431623</v>
      </c>
      <c r="AS181" s="155">
        <v>432356</v>
      </c>
      <c r="AT181" s="155">
        <v>428480</v>
      </c>
      <c r="AU181" s="155">
        <v>435320</v>
      </c>
      <c r="AV181" s="155">
        <v>434115</v>
      </c>
      <c r="AW181" s="155">
        <v>437823</v>
      </c>
      <c r="AX181" s="155">
        <v>449450</v>
      </c>
      <c r="AY181" s="155">
        <v>448556</v>
      </c>
      <c r="AZ181" s="155">
        <v>455180</v>
      </c>
      <c r="BA181" s="155">
        <v>451226</v>
      </c>
      <c r="BB181" s="155">
        <v>448303</v>
      </c>
      <c r="BC181" s="155">
        <v>452916</v>
      </c>
      <c r="BD181" s="155">
        <v>463668</v>
      </c>
      <c r="BE181" s="155">
        <v>471304</v>
      </c>
      <c r="BF181" s="155">
        <v>471128</v>
      </c>
      <c r="BG181" s="155">
        <v>469996</v>
      </c>
      <c r="BH181" s="155">
        <v>475548</v>
      </c>
      <c r="BI181" s="155">
        <v>488443</v>
      </c>
      <c r="BJ181" s="155">
        <v>486500</v>
      </c>
      <c r="BK181" s="155">
        <v>489950</v>
      </c>
      <c r="BL181" s="155">
        <v>496700</v>
      </c>
      <c r="BM181" s="155">
        <v>497267</v>
      </c>
      <c r="BN181" s="155">
        <v>490043</v>
      </c>
      <c r="BO181" s="155">
        <v>483179</v>
      </c>
      <c r="BP181" s="155">
        <v>483431</v>
      </c>
      <c r="BQ181" s="155">
        <v>488752</v>
      </c>
      <c r="BR181" s="155">
        <v>480181</v>
      </c>
      <c r="BS181" s="155">
        <v>474340</v>
      </c>
      <c r="BT181" s="155">
        <v>472979</v>
      </c>
      <c r="BU181" s="155">
        <v>467863</v>
      </c>
      <c r="BV181" s="155">
        <v>460381</v>
      </c>
      <c r="BW181" s="155">
        <v>464455</v>
      </c>
      <c r="BX181" s="155">
        <v>449921</v>
      </c>
      <c r="BY181" s="155">
        <v>450000</v>
      </c>
      <c r="BZ181" s="155">
        <v>452200</v>
      </c>
      <c r="CA181" s="155">
        <v>453916</v>
      </c>
      <c r="CB181" s="155">
        <v>455171</v>
      </c>
      <c r="CC181" s="155">
        <v>456167</v>
      </c>
      <c r="CD181" s="155">
        <v>457138</v>
      </c>
      <c r="CE181" s="155">
        <v>458045</v>
      </c>
      <c r="CF181" s="155">
        <v>458959</v>
      </c>
      <c r="CG181" s="155">
        <v>459855</v>
      </c>
      <c r="CH181" s="155">
        <v>460933</v>
      </c>
      <c r="CI181" s="155">
        <v>462227</v>
      </c>
      <c r="CJ181" s="155">
        <v>463622</v>
      </c>
      <c r="CK181" s="155">
        <v>465096</v>
      </c>
      <c r="CL181" s="155">
        <v>466710</v>
      </c>
      <c r="CM181" s="155">
        <v>468473</v>
      </c>
      <c r="CN181" s="155">
        <v>470268</v>
      </c>
      <c r="CO181" s="155">
        <v>472018</v>
      </c>
      <c r="CP181" s="155">
        <v>473644</v>
      </c>
      <c r="CQ181" s="155">
        <v>475158</v>
      </c>
      <c r="CR181" s="155">
        <v>476360</v>
      </c>
      <c r="CS181" s="155">
        <v>477148</v>
      </c>
      <c r="CT181" s="155">
        <v>477668</v>
      </c>
      <c r="CU181" s="155">
        <v>477974</v>
      </c>
      <c r="CV181" s="155">
        <v>478130</v>
      </c>
      <c r="CW181" s="155">
        <v>477703</v>
      </c>
      <c r="CX181" s="155">
        <v>476613</v>
      </c>
      <c r="CY181" s="154">
        <v>475320</v>
      </c>
    </row>
    <row r="182" spans="1:103">
      <c r="A182" s="155" t="s">
        <v>1139</v>
      </c>
      <c r="B182" s="154">
        <v>73</v>
      </c>
      <c r="C182" s="155">
        <v>304594</v>
      </c>
      <c r="D182" s="155">
        <v>292802</v>
      </c>
      <c r="E182" s="155">
        <v>286984</v>
      </c>
      <c r="F182" s="155">
        <v>282002</v>
      </c>
      <c r="G182" s="155">
        <v>289678</v>
      </c>
      <c r="H182" s="155">
        <v>291811</v>
      </c>
      <c r="I182" s="155">
        <v>290465</v>
      </c>
      <c r="J182" s="155">
        <v>301623</v>
      </c>
      <c r="K182" s="155">
        <v>311137</v>
      </c>
      <c r="L182" s="155">
        <v>323734</v>
      </c>
      <c r="M182" s="155">
        <v>330929</v>
      </c>
      <c r="N182" s="155">
        <v>338555</v>
      </c>
      <c r="O182" s="155">
        <v>350651</v>
      </c>
      <c r="P182" s="155">
        <v>361052</v>
      </c>
      <c r="Q182" s="155">
        <v>368102</v>
      </c>
      <c r="R182" s="155">
        <v>374792</v>
      </c>
      <c r="S182" s="155">
        <v>378682</v>
      </c>
      <c r="T182" s="155">
        <v>375212</v>
      </c>
      <c r="U182" s="155">
        <v>377260</v>
      </c>
      <c r="V182" s="155">
        <v>373160</v>
      </c>
      <c r="W182" s="155">
        <v>373388</v>
      </c>
      <c r="X182" s="155">
        <v>364401</v>
      </c>
      <c r="Y182" s="155">
        <v>372485</v>
      </c>
      <c r="Z182" s="155">
        <v>360591</v>
      </c>
      <c r="AA182" s="155">
        <v>348218</v>
      </c>
      <c r="AB182" s="155">
        <v>335645</v>
      </c>
      <c r="AC182" s="155">
        <v>332059</v>
      </c>
      <c r="AD182" s="155">
        <v>326818</v>
      </c>
      <c r="AE182" s="155">
        <v>320627</v>
      </c>
      <c r="AF182" s="155">
        <v>326547</v>
      </c>
      <c r="AG182" s="155">
        <v>351554</v>
      </c>
      <c r="AH182" s="155">
        <v>366246</v>
      </c>
      <c r="AI182" s="155">
        <v>365694</v>
      </c>
      <c r="AJ182" s="155">
        <v>364333</v>
      </c>
      <c r="AK182" s="155">
        <v>367411</v>
      </c>
      <c r="AL182" s="155">
        <v>369907</v>
      </c>
      <c r="AM182" s="155">
        <v>384189</v>
      </c>
      <c r="AN182" s="155">
        <v>389006</v>
      </c>
      <c r="AO182" s="155">
        <v>393452</v>
      </c>
      <c r="AP182" s="155">
        <v>406888</v>
      </c>
      <c r="AQ182" s="155">
        <v>408523</v>
      </c>
      <c r="AR182" s="155">
        <v>416313</v>
      </c>
      <c r="AS182" s="155">
        <v>424885</v>
      </c>
      <c r="AT182" s="155">
        <v>425682</v>
      </c>
      <c r="AU182" s="155">
        <v>421939</v>
      </c>
      <c r="AV182" s="155">
        <v>428747</v>
      </c>
      <c r="AW182" s="155">
        <v>427635</v>
      </c>
      <c r="AX182" s="155">
        <v>431358</v>
      </c>
      <c r="AY182" s="155">
        <v>442883</v>
      </c>
      <c r="AZ182" s="155">
        <v>442075</v>
      </c>
      <c r="BA182" s="155">
        <v>448674</v>
      </c>
      <c r="BB182" s="155">
        <v>444843</v>
      </c>
      <c r="BC182" s="155">
        <v>442035</v>
      </c>
      <c r="BD182" s="155">
        <v>446654</v>
      </c>
      <c r="BE182" s="155">
        <v>457324</v>
      </c>
      <c r="BF182" s="155">
        <v>464931</v>
      </c>
      <c r="BG182" s="155">
        <v>464827</v>
      </c>
      <c r="BH182" s="155">
        <v>463778</v>
      </c>
      <c r="BI182" s="155">
        <v>469323</v>
      </c>
      <c r="BJ182" s="155">
        <v>482120</v>
      </c>
      <c r="BK182" s="155">
        <v>480269</v>
      </c>
      <c r="BL182" s="155">
        <v>483746</v>
      </c>
      <c r="BM182" s="155">
        <v>490478</v>
      </c>
      <c r="BN182" s="155">
        <v>491106</v>
      </c>
      <c r="BO182" s="155">
        <v>484041</v>
      </c>
      <c r="BP182" s="155">
        <v>477327</v>
      </c>
      <c r="BQ182" s="155">
        <v>477640</v>
      </c>
      <c r="BR182" s="155">
        <v>482962</v>
      </c>
      <c r="BS182" s="155">
        <v>474557</v>
      </c>
      <c r="BT182" s="155">
        <v>468848</v>
      </c>
      <c r="BU182" s="155">
        <v>467562</v>
      </c>
      <c r="BV182" s="155">
        <v>462564</v>
      </c>
      <c r="BW182" s="155">
        <v>455226</v>
      </c>
      <c r="BX182" s="155">
        <v>459311</v>
      </c>
      <c r="BY182" s="155">
        <v>444996</v>
      </c>
      <c r="BZ182" s="155">
        <v>445129</v>
      </c>
      <c r="CA182" s="155">
        <v>447358</v>
      </c>
      <c r="CB182" s="155">
        <v>449110</v>
      </c>
      <c r="CC182" s="155">
        <v>450403</v>
      </c>
      <c r="CD182" s="155">
        <v>451443</v>
      </c>
      <c r="CE182" s="155">
        <v>452455</v>
      </c>
      <c r="CF182" s="155">
        <v>453405</v>
      </c>
      <c r="CG182" s="155">
        <v>454361</v>
      </c>
      <c r="CH182" s="155">
        <v>455299</v>
      </c>
      <c r="CI182" s="155">
        <v>456415</v>
      </c>
      <c r="CJ182" s="155">
        <v>457748</v>
      </c>
      <c r="CK182" s="155">
        <v>459178</v>
      </c>
      <c r="CL182" s="155">
        <v>460687</v>
      </c>
      <c r="CM182" s="155">
        <v>462336</v>
      </c>
      <c r="CN182" s="155">
        <v>464129</v>
      </c>
      <c r="CO182" s="155">
        <v>465955</v>
      </c>
      <c r="CP182" s="155">
        <v>467739</v>
      </c>
      <c r="CQ182" s="155">
        <v>469397</v>
      </c>
      <c r="CR182" s="155">
        <v>470945</v>
      </c>
      <c r="CS182" s="155">
        <v>472183</v>
      </c>
      <c r="CT182" s="155">
        <v>473009</v>
      </c>
      <c r="CU182" s="155">
        <v>473572</v>
      </c>
      <c r="CV182" s="155">
        <v>473920</v>
      </c>
      <c r="CW182" s="155">
        <v>474120</v>
      </c>
      <c r="CX182" s="155">
        <v>473742</v>
      </c>
      <c r="CY182" s="154">
        <v>472704</v>
      </c>
    </row>
    <row r="183" spans="1:103">
      <c r="A183" s="155" t="s">
        <v>1139</v>
      </c>
      <c r="B183" s="154">
        <v>74</v>
      </c>
      <c r="C183" s="155">
        <v>315636</v>
      </c>
      <c r="D183" s="155">
        <v>296478</v>
      </c>
      <c r="E183" s="155">
        <v>285195</v>
      </c>
      <c r="F183" s="155">
        <v>279532</v>
      </c>
      <c r="G183" s="155">
        <v>274704</v>
      </c>
      <c r="H183" s="155">
        <v>282229</v>
      </c>
      <c r="I183" s="155">
        <v>284375</v>
      </c>
      <c r="J183" s="155">
        <v>283170</v>
      </c>
      <c r="K183" s="155">
        <v>294159</v>
      </c>
      <c r="L183" s="155">
        <v>303545</v>
      </c>
      <c r="M183" s="155">
        <v>315935</v>
      </c>
      <c r="N183" s="155">
        <v>323048</v>
      </c>
      <c r="O183" s="155">
        <v>330579</v>
      </c>
      <c r="P183" s="155">
        <v>342473</v>
      </c>
      <c r="Q183" s="155">
        <v>352709</v>
      </c>
      <c r="R183" s="155">
        <v>359670</v>
      </c>
      <c r="S183" s="155">
        <v>366283</v>
      </c>
      <c r="T183" s="155">
        <v>370160</v>
      </c>
      <c r="U183" s="155">
        <v>366849</v>
      </c>
      <c r="V183" s="155">
        <v>368930</v>
      </c>
      <c r="W183" s="155">
        <v>365004</v>
      </c>
      <c r="X183" s="155">
        <v>365312</v>
      </c>
      <c r="Y183" s="155">
        <v>356606</v>
      </c>
      <c r="Z183" s="155">
        <v>364603</v>
      </c>
      <c r="AA183" s="155">
        <v>353046</v>
      </c>
      <c r="AB183" s="155">
        <v>341015</v>
      </c>
      <c r="AC183" s="155">
        <v>328780</v>
      </c>
      <c r="AD183" s="155">
        <v>325344</v>
      </c>
      <c r="AE183" s="155">
        <v>320281</v>
      </c>
      <c r="AF183" s="155">
        <v>314287</v>
      </c>
      <c r="AG183" s="155">
        <v>320161</v>
      </c>
      <c r="AH183" s="155">
        <v>344746</v>
      </c>
      <c r="AI183" s="155">
        <v>359230</v>
      </c>
      <c r="AJ183" s="155">
        <v>358764</v>
      </c>
      <c r="AK183" s="155">
        <v>357507</v>
      </c>
      <c r="AL183" s="155">
        <v>360599</v>
      </c>
      <c r="AM183" s="155">
        <v>363125</v>
      </c>
      <c r="AN183" s="155">
        <v>377220</v>
      </c>
      <c r="AO183" s="155">
        <v>382026</v>
      </c>
      <c r="AP183" s="155">
        <v>386468</v>
      </c>
      <c r="AQ183" s="155">
        <v>399743</v>
      </c>
      <c r="AR183" s="155">
        <v>401428</v>
      </c>
      <c r="AS183" s="155">
        <v>409163</v>
      </c>
      <c r="AT183" s="155">
        <v>417663</v>
      </c>
      <c r="AU183" s="155">
        <v>418528</v>
      </c>
      <c r="AV183" s="155">
        <v>414928</v>
      </c>
      <c r="AW183" s="155">
        <v>421700</v>
      </c>
      <c r="AX183" s="155">
        <v>420685</v>
      </c>
      <c r="AY183" s="155">
        <v>424423</v>
      </c>
      <c r="AZ183" s="155">
        <v>435837</v>
      </c>
      <c r="BA183" s="155">
        <v>435122</v>
      </c>
      <c r="BB183" s="155">
        <v>441692</v>
      </c>
      <c r="BC183" s="155">
        <v>437993</v>
      </c>
      <c r="BD183" s="155">
        <v>435304</v>
      </c>
      <c r="BE183" s="155">
        <v>439928</v>
      </c>
      <c r="BF183" s="155">
        <v>450510</v>
      </c>
      <c r="BG183" s="155">
        <v>458084</v>
      </c>
      <c r="BH183" s="155">
        <v>458058</v>
      </c>
      <c r="BI183" s="155">
        <v>457097</v>
      </c>
      <c r="BJ183" s="155">
        <v>462636</v>
      </c>
      <c r="BK183" s="155">
        <v>475322</v>
      </c>
      <c r="BL183" s="155">
        <v>473571</v>
      </c>
      <c r="BM183" s="155">
        <v>477076</v>
      </c>
      <c r="BN183" s="155">
        <v>483788</v>
      </c>
      <c r="BO183" s="155">
        <v>484480</v>
      </c>
      <c r="BP183" s="155">
        <v>477584</v>
      </c>
      <c r="BQ183" s="155">
        <v>471028</v>
      </c>
      <c r="BR183" s="155">
        <v>471407</v>
      </c>
      <c r="BS183" s="155">
        <v>476729</v>
      </c>
      <c r="BT183" s="155">
        <v>468501</v>
      </c>
      <c r="BU183" s="155">
        <v>462934</v>
      </c>
      <c r="BV183" s="155">
        <v>461727</v>
      </c>
      <c r="BW183" s="155">
        <v>456857</v>
      </c>
      <c r="BX183" s="155">
        <v>449674</v>
      </c>
      <c r="BY183" s="155">
        <v>453770</v>
      </c>
      <c r="BZ183" s="155">
        <v>439687</v>
      </c>
      <c r="CA183" s="155">
        <v>439877</v>
      </c>
      <c r="CB183" s="155">
        <v>442138</v>
      </c>
      <c r="CC183" s="155">
        <v>443927</v>
      </c>
      <c r="CD183" s="155">
        <v>445262</v>
      </c>
      <c r="CE183" s="155">
        <v>446347</v>
      </c>
      <c r="CF183" s="155">
        <v>447405</v>
      </c>
      <c r="CG183" s="155">
        <v>448398</v>
      </c>
      <c r="CH183" s="155">
        <v>449400</v>
      </c>
      <c r="CI183" s="155">
        <v>450382</v>
      </c>
      <c r="CJ183" s="155">
        <v>451539</v>
      </c>
      <c r="CK183" s="155">
        <v>452911</v>
      </c>
      <c r="CL183" s="155">
        <v>454380</v>
      </c>
      <c r="CM183" s="155">
        <v>455926</v>
      </c>
      <c r="CN183" s="155">
        <v>457611</v>
      </c>
      <c r="CO183" s="155">
        <v>459438</v>
      </c>
      <c r="CP183" s="155">
        <v>461297</v>
      </c>
      <c r="CQ183" s="155">
        <v>463115</v>
      </c>
      <c r="CR183" s="155">
        <v>464807</v>
      </c>
      <c r="CS183" s="155">
        <v>466391</v>
      </c>
      <c r="CT183" s="155">
        <v>467668</v>
      </c>
      <c r="CU183" s="155">
        <v>468535</v>
      </c>
      <c r="CV183" s="155">
        <v>469144</v>
      </c>
      <c r="CW183" s="155">
        <v>469537</v>
      </c>
      <c r="CX183" s="155">
        <v>469783</v>
      </c>
      <c r="CY183" s="154">
        <v>469457</v>
      </c>
    </row>
    <row r="184" spans="1:103">
      <c r="A184" s="155" t="s">
        <v>1139</v>
      </c>
      <c r="B184" s="154">
        <v>75</v>
      </c>
      <c r="C184" s="155">
        <v>336713</v>
      </c>
      <c r="D184" s="155">
        <v>306400</v>
      </c>
      <c r="E184" s="155">
        <v>288055</v>
      </c>
      <c r="F184" s="155">
        <v>277101</v>
      </c>
      <c r="G184" s="155">
        <v>271612</v>
      </c>
      <c r="H184" s="155">
        <v>266953</v>
      </c>
      <c r="I184" s="155">
        <v>274311</v>
      </c>
      <c r="J184" s="155">
        <v>276494</v>
      </c>
      <c r="K184" s="155">
        <v>275431</v>
      </c>
      <c r="L184" s="155">
        <v>286233</v>
      </c>
      <c r="M184" s="155">
        <v>295476</v>
      </c>
      <c r="N184" s="155">
        <v>307641</v>
      </c>
      <c r="O184" s="155">
        <v>314664</v>
      </c>
      <c r="P184" s="155">
        <v>322090</v>
      </c>
      <c r="Q184" s="155">
        <v>333765</v>
      </c>
      <c r="R184" s="155">
        <v>343823</v>
      </c>
      <c r="S184" s="155">
        <v>350692</v>
      </c>
      <c r="T184" s="155">
        <v>357223</v>
      </c>
      <c r="U184" s="155">
        <v>361089</v>
      </c>
      <c r="V184" s="155">
        <v>357946</v>
      </c>
      <c r="W184" s="155">
        <v>360064</v>
      </c>
      <c r="X184" s="155">
        <v>356322</v>
      </c>
      <c r="Y184" s="155">
        <v>356716</v>
      </c>
      <c r="Z184" s="155">
        <v>348306</v>
      </c>
      <c r="AA184" s="155">
        <v>356210</v>
      </c>
      <c r="AB184" s="155">
        <v>345011</v>
      </c>
      <c r="AC184" s="155">
        <v>333341</v>
      </c>
      <c r="AD184" s="155">
        <v>321465</v>
      </c>
      <c r="AE184" s="155">
        <v>318186</v>
      </c>
      <c r="AF184" s="155">
        <v>313312</v>
      </c>
      <c r="AG184" s="155">
        <v>307525</v>
      </c>
      <c r="AH184" s="155">
        <v>313349</v>
      </c>
      <c r="AI184" s="155">
        <v>337483</v>
      </c>
      <c r="AJ184" s="155">
        <v>351744</v>
      </c>
      <c r="AK184" s="155">
        <v>351366</v>
      </c>
      <c r="AL184" s="155">
        <v>350216</v>
      </c>
      <c r="AM184" s="155">
        <v>353326</v>
      </c>
      <c r="AN184" s="155">
        <v>355881</v>
      </c>
      <c r="AO184" s="155">
        <v>369776</v>
      </c>
      <c r="AP184" s="155">
        <v>374567</v>
      </c>
      <c r="AQ184" s="155">
        <v>379004</v>
      </c>
      <c r="AR184" s="155">
        <v>392105</v>
      </c>
      <c r="AS184" s="155">
        <v>393843</v>
      </c>
      <c r="AT184" s="155">
        <v>401516</v>
      </c>
      <c r="AU184" s="155">
        <v>409939</v>
      </c>
      <c r="AV184" s="155">
        <v>410874</v>
      </c>
      <c r="AW184" s="155">
        <v>407425</v>
      </c>
      <c r="AX184" s="155">
        <v>414159</v>
      </c>
      <c r="AY184" s="155">
        <v>413243</v>
      </c>
      <c r="AZ184" s="155">
        <v>416997</v>
      </c>
      <c r="BA184" s="155">
        <v>428293</v>
      </c>
      <c r="BB184" s="155">
        <v>427673</v>
      </c>
      <c r="BC184" s="155">
        <v>434211</v>
      </c>
      <c r="BD184" s="155">
        <v>430653</v>
      </c>
      <c r="BE184" s="155">
        <v>428091</v>
      </c>
      <c r="BF184" s="155">
        <v>432719</v>
      </c>
      <c r="BG184" s="155">
        <v>443206</v>
      </c>
      <c r="BH184" s="155">
        <v>450741</v>
      </c>
      <c r="BI184" s="155">
        <v>450798</v>
      </c>
      <c r="BJ184" s="155">
        <v>449928</v>
      </c>
      <c r="BK184" s="155">
        <v>455460</v>
      </c>
      <c r="BL184" s="155">
        <v>468028</v>
      </c>
      <c r="BM184" s="155">
        <v>466384</v>
      </c>
      <c r="BN184" s="155">
        <v>469915</v>
      </c>
      <c r="BO184" s="155">
        <v>476605</v>
      </c>
      <c r="BP184" s="155">
        <v>477365</v>
      </c>
      <c r="BQ184" s="155">
        <v>470649</v>
      </c>
      <c r="BR184" s="155">
        <v>464263</v>
      </c>
      <c r="BS184" s="155">
        <v>464711</v>
      </c>
      <c r="BT184" s="155">
        <v>470032</v>
      </c>
      <c r="BU184" s="155">
        <v>461994</v>
      </c>
      <c r="BV184" s="155">
        <v>456576</v>
      </c>
      <c r="BW184" s="155">
        <v>455453</v>
      </c>
      <c r="BX184" s="155">
        <v>450722</v>
      </c>
      <c r="BY184" s="155">
        <v>443702</v>
      </c>
      <c r="BZ184" s="155">
        <v>447809</v>
      </c>
      <c r="CA184" s="155">
        <v>433977</v>
      </c>
      <c r="CB184" s="155">
        <v>434227</v>
      </c>
      <c r="CC184" s="155">
        <v>436521</v>
      </c>
      <c r="CD184" s="155">
        <v>438349</v>
      </c>
      <c r="CE184" s="155">
        <v>439730</v>
      </c>
      <c r="CF184" s="155">
        <v>440861</v>
      </c>
      <c r="CG184" s="155">
        <v>441966</v>
      </c>
      <c r="CH184" s="155">
        <v>443007</v>
      </c>
      <c r="CI184" s="155">
        <v>444056</v>
      </c>
      <c r="CJ184" s="155">
        <v>445085</v>
      </c>
      <c r="CK184" s="155">
        <v>446288</v>
      </c>
      <c r="CL184" s="155">
        <v>447701</v>
      </c>
      <c r="CM184" s="155">
        <v>449210</v>
      </c>
      <c r="CN184" s="155">
        <v>450796</v>
      </c>
      <c r="CO184" s="155">
        <v>452518</v>
      </c>
      <c r="CP184" s="155">
        <v>454383</v>
      </c>
      <c r="CQ184" s="155">
        <v>456277</v>
      </c>
      <c r="CR184" s="155">
        <v>458128</v>
      </c>
      <c r="CS184" s="155">
        <v>459858</v>
      </c>
      <c r="CT184" s="155">
        <v>461478</v>
      </c>
      <c r="CU184" s="155">
        <v>462797</v>
      </c>
      <c r="CV184" s="155">
        <v>463709</v>
      </c>
      <c r="CW184" s="155">
        <v>464366</v>
      </c>
      <c r="CX184" s="155">
        <v>464807</v>
      </c>
      <c r="CY184" s="154">
        <v>465102</v>
      </c>
    </row>
    <row r="185" spans="1:103">
      <c r="A185" s="155" t="s">
        <v>1139</v>
      </c>
      <c r="B185" s="154">
        <v>76</v>
      </c>
      <c r="C185" s="155">
        <v>252412</v>
      </c>
      <c r="D185" s="155">
        <v>325813</v>
      </c>
      <c r="E185" s="155">
        <v>296847</v>
      </c>
      <c r="F185" s="155">
        <v>279113</v>
      </c>
      <c r="G185" s="155">
        <v>268515</v>
      </c>
      <c r="H185" s="155">
        <v>263216</v>
      </c>
      <c r="I185" s="155">
        <v>258729</v>
      </c>
      <c r="J185" s="155">
        <v>265933</v>
      </c>
      <c r="K185" s="155">
        <v>268147</v>
      </c>
      <c r="L185" s="155">
        <v>267228</v>
      </c>
      <c r="M185" s="155">
        <v>277822</v>
      </c>
      <c r="N185" s="155">
        <v>286907</v>
      </c>
      <c r="O185" s="155">
        <v>298824</v>
      </c>
      <c r="P185" s="155">
        <v>305747</v>
      </c>
      <c r="Q185" s="155">
        <v>313058</v>
      </c>
      <c r="R185" s="155">
        <v>324499</v>
      </c>
      <c r="S185" s="155">
        <v>334368</v>
      </c>
      <c r="T185" s="155">
        <v>341138</v>
      </c>
      <c r="U185" s="155">
        <v>347581</v>
      </c>
      <c r="V185" s="155">
        <v>351435</v>
      </c>
      <c r="W185" s="155">
        <v>348473</v>
      </c>
      <c r="X185" s="155">
        <v>350630</v>
      </c>
      <c r="Y185" s="155">
        <v>347084</v>
      </c>
      <c r="Z185" s="155">
        <v>347567</v>
      </c>
      <c r="AA185" s="155">
        <v>339473</v>
      </c>
      <c r="AB185" s="155">
        <v>347275</v>
      </c>
      <c r="AC185" s="155">
        <v>336453</v>
      </c>
      <c r="AD185" s="155">
        <v>325166</v>
      </c>
      <c r="AE185" s="155">
        <v>313670</v>
      </c>
      <c r="AF185" s="155">
        <v>310557</v>
      </c>
      <c r="AG185" s="155">
        <v>305883</v>
      </c>
      <c r="AH185" s="155">
        <v>300315</v>
      </c>
      <c r="AI185" s="155">
        <v>306083</v>
      </c>
      <c r="AJ185" s="155">
        <v>329733</v>
      </c>
      <c r="AK185" s="155">
        <v>343755</v>
      </c>
      <c r="AL185" s="155">
        <v>343470</v>
      </c>
      <c r="AM185" s="155">
        <v>342432</v>
      </c>
      <c r="AN185" s="155">
        <v>345557</v>
      </c>
      <c r="AO185" s="155">
        <v>348141</v>
      </c>
      <c r="AP185" s="155">
        <v>361819</v>
      </c>
      <c r="AQ185" s="155">
        <v>366595</v>
      </c>
      <c r="AR185" s="155">
        <v>371025</v>
      </c>
      <c r="AS185" s="155">
        <v>383939</v>
      </c>
      <c r="AT185" s="155">
        <v>385730</v>
      </c>
      <c r="AU185" s="155">
        <v>393335</v>
      </c>
      <c r="AV185" s="155">
        <v>401675</v>
      </c>
      <c r="AW185" s="155">
        <v>402682</v>
      </c>
      <c r="AX185" s="155">
        <v>399392</v>
      </c>
      <c r="AY185" s="155">
        <v>406082</v>
      </c>
      <c r="AZ185" s="155">
        <v>405274</v>
      </c>
      <c r="BA185" s="155">
        <v>409042</v>
      </c>
      <c r="BB185" s="155">
        <v>420210</v>
      </c>
      <c r="BC185" s="155">
        <v>419690</v>
      </c>
      <c r="BD185" s="155">
        <v>426193</v>
      </c>
      <c r="BE185" s="155">
        <v>422783</v>
      </c>
      <c r="BF185" s="155">
        <v>420356</v>
      </c>
      <c r="BG185" s="155">
        <v>424985</v>
      </c>
      <c r="BH185" s="155">
        <v>435370</v>
      </c>
      <c r="BI185" s="155">
        <v>442862</v>
      </c>
      <c r="BJ185" s="155">
        <v>443006</v>
      </c>
      <c r="BK185" s="155">
        <v>442233</v>
      </c>
      <c r="BL185" s="155">
        <v>447756</v>
      </c>
      <c r="BM185" s="155">
        <v>460197</v>
      </c>
      <c r="BN185" s="155">
        <v>458666</v>
      </c>
      <c r="BO185" s="155">
        <v>462224</v>
      </c>
      <c r="BP185" s="155">
        <v>468887</v>
      </c>
      <c r="BQ185" s="155">
        <v>469721</v>
      </c>
      <c r="BR185" s="155">
        <v>463196</v>
      </c>
      <c r="BS185" s="155">
        <v>456991</v>
      </c>
      <c r="BT185" s="155">
        <v>457512</v>
      </c>
      <c r="BU185" s="155">
        <v>462831</v>
      </c>
      <c r="BV185" s="155">
        <v>454994</v>
      </c>
      <c r="BW185" s="155">
        <v>449738</v>
      </c>
      <c r="BX185" s="155">
        <v>448705</v>
      </c>
      <c r="BY185" s="155">
        <v>444120</v>
      </c>
      <c r="BZ185" s="155">
        <v>437274</v>
      </c>
      <c r="CA185" s="155">
        <v>441393</v>
      </c>
      <c r="CB185" s="155">
        <v>427828</v>
      </c>
      <c r="CC185" s="155">
        <v>428142</v>
      </c>
      <c r="CD185" s="155">
        <v>430471</v>
      </c>
      <c r="CE185" s="155">
        <v>432341</v>
      </c>
      <c r="CF185" s="155">
        <v>433768</v>
      </c>
      <c r="CG185" s="155">
        <v>434949</v>
      </c>
      <c r="CH185" s="155">
        <v>436104</v>
      </c>
      <c r="CI185" s="155">
        <v>437195</v>
      </c>
      <c r="CJ185" s="155">
        <v>438295</v>
      </c>
      <c r="CK185" s="155">
        <v>439374</v>
      </c>
      <c r="CL185" s="155">
        <v>440624</v>
      </c>
      <c r="CM185" s="155">
        <v>442082</v>
      </c>
      <c r="CN185" s="155">
        <v>443634</v>
      </c>
      <c r="CO185" s="155">
        <v>445262</v>
      </c>
      <c r="CP185" s="155">
        <v>447023</v>
      </c>
      <c r="CQ185" s="155">
        <v>448926</v>
      </c>
      <c r="CR185" s="155">
        <v>450858</v>
      </c>
      <c r="CS185" s="155">
        <v>452745</v>
      </c>
      <c r="CT185" s="155">
        <v>454515</v>
      </c>
      <c r="CU185" s="155">
        <v>456173</v>
      </c>
      <c r="CV185" s="155">
        <v>457538</v>
      </c>
      <c r="CW185" s="155">
        <v>458498</v>
      </c>
      <c r="CX185" s="155">
        <v>459205</v>
      </c>
      <c r="CY185" s="154">
        <v>459698</v>
      </c>
    </row>
    <row r="186" spans="1:103">
      <c r="A186" s="155" t="s">
        <v>1139</v>
      </c>
      <c r="B186" s="154">
        <v>77</v>
      </c>
      <c r="C186" s="155">
        <v>238197</v>
      </c>
      <c r="D186" s="155">
        <v>243352</v>
      </c>
      <c r="E186" s="155">
        <v>314579</v>
      </c>
      <c r="F186" s="155">
        <v>286729</v>
      </c>
      <c r="G186" s="155">
        <v>269642</v>
      </c>
      <c r="H186" s="155">
        <v>259427</v>
      </c>
      <c r="I186" s="155">
        <v>254322</v>
      </c>
      <c r="J186" s="155">
        <v>250036</v>
      </c>
      <c r="K186" s="155">
        <v>257071</v>
      </c>
      <c r="L186" s="155">
        <v>259311</v>
      </c>
      <c r="M186" s="155">
        <v>258536</v>
      </c>
      <c r="N186" s="155">
        <v>268902</v>
      </c>
      <c r="O186" s="155">
        <v>277810</v>
      </c>
      <c r="P186" s="155">
        <v>289459</v>
      </c>
      <c r="Q186" s="155">
        <v>296269</v>
      </c>
      <c r="R186" s="155">
        <v>303455</v>
      </c>
      <c r="S186" s="155">
        <v>314643</v>
      </c>
      <c r="T186" s="155">
        <v>324311</v>
      </c>
      <c r="U186" s="155">
        <v>330972</v>
      </c>
      <c r="V186" s="155">
        <v>337325</v>
      </c>
      <c r="W186" s="155">
        <v>341165</v>
      </c>
      <c r="X186" s="155">
        <v>338396</v>
      </c>
      <c r="Y186" s="155">
        <v>340592</v>
      </c>
      <c r="Z186" s="155">
        <v>337255</v>
      </c>
      <c r="AA186" s="155">
        <v>337829</v>
      </c>
      <c r="AB186" s="155">
        <v>330070</v>
      </c>
      <c r="AC186" s="155">
        <v>337759</v>
      </c>
      <c r="AD186" s="155">
        <v>327339</v>
      </c>
      <c r="AE186" s="155">
        <v>316456</v>
      </c>
      <c r="AF186" s="155">
        <v>305363</v>
      </c>
      <c r="AG186" s="155">
        <v>302423</v>
      </c>
      <c r="AH186" s="155">
        <v>297960</v>
      </c>
      <c r="AI186" s="155">
        <v>292624</v>
      </c>
      <c r="AJ186" s="155">
        <v>298330</v>
      </c>
      <c r="AK186" s="155">
        <v>321463</v>
      </c>
      <c r="AL186" s="155">
        <v>335225</v>
      </c>
      <c r="AM186" s="155">
        <v>335038</v>
      </c>
      <c r="AN186" s="155">
        <v>334119</v>
      </c>
      <c r="AO186" s="155">
        <v>337259</v>
      </c>
      <c r="AP186" s="155">
        <v>339871</v>
      </c>
      <c r="AQ186" s="155">
        <v>353314</v>
      </c>
      <c r="AR186" s="155">
        <v>358072</v>
      </c>
      <c r="AS186" s="155">
        <v>362492</v>
      </c>
      <c r="AT186" s="155">
        <v>375202</v>
      </c>
      <c r="AU186" s="155">
        <v>377049</v>
      </c>
      <c r="AV186" s="155">
        <v>384580</v>
      </c>
      <c r="AW186" s="155">
        <v>392828</v>
      </c>
      <c r="AX186" s="155">
        <v>393912</v>
      </c>
      <c r="AY186" s="155">
        <v>390790</v>
      </c>
      <c r="AZ186" s="155">
        <v>397430</v>
      </c>
      <c r="BA186" s="155">
        <v>396734</v>
      </c>
      <c r="BB186" s="155">
        <v>400516</v>
      </c>
      <c r="BC186" s="155">
        <v>411545</v>
      </c>
      <c r="BD186" s="155">
        <v>411131</v>
      </c>
      <c r="BE186" s="155">
        <v>417593</v>
      </c>
      <c r="BF186" s="155">
        <v>414343</v>
      </c>
      <c r="BG186" s="155">
        <v>412055</v>
      </c>
      <c r="BH186" s="155">
        <v>416688</v>
      </c>
      <c r="BI186" s="155">
        <v>426959</v>
      </c>
      <c r="BJ186" s="155">
        <v>434402</v>
      </c>
      <c r="BK186" s="155">
        <v>434639</v>
      </c>
      <c r="BL186" s="155">
        <v>433970</v>
      </c>
      <c r="BM186" s="155">
        <v>439480</v>
      </c>
      <c r="BN186" s="155">
        <v>451783</v>
      </c>
      <c r="BO186" s="155">
        <v>450371</v>
      </c>
      <c r="BP186" s="155">
        <v>453957</v>
      </c>
      <c r="BQ186" s="155">
        <v>460590</v>
      </c>
      <c r="BR186" s="155">
        <v>461502</v>
      </c>
      <c r="BS186" s="155">
        <v>455179</v>
      </c>
      <c r="BT186" s="155">
        <v>449170</v>
      </c>
      <c r="BU186" s="155">
        <v>449768</v>
      </c>
      <c r="BV186" s="155">
        <v>455081</v>
      </c>
      <c r="BW186" s="155">
        <v>447462</v>
      </c>
      <c r="BX186" s="155">
        <v>442375</v>
      </c>
      <c r="BY186" s="155">
        <v>441440</v>
      </c>
      <c r="BZ186" s="155">
        <v>437008</v>
      </c>
      <c r="CA186" s="155">
        <v>430350</v>
      </c>
      <c r="CB186" s="155">
        <v>434481</v>
      </c>
      <c r="CC186" s="155">
        <v>421203</v>
      </c>
      <c r="CD186" s="155">
        <v>421586</v>
      </c>
      <c r="CE186" s="155">
        <v>423951</v>
      </c>
      <c r="CF186" s="155">
        <v>425865</v>
      </c>
      <c r="CG186" s="155">
        <v>427341</v>
      </c>
      <c r="CH186" s="155">
        <v>428575</v>
      </c>
      <c r="CI186" s="155">
        <v>429784</v>
      </c>
      <c r="CJ186" s="155">
        <v>430928</v>
      </c>
      <c r="CK186" s="155">
        <v>432081</v>
      </c>
      <c r="CL186" s="155">
        <v>433211</v>
      </c>
      <c r="CM186" s="155">
        <v>434510</v>
      </c>
      <c r="CN186" s="155">
        <v>436018</v>
      </c>
      <c r="CO186" s="155">
        <v>437613</v>
      </c>
      <c r="CP186" s="155">
        <v>439285</v>
      </c>
      <c r="CQ186" s="155">
        <v>441090</v>
      </c>
      <c r="CR186" s="155">
        <v>443034</v>
      </c>
      <c r="CS186" s="155">
        <v>445005</v>
      </c>
      <c r="CT186" s="155">
        <v>446931</v>
      </c>
      <c r="CU186" s="155">
        <v>448742</v>
      </c>
      <c r="CV186" s="155">
        <v>450443</v>
      </c>
      <c r="CW186" s="155">
        <v>451854</v>
      </c>
      <c r="CX186" s="155">
        <v>452863</v>
      </c>
      <c r="CY186" s="154">
        <v>453624</v>
      </c>
    </row>
    <row r="187" spans="1:103">
      <c r="A187" s="155" t="s">
        <v>1139</v>
      </c>
      <c r="B187" s="154">
        <v>78</v>
      </c>
      <c r="C187" s="155">
        <v>232110</v>
      </c>
      <c r="D187" s="155">
        <v>228570</v>
      </c>
      <c r="E187" s="155">
        <v>233998</v>
      </c>
      <c r="F187" s="155">
        <v>302670</v>
      </c>
      <c r="G187" s="155">
        <v>275993</v>
      </c>
      <c r="H187" s="155">
        <v>259593</v>
      </c>
      <c r="I187" s="155">
        <v>249774</v>
      </c>
      <c r="J187" s="155">
        <v>244889</v>
      </c>
      <c r="K187" s="155">
        <v>240814</v>
      </c>
      <c r="L187" s="155">
        <v>247664</v>
      </c>
      <c r="M187" s="155">
        <v>249927</v>
      </c>
      <c r="N187" s="155">
        <v>249295</v>
      </c>
      <c r="O187" s="155">
        <v>259409</v>
      </c>
      <c r="P187" s="155">
        <v>268122</v>
      </c>
      <c r="Q187" s="155">
        <v>279478</v>
      </c>
      <c r="R187" s="155">
        <v>286164</v>
      </c>
      <c r="S187" s="155">
        <v>293212</v>
      </c>
      <c r="T187" s="155">
        <v>304129</v>
      </c>
      <c r="U187" s="155">
        <v>313577</v>
      </c>
      <c r="V187" s="155">
        <v>320124</v>
      </c>
      <c r="W187" s="155">
        <v>326379</v>
      </c>
      <c r="X187" s="155">
        <v>330203</v>
      </c>
      <c r="Y187" s="155">
        <v>327639</v>
      </c>
      <c r="Z187" s="155">
        <v>329877</v>
      </c>
      <c r="AA187" s="155">
        <v>326759</v>
      </c>
      <c r="AB187" s="155">
        <v>327429</v>
      </c>
      <c r="AC187" s="155">
        <v>320022</v>
      </c>
      <c r="AD187" s="155">
        <v>327589</v>
      </c>
      <c r="AE187" s="155">
        <v>317594</v>
      </c>
      <c r="AF187" s="155">
        <v>307141</v>
      </c>
      <c r="AG187" s="155">
        <v>296471</v>
      </c>
      <c r="AH187" s="155">
        <v>293715</v>
      </c>
      <c r="AI187" s="155">
        <v>289473</v>
      </c>
      <c r="AJ187" s="155">
        <v>284384</v>
      </c>
      <c r="AK187" s="155">
        <v>290021</v>
      </c>
      <c r="AL187" s="155">
        <v>312599</v>
      </c>
      <c r="AM187" s="155">
        <v>326082</v>
      </c>
      <c r="AN187" s="155">
        <v>325997</v>
      </c>
      <c r="AO187" s="155">
        <v>325201</v>
      </c>
      <c r="AP187" s="155">
        <v>328354</v>
      </c>
      <c r="AQ187" s="155">
        <v>330993</v>
      </c>
      <c r="AR187" s="155">
        <v>344186</v>
      </c>
      <c r="AS187" s="155">
        <v>348921</v>
      </c>
      <c r="AT187" s="155">
        <v>353327</v>
      </c>
      <c r="AU187" s="155">
        <v>365817</v>
      </c>
      <c r="AV187" s="155">
        <v>367720</v>
      </c>
      <c r="AW187" s="155">
        <v>375169</v>
      </c>
      <c r="AX187" s="155">
        <v>383317</v>
      </c>
      <c r="AY187" s="155">
        <v>384481</v>
      </c>
      <c r="AZ187" s="155">
        <v>381538</v>
      </c>
      <c r="BA187" s="155">
        <v>388121</v>
      </c>
      <c r="BB187" s="155">
        <v>387542</v>
      </c>
      <c r="BC187" s="155">
        <v>391337</v>
      </c>
      <c r="BD187" s="155">
        <v>402215</v>
      </c>
      <c r="BE187" s="155">
        <v>401911</v>
      </c>
      <c r="BF187" s="155">
        <v>408328</v>
      </c>
      <c r="BG187" s="155">
        <v>405245</v>
      </c>
      <c r="BH187" s="155">
        <v>403109</v>
      </c>
      <c r="BI187" s="155">
        <v>407741</v>
      </c>
      <c r="BJ187" s="155">
        <v>417886</v>
      </c>
      <c r="BK187" s="155">
        <v>425277</v>
      </c>
      <c r="BL187" s="155">
        <v>425612</v>
      </c>
      <c r="BM187" s="155">
        <v>425054</v>
      </c>
      <c r="BN187" s="155">
        <v>430546</v>
      </c>
      <c r="BO187" s="155">
        <v>442699</v>
      </c>
      <c r="BP187" s="155">
        <v>441412</v>
      </c>
      <c r="BQ187" s="155">
        <v>445027</v>
      </c>
      <c r="BR187" s="155">
        <v>451627</v>
      </c>
      <c r="BS187" s="155">
        <v>452620</v>
      </c>
      <c r="BT187" s="155">
        <v>446514</v>
      </c>
      <c r="BU187" s="155">
        <v>440714</v>
      </c>
      <c r="BV187" s="155">
        <v>441392</v>
      </c>
      <c r="BW187" s="155">
        <v>446699</v>
      </c>
      <c r="BX187" s="155">
        <v>439312</v>
      </c>
      <c r="BY187" s="155">
        <v>434407</v>
      </c>
      <c r="BZ187" s="155">
        <v>433576</v>
      </c>
      <c r="CA187" s="155">
        <v>429309</v>
      </c>
      <c r="CB187" s="155">
        <v>422851</v>
      </c>
      <c r="CC187" s="155">
        <v>426995</v>
      </c>
      <c r="CD187" s="155">
        <v>414025</v>
      </c>
      <c r="CE187" s="155">
        <v>414480</v>
      </c>
      <c r="CF187" s="155">
        <v>416884</v>
      </c>
      <c r="CG187" s="155">
        <v>418843</v>
      </c>
      <c r="CH187" s="155">
        <v>420371</v>
      </c>
      <c r="CI187" s="155">
        <v>421662</v>
      </c>
      <c r="CJ187" s="155">
        <v>422927</v>
      </c>
      <c r="CK187" s="155">
        <v>424127</v>
      </c>
      <c r="CL187" s="155">
        <v>425335</v>
      </c>
      <c r="CM187" s="155">
        <v>426522</v>
      </c>
      <c r="CN187" s="155">
        <v>427873</v>
      </c>
      <c r="CO187" s="155">
        <v>429432</v>
      </c>
      <c r="CP187" s="155">
        <v>431074</v>
      </c>
      <c r="CQ187" s="155">
        <v>432794</v>
      </c>
      <c r="CR187" s="155">
        <v>434642</v>
      </c>
      <c r="CS187" s="155">
        <v>436629</v>
      </c>
      <c r="CT187" s="155">
        <v>438641</v>
      </c>
      <c r="CU187" s="155">
        <v>440609</v>
      </c>
      <c r="CV187" s="155">
        <v>442467</v>
      </c>
      <c r="CW187" s="155">
        <v>444212</v>
      </c>
      <c r="CX187" s="155">
        <v>445672</v>
      </c>
      <c r="CY187" s="154">
        <v>446735</v>
      </c>
    </row>
    <row r="188" spans="1:103">
      <c r="A188" s="155" t="s">
        <v>1139</v>
      </c>
      <c r="B188" s="154">
        <v>79</v>
      </c>
      <c r="C188" s="155">
        <v>207838</v>
      </c>
      <c r="D188" s="155">
        <v>221486</v>
      </c>
      <c r="E188" s="155">
        <v>218657</v>
      </c>
      <c r="F188" s="155">
        <v>224084</v>
      </c>
      <c r="G188" s="155">
        <v>290046</v>
      </c>
      <c r="H188" s="155">
        <v>264598</v>
      </c>
      <c r="I188" s="155">
        <v>248911</v>
      </c>
      <c r="J188" s="155">
        <v>239525</v>
      </c>
      <c r="K188" s="155">
        <v>234871</v>
      </c>
      <c r="L188" s="155">
        <v>231020</v>
      </c>
      <c r="M188" s="155">
        <v>237672</v>
      </c>
      <c r="N188" s="155">
        <v>239949</v>
      </c>
      <c r="O188" s="155">
        <v>239458</v>
      </c>
      <c r="P188" s="155">
        <v>249298</v>
      </c>
      <c r="Q188" s="155">
        <v>257794</v>
      </c>
      <c r="R188" s="155">
        <v>268831</v>
      </c>
      <c r="S188" s="155">
        <v>275378</v>
      </c>
      <c r="T188" s="155">
        <v>282276</v>
      </c>
      <c r="U188" s="155">
        <v>292900</v>
      </c>
      <c r="V188" s="155">
        <v>302112</v>
      </c>
      <c r="W188" s="155">
        <v>308536</v>
      </c>
      <c r="X188" s="155">
        <v>314684</v>
      </c>
      <c r="Y188" s="155">
        <v>318492</v>
      </c>
      <c r="Z188" s="155">
        <v>316142</v>
      </c>
      <c r="AA188" s="155">
        <v>318424</v>
      </c>
      <c r="AB188" s="155">
        <v>315534</v>
      </c>
      <c r="AC188" s="155">
        <v>316304</v>
      </c>
      <c r="AD188" s="155">
        <v>309270</v>
      </c>
      <c r="AE188" s="155">
        <v>316703</v>
      </c>
      <c r="AF188" s="155">
        <v>307155</v>
      </c>
      <c r="AG188" s="155">
        <v>297157</v>
      </c>
      <c r="AH188" s="155">
        <v>286940</v>
      </c>
      <c r="AI188" s="155">
        <v>284376</v>
      </c>
      <c r="AJ188" s="155">
        <v>280367</v>
      </c>
      <c r="AK188" s="155">
        <v>275538</v>
      </c>
      <c r="AL188" s="155">
        <v>281099</v>
      </c>
      <c r="AM188" s="155">
        <v>303080</v>
      </c>
      <c r="AN188" s="155">
        <v>316260</v>
      </c>
      <c r="AO188" s="155">
        <v>316282</v>
      </c>
      <c r="AP188" s="155">
        <v>315615</v>
      </c>
      <c r="AQ188" s="155">
        <v>318779</v>
      </c>
      <c r="AR188" s="155">
        <v>321444</v>
      </c>
      <c r="AS188" s="155">
        <v>334365</v>
      </c>
      <c r="AT188" s="155">
        <v>339072</v>
      </c>
      <c r="AU188" s="155">
        <v>343462</v>
      </c>
      <c r="AV188" s="155">
        <v>355712</v>
      </c>
      <c r="AW188" s="155">
        <v>357673</v>
      </c>
      <c r="AX188" s="155">
        <v>365031</v>
      </c>
      <c r="AY188" s="155">
        <v>373067</v>
      </c>
      <c r="AZ188" s="155">
        <v>374314</v>
      </c>
      <c r="BA188" s="155">
        <v>371560</v>
      </c>
      <c r="BB188" s="155">
        <v>378080</v>
      </c>
      <c r="BC188" s="155">
        <v>377626</v>
      </c>
      <c r="BD188" s="155">
        <v>381433</v>
      </c>
      <c r="BE188" s="155">
        <v>392143</v>
      </c>
      <c r="BF188" s="155">
        <v>391957</v>
      </c>
      <c r="BG188" s="155">
        <v>398321</v>
      </c>
      <c r="BH188" s="155">
        <v>395417</v>
      </c>
      <c r="BI188" s="155">
        <v>393442</v>
      </c>
      <c r="BJ188" s="155">
        <v>398071</v>
      </c>
      <c r="BK188" s="155">
        <v>408081</v>
      </c>
      <c r="BL188" s="155">
        <v>415411</v>
      </c>
      <c r="BM188" s="155">
        <v>415849</v>
      </c>
      <c r="BN188" s="155">
        <v>415404</v>
      </c>
      <c r="BO188" s="155">
        <v>420878</v>
      </c>
      <c r="BP188" s="155">
        <v>432867</v>
      </c>
      <c r="BQ188" s="155">
        <v>431712</v>
      </c>
      <c r="BR188" s="155">
        <v>435355</v>
      </c>
      <c r="BS188" s="155">
        <v>441918</v>
      </c>
      <c r="BT188" s="155">
        <v>442995</v>
      </c>
      <c r="BU188" s="155">
        <v>437123</v>
      </c>
      <c r="BV188" s="155">
        <v>431545</v>
      </c>
      <c r="BW188" s="155">
        <v>432310</v>
      </c>
      <c r="BX188" s="155">
        <v>437608</v>
      </c>
      <c r="BY188" s="155">
        <v>430470</v>
      </c>
      <c r="BZ188" s="155">
        <v>425759</v>
      </c>
      <c r="CA188" s="155">
        <v>425038</v>
      </c>
      <c r="CB188" s="155">
        <v>420949</v>
      </c>
      <c r="CC188" s="155">
        <v>414706</v>
      </c>
      <c r="CD188" s="155">
        <v>418859</v>
      </c>
      <c r="CE188" s="155">
        <v>406224</v>
      </c>
      <c r="CF188" s="155">
        <v>406755</v>
      </c>
      <c r="CG188" s="155">
        <v>409200</v>
      </c>
      <c r="CH188" s="155">
        <v>411207</v>
      </c>
      <c r="CI188" s="155">
        <v>412789</v>
      </c>
      <c r="CJ188" s="155">
        <v>414140</v>
      </c>
      <c r="CK188" s="155">
        <v>415463</v>
      </c>
      <c r="CL188" s="155">
        <v>416725</v>
      </c>
      <c r="CM188" s="155">
        <v>417992</v>
      </c>
      <c r="CN188" s="155">
        <v>419238</v>
      </c>
      <c r="CO188" s="155">
        <v>420646</v>
      </c>
      <c r="CP188" s="155">
        <v>422258</v>
      </c>
      <c r="CQ188" s="155">
        <v>423948</v>
      </c>
      <c r="CR188" s="155">
        <v>425719</v>
      </c>
      <c r="CS188" s="155">
        <v>427614</v>
      </c>
      <c r="CT188" s="155">
        <v>429645</v>
      </c>
      <c r="CU188" s="155">
        <v>431702</v>
      </c>
      <c r="CV188" s="155">
        <v>433714</v>
      </c>
      <c r="CW188" s="155">
        <v>435619</v>
      </c>
      <c r="CX188" s="155">
        <v>437412</v>
      </c>
      <c r="CY188" s="154">
        <v>438924</v>
      </c>
    </row>
    <row r="189" spans="1:103">
      <c r="A189" s="155" t="s">
        <v>1139</v>
      </c>
      <c r="B189" s="154">
        <v>80</v>
      </c>
      <c r="C189" s="155">
        <v>179074</v>
      </c>
      <c r="D189" s="155">
        <v>197086</v>
      </c>
      <c r="E189" s="155">
        <v>210610</v>
      </c>
      <c r="F189" s="155">
        <v>208202</v>
      </c>
      <c r="G189" s="155">
        <v>213603</v>
      </c>
      <c r="H189" s="155">
        <v>276693</v>
      </c>
      <c r="I189" s="155">
        <v>252520</v>
      </c>
      <c r="J189" s="155">
        <v>237593</v>
      </c>
      <c r="K189" s="155">
        <v>228667</v>
      </c>
      <c r="L189" s="155">
        <v>224261</v>
      </c>
      <c r="M189" s="155">
        <v>220642</v>
      </c>
      <c r="N189" s="155">
        <v>227080</v>
      </c>
      <c r="O189" s="155">
        <v>229366</v>
      </c>
      <c r="P189" s="155">
        <v>229017</v>
      </c>
      <c r="Q189" s="155">
        <v>238554</v>
      </c>
      <c r="R189" s="155">
        <v>246811</v>
      </c>
      <c r="S189" s="155">
        <v>257502</v>
      </c>
      <c r="T189" s="155">
        <v>263894</v>
      </c>
      <c r="U189" s="155">
        <v>270626</v>
      </c>
      <c r="V189" s="155">
        <v>280935</v>
      </c>
      <c r="W189" s="155">
        <v>289894</v>
      </c>
      <c r="X189" s="155">
        <v>296183</v>
      </c>
      <c r="Y189" s="155">
        <v>302214</v>
      </c>
      <c r="Z189" s="155">
        <v>306003</v>
      </c>
      <c r="AA189" s="155">
        <v>303880</v>
      </c>
      <c r="AB189" s="155">
        <v>306205</v>
      </c>
      <c r="AC189" s="155">
        <v>303555</v>
      </c>
      <c r="AD189" s="155">
        <v>304426</v>
      </c>
      <c r="AE189" s="155">
        <v>297783</v>
      </c>
      <c r="AF189" s="155">
        <v>305069</v>
      </c>
      <c r="AG189" s="155">
        <v>295996</v>
      </c>
      <c r="AH189" s="155">
        <v>286479</v>
      </c>
      <c r="AI189" s="155">
        <v>276740</v>
      </c>
      <c r="AJ189" s="155">
        <v>274378</v>
      </c>
      <c r="AK189" s="155">
        <v>270617</v>
      </c>
      <c r="AL189" s="155">
        <v>266061</v>
      </c>
      <c r="AM189" s="155">
        <v>271537</v>
      </c>
      <c r="AN189" s="155">
        <v>292874</v>
      </c>
      <c r="AO189" s="155">
        <v>305727</v>
      </c>
      <c r="AP189" s="155">
        <v>305859</v>
      </c>
      <c r="AQ189" s="155">
        <v>305327</v>
      </c>
      <c r="AR189" s="155">
        <v>308501</v>
      </c>
      <c r="AS189" s="155">
        <v>311191</v>
      </c>
      <c r="AT189" s="155">
        <v>323814</v>
      </c>
      <c r="AU189" s="155">
        <v>328490</v>
      </c>
      <c r="AV189" s="155">
        <v>332857</v>
      </c>
      <c r="AW189" s="155">
        <v>344846</v>
      </c>
      <c r="AX189" s="155">
        <v>346867</v>
      </c>
      <c r="AY189" s="155">
        <v>354122</v>
      </c>
      <c r="AZ189" s="155">
        <v>362036</v>
      </c>
      <c r="BA189" s="155">
        <v>363368</v>
      </c>
      <c r="BB189" s="155">
        <v>360814</v>
      </c>
      <c r="BC189" s="155">
        <v>367263</v>
      </c>
      <c r="BD189" s="155">
        <v>366941</v>
      </c>
      <c r="BE189" s="155">
        <v>370756</v>
      </c>
      <c r="BF189" s="155">
        <v>381284</v>
      </c>
      <c r="BG189" s="155">
        <v>381222</v>
      </c>
      <c r="BH189" s="155">
        <v>387528</v>
      </c>
      <c r="BI189" s="155">
        <v>384813</v>
      </c>
      <c r="BJ189" s="155">
        <v>383008</v>
      </c>
      <c r="BK189" s="155">
        <v>387631</v>
      </c>
      <c r="BL189" s="155">
        <v>397491</v>
      </c>
      <c r="BM189" s="155">
        <v>404752</v>
      </c>
      <c r="BN189" s="155">
        <v>405296</v>
      </c>
      <c r="BO189" s="155">
        <v>404974</v>
      </c>
      <c r="BP189" s="155">
        <v>410425</v>
      </c>
      <c r="BQ189" s="155">
        <v>422233</v>
      </c>
      <c r="BR189" s="155">
        <v>421221</v>
      </c>
      <c r="BS189" s="155">
        <v>424891</v>
      </c>
      <c r="BT189" s="155">
        <v>431409</v>
      </c>
      <c r="BU189" s="155">
        <v>432575</v>
      </c>
      <c r="BV189" s="155">
        <v>426952</v>
      </c>
      <c r="BW189" s="155">
        <v>421613</v>
      </c>
      <c r="BX189" s="155">
        <v>422469</v>
      </c>
      <c r="BY189" s="155">
        <v>427754</v>
      </c>
      <c r="BZ189" s="155">
        <v>420884</v>
      </c>
      <c r="CA189" s="155">
        <v>416381</v>
      </c>
      <c r="CB189" s="155">
        <v>415778</v>
      </c>
      <c r="CC189" s="155">
        <v>411880</v>
      </c>
      <c r="CD189" s="155">
        <v>405868</v>
      </c>
      <c r="CE189" s="155">
        <v>410028</v>
      </c>
      <c r="CF189" s="155">
        <v>397753</v>
      </c>
      <c r="CG189" s="155">
        <v>398367</v>
      </c>
      <c r="CH189" s="155">
        <v>400852</v>
      </c>
      <c r="CI189" s="155">
        <v>402909</v>
      </c>
      <c r="CJ189" s="155">
        <v>404549</v>
      </c>
      <c r="CK189" s="155">
        <v>405963</v>
      </c>
      <c r="CL189" s="155">
        <v>407349</v>
      </c>
      <c r="CM189" s="155">
        <v>408676</v>
      </c>
      <c r="CN189" s="155">
        <v>410006</v>
      </c>
      <c r="CO189" s="155">
        <v>411314</v>
      </c>
      <c r="CP189" s="155">
        <v>412781</v>
      </c>
      <c r="CQ189" s="155">
        <v>414448</v>
      </c>
      <c r="CR189" s="155">
        <v>416192</v>
      </c>
      <c r="CS189" s="155">
        <v>418016</v>
      </c>
      <c r="CT189" s="155">
        <v>419960</v>
      </c>
      <c r="CU189" s="155">
        <v>422039</v>
      </c>
      <c r="CV189" s="155">
        <v>424144</v>
      </c>
      <c r="CW189" s="155">
        <v>426202</v>
      </c>
      <c r="CX189" s="155">
        <v>428157</v>
      </c>
      <c r="CY189" s="154">
        <v>430000</v>
      </c>
    </row>
    <row r="190" spans="1:103">
      <c r="A190" s="155" t="s">
        <v>1139</v>
      </c>
      <c r="B190" s="154">
        <v>81</v>
      </c>
      <c r="C190" s="155">
        <v>152708</v>
      </c>
      <c r="D190" s="155">
        <v>168625</v>
      </c>
      <c r="E190" s="155">
        <v>186128</v>
      </c>
      <c r="F190" s="155">
        <v>199187</v>
      </c>
      <c r="G190" s="155">
        <v>197192</v>
      </c>
      <c r="H190" s="155">
        <v>202545</v>
      </c>
      <c r="I190" s="155">
        <v>262577</v>
      </c>
      <c r="J190" s="155">
        <v>239744</v>
      </c>
      <c r="K190" s="155">
        <v>225620</v>
      </c>
      <c r="L190" s="155">
        <v>217180</v>
      </c>
      <c r="M190" s="155">
        <v>213039</v>
      </c>
      <c r="N190" s="155">
        <v>209664</v>
      </c>
      <c r="O190" s="155">
        <v>215872</v>
      </c>
      <c r="P190" s="155">
        <v>218158</v>
      </c>
      <c r="Q190" s="155">
        <v>217949</v>
      </c>
      <c r="R190" s="155">
        <v>227156</v>
      </c>
      <c r="S190" s="155">
        <v>235149</v>
      </c>
      <c r="T190" s="155">
        <v>245467</v>
      </c>
      <c r="U190" s="155">
        <v>251689</v>
      </c>
      <c r="V190" s="155">
        <v>258238</v>
      </c>
      <c r="W190" s="155">
        <v>268207</v>
      </c>
      <c r="X190" s="155">
        <v>276892</v>
      </c>
      <c r="Y190" s="155">
        <v>283037</v>
      </c>
      <c r="Z190" s="155">
        <v>288938</v>
      </c>
      <c r="AA190" s="155">
        <v>292702</v>
      </c>
      <c r="AB190" s="155">
        <v>290817</v>
      </c>
      <c r="AC190" s="155">
        <v>293183</v>
      </c>
      <c r="AD190" s="155">
        <v>290784</v>
      </c>
      <c r="AE190" s="155">
        <v>291755</v>
      </c>
      <c r="AF190" s="155">
        <v>285525</v>
      </c>
      <c r="AG190" s="155">
        <v>292648</v>
      </c>
      <c r="AH190" s="155">
        <v>284075</v>
      </c>
      <c r="AI190" s="155">
        <v>275067</v>
      </c>
      <c r="AJ190" s="155">
        <v>265834</v>
      </c>
      <c r="AK190" s="155">
        <v>263682</v>
      </c>
      <c r="AL190" s="155">
        <v>260181</v>
      </c>
      <c r="AM190" s="155">
        <v>255914</v>
      </c>
      <c r="AN190" s="155">
        <v>261294</v>
      </c>
      <c r="AO190" s="155">
        <v>281939</v>
      </c>
      <c r="AP190" s="155">
        <v>294437</v>
      </c>
      <c r="AQ190" s="155">
        <v>294682</v>
      </c>
      <c r="AR190" s="155">
        <v>294291</v>
      </c>
      <c r="AS190" s="155">
        <v>297471</v>
      </c>
      <c r="AT190" s="155">
        <v>300184</v>
      </c>
      <c r="AU190" s="155">
        <v>312484</v>
      </c>
      <c r="AV190" s="155">
        <v>317118</v>
      </c>
      <c r="AW190" s="155">
        <v>321459</v>
      </c>
      <c r="AX190" s="155">
        <v>333164</v>
      </c>
      <c r="AY190" s="155">
        <v>335243</v>
      </c>
      <c r="AZ190" s="155">
        <v>342385</v>
      </c>
      <c r="BA190" s="155">
        <v>350166</v>
      </c>
      <c r="BB190" s="155">
        <v>351582</v>
      </c>
      <c r="BC190" s="155">
        <v>349239</v>
      </c>
      <c r="BD190" s="155">
        <v>355609</v>
      </c>
      <c r="BE190" s="155">
        <v>355424</v>
      </c>
      <c r="BF190" s="155">
        <v>359244</v>
      </c>
      <c r="BG190" s="155">
        <v>369572</v>
      </c>
      <c r="BH190" s="155">
        <v>369640</v>
      </c>
      <c r="BI190" s="155">
        <v>375878</v>
      </c>
      <c r="BJ190" s="155">
        <v>373365</v>
      </c>
      <c r="BK190" s="155">
        <v>371739</v>
      </c>
      <c r="BL190" s="155">
        <v>376350</v>
      </c>
      <c r="BM190" s="155">
        <v>386048</v>
      </c>
      <c r="BN190" s="155">
        <v>393232</v>
      </c>
      <c r="BO190" s="155">
        <v>393887</v>
      </c>
      <c r="BP190" s="155">
        <v>393694</v>
      </c>
      <c r="BQ190" s="155">
        <v>399115</v>
      </c>
      <c r="BR190" s="155">
        <v>410725</v>
      </c>
      <c r="BS190" s="155">
        <v>409861</v>
      </c>
      <c r="BT190" s="155">
        <v>413558</v>
      </c>
      <c r="BU190" s="155">
        <v>420028</v>
      </c>
      <c r="BV190" s="155">
        <v>421284</v>
      </c>
      <c r="BW190" s="155">
        <v>415930</v>
      </c>
      <c r="BX190" s="155">
        <v>410845</v>
      </c>
      <c r="BY190" s="155">
        <v>411795</v>
      </c>
      <c r="BZ190" s="155">
        <v>417066</v>
      </c>
      <c r="CA190" s="155">
        <v>410484</v>
      </c>
      <c r="CB190" s="155">
        <v>406203</v>
      </c>
      <c r="CC190" s="155">
        <v>405723</v>
      </c>
      <c r="CD190" s="155">
        <v>402031</v>
      </c>
      <c r="CE190" s="155">
        <v>396267</v>
      </c>
      <c r="CF190" s="155">
        <v>400434</v>
      </c>
      <c r="CG190" s="155">
        <v>388545</v>
      </c>
      <c r="CH190" s="155">
        <v>389246</v>
      </c>
      <c r="CI190" s="155">
        <v>391774</v>
      </c>
      <c r="CJ190" s="155">
        <v>393884</v>
      </c>
      <c r="CK190" s="155">
        <v>395586</v>
      </c>
      <c r="CL190" s="155">
        <v>397065</v>
      </c>
      <c r="CM190" s="155">
        <v>398519</v>
      </c>
      <c r="CN190" s="155">
        <v>399912</v>
      </c>
      <c r="CO190" s="155">
        <v>401307</v>
      </c>
      <c r="CP190" s="155">
        <v>402682</v>
      </c>
      <c r="CQ190" s="155">
        <v>404211</v>
      </c>
      <c r="CR190" s="155">
        <v>405937</v>
      </c>
      <c r="CS190" s="155">
        <v>407736</v>
      </c>
      <c r="CT190" s="155">
        <v>409617</v>
      </c>
      <c r="CU190" s="155">
        <v>411614</v>
      </c>
      <c r="CV190" s="155">
        <v>413743</v>
      </c>
      <c r="CW190" s="155">
        <v>415896</v>
      </c>
      <c r="CX190" s="155">
        <v>418005</v>
      </c>
      <c r="CY190" s="154">
        <v>420013</v>
      </c>
    </row>
    <row r="191" spans="1:103">
      <c r="A191" s="155" t="s">
        <v>1139</v>
      </c>
      <c r="B191" s="154">
        <v>82</v>
      </c>
      <c r="C191" s="155">
        <v>151194</v>
      </c>
      <c r="D191" s="155">
        <v>142712</v>
      </c>
      <c r="E191" s="155">
        <v>158050</v>
      </c>
      <c r="F191" s="155">
        <v>174703</v>
      </c>
      <c r="G191" s="155">
        <v>187248</v>
      </c>
      <c r="H191" s="155">
        <v>185650</v>
      </c>
      <c r="I191" s="155">
        <v>190914</v>
      </c>
      <c r="J191" s="155">
        <v>247711</v>
      </c>
      <c r="K191" s="155">
        <v>226283</v>
      </c>
      <c r="L191" s="155">
        <v>213005</v>
      </c>
      <c r="M191" s="155">
        <v>205079</v>
      </c>
      <c r="N191" s="155">
        <v>201218</v>
      </c>
      <c r="O191" s="155">
        <v>198101</v>
      </c>
      <c r="P191" s="155">
        <v>204061</v>
      </c>
      <c r="Q191" s="155">
        <v>206340</v>
      </c>
      <c r="R191" s="155">
        <v>206269</v>
      </c>
      <c r="S191" s="155">
        <v>215116</v>
      </c>
      <c r="T191" s="155">
        <v>222820</v>
      </c>
      <c r="U191" s="155">
        <v>232733</v>
      </c>
      <c r="V191" s="155">
        <v>238767</v>
      </c>
      <c r="W191" s="155">
        <v>245117</v>
      </c>
      <c r="X191" s="155">
        <v>254722</v>
      </c>
      <c r="Y191" s="155">
        <v>263111</v>
      </c>
      <c r="Z191" s="155">
        <v>269096</v>
      </c>
      <c r="AA191" s="155">
        <v>274856</v>
      </c>
      <c r="AB191" s="155">
        <v>278589</v>
      </c>
      <c r="AC191" s="155">
        <v>276950</v>
      </c>
      <c r="AD191" s="155">
        <v>279350</v>
      </c>
      <c r="AE191" s="155">
        <v>277211</v>
      </c>
      <c r="AF191" s="155">
        <v>278284</v>
      </c>
      <c r="AG191" s="155">
        <v>272484</v>
      </c>
      <c r="AH191" s="155">
        <v>279427</v>
      </c>
      <c r="AI191" s="155">
        <v>271381</v>
      </c>
      <c r="AJ191" s="155">
        <v>262909</v>
      </c>
      <c r="AK191" s="155">
        <v>254211</v>
      </c>
      <c r="AL191" s="155">
        <v>252277</v>
      </c>
      <c r="AM191" s="155">
        <v>249049</v>
      </c>
      <c r="AN191" s="155">
        <v>245085</v>
      </c>
      <c r="AO191" s="155">
        <v>250356</v>
      </c>
      <c r="AP191" s="155">
        <v>270258</v>
      </c>
      <c r="AQ191" s="155">
        <v>282372</v>
      </c>
      <c r="AR191" s="155">
        <v>282733</v>
      </c>
      <c r="AS191" s="155">
        <v>282487</v>
      </c>
      <c r="AT191" s="155">
        <v>285667</v>
      </c>
      <c r="AU191" s="155">
        <v>288400</v>
      </c>
      <c r="AV191" s="155">
        <v>300349</v>
      </c>
      <c r="AW191" s="155">
        <v>304935</v>
      </c>
      <c r="AX191" s="155">
        <v>309241</v>
      </c>
      <c r="AY191" s="155">
        <v>320637</v>
      </c>
      <c r="AZ191" s="155">
        <v>322774</v>
      </c>
      <c r="BA191" s="155">
        <v>329790</v>
      </c>
      <c r="BB191" s="155">
        <v>337420</v>
      </c>
      <c r="BC191" s="155">
        <v>338924</v>
      </c>
      <c r="BD191" s="155">
        <v>336803</v>
      </c>
      <c r="BE191" s="155">
        <v>343083</v>
      </c>
      <c r="BF191" s="155">
        <v>343040</v>
      </c>
      <c r="BG191" s="155">
        <v>346861</v>
      </c>
      <c r="BH191" s="155">
        <v>356969</v>
      </c>
      <c r="BI191" s="155">
        <v>357172</v>
      </c>
      <c r="BJ191" s="155">
        <v>363333</v>
      </c>
      <c r="BK191" s="155">
        <v>361035</v>
      </c>
      <c r="BL191" s="155">
        <v>359596</v>
      </c>
      <c r="BM191" s="155">
        <v>364191</v>
      </c>
      <c r="BN191" s="155">
        <v>373709</v>
      </c>
      <c r="BO191" s="155">
        <v>380804</v>
      </c>
      <c r="BP191" s="155">
        <v>381574</v>
      </c>
      <c r="BQ191" s="155">
        <v>381518</v>
      </c>
      <c r="BR191" s="155">
        <v>386904</v>
      </c>
      <c r="BS191" s="155">
        <v>398294</v>
      </c>
      <c r="BT191" s="155">
        <v>397589</v>
      </c>
      <c r="BU191" s="155">
        <v>401310</v>
      </c>
      <c r="BV191" s="155">
        <v>407722</v>
      </c>
      <c r="BW191" s="155">
        <v>409074</v>
      </c>
      <c r="BX191" s="155">
        <v>404006</v>
      </c>
      <c r="BY191" s="155">
        <v>399193</v>
      </c>
      <c r="BZ191" s="155">
        <v>400244</v>
      </c>
      <c r="CA191" s="155">
        <v>405492</v>
      </c>
      <c r="CB191" s="155">
        <v>399220</v>
      </c>
      <c r="CC191" s="155">
        <v>395177</v>
      </c>
      <c r="CD191" s="155">
        <v>394828</v>
      </c>
      <c r="CE191" s="155">
        <v>391354</v>
      </c>
      <c r="CF191" s="155">
        <v>385857</v>
      </c>
      <c r="CG191" s="155">
        <v>390028</v>
      </c>
      <c r="CH191" s="155">
        <v>378557</v>
      </c>
      <c r="CI191" s="155">
        <v>379348</v>
      </c>
      <c r="CJ191" s="155">
        <v>381920</v>
      </c>
      <c r="CK191" s="155">
        <v>384084</v>
      </c>
      <c r="CL191" s="155">
        <v>385851</v>
      </c>
      <c r="CM191" s="155">
        <v>387399</v>
      </c>
      <c r="CN191" s="155">
        <v>388923</v>
      </c>
      <c r="CO191" s="155">
        <v>390386</v>
      </c>
      <c r="CP191" s="155">
        <v>391851</v>
      </c>
      <c r="CQ191" s="155">
        <v>393295</v>
      </c>
      <c r="CR191" s="155">
        <v>394891</v>
      </c>
      <c r="CS191" s="155">
        <v>396678</v>
      </c>
      <c r="CT191" s="155">
        <v>398537</v>
      </c>
      <c r="CU191" s="155">
        <v>400478</v>
      </c>
      <c r="CV191" s="155">
        <v>402528</v>
      </c>
      <c r="CW191" s="155">
        <v>404709</v>
      </c>
      <c r="CX191" s="155">
        <v>406914</v>
      </c>
      <c r="CY191" s="154">
        <v>409075</v>
      </c>
    </row>
    <row r="192" spans="1:103">
      <c r="A192" s="155" t="s">
        <v>1139</v>
      </c>
      <c r="B192" s="154">
        <v>83</v>
      </c>
      <c r="C192" s="155">
        <v>142142</v>
      </c>
      <c r="D192" s="155">
        <v>140110</v>
      </c>
      <c r="E192" s="155">
        <v>132655</v>
      </c>
      <c r="F192" s="155">
        <v>147091</v>
      </c>
      <c r="G192" s="155">
        <v>162833</v>
      </c>
      <c r="H192" s="155">
        <v>174809</v>
      </c>
      <c r="I192" s="155">
        <v>173582</v>
      </c>
      <c r="J192" s="155">
        <v>178727</v>
      </c>
      <c r="K192" s="155">
        <v>232107</v>
      </c>
      <c r="L192" s="155">
        <v>212142</v>
      </c>
      <c r="M192" s="155">
        <v>199753</v>
      </c>
      <c r="N192" s="155">
        <v>192369</v>
      </c>
      <c r="O192" s="155">
        <v>188804</v>
      </c>
      <c r="P192" s="155">
        <v>185956</v>
      </c>
      <c r="Q192" s="155">
        <v>191651</v>
      </c>
      <c r="R192" s="155">
        <v>193913</v>
      </c>
      <c r="S192" s="155">
        <v>193977</v>
      </c>
      <c r="T192" s="155">
        <v>202435</v>
      </c>
      <c r="U192" s="155">
        <v>209824</v>
      </c>
      <c r="V192" s="155">
        <v>219301</v>
      </c>
      <c r="W192" s="155">
        <v>225128</v>
      </c>
      <c r="X192" s="155">
        <v>231260</v>
      </c>
      <c r="Y192" s="155">
        <v>240472</v>
      </c>
      <c r="Z192" s="155">
        <v>248545</v>
      </c>
      <c r="AA192" s="155">
        <v>254356</v>
      </c>
      <c r="AB192" s="155">
        <v>259959</v>
      </c>
      <c r="AC192" s="155">
        <v>263649</v>
      </c>
      <c r="AD192" s="155">
        <v>262261</v>
      </c>
      <c r="AE192" s="155">
        <v>264690</v>
      </c>
      <c r="AF192" s="155">
        <v>262820</v>
      </c>
      <c r="AG192" s="155">
        <v>263992</v>
      </c>
      <c r="AH192" s="155">
        <v>258641</v>
      </c>
      <c r="AI192" s="155">
        <v>265386</v>
      </c>
      <c r="AJ192" s="155">
        <v>257890</v>
      </c>
      <c r="AK192" s="155">
        <v>249982</v>
      </c>
      <c r="AL192" s="155">
        <v>241847</v>
      </c>
      <c r="AM192" s="155">
        <v>240139</v>
      </c>
      <c r="AN192" s="155">
        <v>237194</v>
      </c>
      <c r="AO192" s="155">
        <v>233546</v>
      </c>
      <c r="AP192" s="155">
        <v>238698</v>
      </c>
      <c r="AQ192" s="155">
        <v>257801</v>
      </c>
      <c r="AR192" s="155">
        <v>269497</v>
      </c>
      <c r="AS192" s="155">
        <v>269977</v>
      </c>
      <c r="AT192" s="155">
        <v>269879</v>
      </c>
      <c r="AU192" s="155">
        <v>273054</v>
      </c>
      <c r="AV192" s="155">
        <v>275802</v>
      </c>
      <c r="AW192" s="155">
        <v>287369</v>
      </c>
      <c r="AX192" s="155">
        <v>291898</v>
      </c>
      <c r="AY192" s="155">
        <v>296163</v>
      </c>
      <c r="AZ192" s="155">
        <v>307221</v>
      </c>
      <c r="BA192" s="155">
        <v>309413</v>
      </c>
      <c r="BB192" s="155">
        <v>316288</v>
      </c>
      <c r="BC192" s="155">
        <v>323751</v>
      </c>
      <c r="BD192" s="155">
        <v>325343</v>
      </c>
      <c r="BE192" s="155">
        <v>323454</v>
      </c>
      <c r="BF192" s="155">
        <v>329632</v>
      </c>
      <c r="BG192" s="155">
        <v>329735</v>
      </c>
      <c r="BH192" s="155">
        <v>333552</v>
      </c>
      <c r="BI192" s="155">
        <v>343419</v>
      </c>
      <c r="BJ192" s="155">
        <v>343761</v>
      </c>
      <c r="BK192" s="155">
        <v>349835</v>
      </c>
      <c r="BL192" s="155">
        <v>347761</v>
      </c>
      <c r="BM192" s="155">
        <v>346520</v>
      </c>
      <c r="BN192" s="155">
        <v>351092</v>
      </c>
      <c r="BO192" s="155">
        <v>360410</v>
      </c>
      <c r="BP192" s="155">
        <v>367405</v>
      </c>
      <c r="BQ192" s="155">
        <v>368293</v>
      </c>
      <c r="BR192" s="155">
        <v>368379</v>
      </c>
      <c r="BS192" s="155">
        <v>373722</v>
      </c>
      <c r="BT192" s="155">
        <v>384872</v>
      </c>
      <c r="BU192" s="155">
        <v>384333</v>
      </c>
      <c r="BV192" s="155">
        <v>388075</v>
      </c>
      <c r="BW192" s="155">
        <v>394419</v>
      </c>
      <c r="BX192" s="155">
        <v>395873</v>
      </c>
      <c r="BY192" s="155">
        <v>391109</v>
      </c>
      <c r="BZ192" s="155">
        <v>386588</v>
      </c>
      <c r="CA192" s="155">
        <v>387741</v>
      </c>
      <c r="CB192" s="155">
        <v>392962</v>
      </c>
      <c r="CC192" s="155">
        <v>387019</v>
      </c>
      <c r="CD192" s="155">
        <v>383231</v>
      </c>
      <c r="CE192" s="155">
        <v>383021</v>
      </c>
      <c r="CF192" s="155">
        <v>379780</v>
      </c>
      <c r="CG192" s="155">
        <v>374568</v>
      </c>
      <c r="CH192" s="155">
        <v>378740</v>
      </c>
      <c r="CI192" s="155">
        <v>367719</v>
      </c>
      <c r="CJ192" s="155">
        <v>368607</v>
      </c>
      <c r="CK192" s="155">
        <v>371222</v>
      </c>
      <c r="CL192" s="155">
        <v>373440</v>
      </c>
      <c r="CM192" s="155">
        <v>375274</v>
      </c>
      <c r="CN192" s="155">
        <v>376896</v>
      </c>
      <c r="CO192" s="155">
        <v>378490</v>
      </c>
      <c r="CP192" s="155">
        <v>380028</v>
      </c>
      <c r="CQ192" s="155">
        <v>381566</v>
      </c>
      <c r="CR192" s="155">
        <v>383083</v>
      </c>
      <c r="CS192" s="155">
        <v>384750</v>
      </c>
      <c r="CT192" s="155">
        <v>386602</v>
      </c>
      <c r="CU192" s="155">
        <v>388521</v>
      </c>
      <c r="CV192" s="155">
        <v>390522</v>
      </c>
      <c r="CW192" s="155">
        <v>392630</v>
      </c>
      <c r="CX192" s="155">
        <v>394866</v>
      </c>
      <c r="CY192" s="154">
        <v>397125</v>
      </c>
    </row>
    <row r="193" spans="1:103">
      <c r="A193" s="155" t="s">
        <v>1139</v>
      </c>
      <c r="B193" s="154">
        <v>84</v>
      </c>
      <c r="C193" s="155">
        <v>129966</v>
      </c>
      <c r="D193" s="155">
        <v>130500</v>
      </c>
      <c r="E193" s="155">
        <v>129045</v>
      </c>
      <c r="F193" s="155">
        <v>122307</v>
      </c>
      <c r="G193" s="155">
        <v>135791</v>
      </c>
      <c r="H193" s="155">
        <v>150566</v>
      </c>
      <c r="I193" s="155">
        <v>161904</v>
      </c>
      <c r="J193" s="155">
        <v>161025</v>
      </c>
      <c r="K193" s="155">
        <v>166015</v>
      </c>
      <c r="L193" s="155">
        <v>215806</v>
      </c>
      <c r="M193" s="155">
        <v>197358</v>
      </c>
      <c r="N193" s="155">
        <v>185897</v>
      </c>
      <c r="O193" s="155">
        <v>179083</v>
      </c>
      <c r="P193" s="155">
        <v>175828</v>
      </c>
      <c r="Q193" s="155">
        <v>173261</v>
      </c>
      <c r="R193" s="155">
        <v>178673</v>
      </c>
      <c r="S193" s="155">
        <v>180908</v>
      </c>
      <c r="T193" s="155">
        <v>181103</v>
      </c>
      <c r="U193" s="155">
        <v>189142</v>
      </c>
      <c r="V193" s="155">
        <v>196189</v>
      </c>
      <c r="W193" s="155">
        <v>205198</v>
      </c>
      <c r="X193" s="155">
        <v>210799</v>
      </c>
      <c r="Y193" s="155">
        <v>216694</v>
      </c>
      <c r="Z193" s="155">
        <v>225485</v>
      </c>
      <c r="AA193" s="155">
        <v>233215</v>
      </c>
      <c r="AB193" s="155">
        <v>238833</v>
      </c>
      <c r="AC193" s="155">
        <v>244263</v>
      </c>
      <c r="AD193" s="155">
        <v>247899</v>
      </c>
      <c r="AE193" s="155">
        <v>246765</v>
      </c>
      <c r="AF193" s="155">
        <v>249216</v>
      </c>
      <c r="AG193" s="155">
        <v>247619</v>
      </c>
      <c r="AH193" s="155">
        <v>248887</v>
      </c>
      <c r="AI193" s="155">
        <v>244001</v>
      </c>
      <c r="AJ193" s="155">
        <v>250526</v>
      </c>
      <c r="AK193" s="155">
        <v>243606</v>
      </c>
      <c r="AL193" s="155">
        <v>236284</v>
      </c>
      <c r="AM193" s="155">
        <v>228738</v>
      </c>
      <c r="AN193" s="155">
        <v>227261</v>
      </c>
      <c r="AO193" s="155">
        <v>224610</v>
      </c>
      <c r="AP193" s="155">
        <v>221290</v>
      </c>
      <c r="AQ193" s="155">
        <v>226306</v>
      </c>
      <c r="AR193" s="155">
        <v>244555</v>
      </c>
      <c r="AS193" s="155">
        <v>255799</v>
      </c>
      <c r="AT193" s="155">
        <v>256398</v>
      </c>
      <c r="AU193" s="155">
        <v>256452</v>
      </c>
      <c r="AV193" s="155">
        <v>259613</v>
      </c>
      <c r="AW193" s="155">
        <v>262370</v>
      </c>
      <c r="AX193" s="155">
        <v>273524</v>
      </c>
      <c r="AY193" s="155">
        <v>277984</v>
      </c>
      <c r="AZ193" s="155">
        <v>282199</v>
      </c>
      <c r="BA193" s="155">
        <v>292888</v>
      </c>
      <c r="BB193" s="155">
        <v>295134</v>
      </c>
      <c r="BC193" s="155">
        <v>301849</v>
      </c>
      <c r="BD193" s="155">
        <v>309126</v>
      </c>
      <c r="BE193" s="155">
        <v>310806</v>
      </c>
      <c r="BF193" s="155">
        <v>309157</v>
      </c>
      <c r="BG193" s="155">
        <v>315221</v>
      </c>
      <c r="BH193" s="155">
        <v>315473</v>
      </c>
      <c r="BI193" s="155">
        <v>319279</v>
      </c>
      <c r="BJ193" s="155">
        <v>328880</v>
      </c>
      <c r="BK193" s="155">
        <v>329365</v>
      </c>
      <c r="BL193" s="155">
        <v>335338</v>
      </c>
      <c r="BM193" s="155">
        <v>333501</v>
      </c>
      <c r="BN193" s="155">
        <v>332466</v>
      </c>
      <c r="BO193" s="155">
        <v>337007</v>
      </c>
      <c r="BP193" s="155">
        <v>346105</v>
      </c>
      <c r="BQ193" s="155">
        <v>352986</v>
      </c>
      <c r="BR193" s="155">
        <v>353995</v>
      </c>
      <c r="BS193" s="155">
        <v>354228</v>
      </c>
      <c r="BT193" s="155">
        <v>359518</v>
      </c>
      <c r="BU193" s="155">
        <v>370401</v>
      </c>
      <c r="BV193" s="155">
        <v>370038</v>
      </c>
      <c r="BW193" s="155">
        <v>373797</v>
      </c>
      <c r="BX193" s="155">
        <v>380063</v>
      </c>
      <c r="BY193" s="155">
        <v>381619</v>
      </c>
      <c r="BZ193" s="155">
        <v>377178</v>
      </c>
      <c r="CA193" s="155">
        <v>372966</v>
      </c>
      <c r="CB193" s="155">
        <v>374225</v>
      </c>
      <c r="CC193" s="155">
        <v>379412</v>
      </c>
      <c r="CD193" s="155">
        <v>373821</v>
      </c>
      <c r="CE193" s="155">
        <v>370302</v>
      </c>
      <c r="CF193" s="155">
        <v>370238</v>
      </c>
      <c r="CG193" s="155">
        <v>367244</v>
      </c>
      <c r="CH193" s="155">
        <v>362339</v>
      </c>
      <c r="CI193" s="155">
        <v>366507</v>
      </c>
      <c r="CJ193" s="155">
        <v>355969</v>
      </c>
      <c r="CK193" s="155">
        <v>356957</v>
      </c>
      <c r="CL193" s="155">
        <v>359616</v>
      </c>
      <c r="CM193" s="155">
        <v>361891</v>
      </c>
      <c r="CN193" s="155">
        <v>363792</v>
      </c>
      <c r="CO193" s="155">
        <v>365490</v>
      </c>
      <c r="CP193" s="155">
        <v>367158</v>
      </c>
      <c r="CQ193" s="155">
        <v>368773</v>
      </c>
      <c r="CR193" s="155">
        <v>370388</v>
      </c>
      <c r="CS193" s="155">
        <v>371982</v>
      </c>
      <c r="CT193" s="155">
        <v>373720</v>
      </c>
      <c r="CU193" s="155">
        <v>375639</v>
      </c>
      <c r="CV193" s="155">
        <v>377623</v>
      </c>
      <c r="CW193" s="155">
        <v>379686</v>
      </c>
      <c r="CX193" s="155">
        <v>381852</v>
      </c>
      <c r="CY193" s="154">
        <v>384144</v>
      </c>
    </row>
    <row r="194" spans="1:103">
      <c r="A194" s="155" t="s">
        <v>1139</v>
      </c>
      <c r="B194" s="154">
        <v>85</v>
      </c>
      <c r="C194" s="155">
        <v>114898</v>
      </c>
      <c r="D194" s="155">
        <v>118055</v>
      </c>
      <c r="E194" s="155">
        <v>118971</v>
      </c>
      <c r="F194" s="155">
        <v>117749</v>
      </c>
      <c r="G194" s="155">
        <v>111723</v>
      </c>
      <c r="H194" s="155">
        <v>124212</v>
      </c>
      <c r="I194" s="155">
        <v>137952</v>
      </c>
      <c r="J194" s="155">
        <v>148597</v>
      </c>
      <c r="K194" s="155">
        <v>148035</v>
      </c>
      <c r="L194" s="155">
        <v>152835</v>
      </c>
      <c r="M194" s="155">
        <v>198880</v>
      </c>
      <c r="N194" s="155">
        <v>181995</v>
      </c>
      <c r="O194" s="155">
        <v>171496</v>
      </c>
      <c r="P194" s="155">
        <v>165273</v>
      </c>
      <c r="Q194" s="155">
        <v>162343</v>
      </c>
      <c r="R194" s="155">
        <v>160064</v>
      </c>
      <c r="S194" s="155">
        <v>165177</v>
      </c>
      <c r="T194" s="155">
        <v>167375</v>
      </c>
      <c r="U194" s="155">
        <v>167692</v>
      </c>
      <c r="V194" s="155">
        <v>175282</v>
      </c>
      <c r="W194" s="155">
        <v>181964</v>
      </c>
      <c r="X194" s="155">
        <v>190474</v>
      </c>
      <c r="Y194" s="155">
        <v>195829</v>
      </c>
      <c r="Z194" s="155">
        <v>201468</v>
      </c>
      <c r="AA194" s="155">
        <v>209806</v>
      </c>
      <c r="AB194" s="155">
        <v>217169</v>
      </c>
      <c r="AC194" s="155">
        <v>222574</v>
      </c>
      <c r="AD194" s="155">
        <v>227810</v>
      </c>
      <c r="AE194" s="155">
        <v>231378</v>
      </c>
      <c r="AF194" s="155">
        <v>230497</v>
      </c>
      <c r="AG194" s="155">
        <v>232960</v>
      </c>
      <c r="AH194" s="155">
        <v>231638</v>
      </c>
      <c r="AI194" s="155">
        <v>232996</v>
      </c>
      <c r="AJ194" s="155">
        <v>228589</v>
      </c>
      <c r="AK194" s="155">
        <v>234872</v>
      </c>
      <c r="AL194" s="155">
        <v>228545</v>
      </c>
      <c r="AM194" s="155">
        <v>221830</v>
      </c>
      <c r="AN194" s="155">
        <v>214895</v>
      </c>
      <c r="AO194" s="155">
        <v>213655</v>
      </c>
      <c r="AP194" s="155">
        <v>211305</v>
      </c>
      <c r="AQ194" s="155">
        <v>208322</v>
      </c>
      <c r="AR194" s="155">
        <v>213187</v>
      </c>
      <c r="AS194" s="155">
        <v>230525</v>
      </c>
      <c r="AT194" s="155">
        <v>241282</v>
      </c>
      <c r="AU194" s="155">
        <v>241999</v>
      </c>
      <c r="AV194" s="155">
        <v>242205</v>
      </c>
      <c r="AW194" s="155">
        <v>245343</v>
      </c>
      <c r="AX194" s="155">
        <v>248101</v>
      </c>
      <c r="AY194" s="155">
        <v>258807</v>
      </c>
      <c r="AZ194" s="155">
        <v>263186</v>
      </c>
      <c r="BA194" s="155">
        <v>267338</v>
      </c>
      <c r="BB194" s="155">
        <v>277628</v>
      </c>
      <c r="BC194" s="155">
        <v>279922</v>
      </c>
      <c r="BD194" s="155">
        <v>286459</v>
      </c>
      <c r="BE194" s="155">
        <v>293531</v>
      </c>
      <c r="BF194" s="155">
        <v>295294</v>
      </c>
      <c r="BG194" s="155">
        <v>293894</v>
      </c>
      <c r="BH194" s="155">
        <v>299826</v>
      </c>
      <c r="BI194" s="155">
        <v>300230</v>
      </c>
      <c r="BJ194" s="155">
        <v>304018</v>
      </c>
      <c r="BK194" s="155">
        <v>313327</v>
      </c>
      <c r="BL194" s="155">
        <v>313956</v>
      </c>
      <c r="BM194" s="155">
        <v>319815</v>
      </c>
      <c r="BN194" s="155">
        <v>318224</v>
      </c>
      <c r="BO194" s="155">
        <v>317402</v>
      </c>
      <c r="BP194" s="155">
        <v>321903</v>
      </c>
      <c r="BQ194" s="155">
        <v>330756</v>
      </c>
      <c r="BR194" s="155">
        <v>337507</v>
      </c>
      <c r="BS194" s="155">
        <v>338638</v>
      </c>
      <c r="BT194" s="155">
        <v>339022</v>
      </c>
      <c r="BU194" s="155">
        <v>344252</v>
      </c>
      <c r="BV194" s="155">
        <v>354839</v>
      </c>
      <c r="BW194" s="155">
        <v>354660</v>
      </c>
      <c r="BX194" s="155">
        <v>358428</v>
      </c>
      <c r="BY194" s="155">
        <v>364603</v>
      </c>
      <c r="BZ194" s="155">
        <v>366263</v>
      </c>
      <c r="CA194" s="155">
        <v>362163</v>
      </c>
      <c r="CB194" s="155">
        <v>358278</v>
      </c>
      <c r="CC194" s="155">
        <v>359646</v>
      </c>
      <c r="CD194" s="155">
        <v>364788</v>
      </c>
      <c r="CE194" s="155">
        <v>359570</v>
      </c>
      <c r="CF194" s="155">
        <v>356337</v>
      </c>
      <c r="CG194" s="155">
        <v>356426</v>
      </c>
      <c r="CH194" s="155">
        <v>353690</v>
      </c>
      <c r="CI194" s="155">
        <v>349111</v>
      </c>
      <c r="CJ194" s="155">
        <v>353271</v>
      </c>
      <c r="CK194" s="155">
        <v>343251</v>
      </c>
      <c r="CL194" s="155">
        <v>344341</v>
      </c>
      <c r="CM194" s="155">
        <v>347042</v>
      </c>
      <c r="CN194" s="155">
        <v>349375</v>
      </c>
      <c r="CO194" s="155">
        <v>351347</v>
      </c>
      <c r="CP194" s="155">
        <v>353120</v>
      </c>
      <c r="CQ194" s="155">
        <v>354865</v>
      </c>
      <c r="CR194" s="155">
        <v>356558</v>
      </c>
      <c r="CS194" s="155">
        <v>358252</v>
      </c>
      <c r="CT194" s="155">
        <v>359924</v>
      </c>
      <c r="CU194" s="155">
        <v>361737</v>
      </c>
      <c r="CV194" s="155">
        <v>363724</v>
      </c>
      <c r="CW194" s="155">
        <v>365773</v>
      </c>
      <c r="CX194" s="155">
        <v>367901</v>
      </c>
      <c r="CY194" s="154">
        <v>370126</v>
      </c>
    </row>
    <row r="195" spans="1:103">
      <c r="A195" s="155" t="s">
        <v>1139</v>
      </c>
      <c r="B195" s="154">
        <v>86</v>
      </c>
      <c r="C195" s="155">
        <v>100045</v>
      </c>
      <c r="D195" s="155">
        <v>103123</v>
      </c>
      <c r="E195" s="155">
        <v>106410</v>
      </c>
      <c r="F195" s="155">
        <v>107348</v>
      </c>
      <c r="G195" s="155">
        <v>106345</v>
      </c>
      <c r="H195" s="155">
        <v>101017</v>
      </c>
      <c r="I195" s="155">
        <v>112464</v>
      </c>
      <c r="J195" s="155">
        <v>125117</v>
      </c>
      <c r="K195" s="155">
        <v>135013</v>
      </c>
      <c r="L195" s="155">
        <v>134736</v>
      </c>
      <c r="M195" s="155">
        <v>139305</v>
      </c>
      <c r="N195" s="155">
        <v>181479</v>
      </c>
      <c r="O195" s="155">
        <v>166189</v>
      </c>
      <c r="P195" s="155">
        <v>156676</v>
      </c>
      <c r="Q195" s="155">
        <v>151063</v>
      </c>
      <c r="R195" s="155">
        <v>148466</v>
      </c>
      <c r="S195" s="155">
        <v>146481</v>
      </c>
      <c r="T195" s="155">
        <v>151278</v>
      </c>
      <c r="U195" s="155">
        <v>153426</v>
      </c>
      <c r="V195" s="155">
        <v>153857</v>
      </c>
      <c r="W195" s="155">
        <v>160972</v>
      </c>
      <c r="X195" s="155">
        <v>167264</v>
      </c>
      <c r="Y195" s="155">
        <v>175245</v>
      </c>
      <c r="Z195" s="155">
        <v>180333</v>
      </c>
      <c r="AA195" s="155">
        <v>185693</v>
      </c>
      <c r="AB195" s="155">
        <v>193554</v>
      </c>
      <c r="AC195" s="155">
        <v>200522</v>
      </c>
      <c r="AD195" s="155">
        <v>205692</v>
      </c>
      <c r="AE195" s="155">
        <v>210713</v>
      </c>
      <c r="AF195" s="155">
        <v>214195</v>
      </c>
      <c r="AG195" s="155">
        <v>213564</v>
      </c>
      <c r="AH195" s="155">
        <v>216027</v>
      </c>
      <c r="AI195" s="155">
        <v>214976</v>
      </c>
      <c r="AJ195" s="155">
        <v>216417</v>
      </c>
      <c r="AK195" s="155">
        <v>212494</v>
      </c>
      <c r="AL195" s="155">
        <v>218512</v>
      </c>
      <c r="AM195" s="155">
        <v>212793</v>
      </c>
      <c r="AN195" s="155">
        <v>206704</v>
      </c>
      <c r="AO195" s="155">
        <v>200396</v>
      </c>
      <c r="AP195" s="155">
        <v>199392</v>
      </c>
      <c r="AQ195" s="155">
        <v>197348</v>
      </c>
      <c r="AR195" s="155">
        <v>194708</v>
      </c>
      <c r="AS195" s="155">
        <v>199405</v>
      </c>
      <c r="AT195" s="155">
        <v>215778</v>
      </c>
      <c r="AU195" s="155">
        <v>226012</v>
      </c>
      <c r="AV195" s="155">
        <v>226844</v>
      </c>
      <c r="AW195" s="155">
        <v>227198</v>
      </c>
      <c r="AX195" s="155">
        <v>230302</v>
      </c>
      <c r="AY195" s="155">
        <v>233052</v>
      </c>
      <c r="AZ195" s="155">
        <v>243276</v>
      </c>
      <c r="BA195" s="155">
        <v>247559</v>
      </c>
      <c r="BB195" s="155">
        <v>251635</v>
      </c>
      <c r="BC195" s="155">
        <v>261494</v>
      </c>
      <c r="BD195" s="155">
        <v>263828</v>
      </c>
      <c r="BE195" s="155">
        <v>270167</v>
      </c>
      <c r="BF195" s="155">
        <v>277011</v>
      </c>
      <c r="BG195" s="155">
        <v>278853</v>
      </c>
      <c r="BH195" s="155">
        <v>277706</v>
      </c>
      <c r="BI195" s="155">
        <v>283488</v>
      </c>
      <c r="BJ195" s="155">
        <v>284046</v>
      </c>
      <c r="BK195" s="155">
        <v>287804</v>
      </c>
      <c r="BL195" s="155">
        <v>296792</v>
      </c>
      <c r="BM195" s="155">
        <v>297566</v>
      </c>
      <c r="BN195" s="155">
        <v>303296</v>
      </c>
      <c r="BO195" s="155">
        <v>301958</v>
      </c>
      <c r="BP195" s="155">
        <v>301352</v>
      </c>
      <c r="BQ195" s="155">
        <v>305801</v>
      </c>
      <c r="BR195" s="155">
        <v>314387</v>
      </c>
      <c r="BS195" s="155">
        <v>320987</v>
      </c>
      <c r="BT195" s="155">
        <v>322241</v>
      </c>
      <c r="BU195" s="155">
        <v>322778</v>
      </c>
      <c r="BV195" s="155">
        <v>327933</v>
      </c>
      <c r="BW195" s="155">
        <v>338199</v>
      </c>
      <c r="BX195" s="155">
        <v>338206</v>
      </c>
      <c r="BY195" s="155">
        <v>341977</v>
      </c>
      <c r="BZ195" s="155">
        <v>348049</v>
      </c>
      <c r="CA195" s="155">
        <v>349812</v>
      </c>
      <c r="CB195" s="155">
        <v>346069</v>
      </c>
      <c r="CC195" s="155">
        <v>342525</v>
      </c>
      <c r="CD195" s="155">
        <v>344003</v>
      </c>
      <c r="CE195" s="155">
        <v>349092</v>
      </c>
      <c r="CF195" s="155">
        <v>344265</v>
      </c>
      <c r="CG195" s="155">
        <v>341331</v>
      </c>
      <c r="CH195" s="155">
        <v>341576</v>
      </c>
      <c r="CI195" s="155">
        <v>339114</v>
      </c>
      <c r="CJ195" s="155">
        <v>334878</v>
      </c>
      <c r="CK195" s="155">
        <v>339024</v>
      </c>
      <c r="CL195" s="155">
        <v>329553</v>
      </c>
      <c r="CM195" s="155">
        <v>330748</v>
      </c>
      <c r="CN195" s="155">
        <v>333489</v>
      </c>
      <c r="CO195" s="155">
        <v>335878</v>
      </c>
      <c r="CP195" s="155">
        <v>337919</v>
      </c>
      <c r="CQ195" s="155">
        <v>339768</v>
      </c>
      <c r="CR195" s="155">
        <v>341592</v>
      </c>
      <c r="CS195" s="155">
        <v>343365</v>
      </c>
      <c r="CT195" s="155">
        <v>345138</v>
      </c>
      <c r="CU195" s="155">
        <v>346891</v>
      </c>
      <c r="CV195" s="155">
        <v>348779</v>
      </c>
      <c r="CW195" s="155">
        <v>350833</v>
      </c>
      <c r="CX195" s="155">
        <v>352950</v>
      </c>
      <c r="CY195" s="154">
        <v>355142</v>
      </c>
    </row>
    <row r="196" spans="1:103">
      <c r="A196" s="155" t="s">
        <v>1139</v>
      </c>
      <c r="B196" s="154">
        <v>87</v>
      </c>
      <c r="C196" s="155">
        <v>86728</v>
      </c>
      <c r="D196" s="155">
        <v>88583</v>
      </c>
      <c r="E196" s="155">
        <v>91781</v>
      </c>
      <c r="F196" s="155">
        <v>94838</v>
      </c>
      <c r="G196" s="155">
        <v>95778</v>
      </c>
      <c r="H196" s="155">
        <v>94976</v>
      </c>
      <c r="I196" s="155">
        <v>90316</v>
      </c>
      <c r="J196" s="155">
        <v>100694</v>
      </c>
      <c r="K196" s="155">
        <v>112217</v>
      </c>
      <c r="L196" s="155">
        <v>121318</v>
      </c>
      <c r="M196" s="155">
        <v>121286</v>
      </c>
      <c r="N196" s="155">
        <v>125588</v>
      </c>
      <c r="O196" s="155">
        <v>163802</v>
      </c>
      <c r="P196" s="155">
        <v>150122</v>
      </c>
      <c r="Q196" s="155">
        <v>141611</v>
      </c>
      <c r="R196" s="155">
        <v>136620</v>
      </c>
      <c r="S196" s="155">
        <v>134360</v>
      </c>
      <c r="T196" s="155">
        <v>132668</v>
      </c>
      <c r="U196" s="155">
        <v>137136</v>
      </c>
      <c r="V196" s="155">
        <v>139221</v>
      </c>
      <c r="W196" s="155">
        <v>139755</v>
      </c>
      <c r="X196" s="155">
        <v>146369</v>
      </c>
      <c r="Y196" s="155">
        <v>152247</v>
      </c>
      <c r="Z196" s="155">
        <v>159674</v>
      </c>
      <c r="AA196" s="155">
        <v>164476</v>
      </c>
      <c r="AB196" s="155">
        <v>169535</v>
      </c>
      <c r="AC196" s="155">
        <v>176890</v>
      </c>
      <c r="AD196" s="155">
        <v>183437</v>
      </c>
      <c r="AE196" s="155">
        <v>188350</v>
      </c>
      <c r="AF196" s="155">
        <v>193136</v>
      </c>
      <c r="AG196" s="155">
        <v>196514</v>
      </c>
      <c r="AH196" s="155">
        <v>196124</v>
      </c>
      <c r="AI196" s="155">
        <v>198569</v>
      </c>
      <c r="AJ196" s="155">
        <v>197785</v>
      </c>
      <c r="AK196" s="155">
        <v>199294</v>
      </c>
      <c r="AL196" s="155">
        <v>195858</v>
      </c>
      <c r="AM196" s="155">
        <v>201586</v>
      </c>
      <c r="AN196" s="155">
        <v>196487</v>
      </c>
      <c r="AO196" s="155">
        <v>191031</v>
      </c>
      <c r="AP196" s="155">
        <v>185360</v>
      </c>
      <c r="AQ196" s="155">
        <v>184592</v>
      </c>
      <c r="AR196" s="155">
        <v>182853</v>
      </c>
      <c r="AS196" s="155">
        <v>180559</v>
      </c>
      <c r="AT196" s="155">
        <v>185070</v>
      </c>
      <c r="AU196" s="155">
        <v>200425</v>
      </c>
      <c r="AV196" s="155">
        <v>210101</v>
      </c>
      <c r="AW196" s="155">
        <v>211042</v>
      </c>
      <c r="AX196" s="155">
        <v>211538</v>
      </c>
      <c r="AY196" s="155">
        <v>214595</v>
      </c>
      <c r="AZ196" s="155">
        <v>217325</v>
      </c>
      <c r="BA196" s="155">
        <v>227033</v>
      </c>
      <c r="BB196" s="155">
        <v>231206</v>
      </c>
      <c r="BC196" s="155">
        <v>235187</v>
      </c>
      <c r="BD196" s="155">
        <v>244584</v>
      </c>
      <c r="BE196" s="155">
        <v>246947</v>
      </c>
      <c r="BF196" s="155">
        <v>253065</v>
      </c>
      <c r="BG196" s="155">
        <v>259661</v>
      </c>
      <c r="BH196" s="155">
        <v>261574</v>
      </c>
      <c r="BI196" s="155">
        <v>260680</v>
      </c>
      <c r="BJ196" s="155">
        <v>266293</v>
      </c>
      <c r="BK196" s="155">
        <v>267002</v>
      </c>
      <c r="BL196" s="155">
        <v>270716</v>
      </c>
      <c r="BM196" s="155">
        <v>279357</v>
      </c>
      <c r="BN196" s="155">
        <v>280273</v>
      </c>
      <c r="BO196" s="155">
        <v>285854</v>
      </c>
      <c r="BP196" s="155">
        <v>284774</v>
      </c>
      <c r="BQ196" s="155">
        <v>284387</v>
      </c>
      <c r="BR196" s="155">
        <v>288769</v>
      </c>
      <c r="BS196" s="155">
        <v>297061</v>
      </c>
      <c r="BT196" s="155">
        <v>303491</v>
      </c>
      <c r="BU196" s="155">
        <v>304867</v>
      </c>
      <c r="BV196" s="155">
        <v>305556</v>
      </c>
      <c r="BW196" s="155">
        <v>310622</v>
      </c>
      <c r="BX196" s="155">
        <v>320538</v>
      </c>
      <c r="BY196" s="155">
        <v>320730</v>
      </c>
      <c r="BZ196" s="155">
        <v>324498</v>
      </c>
      <c r="CA196" s="155">
        <v>330447</v>
      </c>
      <c r="CB196" s="155">
        <v>332311</v>
      </c>
      <c r="CC196" s="155">
        <v>328939</v>
      </c>
      <c r="CD196" s="155">
        <v>325752</v>
      </c>
      <c r="CE196" s="155">
        <v>327338</v>
      </c>
      <c r="CF196" s="155">
        <v>332360</v>
      </c>
      <c r="CG196" s="155">
        <v>327942</v>
      </c>
      <c r="CH196" s="155">
        <v>325320</v>
      </c>
      <c r="CI196" s="155">
        <v>325724</v>
      </c>
      <c r="CJ196" s="155">
        <v>323547</v>
      </c>
      <c r="CK196" s="155">
        <v>319669</v>
      </c>
      <c r="CL196" s="155">
        <v>323791</v>
      </c>
      <c r="CM196" s="155">
        <v>314903</v>
      </c>
      <c r="CN196" s="155">
        <v>316203</v>
      </c>
      <c r="CO196" s="155">
        <v>318981</v>
      </c>
      <c r="CP196" s="155">
        <v>321421</v>
      </c>
      <c r="CQ196" s="155">
        <v>323531</v>
      </c>
      <c r="CR196" s="155">
        <v>325455</v>
      </c>
      <c r="CS196" s="155">
        <v>327357</v>
      </c>
      <c r="CT196" s="155">
        <v>329209</v>
      </c>
      <c r="CU196" s="155">
        <v>331062</v>
      </c>
      <c r="CV196" s="155">
        <v>332895</v>
      </c>
      <c r="CW196" s="155">
        <v>334858</v>
      </c>
      <c r="CX196" s="155">
        <v>336979</v>
      </c>
      <c r="CY196" s="154">
        <v>339162</v>
      </c>
    </row>
    <row r="197" spans="1:103">
      <c r="A197" s="155" t="s">
        <v>1139</v>
      </c>
      <c r="B197" s="154">
        <v>88</v>
      </c>
      <c r="C197" s="155">
        <v>71760</v>
      </c>
      <c r="D197" s="155">
        <v>75596</v>
      </c>
      <c r="E197" s="155">
        <v>77683</v>
      </c>
      <c r="F197" s="155">
        <v>80640</v>
      </c>
      <c r="G197" s="155">
        <v>83444</v>
      </c>
      <c r="H197" s="155">
        <v>84368</v>
      </c>
      <c r="I197" s="155">
        <v>83736</v>
      </c>
      <c r="J197" s="155">
        <v>79712</v>
      </c>
      <c r="K197" s="155">
        <v>89005</v>
      </c>
      <c r="L197" s="155">
        <v>99370</v>
      </c>
      <c r="M197" s="155">
        <v>107637</v>
      </c>
      <c r="N197" s="155">
        <v>107810</v>
      </c>
      <c r="O197" s="155">
        <v>111813</v>
      </c>
      <c r="P197" s="155">
        <v>146022</v>
      </c>
      <c r="Q197" s="155">
        <v>133946</v>
      </c>
      <c r="R197" s="155">
        <v>126442</v>
      </c>
      <c r="S197" s="155">
        <v>122075</v>
      </c>
      <c r="T197" s="155">
        <v>120151</v>
      </c>
      <c r="U197" s="155">
        <v>118748</v>
      </c>
      <c r="V197" s="155">
        <v>122873</v>
      </c>
      <c r="W197" s="155">
        <v>124882</v>
      </c>
      <c r="X197" s="155">
        <v>125504</v>
      </c>
      <c r="Y197" s="155">
        <v>131599</v>
      </c>
      <c r="Z197" s="155">
        <v>137041</v>
      </c>
      <c r="AA197" s="155">
        <v>143891</v>
      </c>
      <c r="AB197" s="155">
        <v>148387</v>
      </c>
      <c r="AC197" s="155">
        <v>153124</v>
      </c>
      <c r="AD197" s="155">
        <v>159948</v>
      </c>
      <c r="AE197" s="155">
        <v>166051</v>
      </c>
      <c r="AF197" s="155">
        <v>170684</v>
      </c>
      <c r="AG197" s="155">
        <v>175210</v>
      </c>
      <c r="AH197" s="155">
        <v>178464</v>
      </c>
      <c r="AI197" s="155">
        <v>178300</v>
      </c>
      <c r="AJ197" s="155">
        <v>180712</v>
      </c>
      <c r="AK197" s="155">
        <v>180184</v>
      </c>
      <c r="AL197" s="155">
        <v>181744</v>
      </c>
      <c r="AM197" s="155">
        <v>178791</v>
      </c>
      <c r="AN197" s="155">
        <v>184206</v>
      </c>
      <c r="AO197" s="155">
        <v>179725</v>
      </c>
      <c r="AP197" s="155">
        <v>174905</v>
      </c>
      <c r="AQ197" s="155">
        <v>169876</v>
      </c>
      <c r="AR197" s="155">
        <v>169334</v>
      </c>
      <c r="AS197" s="155">
        <v>167897</v>
      </c>
      <c r="AT197" s="155">
        <v>165946</v>
      </c>
      <c r="AU197" s="155">
        <v>170250</v>
      </c>
      <c r="AV197" s="155">
        <v>184542</v>
      </c>
      <c r="AW197" s="155">
        <v>193630</v>
      </c>
      <c r="AX197" s="155">
        <v>194667</v>
      </c>
      <c r="AY197" s="155">
        <v>195298</v>
      </c>
      <c r="AZ197" s="155">
        <v>198293</v>
      </c>
      <c r="BA197" s="155">
        <v>200989</v>
      </c>
      <c r="BB197" s="155">
        <v>210149</v>
      </c>
      <c r="BC197" s="155">
        <v>214191</v>
      </c>
      <c r="BD197" s="155">
        <v>218062</v>
      </c>
      <c r="BE197" s="155">
        <v>226961</v>
      </c>
      <c r="BF197" s="155">
        <v>229344</v>
      </c>
      <c r="BG197" s="155">
        <v>235217</v>
      </c>
      <c r="BH197" s="155">
        <v>241540</v>
      </c>
      <c r="BI197" s="155">
        <v>243513</v>
      </c>
      <c r="BJ197" s="155">
        <v>242871</v>
      </c>
      <c r="BK197" s="155">
        <v>248294</v>
      </c>
      <c r="BL197" s="155">
        <v>249146</v>
      </c>
      <c r="BM197" s="155">
        <v>252802</v>
      </c>
      <c r="BN197" s="155">
        <v>261067</v>
      </c>
      <c r="BO197" s="155">
        <v>262117</v>
      </c>
      <c r="BP197" s="155">
        <v>267532</v>
      </c>
      <c r="BQ197" s="155">
        <v>266711</v>
      </c>
      <c r="BR197" s="155">
        <v>266540</v>
      </c>
      <c r="BS197" s="155">
        <v>270841</v>
      </c>
      <c r="BT197" s="155">
        <v>278812</v>
      </c>
      <c r="BU197" s="155">
        <v>285048</v>
      </c>
      <c r="BV197" s="155">
        <v>286540</v>
      </c>
      <c r="BW197" s="155">
        <v>287379</v>
      </c>
      <c r="BX197" s="155">
        <v>292342</v>
      </c>
      <c r="BY197" s="155">
        <v>301874</v>
      </c>
      <c r="BZ197" s="155">
        <v>302252</v>
      </c>
      <c r="CA197" s="155">
        <v>306003</v>
      </c>
      <c r="CB197" s="155">
        <v>311812</v>
      </c>
      <c r="CC197" s="155">
        <v>313771</v>
      </c>
      <c r="CD197" s="155">
        <v>310783</v>
      </c>
      <c r="CE197" s="155">
        <v>307963</v>
      </c>
      <c r="CF197" s="155">
        <v>309651</v>
      </c>
      <c r="CG197" s="155">
        <v>314593</v>
      </c>
      <c r="CH197" s="155">
        <v>310599</v>
      </c>
      <c r="CI197" s="155">
        <v>308300</v>
      </c>
      <c r="CJ197" s="155">
        <v>308863</v>
      </c>
      <c r="CK197" s="155">
        <v>306978</v>
      </c>
      <c r="CL197" s="155">
        <v>303473</v>
      </c>
      <c r="CM197" s="155">
        <v>307561</v>
      </c>
      <c r="CN197" s="155">
        <v>299285</v>
      </c>
      <c r="CO197" s="155">
        <v>300689</v>
      </c>
      <c r="CP197" s="155">
        <v>303498</v>
      </c>
      <c r="CQ197" s="155">
        <v>305986</v>
      </c>
      <c r="CR197" s="155">
        <v>308159</v>
      </c>
      <c r="CS197" s="155">
        <v>310158</v>
      </c>
      <c r="CT197" s="155">
        <v>312134</v>
      </c>
      <c r="CU197" s="155">
        <v>314065</v>
      </c>
      <c r="CV197" s="155">
        <v>315994</v>
      </c>
      <c r="CW197" s="155">
        <v>317904</v>
      </c>
      <c r="CX197" s="155">
        <v>319940</v>
      </c>
      <c r="CY197" s="154">
        <v>322128</v>
      </c>
    </row>
    <row r="198" spans="1:103">
      <c r="A198" s="155" t="s">
        <v>1139</v>
      </c>
      <c r="B198" s="154">
        <v>89</v>
      </c>
      <c r="C198" s="155">
        <v>60661</v>
      </c>
      <c r="D198" s="155">
        <v>61454</v>
      </c>
      <c r="E198" s="155">
        <v>65188</v>
      </c>
      <c r="F198" s="155">
        <v>67142</v>
      </c>
      <c r="G198" s="155">
        <v>69834</v>
      </c>
      <c r="H198" s="155">
        <v>72370</v>
      </c>
      <c r="I198" s="155">
        <v>73243</v>
      </c>
      <c r="J198" s="155">
        <v>72759</v>
      </c>
      <c r="K198" s="155">
        <v>69340</v>
      </c>
      <c r="L198" s="155">
        <v>77545</v>
      </c>
      <c r="M198" s="155">
        <v>86741</v>
      </c>
      <c r="N198" s="155">
        <v>94146</v>
      </c>
      <c r="O198" s="155">
        <v>94481</v>
      </c>
      <c r="P198" s="155">
        <v>98156</v>
      </c>
      <c r="Q198" s="155">
        <v>128364</v>
      </c>
      <c r="R198" s="155">
        <v>117868</v>
      </c>
      <c r="S198" s="155">
        <v>111361</v>
      </c>
      <c r="T198" s="155">
        <v>107610</v>
      </c>
      <c r="U198" s="155">
        <v>106017</v>
      </c>
      <c r="V198" s="155">
        <v>104892</v>
      </c>
      <c r="W198" s="155">
        <v>108665</v>
      </c>
      <c r="X198" s="155">
        <v>110582</v>
      </c>
      <c r="Y198" s="155">
        <v>111278</v>
      </c>
      <c r="Z198" s="155">
        <v>116833</v>
      </c>
      <c r="AA198" s="155">
        <v>121823</v>
      </c>
      <c r="AB198" s="155">
        <v>128076</v>
      </c>
      <c r="AC198" s="155">
        <v>132246</v>
      </c>
      <c r="AD198" s="155">
        <v>136642</v>
      </c>
      <c r="AE198" s="155">
        <v>142911</v>
      </c>
      <c r="AF198" s="155">
        <v>148547</v>
      </c>
      <c r="AG198" s="155">
        <v>152878</v>
      </c>
      <c r="AH198" s="155">
        <v>157121</v>
      </c>
      <c r="AI198" s="155">
        <v>160230</v>
      </c>
      <c r="AJ198" s="155">
        <v>160274</v>
      </c>
      <c r="AK198" s="155">
        <v>162631</v>
      </c>
      <c r="AL198" s="155">
        <v>162344</v>
      </c>
      <c r="AM198" s="155">
        <v>163937</v>
      </c>
      <c r="AN198" s="155">
        <v>161455</v>
      </c>
      <c r="AO198" s="155">
        <v>166532</v>
      </c>
      <c r="AP198" s="155">
        <v>162662</v>
      </c>
      <c r="AQ198" s="155">
        <v>158472</v>
      </c>
      <c r="AR198" s="155">
        <v>154081</v>
      </c>
      <c r="AS198" s="155">
        <v>153754</v>
      </c>
      <c r="AT198" s="155">
        <v>152611</v>
      </c>
      <c r="AU198" s="155">
        <v>150996</v>
      </c>
      <c r="AV198" s="155">
        <v>155072</v>
      </c>
      <c r="AW198" s="155">
        <v>168261</v>
      </c>
      <c r="AX198" s="155">
        <v>176727</v>
      </c>
      <c r="AY198" s="155">
        <v>177850</v>
      </c>
      <c r="AZ198" s="155">
        <v>178604</v>
      </c>
      <c r="BA198" s="155">
        <v>181520</v>
      </c>
      <c r="BB198" s="155">
        <v>184165</v>
      </c>
      <c r="BC198" s="155">
        <v>192743</v>
      </c>
      <c r="BD198" s="155">
        <v>196636</v>
      </c>
      <c r="BE198" s="155">
        <v>200378</v>
      </c>
      <c r="BF198" s="155">
        <v>208748</v>
      </c>
      <c r="BG198" s="155">
        <v>211134</v>
      </c>
      <c r="BH198" s="155">
        <v>216738</v>
      </c>
      <c r="BI198" s="155">
        <v>222762</v>
      </c>
      <c r="BJ198" s="155">
        <v>224781</v>
      </c>
      <c r="BK198" s="155">
        <v>224386</v>
      </c>
      <c r="BL198" s="155">
        <v>229596</v>
      </c>
      <c r="BM198" s="155">
        <v>230581</v>
      </c>
      <c r="BN198" s="155">
        <v>234162</v>
      </c>
      <c r="BO198" s="155">
        <v>242021</v>
      </c>
      <c r="BP198" s="155">
        <v>243196</v>
      </c>
      <c r="BQ198" s="155">
        <v>248422</v>
      </c>
      <c r="BR198" s="155">
        <v>247856</v>
      </c>
      <c r="BS198" s="155">
        <v>247899</v>
      </c>
      <c r="BT198" s="155">
        <v>252099</v>
      </c>
      <c r="BU198" s="155">
        <v>259721</v>
      </c>
      <c r="BV198" s="155">
        <v>265742</v>
      </c>
      <c r="BW198" s="155">
        <v>267339</v>
      </c>
      <c r="BX198" s="155">
        <v>268322</v>
      </c>
      <c r="BY198" s="155">
        <v>273161</v>
      </c>
      <c r="BZ198" s="155">
        <v>282279</v>
      </c>
      <c r="CA198" s="155">
        <v>282838</v>
      </c>
      <c r="CB198" s="155">
        <v>286558</v>
      </c>
      <c r="CC198" s="155">
        <v>292206</v>
      </c>
      <c r="CD198" s="155">
        <v>294252</v>
      </c>
      <c r="CE198" s="155">
        <v>291655</v>
      </c>
      <c r="CF198" s="155">
        <v>289209</v>
      </c>
      <c r="CG198" s="155">
        <v>290993</v>
      </c>
      <c r="CH198" s="155">
        <v>295837</v>
      </c>
      <c r="CI198" s="155">
        <v>292280</v>
      </c>
      <c r="CJ198" s="155">
        <v>290309</v>
      </c>
      <c r="CK198" s="155">
        <v>291031</v>
      </c>
      <c r="CL198" s="155">
        <v>289443</v>
      </c>
      <c r="CM198" s="155">
        <v>286323</v>
      </c>
      <c r="CN198" s="155">
        <v>290365</v>
      </c>
      <c r="CO198" s="155">
        <v>282729</v>
      </c>
      <c r="CP198" s="155">
        <v>284232</v>
      </c>
      <c r="CQ198" s="155">
        <v>287065</v>
      </c>
      <c r="CR198" s="155">
        <v>289593</v>
      </c>
      <c r="CS198" s="155">
        <v>291824</v>
      </c>
      <c r="CT198" s="155">
        <v>293893</v>
      </c>
      <c r="CU198" s="155">
        <v>295939</v>
      </c>
      <c r="CV198" s="155">
        <v>297943</v>
      </c>
      <c r="CW198" s="155">
        <v>299945</v>
      </c>
      <c r="CX198" s="155">
        <v>301931</v>
      </c>
      <c r="CY198" s="154">
        <v>304036</v>
      </c>
    </row>
    <row r="199" spans="1:103">
      <c r="A199" s="155" t="s">
        <v>1139</v>
      </c>
      <c r="B199" s="154">
        <v>90</v>
      </c>
      <c r="C199" s="155">
        <v>50871</v>
      </c>
      <c r="D199" s="155">
        <v>50889</v>
      </c>
      <c r="E199" s="155">
        <v>51977</v>
      </c>
      <c r="F199" s="155">
        <v>55286</v>
      </c>
      <c r="G199" s="155">
        <v>57083</v>
      </c>
      <c r="H199" s="155">
        <v>59496</v>
      </c>
      <c r="I199" s="155">
        <v>61745</v>
      </c>
      <c r="J199" s="155">
        <v>62552</v>
      </c>
      <c r="K199" s="155">
        <v>62196</v>
      </c>
      <c r="L199" s="155">
        <v>59341</v>
      </c>
      <c r="M199" s="155">
        <v>66472</v>
      </c>
      <c r="N199" s="155">
        <v>74499</v>
      </c>
      <c r="O199" s="155">
        <v>81029</v>
      </c>
      <c r="P199" s="155">
        <v>81481</v>
      </c>
      <c r="Q199" s="155">
        <v>84802</v>
      </c>
      <c r="R199" s="155">
        <v>111064</v>
      </c>
      <c r="S199" s="155">
        <v>102100</v>
      </c>
      <c r="T199" s="155">
        <v>96563</v>
      </c>
      <c r="U199" s="155">
        <v>93409</v>
      </c>
      <c r="V199" s="155">
        <v>92132</v>
      </c>
      <c r="W199" s="155">
        <v>91270</v>
      </c>
      <c r="X199" s="155">
        <v>94681</v>
      </c>
      <c r="Y199" s="155">
        <v>96490</v>
      </c>
      <c r="Z199" s="155">
        <v>97239</v>
      </c>
      <c r="AA199" s="155">
        <v>102242</v>
      </c>
      <c r="AB199" s="155">
        <v>106765</v>
      </c>
      <c r="AC199" s="155">
        <v>112407</v>
      </c>
      <c r="AD199" s="155">
        <v>116233</v>
      </c>
      <c r="AE199" s="155">
        <v>120268</v>
      </c>
      <c r="AF199" s="155">
        <v>125962</v>
      </c>
      <c r="AG199" s="155">
        <v>131111</v>
      </c>
      <c r="AH199" s="155">
        <v>135117</v>
      </c>
      <c r="AI199" s="155">
        <v>139057</v>
      </c>
      <c r="AJ199" s="155">
        <v>141997</v>
      </c>
      <c r="AK199" s="155">
        <v>142227</v>
      </c>
      <c r="AL199" s="155">
        <v>144504</v>
      </c>
      <c r="AM199" s="155">
        <v>144438</v>
      </c>
      <c r="AN199" s="155">
        <v>146042</v>
      </c>
      <c r="AO199" s="155">
        <v>144014</v>
      </c>
      <c r="AP199" s="155">
        <v>148729</v>
      </c>
      <c r="AQ199" s="155">
        <v>145454</v>
      </c>
      <c r="AR199" s="155">
        <v>141882</v>
      </c>
      <c r="AS199" s="155">
        <v>138117</v>
      </c>
      <c r="AT199" s="155">
        <v>137991</v>
      </c>
      <c r="AU199" s="155">
        <v>137127</v>
      </c>
      <c r="AV199" s="155">
        <v>135835</v>
      </c>
      <c r="AW199" s="155">
        <v>139666</v>
      </c>
      <c r="AX199" s="155">
        <v>151714</v>
      </c>
      <c r="AY199" s="155">
        <v>159530</v>
      </c>
      <c r="AZ199" s="155">
        <v>160721</v>
      </c>
      <c r="BA199" s="155">
        <v>161582</v>
      </c>
      <c r="BB199" s="155">
        <v>164402</v>
      </c>
      <c r="BC199" s="155">
        <v>166978</v>
      </c>
      <c r="BD199" s="155">
        <v>174942</v>
      </c>
      <c r="BE199" s="155">
        <v>178664</v>
      </c>
      <c r="BF199" s="155">
        <v>182255</v>
      </c>
      <c r="BG199" s="155">
        <v>190065</v>
      </c>
      <c r="BH199" s="155">
        <v>192437</v>
      </c>
      <c r="BI199" s="155">
        <v>197746</v>
      </c>
      <c r="BJ199" s="155">
        <v>203445</v>
      </c>
      <c r="BK199" s="155">
        <v>205494</v>
      </c>
      <c r="BL199" s="155">
        <v>205336</v>
      </c>
      <c r="BM199" s="155">
        <v>210308</v>
      </c>
      <c r="BN199" s="155">
        <v>211414</v>
      </c>
      <c r="BO199" s="155">
        <v>214900</v>
      </c>
      <c r="BP199" s="155">
        <v>222321</v>
      </c>
      <c r="BQ199" s="155">
        <v>223610</v>
      </c>
      <c r="BR199" s="155">
        <v>228622</v>
      </c>
      <c r="BS199" s="155">
        <v>228305</v>
      </c>
      <c r="BT199" s="155">
        <v>228553</v>
      </c>
      <c r="BU199" s="155">
        <v>232634</v>
      </c>
      <c r="BV199" s="155">
        <v>239875</v>
      </c>
      <c r="BW199" s="155">
        <v>245655</v>
      </c>
      <c r="BX199" s="155">
        <v>247345</v>
      </c>
      <c r="BY199" s="155">
        <v>248464</v>
      </c>
      <c r="BZ199" s="155">
        <v>253157</v>
      </c>
      <c r="CA199" s="155">
        <v>261825</v>
      </c>
      <c r="CB199" s="155">
        <v>262559</v>
      </c>
      <c r="CC199" s="155">
        <v>266230</v>
      </c>
      <c r="CD199" s="155">
        <v>271696</v>
      </c>
      <c r="CE199" s="155">
        <v>273816</v>
      </c>
      <c r="CF199" s="155">
        <v>271613</v>
      </c>
      <c r="CG199" s="155">
        <v>269544</v>
      </c>
      <c r="CH199" s="155">
        <v>271416</v>
      </c>
      <c r="CI199" s="155">
        <v>276145</v>
      </c>
      <c r="CJ199" s="155">
        <v>273033</v>
      </c>
      <c r="CK199" s="155">
        <v>271394</v>
      </c>
      <c r="CL199" s="155">
        <v>272270</v>
      </c>
      <c r="CM199" s="155">
        <v>270982</v>
      </c>
      <c r="CN199" s="155">
        <v>268255</v>
      </c>
      <c r="CO199" s="155">
        <v>272235</v>
      </c>
      <c r="CP199" s="155">
        <v>265262</v>
      </c>
      <c r="CQ199" s="155">
        <v>266859</v>
      </c>
      <c r="CR199" s="155">
        <v>269705</v>
      </c>
      <c r="CS199" s="155">
        <v>272267</v>
      </c>
      <c r="CT199" s="155">
        <v>274549</v>
      </c>
      <c r="CU199" s="155">
        <v>276679</v>
      </c>
      <c r="CV199" s="155">
        <v>278790</v>
      </c>
      <c r="CW199" s="155">
        <v>280861</v>
      </c>
      <c r="CX199" s="155">
        <v>282930</v>
      </c>
      <c r="CY199" s="154">
        <v>284986</v>
      </c>
    </row>
    <row r="200" spans="1:103">
      <c r="A200" s="155" t="s">
        <v>1139</v>
      </c>
      <c r="B200" s="154">
        <v>91</v>
      </c>
      <c r="C200" s="155">
        <v>41017</v>
      </c>
      <c r="D200" s="155">
        <v>41687</v>
      </c>
      <c r="E200" s="155">
        <v>42097</v>
      </c>
      <c r="F200" s="155">
        <v>43137</v>
      </c>
      <c r="G200" s="155">
        <v>46018</v>
      </c>
      <c r="H200" s="155">
        <v>47637</v>
      </c>
      <c r="I200" s="155">
        <v>49751</v>
      </c>
      <c r="J200" s="155">
        <v>51700</v>
      </c>
      <c r="K200" s="155">
        <v>52429</v>
      </c>
      <c r="L200" s="155">
        <v>52180</v>
      </c>
      <c r="M200" s="155">
        <v>49845</v>
      </c>
      <c r="N200" s="155">
        <v>55928</v>
      </c>
      <c r="O200" s="155">
        <v>62808</v>
      </c>
      <c r="P200" s="155">
        <v>68461</v>
      </c>
      <c r="Q200" s="155">
        <v>68989</v>
      </c>
      <c r="R200" s="155">
        <v>71933</v>
      </c>
      <c r="S200" s="155">
        <v>94360</v>
      </c>
      <c r="T200" s="155">
        <v>86856</v>
      </c>
      <c r="U200" s="155">
        <v>82242</v>
      </c>
      <c r="V200" s="155">
        <v>79653</v>
      </c>
      <c r="W200" s="155">
        <v>78668</v>
      </c>
      <c r="X200" s="155">
        <v>78045</v>
      </c>
      <c r="Y200" s="155">
        <v>81086</v>
      </c>
      <c r="Z200" s="155">
        <v>82767</v>
      </c>
      <c r="AA200" s="155">
        <v>83543</v>
      </c>
      <c r="AB200" s="155">
        <v>87984</v>
      </c>
      <c r="AC200" s="155">
        <v>92022</v>
      </c>
      <c r="AD200" s="155">
        <v>97038</v>
      </c>
      <c r="AE200" s="155">
        <v>100499</v>
      </c>
      <c r="AF200" s="155">
        <v>104150</v>
      </c>
      <c r="AG200" s="155">
        <v>109249</v>
      </c>
      <c r="AH200" s="155">
        <v>113888</v>
      </c>
      <c r="AI200" s="155">
        <v>117544</v>
      </c>
      <c r="AJ200" s="155">
        <v>121151</v>
      </c>
      <c r="AK200" s="155">
        <v>123895</v>
      </c>
      <c r="AL200" s="155">
        <v>124278</v>
      </c>
      <c r="AM200" s="155">
        <v>126449</v>
      </c>
      <c r="AN200" s="155">
        <v>126571</v>
      </c>
      <c r="AO200" s="155">
        <v>128157</v>
      </c>
      <c r="AP200" s="155">
        <v>126555</v>
      </c>
      <c r="AQ200" s="155">
        <v>130881</v>
      </c>
      <c r="AR200" s="155">
        <v>128174</v>
      </c>
      <c r="AS200" s="155">
        <v>125194</v>
      </c>
      <c r="AT200" s="155">
        <v>122035</v>
      </c>
      <c r="AU200" s="155">
        <v>122087</v>
      </c>
      <c r="AV200" s="155">
        <v>121480</v>
      </c>
      <c r="AW200" s="155">
        <v>120491</v>
      </c>
      <c r="AX200" s="155">
        <v>124049</v>
      </c>
      <c r="AY200" s="155">
        <v>134917</v>
      </c>
      <c r="AZ200" s="155">
        <v>142047</v>
      </c>
      <c r="BA200" s="155">
        <v>143283</v>
      </c>
      <c r="BB200" s="155">
        <v>144226</v>
      </c>
      <c r="BC200" s="155">
        <v>146922</v>
      </c>
      <c r="BD200" s="155">
        <v>149402</v>
      </c>
      <c r="BE200" s="155">
        <v>156714</v>
      </c>
      <c r="BF200" s="155">
        <v>160236</v>
      </c>
      <c r="BG200" s="155">
        <v>163648</v>
      </c>
      <c r="BH200" s="155">
        <v>170855</v>
      </c>
      <c r="BI200" s="155">
        <v>173185</v>
      </c>
      <c r="BJ200" s="155">
        <v>178164</v>
      </c>
      <c r="BK200" s="155">
        <v>183502</v>
      </c>
      <c r="BL200" s="155">
        <v>185554</v>
      </c>
      <c r="BM200" s="155">
        <v>185614</v>
      </c>
      <c r="BN200" s="155">
        <v>190316</v>
      </c>
      <c r="BO200" s="155">
        <v>191520</v>
      </c>
      <c r="BP200" s="155">
        <v>194882</v>
      </c>
      <c r="BQ200" s="155">
        <v>201822</v>
      </c>
      <c r="BR200" s="155">
        <v>203202</v>
      </c>
      <c r="BS200" s="155">
        <v>207966</v>
      </c>
      <c r="BT200" s="155">
        <v>207884</v>
      </c>
      <c r="BU200" s="155">
        <v>208319</v>
      </c>
      <c r="BV200" s="155">
        <v>212251</v>
      </c>
      <c r="BW200" s="155">
        <v>219070</v>
      </c>
      <c r="BX200" s="155">
        <v>224569</v>
      </c>
      <c r="BY200" s="155">
        <v>226333</v>
      </c>
      <c r="BZ200" s="155">
        <v>227569</v>
      </c>
      <c r="CA200" s="155">
        <v>232084</v>
      </c>
      <c r="CB200" s="155">
        <v>240253</v>
      </c>
      <c r="CC200" s="155">
        <v>241146</v>
      </c>
      <c r="CD200" s="155">
        <v>244741</v>
      </c>
      <c r="CE200" s="155">
        <v>249988</v>
      </c>
      <c r="CF200" s="155">
        <v>252164</v>
      </c>
      <c r="CG200" s="155">
        <v>250355</v>
      </c>
      <c r="CH200" s="155">
        <v>248662</v>
      </c>
      <c r="CI200" s="155">
        <v>250605</v>
      </c>
      <c r="CJ200" s="155">
        <v>255189</v>
      </c>
      <c r="CK200" s="155">
        <v>252526</v>
      </c>
      <c r="CL200" s="155">
        <v>251219</v>
      </c>
      <c r="CM200" s="155">
        <v>252236</v>
      </c>
      <c r="CN200" s="155">
        <v>251250</v>
      </c>
      <c r="CO200" s="155">
        <v>248921</v>
      </c>
      <c r="CP200" s="155">
        <v>252816</v>
      </c>
      <c r="CQ200" s="155">
        <v>246535</v>
      </c>
      <c r="CR200" s="155">
        <v>248212</v>
      </c>
      <c r="CS200" s="155">
        <v>251053</v>
      </c>
      <c r="CT200" s="155">
        <v>253630</v>
      </c>
      <c r="CU200" s="155">
        <v>255949</v>
      </c>
      <c r="CV200" s="155">
        <v>258129</v>
      </c>
      <c r="CW200" s="155">
        <v>260289</v>
      </c>
      <c r="CX200" s="155">
        <v>262416</v>
      </c>
      <c r="CY200" s="154">
        <v>264540</v>
      </c>
    </row>
    <row r="201" spans="1:103">
      <c r="A201" s="155" t="s">
        <v>1139</v>
      </c>
      <c r="B201" s="154">
        <v>92</v>
      </c>
      <c r="C201" s="155">
        <v>31909</v>
      </c>
      <c r="D201" s="155">
        <v>32749</v>
      </c>
      <c r="E201" s="155">
        <v>33640</v>
      </c>
      <c r="F201" s="155">
        <v>34094</v>
      </c>
      <c r="G201" s="155">
        <v>35053</v>
      </c>
      <c r="H201" s="155">
        <v>37507</v>
      </c>
      <c r="I201" s="155">
        <v>38921</v>
      </c>
      <c r="J201" s="155">
        <v>40722</v>
      </c>
      <c r="K201" s="155">
        <v>42375</v>
      </c>
      <c r="L201" s="155">
        <v>43016</v>
      </c>
      <c r="M201" s="155">
        <v>42854</v>
      </c>
      <c r="N201" s="155">
        <v>40989</v>
      </c>
      <c r="O201" s="155">
        <v>46072</v>
      </c>
      <c r="P201" s="155">
        <v>51847</v>
      </c>
      <c r="Q201" s="155">
        <v>56640</v>
      </c>
      <c r="R201" s="155">
        <v>57200</v>
      </c>
      <c r="S201" s="155">
        <v>59757</v>
      </c>
      <c r="T201" s="155">
        <v>78523</v>
      </c>
      <c r="U201" s="155">
        <v>72381</v>
      </c>
      <c r="V201" s="155">
        <v>68628</v>
      </c>
      <c r="W201" s="155">
        <v>66560</v>
      </c>
      <c r="X201" s="155">
        <v>65837</v>
      </c>
      <c r="Y201" s="155">
        <v>65420</v>
      </c>
      <c r="Z201" s="155">
        <v>68083</v>
      </c>
      <c r="AA201" s="155">
        <v>69616</v>
      </c>
      <c r="AB201" s="155">
        <v>70389</v>
      </c>
      <c r="AC201" s="155">
        <v>74260</v>
      </c>
      <c r="AD201" s="155">
        <v>77802</v>
      </c>
      <c r="AE201" s="155">
        <v>82181</v>
      </c>
      <c r="AF201" s="155">
        <v>85255</v>
      </c>
      <c r="AG201" s="155">
        <v>88500</v>
      </c>
      <c r="AH201" s="155">
        <v>92987</v>
      </c>
      <c r="AI201" s="155">
        <v>97094</v>
      </c>
      <c r="AJ201" s="155">
        <v>100372</v>
      </c>
      <c r="AK201" s="155">
        <v>103617</v>
      </c>
      <c r="AL201" s="155">
        <v>106132</v>
      </c>
      <c r="AM201" s="155">
        <v>106629</v>
      </c>
      <c r="AN201" s="155">
        <v>108660</v>
      </c>
      <c r="AO201" s="155">
        <v>108930</v>
      </c>
      <c r="AP201" s="155">
        <v>110464</v>
      </c>
      <c r="AQ201" s="155">
        <v>109248</v>
      </c>
      <c r="AR201" s="155">
        <v>113152</v>
      </c>
      <c r="AS201" s="155">
        <v>110975</v>
      </c>
      <c r="AT201" s="155">
        <v>108553</v>
      </c>
      <c r="AU201" s="155">
        <v>105966</v>
      </c>
      <c r="AV201" s="155">
        <v>106164</v>
      </c>
      <c r="AW201" s="155">
        <v>105785</v>
      </c>
      <c r="AX201" s="155">
        <v>105070</v>
      </c>
      <c r="AY201" s="155">
        <v>108325</v>
      </c>
      <c r="AZ201" s="155">
        <v>117975</v>
      </c>
      <c r="BA201" s="155">
        <v>124378</v>
      </c>
      <c r="BB201" s="155">
        <v>125629</v>
      </c>
      <c r="BC201" s="155">
        <v>126623</v>
      </c>
      <c r="BD201" s="155">
        <v>129161</v>
      </c>
      <c r="BE201" s="155">
        <v>131512</v>
      </c>
      <c r="BF201" s="155">
        <v>138126</v>
      </c>
      <c r="BG201" s="155">
        <v>141410</v>
      </c>
      <c r="BH201" s="155">
        <v>144605</v>
      </c>
      <c r="BI201" s="155">
        <v>151163</v>
      </c>
      <c r="BJ201" s="155">
        <v>153415</v>
      </c>
      <c r="BK201" s="155">
        <v>158019</v>
      </c>
      <c r="BL201" s="155">
        <v>162951</v>
      </c>
      <c r="BM201" s="155">
        <v>164971</v>
      </c>
      <c r="BN201" s="155">
        <v>165222</v>
      </c>
      <c r="BO201" s="155">
        <v>169608</v>
      </c>
      <c r="BP201" s="155">
        <v>170879</v>
      </c>
      <c r="BQ201" s="155">
        <v>174081</v>
      </c>
      <c r="BR201" s="155">
        <v>180485</v>
      </c>
      <c r="BS201" s="155">
        <v>181925</v>
      </c>
      <c r="BT201" s="155">
        <v>186396</v>
      </c>
      <c r="BU201" s="155">
        <v>186528</v>
      </c>
      <c r="BV201" s="155">
        <v>187124</v>
      </c>
      <c r="BW201" s="155">
        <v>190865</v>
      </c>
      <c r="BX201" s="155">
        <v>197207</v>
      </c>
      <c r="BY201" s="155">
        <v>202376</v>
      </c>
      <c r="BZ201" s="155">
        <v>204181</v>
      </c>
      <c r="CA201" s="155">
        <v>205509</v>
      </c>
      <c r="CB201" s="155">
        <v>209801</v>
      </c>
      <c r="CC201" s="155">
        <v>217407</v>
      </c>
      <c r="CD201" s="155">
        <v>218435</v>
      </c>
      <c r="CE201" s="155">
        <v>221913</v>
      </c>
      <c r="CF201" s="155">
        <v>226896</v>
      </c>
      <c r="CG201" s="155">
        <v>229094</v>
      </c>
      <c r="CH201" s="155">
        <v>227672</v>
      </c>
      <c r="CI201" s="155">
        <v>226348</v>
      </c>
      <c r="CJ201" s="155">
        <v>228334</v>
      </c>
      <c r="CK201" s="155">
        <v>232730</v>
      </c>
      <c r="CL201" s="155">
        <v>230518</v>
      </c>
      <c r="CM201" s="155">
        <v>229537</v>
      </c>
      <c r="CN201" s="155">
        <v>230674</v>
      </c>
      <c r="CO201" s="155">
        <v>229982</v>
      </c>
      <c r="CP201" s="155">
        <v>228054</v>
      </c>
      <c r="CQ201" s="155">
        <v>231827</v>
      </c>
      <c r="CR201" s="155">
        <v>226266</v>
      </c>
      <c r="CS201" s="155">
        <v>228002</v>
      </c>
      <c r="CT201" s="155">
        <v>230811</v>
      </c>
      <c r="CU201" s="155">
        <v>233378</v>
      </c>
      <c r="CV201" s="155">
        <v>235709</v>
      </c>
      <c r="CW201" s="155">
        <v>237916</v>
      </c>
      <c r="CX201" s="155">
        <v>240103</v>
      </c>
      <c r="CY201" s="154">
        <v>242263</v>
      </c>
    </row>
    <row r="202" spans="1:103">
      <c r="A202" s="155" t="s">
        <v>1139</v>
      </c>
      <c r="B202" s="154">
        <v>93</v>
      </c>
      <c r="C202" s="155">
        <v>23664</v>
      </c>
      <c r="D202" s="155">
        <v>24770</v>
      </c>
      <c r="E202" s="155">
        <v>25728</v>
      </c>
      <c r="F202" s="155">
        <v>26534</v>
      </c>
      <c r="G202" s="155">
        <v>26998</v>
      </c>
      <c r="H202" s="155">
        <v>27853</v>
      </c>
      <c r="I202" s="155">
        <v>29890</v>
      </c>
      <c r="J202" s="155">
        <v>31088</v>
      </c>
      <c r="K202" s="155">
        <v>32590</v>
      </c>
      <c r="L202" s="155">
        <v>33960</v>
      </c>
      <c r="M202" s="155">
        <v>34513</v>
      </c>
      <c r="N202" s="155">
        <v>34421</v>
      </c>
      <c r="O202" s="155">
        <v>32969</v>
      </c>
      <c r="P202" s="155">
        <v>37125</v>
      </c>
      <c r="Q202" s="155">
        <v>41868</v>
      </c>
      <c r="R202" s="155">
        <v>45846</v>
      </c>
      <c r="S202" s="155">
        <v>46403</v>
      </c>
      <c r="T202" s="155">
        <v>48578</v>
      </c>
      <c r="U202" s="155">
        <v>63949</v>
      </c>
      <c r="V202" s="155">
        <v>59041</v>
      </c>
      <c r="W202" s="155">
        <v>56063</v>
      </c>
      <c r="X202" s="155">
        <v>54461</v>
      </c>
      <c r="Y202" s="155">
        <v>53959</v>
      </c>
      <c r="Z202" s="155">
        <v>53712</v>
      </c>
      <c r="AA202" s="155">
        <v>56001</v>
      </c>
      <c r="AB202" s="155">
        <v>57367</v>
      </c>
      <c r="AC202" s="155">
        <v>58111</v>
      </c>
      <c r="AD202" s="155">
        <v>61419</v>
      </c>
      <c r="AE202" s="155">
        <v>64466</v>
      </c>
      <c r="AF202" s="155">
        <v>68216</v>
      </c>
      <c r="AG202" s="155">
        <v>70895</v>
      </c>
      <c r="AH202" s="155">
        <v>73724</v>
      </c>
      <c r="AI202" s="155">
        <v>77597</v>
      </c>
      <c r="AJ202" s="155">
        <v>81165</v>
      </c>
      <c r="AK202" s="155">
        <v>84049</v>
      </c>
      <c r="AL202" s="155">
        <v>86915</v>
      </c>
      <c r="AM202" s="155">
        <v>89173</v>
      </c>
      <c r="AN202" s="155">
        <v>89742</v>
      </c>
      <c r="AO202" s="155">
        <v>91601</v>
      </c>
      <c r="AP202" s="155">
        <v>91980</v>
      </c>
      <c r="AQ202" s="155">
        <v>93427</v>
      </c>
      <c r="AR202" s="155">
        <v>92547</v>
      </c>
      <c r="AS202" s="155">
        <v>96007</v>
      </c>
      <c r="AT202" s="155">
        <v>94310</v>
      </c>
      <c r="AU202" s="155">
        <v>92395</v>
      </c>
      <c r="AV202" s="155">
        <v>90332</v>
      </c>
      <c r="AW202" s="155">
        <v>90641</v>
      </c>
      <c r="AX202" s="155">
        <v>90453</v>
      </c>
      <c r="AY202" s="155">
        <v>89978</v>
      </c>
      <c r="AZ202" s="155">
        <v>92903</v>
      </c>
      <c r="BA202" s="155">
        <v>101326</v>
      </c>
      <c r="BB202" s="155">
        <v>106981</v>
      </c>
      <c r="BC202" s="155">
        <v>108212</v>
      </c>
      <c r="BD202" s="155">
        <v>109224</v>
      </c>
      <c r="BE202" s="155">
        <v>111572</v>
      </c>
      <c r="BF202" s="155">
        <v>113762</v>
      </c>
      <c r="BG202" s="155">
        <v>119648</v>
      </c>
      <c r="BH202" s="155">
        <v>122662</v>
      </c>
      <c r="BI202" s="155">
        <v>125604</v>
      </c>
      <c r="BJ202" s="155">
        <v>131478</v>
      </c>
      <c r="BK202" s="155">
        <v>133615</v>
      </c>
      <c r="BL202" s="155">
        <v>137808</v>
      </c>
      <c r="BM202" s="155">
        <v>142295</v>
      </c>
      <c r="BN202" s="155">
        <v>144247</v>
      </c>
      <c r="BO202" s="155">
        <v>144652</v>
      </c>
      <c r="BP202" s="155">
        <v>148682</v>
      </c>
      <c r="BQ202" s="155">
        <v>149986</v>
      </c>
      <c r="BR202" s="155">
        <v>152985</v>
      </c>
      <c r="BS202" s="155">
        <v>158810</v>
      </c>
      <c r="BT202" s="155">
        <v>160273</v>
      </c>
      <c r="BU202" s="155">
        <v>164410</v>
      </c>
      <c r="BV202" s="155">
        <v>164722</v>
      </c>
      <c r="BW202" s="155">
        <v>165446</v>
      </c>
      <c r="BX202" s="155">
        <v>168954</v>
      </c>
      <c r="BY202" s="155">
        <v>174771</v>
      </c>
      <c r="BZ202" s="155">
        <v>179563</v>
      </c>
      <c r="CA202" s="155">
        <v>181373</v>
      </c>
      <c r="CB202" s="155">
        <v>182758</v>
      </c>
      <c r="CC202" s="155">
        <v>186783</v>
      </c>
      <c r="CD202" s="155">
        <v>193770</v>
      </c>
      <c r="CE202" s="155">
        <v>194900</v>
      </c>
      <c r="CF202" s="155">
        <v>198220</v>
      </c>
      <c r="CG202" s="155">
        <v>202889</v>
      </c>
      <c r="CH202" s="155">
        <v>205074</v>
      </c>
      <c r="CI202" s="155">
        <v>204017</v>
      </c>
      <c r="CJ202" s="155">
        <v>203043</v>
      </c>
      <c r="CK202" s="155">
        <v>205038</v>
      </c>
      <c r="CL202" s="155">
        <v>209200</v>
      </c>
      <c r="CM202" s="155">
        <v>207425</v>
      </c>
      <c r="CN202" s="155">
        <v>206751</v>
      </c>
      <c r="CO202" s="155">
        <v>207982</v>
      </c>
      <c r="CP202" s="155">
        <v>207567</v>
      </c>
      <c r="CQ202" s="155">
        <v>206027</v>
      </c>
      <c r="CR202" s="155">
        <v>209640</v>
      </c>
      <c r="CS202" s="155">
        <v>204807</v>
      </c>
      <c r="CT202" s="155">
        <v>206576</v>
      </c>
      <c r="CU202" s="155">
        <v>209319</v>
      </c>
      <c r="CV202" s="155">
        <v>211845</v>
      </c>
      <c r="CW202" s="155">
        <v>214158</v>
      </c>
      <c r="CX202" s="155">
        <v>216362</v>
      </c>
      <c r="CY202" s="154">
        <v>218549</v>
      </c>
    </row>
    <row r="203" spans="1:103">
      <c r="A203" s="155" t="s">
        <v>1139</v>
      </c>
      <c r="B203" s="154">
        <v>94</v>
      </c>
      <c r="C203" s="155">
        <v>17169</v>
      </c>
      <c r="D203" s="155">
        <v>17785</v>
      </c>
      <c r="E203" s="155">
        <v>18866</v>
      </c>
      <c r="F203" s="155">
        <v>19684</v>
      </c>
      <c r="G203" s="155">
        <v>20387</v>
      </c>
      <c r="H203" s="155">
        <v>20827</v>
      </c>
      <c r="I203" s="155">
        <v>21559</v>
      </c>
      <c r="J203" s="155">
        <v>23199</v>
      </c>
      <c r="K203" s="155">
        <v>24186</v>
      </c>
      <c r="L203" s="155">
        <v>25405</v>
      </c>
      <c r="M203" s="155">
        <v>26513</v>
      </c>
      <c r="N203" s="155">
        <v>26977</v>
      </c>
      <c r="O203" s="155">
        <v>26938</v>
      </c>
      <c r="P203" s="155">
        <v>25840</v>
      </c>
      <c r="Q203" s="155">
        <v>29154</v>
      </c>
      <c r="R203" s="155">
        <v>32952</v>
      </c>
      <c r="S203" s="155">
        <v>36169</v>
      </c>
      <c r="T203" s="155">
        <v>36695</v>
      </c>
      <c r="U203" s="155">
        <v>38498</v>
      </c>
      <c r="V203" s="155">
        <v>50778</v>
      </c>
      <c r="W203" s="155">
        <v>46963</v>
      </c>
      <c r="X203" s="155">
        <v>44670</v>
      </c>
      <c r="Y203" s="155">
        <v>43471</v>
      </c>
      <c r="Z203" s="155">
        <v>43150</v>
      </c>
      <c r="AA203" s="155">
        <v>43036</v>
      </c>
      <c r="AB203" s="155">
        <v>44958</v>
      </c>
      <c r="AC203" s="155">
        <v>46144</v>
      </c>
      <c r="AD203" s="155">
        <v>46834</v>
      </c>
      <c r="AE203" s="155">
        <v>49597</v>
      </c>
      <c r="AF203" s="155">
        <v>52158</v>
      </c>
      <c r="AG203" s="155">
        <v>55297</v>
      </c>
      <c r="AH203" s="155">
        <v>57578</v>
      </c>
      <c r="AI203" s="155">
        <v>59989</v>
      </c>
      <c r="AJ203" s="155">
        <v>63257</v>
      </c>
      <c r="AK203" s="155">
        <v>66289</v>
      </c>
      <c r="AL203" s="155">
        <v>68769</v>
      </c>
      <c r="AM203" s="155">
        <v>71243</v>
      </c>
      <c r="AN203" s="155">
        <v>73225</v>
      </c>
      <c r="AO203" s="155">
        <v>73825</v>
      </c>
      <c r="AP203" s="155">
        <v>75486</v>
      </c>
      <c r="AQ203" s="155">
        <v>75931</v>
      </c>
      <c r="AR203" s="155">
        <v>77260</v>
      </c>
      <c r="AS203" s="155">
        <v>76663</v>
      </c>
      <c r="AT203" s="155">
        <v>79666</v>
      </c>
      <c r="AU203" s="155">
        <v>78391</v>
      </c>
      <c r="AV203" s="155">
        <v>76928</v>
      </c>
      <c r="AW203" s="155">
        <v>75333</v>
      </c>
      <c r="AX203" s="155">
        <v>75716</v>
      </c>
      <c r="AY203" s="155">
        <v>75680</v>
      </c>
      <c r="AZ203" s="155">
        <v>75406</v>
      </c>
      <c r="BA203" s="155">
        <v>77982</v>
      </c>
      <c r="BB203" s="155">
        <v>85184</v>
      </c>
      <c r="BC203" s="155">
        <v>90081</v>
      </c>
      <c r="BD203" s="155">
        <v>91257</v>
      </c>
      <c r="BE203" s="155">
        <v>92252</v>
      </c>
      <c r="BF203" s="155">
        <v>94379</v>
      </c>
      <c r="BG203" s="155">
        <v>96377</v>
      </c>
      <c r="BH203" s="155">
        <v>101515</v>
      </c>
      <c r="BI203" s="155">
        <v>104227</v>
      </c>
      <c r="BJ203" s="155">
        <v>106884</v>
      </c>
      <c r="BK203" s="155">
        <v>112044</v>
      </c>
      <c r="BL203" s="155">
        <v>114030</v>
      </c>
      <c r="BM203" s="155">
        <v>117779</v>
      </c>
      <c r="BN203" s="155">
        <v>121786</v>
      </c>
      <c r="BO203" s="155">
        <v>123630</v>
      </c>
      <c r="BP203" s="155">
        <v>124150</v>
      </c>
      <c r="BQ203" s="155">
        <v>127786</v>
      </c>
      <c r="BR203" s="155">
        <v>129084</v>
      </c>
      <c r="BS203" s="155">
        <v>131842</v>
      </c>
      <c r="BT203" s="155">
        <v>137045</v>
      </c>
      <c r="BU203" s="155">
        <v>138492</v>
      </c>
      <c r="BV203" s="155">
        <v>142252</v>
      </c>
      <c r="BW203" s="155">
        <v>142706</v>
      </c>
      <c r="BX203" s="155">
        <v>143521</v>
      </c>
      <c r="BY203" s="155">
        <v>146753</v>
      </c>
      <c r="BZ203" s="155">
        <v>151997</v>
      </c>
      <c r="CA203" s="155">
        <v>156365</v>
      </c>
      <c r="CB203" s="155">
        <v>158141</v>
      </c>
      <c r="CC203" s="155">
        <v>159542</v>
      </c>
      <c r="CD203" s="155">
        <v>163256</v>
      </c>
      <c r="CE203" s="155">
        <v>169568</v>
      </c>
      <c r="CF203" s="155">
        <v>170761</v>
      </c>
      <c r="CG203" s="155">
        <v>173878</v>
      </c>
      <c r="CH203" s="155">
        <v>178184</v>
      </c>
      <c r="CI203" s="155">
        <v>180313</v>
      </c>
      <c r="CJ203" s="155">
        <v>179593</v>
      </c>
      <c r="CK203" s="155">
        <v>178940</v>
      </c>
      <c r="CL203" s="155">
        <v>180904</v>
      </c>
      <c r="CM203" s="155">
        <v>184785</v>
      </c>
      <c r="CN203" s="155">
        <v>183423</v>
      </c>
      <c r="CO203" s="155">
        <v>183031</v>
      </c>
      <c r="CP203" s="155">
        <v>184322</v>
      </c>
      <c r="CQ203" s="155">
        <v>184156</v>
      </c>
      <c r="CR203" s="155">
        <v>182986</v>
      </c>
      <c r="CS203" s="155">
        <v>186396</v>
      </c>
      <c r="CT203" s="155">
        <v>182290</v>
      </c>
      <c r="CU203" s="155">
        <v>184058</v>
      </c>
      <c r="CV203" s="155">
        <v>186697</v>
      </c>
      <c r="CW203" s="155">
        <v>189144</v>
      </c>
      <c r="CX203" s="155">
        <v>191404</v>
      </c>
      <c r="CY203" s="154">
        <v>193570</v>
      </c>
    </row>
    <row r="204" spans="1:103">
      <c r="A204" s="155" t="s">
        <v>1139</v>
      </c>
      <c r="B204" s="154">
        <v>95</v>
      </c>
      <c r="C204" s="155">
        <v>12414</v>
      </c>
      <c r="D204" s="155">
        <v>12429</v>
      </c>
      <c r="E204" s="155">
        <v>13064</v>
      </c>
      <c r="F204" s="155">
        <v>13922</v>
      </c>
      <c r="G204" s="155">
        <v>14592</v>
      </c>
      <c r="H204" s="155">
        <v>15180</v>
      </c>
      <c r="I204" s="155">
        <v>15565</v>
      </c>
      <c r="J204" s="155">
        <v>16161</v>
      </c>
      <c r="K204" s="155">
        <v>17438</v>
      </c>
      <c r="L204" s="155">
        <v>18223</v>
      </c>
      <c r="M204" s="155">
        <v>19181</v>
      </c>
      <c r="N204" s="155">
        <v>20047</v>
      </c>
      <c r="O204" s="155">
        <v>20423</v>
      </c>
      <c r="P204" s="155">
        <v>20419</v>
      </c>
      <c r="Q204" s="155">
        <v>19619</v>
      </c>
      <c r="R204" s="155">
        <v>22179</v>
      </c>
      <c r="S204" s="155">
        <v>25127</v>
      </c>
      <c r="T204" s="155">
        <v>27649</v>
      </c>
      <c r="U204" s="155">
        <v>28120</v>
      </c>
      <c r="V204" s="155">
        <v>29568</v>
      </c>
      <c r="W204" s="155">
        <v>39081</v>
      </c>
      <c r="X204" s="155">
        <v>36214</v>
      </c>
      <c r="Y204" s="155">
        <v>34512</v>
      </c>
      <c r="Z204" s="155">
        <v>33653</v>
      </c>
      <c r="AA204" s="155">
        <v>33473</v>
      </c>
      <c r="AB204" s="155">
        <v>33455</v>
      </c>
      <c r="AC204" s="155">
        <v>35023</v>
      </c>
      <c r="AD204" s="155">
        <v>36024</v>
      </c>
      <c r="AE204" s="155">
        <v>36637</v>
      </c>
      <c r="AF204" s="155">
        <v>38881</v>
      </c>
      <c r="AG204" s="155">
        <v>40973</v>
      </c>
      <c r="AH204" s="155">
        <v>43528</v>
      </c>
      <c r="AI204" s="155">
        <v>45415</v>
      </c>
      <c r="AJ204" s="155">
        <v>47412</v>
      </c>
      <c r="AK204" s="155">
        <v>50096</v>
      </c>
      <c r="AL204" s="155">
        <v>52599</v>
      </c>
      <c r="AM204" s="155">
        <v>54675</v>
      </c>
      <c r="AN204" s="155">
        <v>56751</v>
      </c>
      <c r="AO204" s="155">
        <v>58444</v>
      </c>
      <c r="AP204" s="155">
        <v>59036</v>
      </c>
      <c r="AQ204" s="155">
        <v>60478</v>
      </c>
      <c r="AR204" s="155">
        <v>60949</v>
      </c>
      <c r="AS204" s="155">
        <v>62131</v>
      </c>
      <c r="AT204" s="155">
        <v>61766</v>
      </c>
      <c r="AU204" s="155">
        <v>64303</v>
      </c>
      <c r="AV204" s="155">
        <v>63390</v>
      </c>
      <c r="AW204" s="155">
        <v>62320</v>
      </c>
      <c r="AX204" s="155">
        <v>61135</v>
      </c>
      <c r="AY204" s="155">
        <v>61556</v>
      </c>
      <c r="AZ204" s="155">
        <v>61634</v>
      </c>
      <c r="BA204" s="155">
        <v>61518</v>
      </c>
      <c r="BB204" s="155">
        <v>63729</v>
      </c>
      <c r="BC204" s="155">
        <v>69733</v>
      </c>
      <c r="BD204" s="155">
        <v>73868</v>
      </c>
      <c r="BE204" s="155">
        <v>74958</v>
      </c>
      <c r="BF204" s="155">
        <v>75903</v>
      </c>
      <c r="BG204" s="155">
        <v>77780</v>
      </c>
      <c r="BH204" s="155">
        <v>79558</v>
      </c>
      <c r="BI204" s="155">
        <v>83933</v>
      </c>
      <c r="BJ204" s="155">
        <v>86315</v>
      </c>
      <c r="BK204" s="155">
        <v>88658</v>
      </c>
      <c r="BL204" s="155">
        <v>93085</v>
      </c>
      <c r="BM204" s="155">
        <v>94884</v>
      </c>
      <c r="BN204" s="155">
        <v>98157</v>
      </c>
      <c r="BO204" s="155">
        <v>101652</v>
      </c>
      <c r="BP204" s="155">
        <v>103351</v>
      </c>
      <c r="BQ204" s="155">
        <v>103944</v>
      </c>
      <c r="BR204" s="155">
        <v>107150</v>
      </c>
      <c r="BS204" s="155">
        <v>108399</v>
      </c>
      <c r="BT204" s="155">
        <v>110879</v>
      </c>
      <c r="BU204" s="155">
        <v>115423</v>
      </c>
      <c r="BV204" s="155">
        <v>116813</v>
      </c>
      <c r="BW204" s="155">
        <v>120157</v>
      </c>
      <c r="BX204" s="155">
        <v>120711</v>
      </c>
      <c r="BY204" s="155">
        <v>121573</v>
      </c>
      <c r="BZ204" s="155">
        <v>124487</v>
      </c>
      <c r="CA204" s="155">
        <v>129115</v>
      </c>
      <c r="CB204" s="155">
        <v>133011</v>
      </c>
      <c r="CC204" s="155">
        <v>134707</v>
      </c>
      <c r="CD204" s="155">
        <v>136082</v>
      </c>
      <c r="CE204" s="155">
        <v>139439</v>
      </c>
      <c r="CF204" s="155">
        <v>145023</v>
      </c>
      <c r="CG204" s="155">
        <v>146237</v>
      </c>
      <c r="CH204" s="155">
        <v>149101</v>
      </c>
      <c r="CI204" s="155">
        <v>152993</v>
      </c>
      <c r="CJ204" s="155">
        <v>155021</v>
      </c>
      <c r="CK204" s="155">
        <v>154599</v>
      </c>
      <c r="CL204" s="155">
        <v>154232</v>
      </c>
      <c r="CM204" s="155">
        <v>156122</v>
      </c>
      <c r="CN204" s="155">
        <v>159670</v>
      </c>
      <c r="CO204" s="155">
        <v>158690</v>
      </c>
      <c r="CP204" s="155">
        <v>158545</v>
      </c>
      <c r="CQ204" s="155">
        <v>159858</v>
      </c>
      <c r="CR204" s="155">
        <v>159908</v>
      </c>
      <c r="CS204" s="155">
        <v>159082</v>
      </c>
      <c r="CT204" s="155">
        <v>162240</v>
      </c>
      <c r="CU204" s="155">
        <v>158852</v>
      </c>
      <c r="CV204" s="155">
        <v>160580</v>
      </c>
      <c r="CW204" s="155">
        <v>163070</v>
      </c>
      <c r="CX204" s="155">
        <v>165398</v>
      </c>
      <c r="CY204" s="154">
        <v>167563</v>
      </c>
    </row>
    <row r="205" spans="1:103">
      <c r="A205" s="155" t="s">
        <v>1139</v>
      </c>
      <c r="B205" s="154">
        <v>96</v>
      </c>
      <c r="C205" s="155">
        <v>8566</v>
      </c>
      <c r="D205" s="155">
        <v>8632</v>
      </c>
      <c r="E205" s="155">
        <v>8781</v>
      </c>
      <c r="F205" s="155">
        <v>9269</v>
      </c>
      <c r="G205" s="155">
        <v>9924</v>
      </c>
      <c r="H205" s="155">
        <v>10451</v>
      </c>
      <c r="I205" s="155">
        <v>10916</v>
      </c>
      <c r="J205" s="155">
        <v>11231</v>
      </c>
      <c r="K205" s="155">
        <v>11697</v>
      </c>
      <c r="L205" s="155">
        <v>12655</v>
      </c>
      <c r="M205" s="155">
        <v>13256</v>
      </c>
      <c r="N205" s="155">
        <v>13981</v>
      </c>
      <c r="O205" s="155">
        <v>14637</v>
      </c>
      <c r="P205" s="155">
        <v>14930</v>
      </c>
      <c r="Q205" s="155">
        <v>14947</v>
      </c>
      <c r="R205" s="155">
        <v>14385</v>
      </c>
      <c r="S205" s="155">
        <v>16296</v>
      </c>
      <c r="T205" s="155">
        <v>18507</v>
      </c>
      <c r="U205" s="155">
        <v>20417</v>
      </c>
      <c r="V205" s="155">
        <v>20817</v>
      </c>
      <c r="W205" s="155">
        <v>21941</v>
      </c>
      <c r="X205" s="155">
        <v>29065</v>
      </c>
      <c r="Y205" s="155">
        <v>26991</v>
      </c>
      <c r="Z205" s="155">
        <v>25778</v>
      </c>
      <c r="AA205" s="155">
        <v>25191</v>
      </c>
      <c r="AB205" s="155">
        <v>25113</v>
      </c>
      <c r="AC205" s="155">
        <v>25157</v>
      </c>
      <c r="AD205" s="155">
        <v>26395</v>
      </c>
      <c r="AE205" s="155">
        <v>27211</v>
      </c>
      <c r="AF205" s="155">
        <v>27734</v>
      </c>
      <c r="AG205" s="155">
        <v>29498</v>
      </c>
      <c r="AH205" s="155">
        <v>31153</v>
      </c>
      <c r="AI205" s="155">
        <v>33168</v>
      </c>
      <c r="AJ205" s="155">
        <v>34681</v>
      </c>
      <c r="AK205" s="155">
        <v>36283</v>
      </c>
      <c r="AL205" s="155">
        <v>38419</v>
      </c>
      <c r="AM205" s="155">
        <v>40422</v>
      </c>
      <c r="AN205" s="155">
        <v>42106</v>
      </c>
      <c r="AO205" s="155">
        <v>43796</v>
      </c>
      <c r="AP205" s="155">
        <v>45195</v>
      </c>
      <c r="AQ205" s="155">
        <v>45746</v>
      </c>
      <c r="AR205" s="155">
        <v>46958</v>
      </c>
      <c r="AS205" s="155">
        <v>47418</v>
      </c>
      <c r="AT205" s="155">
        <v>48434</v>
      </c>
      <c r="AU205" s="155">
        <v>48245</v>
      </c>
      <c r="AV205" s="155">
        <v>50326</v>
      </c>
      <c r="AW205" s="155">
        <v>49707</v>
      </c>
      <c r="AX205" s="155">
        <v>48964</v>
      </c>
      <c r="AY205" s="155">
        <v>48124</v>
      </c>
      <c r="AZ205" s="155">
        <v>48547</v>
      </c>
      <c r="BA205" s="155">
        <v>48700</v>
      </c>
      <c r="BB205" s="155">
        <v>48698</v>
      </c>
      <c r="BC205" s="155">
        <v>50543</v>
      </c>
      <c r="BD205" s="155">
        <v>55407</v>
      </c>
      <c r="BE205" s="155">
        <v>58799</v>
      </c>
      <c r="BF205" s="155">
        <v>59774</v>
      </c>
      <c r="BG205" s="155">
        <v>60637</v>
      </c>
      <c r="BH205" s="155">
        <v>62246</v>
      </c>
      <c r="BI205" s="155">
        <v>63782</v>
      </c>
      <c r="BJ205" s="155">
        <v>67408</v>
      </c>
      <c r="BK205" s="155">
        <v>69440</v>
      </c>
      <c r="BL205" s="155">
        <v>71450</v>
      </c>
      <c r="BM205" s="155">
        <v>75146</v>
      </c>
      <c r="BN205" s="155">
        <v>76728</v>
      </c>
      <c r="BO205" s="155">
        <v>79509</v>
      </c>
      <c r="BP205" s="155">
        <v>82478</v>
      </c>
      <c r="BQ205" s="155">
        <v>83994</v>
      </c>
      <c r="BR205" s="155">
        <v>84616</v>
      </c>
      <c r="BS205" s="155">
        <v>87368</v>
      </c>
      <c r="BT205" s="155">
        <v>88530</v>
      </c>
      <c r="BU205" s="155">
        <v>90700</v>
      </c>
      <c r="BV205" s="155">
        <v>94568</v>
      </c>
      <c r="BW205" s="155">
        <v>95859</v>
      </c>
      <c r="BX205" s="155">
        <v>98757</v>
      </c>
      <c r="BY205" s="155">
        <v>99366</v>
      </c>
      <c r="BZ205" s="155">
        <v>100231</v>
      </c>
      <c r="CA205" s="155">
        <v>102791</v>
      </c>
      <c r="CB205" s="155">
        <v>106773</v>
      </c>
      <c r="CC205" s="155">
        <v>110162</v>
      </c>
      <c r="CD205" s="155">
        <v>111733</v>
      </c>
      <c r="CE205" s="155">
        <v>113041</v>
      </c>
      <c r="CF205" s="155">
        <v>116000</v>
      </c>
      <c r="CG205" s="155">
        <v>120821</v>
      </c>
      <c r="CH205" s="155">
        <v>122009</v>
      </c>
      <c r="CI205" s="155">
        <v>124577</v>
      </c>
      <c r="CJ205" s="155">
        <v>128010</v>
      </c>
      <c r="CK205" s="155">
        <v>129890</v>
      </c>
      <c r="CL205" s="155">
        <v>129718</v>
      </c>
      <c r="CM205" s="155">
        <v>129590</v>
      </c>
      <c r="CN205" s="155">
        <v>131359</v>
      </c>
      <c r="CO205" s="155">
        <v>134529</v>
      </c>
      <c r="CP205" s="155">
        <v>133885</v>
      </c>
      <c r="CQ205" s="155">
        <v>133943</v>
      </c>
      <c r="CR205" s="155">
        <v>135233</v>
      </c>
      <c r="CS205" s="155">
        <v>135454</v>
      </c>
      <c r="CT205" s="155">
        <v>134933</v>
      </c>
      <c r="CU205" s="155">
        <v>137791</v>
      </c>
      <c r="CV205" s="155">
        <v>135087</v>
      </c>
      <c r="CW205" s="155">
        <v>136733</v>
      </c>
      <c r="CX205" s="155">
        <v>139030</v>
      </c>
      <c r="CY205" s="154">
        <v>141193</v>
      </c>
    </row>
    <row r="206" spans="1:103">
      <c r="A206" s="155" t="s">
        <v>1139</v>
      </c>
      <c r="B206" s="154">
        <v>97</v>
      </c>
      <c r="C206" s="155">
        <v>5704</v>
      </c>
      <c r="D206" s="155">
        <v>5704</v>
      </c>
      <c r="E206" s="155">
        <v>5849</v>
      </c>
      <c r="F206" s="155">
        <v>5976</v>
      </c>
      <c r="G206" s="155">
        <v>6336</v>
      </c>
      <c r="H206" s="155">
        <v>6815</v>
      </c>
      <c r="I206" s="155">
        <v>7209</v>
      </c>
      <c r="J206" s="155">
        <v>7556</v>
      </c>
      <c r="K206" s="155">
        <v>7800</v>
      </c>
      <c r="L206" s="155">
        <v>8149</v>
      </c>
      <c r="M206" s="155">
        <v>8840</v>
      </c>
      <c r="N206" s="155">
        <v>9282</v>
      </c>
      <c r="O206" s="155">
        <v>9809</v>
      </c>
      <c r="P206" s="155">
        <v>10286</v>
      </c>
      <c r="Q206" s="155">
        <v>10506</v>
      </c>
      <c r="R206" s="155">
        <v>10534</v>
      </c>
      <c r="S206" s="155">
        <v>10157</v>
      </c>
      <c r="T206" s="155">
        <v>11532</v>
      </c>
      <c r="U206" s="155">
        <v>13128</v>
      </c>
      <c r="V206" s="155">
        <v>14520</v>
      </c>
      <c r="W206" s="155">
        <v>14843</v>
      </c>
      <c r="X206" s="155">
        <v>15684</v>
      </c>
      <c r="Y206" s="155">
        <v>20826</v>
      </c>
      <c r="Z206" s="155">
        <v>19385</v>
      </c>
      <c r="AA206" s="155">
        <v>18557</v>
      </c>
      <c r="AB206" s="155">
        <v>18178</v>
      </c>
      <c r="AC206" s="155">
        <v>18164</v>
      </c>
      <c r="AD206" s="155">
        <v>18241</v>
      </c>
      <c r="AE206" s="155">
        <v>19183</v>
      </c>
      <c r="AF206" s="155">
        <v>19823</v>
      </c>
      <c r="AG206" s="155">
        <v>20252</v>
      </c>
      <c r="AH206" s="155">
        <v>21589</v>
      </c>
      <c r="AI206" s="155">
        <v>22853</v>
      </c>
      <c r="AJ206" s="155">
        <v>24387</v>
      </c>
      <c r="AK206" s="155">
        <v>25557</v>
      </c>
      <c r="AL206" s="155">
        <v>26798</v>
      </c>
      <c r="AM206" s="155">
        <v>28439</v>
      </c>
      <c r="AN206" s="155">
        <v>29989</v>
      </c>
      <c r="AO206" s="155">
        <v>31307</v>
      </c>
      <c r="AP206" s="155">
        <v>32634</v>
      </c>
      <c r="AQ206" s="155">
        <v>33750</v>
      </c>
      <c r="AR206" s="155">
        <v>34235</v>
      </c>
      <c r="AS206" s="155">
        <v>35218</v>
      </c>
      <c r="AT206" s="155">
        <v>35638</v>
      </c>
      <c r="AU206" s="155">
        <v>36479</v>
      </c>
      <c r="AV206" s="155">
        <v>36411</v>
      </c>
      <c r="AW206" s="155">
        <v>38061</v>
      </c>
      <c r="AX206" s="155">
        <v>37670</v>
      </c>
      <c r="AY206" s="155">
        <v>37182</v>
      </c>
      <c r="AZ206" s="155">
        <v>36620</v>
      </c>
      <c r="BA206" s="155">
        <v>37016</v>
      </c>
      <c r="BB206" s="155">
        <v>37207</v>
      </c>
      <c r="BC206" s="155">
        <v>37279</v>
      </c>
      <c r="BD206" s="155">
        <v>38767</v>
      </c>
      <c r="BE206" s="155">
        <v>42583</v>
      </c>
      <c r="BF206" s="155">
        <v>45277</v>
      </c>
      <c r="BG206" s="155">
        <v>46117</v>
      </c>
      <c r="BH206" s="155">
        <v>46872</v>
      </c>
      <c r="BI206" s="155">
        <v>48209</v>
      </c>
      <c r="BJ206" s="155">
        <v>49491</v>
      </c>
      <c r="BK206" s="155">
        <v>52402</v>
      </c>
      <c r="BL206" s="155">
        <v>54081</v>
      </c>
      <c r="BM206" s="155">
        <v>55751</v>
      </c>
      <c r="BN206" s="155">
        <v>58741</v>
      </c>
      <c r="BO206" s="155">
        <v>60088</v>
      </c>
      <c r="BP206" s="155">
        <v>62378</v>
      </c>
      <c r="BQ206" s="155">
        <v>64824</v>
      </c>
      <c r="BR206" s="155">
        <v>66133</v>
      </c>
      <c r="BS206" s="155">
        <v>66739</v>
      </c>
      <c r="BT206" s="155">
        <v>69031</v>
      </c>
      <c r="BU206" s="155">
        <v>70071</v>
      </c>
      <c r="BV206" s="155">
        <v>71912</v>
      </c>
      <c r="BW206" s="155">
        <v>75108</v>
      </c>
      <c r="BX206" s="155">
        <v>76263</v>
      </c>
      <c r="BY206" s="155">
        <v>78701</v>
      </c>
      <c r="BZ206" s="155">
        <v>79320</v>
      </c>
      <c r="CA206" s="155">
        <v>80143</v>
      </c>
      <c r="CB206" s="155">
        <v>82327</v>
      </c>
      <c r="CC206" s="155">
        <v>85656</v>
      </c>
      <c r="CD206" s="155">
        <v>88517</v>
      </c>
      <c r="CE206" s="155">
        <v>89924</v>
      </c>
      <c r="CF206" s="155">
        <v>91124</v>
      </c>
      <c r="CG206" s="155">
        <v>93657</v>
      </c>
      <c r="CH206" s="155">
        <v>97703</v>
      </c>
      <c r="CI206" s="155">
        <v>98818</v>
      </c>
      <c r="CJ206" s="155">
        <v>101056</v>
      </c>
      <c r="CK206" s="155">
        <v>104000</v>
      </c>
      <c r="CL206" s="155">
        <v>105690</v>
      </c>
      <c r="CM206" s="155">
        <v>105711</v>
      </c>
      <c r="CN206" s="155">
        <v>105766</v>
      </c>
      <c r="CO206" s="155">
        <v>107370</v>
      </c>
      <c r="CP206" s="155">
        <v>110124</v>
      </c>
      <c r="CQ206" s="155">
        <v>109759</v>
      </c>
      <c r="CR206" s="155">
        <v>109969</v>
      </c>
      <c r="CS206" s="155">
        <v>111189</v>
      </c>
      <c r="CT206" s="155">
        <v>111531</v>
      </c>
      <c r="CU206" s="155">
        <v>111262</v>
      </c>
      <c r="CV206" s="155">
        <v>113780</v>
      </c>
      <c r="CW206" s="155">
        <v>111705</v>
      </c>
      <c r="CX206" s="155">
        <v>113225</v>
      </c>
      <c r="CY206" s="154">
        <v>115287</v>
      </c>
    </row>
    <row r="207" spans="1:103">
      <c r="A207" s="155" t="s">
        <v>1139</v>
      </c>
      <c r="B207" s="154">
        <v>98</v>
      </c>
      <c r="C207" s="155">
        <v>3621</v>
      </c>
      <c r="D207" s="155">
        <v>3628</v>
      </c>
      <c r="E207" s="155">
        <v>3699</v>
      </c>
      <c r="F207" s="155">
        <v>3807</v>
      </c>
      <c r="G207" s="155">
        <v>3907</v>
      </c>
      <c r="H207" s="155">
        <v>4161</v>
      </c>
      <c r="I207" s="155">
        <v>4495</v>
      </c>
      <c r="J207" s="155">
        <v>4773</v>
      </c>
      <c r="K207" s="155">
        <v>5020</v>
      </c>
      <c r="L207" s="155">
        <v>5200</v>
      </c>
      <c r="M207" s="155">
        <v>5449</v>
      </c>
      <c r="N207" s="155">
        <v>5927</v>
      </c>
      <c r="O207" s="155">
        <v>6238</v>
      </c>
      <c r="P207" s="155">
        <v>6606</v>
      </c>
      <c r="Q207" s="155">
        <v>6939</v>
      </c>
      <c r="R207" s="155">
        <v>7098</v>
      </c>
      <c r="S207" s="155">
        <v>7128</v>
      </c>
      <c r="T207" s="155">
        <v>6886</v>
      </c>
      <c r="U207" s="155">
        <v>7836</v>
      </c>
      <c r="V207" s="155">
        <v>8944</v>
      </c>
      <c r="W207" s="155">
        <v>9919</v>
      </c>
      <c r="X207" s="155">
        <v>10166</v>
      </c>
      <c r="Y207" s="155">
        <v>10770</v>
      </c>
      <c r="Z207" s="155">
        <v>14337</v>
      </c>
      <c r="AA207" s="155">
        <v>13378</v>
      </c>
      <c r="AB207" s="155">
        <v>12840</v>
      </c>
      <c r="AC207" s="155">
        <v>12608</v>
      </c>
      <c r="AD207" s="155">
        <v>12631</v>
      </c>
      <c r="AE207" s="155">
        <v>12715</v>
      </c>
      <c r="AF207" s="155">
        <v>13406</v>
      </c>
      <c r="AG207" s="155">
        <v>13887</v>
      </c>
      <c r="AH207" s="155">
        <v>14221</v>
      </c>
      <c r="AI207" s="155">
        <v>15198</v>
      </c>
      <c r="AJ207" s="155">
        <v>16126</v>
      </c>
      <c r="AK207" s="155">
        <v>17249</v>
      </c>
      <c r="AL207" s="155">
        <v>18120</v>
      </c>
      <c r="AM207" s="155">
        <v>19043</v>
      </c>
      <c r="AN207" s="155">
        <v>20257</v>
      </c>
      <c r="AO207" s="155">
        <v>21411</v>
      </c>
      <c r="AP207" s="155">
        <v>22404</v>
      </c>
      <c r="AQ207" s="155">
        <v>23407</v>
      </c>
      <c r="AR207" s="155">
        <v>24263</v>
      </c>
      <c r="AS207" s="155">
        <v>24666</v>
      </c>
      <c r="AT207" s="155">
        <v>25430</v>
      </c>
      <c r="AU207" s="155">
        <v>25791</v>
      </c>
      <c r="AV207" s="155">
        <v>26458</v>
      </c>
      <c r="AW207" s="155">
        <v>26467</v>
      </c>
      <c r="AX207" s="155">
        <v>27726</v>
      </c>
      <c r="AY207" s="155">
        <v>27500</v>
      </c>
      <c r="AZ207" s="155">
        <v>27202</v>
      </c>
      <c r="BA207" s="155">
        <v>26849</v>
      </c>
      <c r="BB207" s="155">
        <v>27197</v>
      </c>
      <c r="BC207" s="155">
        <v>27395</v>
      </c>
      <c r="BD207" s="155">
        <v>27504</v>
      </c>
      <c r="BE207" s="155">
        <v>28662</v>
      </c>
      <c r="BF207" s="155">
        <v>31549</v>
      </c>
      <c r="BG207" s="155">
        <v>33613</v>
      </c>
      <c r="BH207" s="155">
        <v>34308</v>
      </c>
      <c r="BI207" s="155">
        <v>34939</v>
      </c>
      <c r="BJ207" s="155">
        <v>36008</v>
      </c>
      <c r="BK207" s="155">
        <v>37040</v>
      </c>
      <c r="BL207" s="155">
        <v>39296</v>
      </c>
      <c r="BM207" s="155">
        <v>40635</v>
      </c>
      <c r="BN207" s="155">
        <v>41972</v>
      </c>
      <c r="BO207" s="155">
        <v>44308</v>
      </c>
      <c r="BP207" s="155">
        <v>45412</v>
      </c>
      <c r="BQ207" s="155">
        <v>47232</v>
      </c>
      <c r="BR207" s="155">
        <v>49180</v>
      </c>
      <c r="BS207" s="155">
        <v>50266</v>
      </c>
      <c r="BT207" s="155">
        <v>50822</v>
      </c>
      <c r="BU207" s="155">
        <v>52665</v>
      </c>
      <c r="BV207" s="155">
        <v>53557</v>
      </c>
      <c r="BW207" s="155">
        <v>55064</v>
      </c>
      <c r="BX207" s="155">
        <v>57617</v>
      </c>
      <c r="BY207" s="155">
        <v>58610</v>
      </c>
      <c r="BZ207" s="155">
        <v>60594</v>
      </c>
      <c r="CA207" s="155">
        <v>61181</v>
      </c>
      <c r="CB207" s="155">
        <v>61924</v>
      </c>
      <c r="CC207" s="155">
        <v>63723</v>
      </c>
      <c r="CD207" s="155">
        <v>66418</v>
      </c>
      <c r="CE207" s="155">
        <v>68752</v>
      </c>
      <c r="CF207" s="155">
        <v>69966</v>
      </c>
      <c r="CG207" s="155">
        <v>71021</v>
      </c>
      <c r="CH207" s="155">
        <v>73120</v>
      </c>
      <c r="CI207" s="155">
        <v>76408</v>
      </c>
      <c r="CJ207" s="155">
        <v>77411</v>
      </c>
      <c r="CK207" s="155">
        <v>79295</v>
      </c>
      <c r="CL207" s="155">
        <v>81741</v>
      </c>
      <c r="CM207" s="155">
        <v>83206</v>
      </c>
      <c r="CN207" s="155">
        <v>83359</v>
      </c>
      <c r="CO207" s="155">
        <v>83538</v>
      </c>
      <c r="CP207" s="155">
        <v>84941</v>
      </c>
      <c r="CQ207" s="155">
        <v>87259</v>
      </c>
      <c r="CR207" s="155">
        <v>87107</v>
      </c>
      <c r="CS207" s="155">
        <v>87411</v>
      </c>
      <c r="CT207" s="155">
        <v>88519</v>
      </c>
      <c r="CU207" s="155">
        <v>88930</v>
      </c>
      <c r="CV207" s="155">
        <v>88853</v>
      </c>
      <c r="CW207" s="155">
        <v>91003</v>
      </c>
      <c r="CX207" s="155">
        <v>89480</v>
      </c>
      <c r="CY207" s="154">
        <v>90835</v>
      </c>
    </row>
    <row r="208" spans="1:103">
      <c r="A208" s="155" t="s">
        <v>1139</v>
      </c>
      <c r="B208" s="154">
        <v>99</v>
      </c>
      <c r="C208" s="155">
        <v>2271</v>
      </c>
      <c r="D208" s="155">
        <v>2201</v>
      </c>
      <c r="E208" s="155">
        <v>2248</v>
      </c>
      <c r="F208" s="155">
        <v>2301</v>
      </c>
      <c r="G208" s="155">
        <v>2378</v>
      </c>
      <c r="H208" s="155">
        <v>2450</v>
      </c>
      <c r="I208" s="155">
        <v>2621</v>
      </c>
      <c r="J208" s="155">
        <v>2841</v>
      </c>
      <c r="K208" s="155">
        <v>3027</v>
      </c>
      <c r="L208" s="155">
        <v>3196</v>
      </c>
      <c r="M208" s="155">
        <v>3321</v>
      </c>
      <c r="N208" s="155">
        <v>3491</v>
      </c>
      <c r="O208" s="155">
        <v>3808</v>
      </c>
      <c r="P208" s="155">
        <v>4017</v>
      </c>
      <c r="Q208" s="155">
        <v>4263</v>
      </c>
      <c r="R208" s="155">
        <v>4485</v>
      </c>
      <c r="S208" s="155">
        <v>4595</v>
      </c>
      <c r="T208" s="155">
        <v>4622</v>
      </c>
      <c r="U208" s="155">
        <v>4475</v>
      </c>
      <c r="V208" s="155">
        <v>5105</v>
      </c>
      <c r="W208" s="155">
        <v>5842</v>
      </c>
      <c r="X208" s="155">
        <v>6496</v>
      </c>
      <c r="Y208" s="155">
        <v>6675</v>
      </c>
      <c r="Z208" s="155">
        <v>7091</v>
      </c>
      <c r="AA208" s="155">
        <v>9465</v>
      </c>
      <c r="AB208" s="155">
        <v>8854</v>
      </c>
      <c r="AC208" s="155">
        <v>8521</v>
      </c>
      <c r="AD208" s="155">
        <v>8388</v>
      </c>
      <c r="AE208" s="155">
        <v>8425</v>
      </c>
      <c r="AF208" s="155">
        <v>8504</v>
      </c>
      <c r="AG208" s="155">
        <v>8989</v>
      </c>
      <c r="AH208" s="155">
        <v>9334</v>
      </c>
      <c r="AI208" s="155">
        <v>9584</v>
      </c>
      <c r="AJ208" s="155">
        <v>10267</v>
      </c>
      <c r="AK208" s="155">
        <v>10920</v>
      </c>
      <c r="AL208" s="155">
        <v>11709</v>
      </c>
      <c r="AM208" s="155">
        <v>12330</v>
      </c>
      <c r="AN208" s="155">
        <v>12990</v>
      </c>
      <c r="AO208" s="155">
        <v>13852</v>
      </c>
      <c r="AP208" s="155">
        <v>14675</v>
      </c>
      <c r="AQ208" s="155">
        <v>15394</v>
      </c>
      <c r="AR208" s="155">
        <v>16121</v>
      </c>
      <c r="AS208" s="155">
        <v>16749</v>
      </c>
      <c r="AT208" s="155">
        <v>17066</v>
      </c>
      <c r="AU208" s="155">
        <v>17636</v>
      </c>
      <c r="AV208" s="155">
        <v>17926</v>
      </c>
      <c r="AW208" s="155">
        <v>18433</v>
      </c>
      <c r="AX208" s="155">
        <v>18480</v>
      </c>
      <c r="AY208" s="155">
        <v>19402</v>
      </c>
      <c r="AZ208" s="155">
        <v>19288</v>
      </c>
      <c r="BA208" s="155">
        <v>19122</v>
      </c>
      <c r="BB208" s="155">
        <v>18915</v>
      </c>
      <c r="BC208" s="155">
        <v>19202</v>
      </c>
      <c r="BD208" s="155">
        <v>19384</v>
      </c>
      <c r="BE208" s="155">
        <v>19503</v>
      </c>
      <c r="BF208" s="155">
        <v>20368</v>
      </c>
      <c r="BG208" s="155">
        <v>22468</v>
      </c>
      <c r="BH208" s="155">
        <v>23991</v>
      </c>
      <c r="BI208" s="155">
        <v>24538</v>
      </c>
      <c r="BJ208" s="155">
        <v>25042</v>
      </c>
      <c r="BK208" s="155">
        <v>25863</v>
      </c>
      <c r="BL208" s="155">
        <v>26659</v>
      </c>
      <c r="BM208" s="155">
        <v>28341</v>
      </c>
      <c r="BN208" s="155">
        <v>29367</v>
      </c>
      <c r="BO208" s="155">
        <v>30395</v>
      </c>
      <c r="BP208" s="155">
        <v>32153</v>
      </c>
      <c r="BQ208" s="155">
        <v>33019</v>
      </c>
      <c r="BR208" s="155">
        <v>34411</v>
      </c>
      <c r="BS208" s="155">
        <v>35901</v>
      </c>
      <c r="BT208" s="155">
        <v>36767</v>
      </c>
      <c r="BU208" s="155">
        <v>37246</v>
      </c>
      <c r="BV208" s="155">
        <v>38672</v>
      </c>
      <c r="BW208" s="155">
        <v>39403</v>
      </c>
      <c r="BX208" s="155">
        <v>40591</v>
      </c>
      <c r="BY208" s="155">
        <v>42554</v>
      </c>
      <c r="BZ208" s="155">
        <v>43370</v>
      </c>
      <c r="CA208" s="155">
        <v>44922</v>
      </c>
      <c r="CB208" s="155">
        <v>45443</v>
      </c>
      <c r="CC208" s="155">
        <v>46081</v>
      </c>
      <c r="CD208" s="155">
        <v>47507</v>
      </c>
      <c r="CE208" s="155">
        <v>49609</v>
      </c>
      <c r="CF208" s="155">
        <v>51443</v>
      </c>
      <c r="CG208" s="155">
        <v>52448</v>
      </c>
      <c r="CH208" s="155">
        <v>53336</v>
      </c>
      <c r="CI208" s="155">
        <v>55011</v>
      </c>
      <c r="CJ208" s="155">
        <v>57588</v>
      </c>
      <c r="CK208" s="155">
        <v>58448</v>
      </c>
      <c r="CL208" s="155">
        <v>59976</v>
      </c>
      <c r="CM208" s="155">
        <v>61936</v>
      </c>
      <c r="CN208" s="155">
        <v>63155</v>
      </c>
      <c r="CO208" s="155">
        <v>63382</v>
      </c>
      <c r="CP208" s="155">
        <v>63627</v>
      </c>
      <c r="CQ208" s="155">
        <v>64806</v>
      </c>
      <c r="CR208" s="155">
        <v>66687</v>
      </c>
      <c r="CS208" s="155">
        <v>66682</v>
      </c>
      <c r="CT208" s="155">
        <v>67028</v>
      </c>
      <c r="CU208" s="155">
        <v>67992</v>
      </c>
      <c r="CV208" s="155">
        <v>68418</v>
      </c>
      <c r="CW208" s="155">
        <v>68471</v>
      </c>
      <c r="CX208" s="155">
        <v>70243</v>
      </c>
      <c r="CY208" s="154">
        <v>69180</v>
      </c>
    </row>
    <row r="209" spans="1:103">
      <c r="A209" s="155" t="s">
        <v>1139</v>
      </c>
      <c r="B209" s="154">
        <v>100</v>
      </c>
      <c r="C209" s="155">
        <v>1383</v>
      </c>
      <c r="D209" s="155">
        <v>1321</v>
      </c>
      <c r="E209" s="155">
        <v>1304</v>
      </c>
      <c r="F209" s="155">
        <v>1335</v>
      </c>
      <c r="G209" s="155">
        <v>1372</v>
      </c>
      <c r="H209" s="155">
        <v>1422</v>
      </c>
      <c r="I209" s="155">
        <v>1472</v>
      </c>
      <c r="J209" s="155">
        <v>1580</v>
      </c>
      <c r="K209" s="155">
        <v>1718</v>
      </c>
      <c r="L209" s="155">
        <v>1837</v>
      </c>
      <c r="M209" s="155">
        <v>1947</v>
      </c>
      <c r="N209" s="155">
        <v>2029</v>
      </c>
      <c r="O209" s="155">
        <v>2140</v>
      </c>
      <c r="P209" s="155">
        <v>2340</v>
      </c>
      <c r="Q209" s="155">
        <v>2476</v>
      </c>
      <c r="R209" s="155">
        <v>2632</v>
      </c>
      <c r="S209" s="155">
        <v>2774</v>
      </c>
      <c r="T209" s="155">
        <v>2847</v>
      </c>
      <c r="U209" s="155">
        <v>2869</v>
      </c>
      <c r="V209" s="155">
        <v>2784</v>
      </c>
      <c r="W209" s="155">
        <v>3184</v>
      </c>
      <c r="X209" s="155">
        <v>3652</v>
      </c>
      <c r="Y209" s="155">
        <v>4072</v>
      </c>
      <c r="Z209" s="155">
        <v>4196</v>
      </c>
      <c r="AA209" s="155">
        <v>4470</v>
      </c>
      <c r="AB209" s="155">
        <v>5980</v>
      </c>
      <c r="AC209" s="155">
        <v>5611</v>
      </c>
      <c r="AD209" s="155">
        <v>5414</v>
      </c>
      <c r="AE209" s="155">
        <v>5343</v>
      </c>
      <c r="AF209" s="155">
        <v>5381</v>
      </c>
      <c r="AG209" s="155">
        <v>5445</v>
      </c>
      <c r="AH209" s="155">
        <v>5772</v>
      </c>
      <c r="AI209" s="155">
        <v>6009</v>
      </c>
      <c r="AJ209" s="155">
        <v>6185</v>
      </c>
      <c r="AK209" s="155">
        <v>6643</v>
      </c>
      <c r="AL209" s="155">
        <v>7083</v>
      </c>
      <c r="AM209" s="155">
        <v>7612</v>
      </c>
      <c r="AN209" s="155">
        <v>8037</v>
      </c>
      <c r="AO209" s="155">
        <v>8488</v>
      </c>
      <c r="AP209" s="155">
        <v>9073</v>
      </c>
      <c r="AQ209" s="155">
        <v>9636</v>
      </c>
      <c r="AR209" s="155">
        <v>10132</v>
      </c>
      <c r="AS209" s="155">
        <v>10637</v>
      </c>
      <c r="AT209" s="155">
        <v>11076</v>
      </c>
      <c r="AU209" s="155">
        <v>11313</v>
      </c>
      <c r="AV209" s="155">
        <v>11718</v>
      </c>
      <c r="AW209" s="155">
        <v>11938</v>
      </c>
      <c r="AX209" s="155">
        <v>12304</v>
      </c>
      <c r="AY209" s="155">
        <v>12365</v>
      </c>
      <c r="AZ209" s="155">
        <v>13010</v>
      </c>
      <c r="BA209" s="155">
        <v>12963</v>
      </c>
      <c r="BB209" s="155">
        <v>12882</v>
      </c>
      <c r="BC209" s="155">
        <v>12772</v>
      </c>
      <c r="BD209" s="155">
        <v>12993</v>
      </c>
      <c r="BE209" s="155">
        <v>13147</v>
      </c>
      <c r="BF209" s="155">
        <v>13256</v>
      </c>
      <c r="BG209" s="155">
        <v>13874</v>
      </c>
      <c r="BH209" s="155">
        <v>15339</v>
      </c>
      <c r="BI209" s="155">
        <v>16415</v>
      </c>
      <c r="BJ209" s="155">
        <v>16825</v>
      </c>
      <c r="BK209" s="155">
        <v>17209</v>
      </c>
      <c r="BL209" s="155">
        <v>17813</v>
      </c>
      <c r="BM209" s="155">
        <v>18398</v>
      </c>
      <c r="BN209" s="155">
        <v>19603</v>
      </c>
      <c r="BO209" s="155">
        <v>20355</v>
      </c>
      <c r="BP209" s="155">
        <v>21111</v>
      </c>
      <c r="BQ209" s="155">
        <v>22378</v>
      </c>
      <c r="BR209" s="155">
        <v>23029</v>
      </c>
      <c r="BS209" s="155">
        <v>24049</v>
      </c>
      <c r="BT209" s="155">
        <v>25141</v>
      </c>
      <c r="BU209" s="155">
        <v>25800</v>
      </c>
      <c r="BV209" s="155">
        <v>26188</v>
      </c>
      <c r="BW209" s="155">
        <v>27245</v>
      </c>
      <c r="BX209" s="155">
        <v>27816</v>
      </c>
      <c r="BY209" s="155">
        <v>28712</v>
      </c>
      <c r="BZ209" s="155">
        <v>30160</v>
      </c>
      <c r="CA209" s="155">
        <v>30797</v>
      </c>
      <c r="CB209" s="155">
        <v>31964</v>
      </c>
      <c r="CC209" s="155">
        <v>32399</v>
      </c>
      <c r="CD209" s="155">
        <v>32915</v>
      </c>
      <c r="CE209" s="155">
        <v>33997</v>
      </c>
      <c r="CF209" s="155">
        <v>35572</v>
      </c>
      <c r="CG209" s="155">
        <v>36954</v>
      </c>
      <c r="CH209" s="155">
        <v>37749</v>
      </c>
      <c r="CI209" s="155">
        <v>38461</v>
      </c>
      <c r="CJ209" s="155">
        <v>39745</v>
      </c>
      <c r="CK209" s="155">
        <v>41684</v>
      </c>
      <c r="CL209" s="155">
        <v>42386</v>
      </c>
      <c r="CM209" s="155">
        <v>43574</v>
      </c>
      <c r="CN209" s="155">
        <v>45081</v>
      </c>
      <c r="CO209" s="155">
        <v>46051</v>
      </c>
      <c r="CP209" s="155">
        <v>46300</v>
      </c>
      <c r="CQ209" s="155">
        <v>46564</v>
      </c>
      <c r="CR209" s="155">
        <v>47512</v>
      </c>
      <c r="CS209" s="155">
        <v>48978</v>
      </c>
      <c r="CT209" s="155">
        <v>49058</v>
      </c>
      <c r="CU209" s="155">
        <v>49400</v>
      </c>
      <c r="CV209" s="155">
        <v>50198</v>
      </c>
      <c r="CW209" s="155">
        <v>50598</v>
      </c>
      <c r="CX209" s="155">
        <v>50726</v>
      </c>
      <c r="CY209" s="154">
        <v>52127</v>
      </c>
    </row>
    <row r="210" spans="1:103">
      <c r="A210" s="155" t="s">
        <v>1139</v>
      </c>
      <c r="B210" s="154">
        <v>101</v>
      </c>
      <c r="C210" s="155">
        <v>821</v>
      </c>
      <c r="D210" s="155">
        <v>771</v>
      </c>
      <c r="E210" s="155">
        <v>748</v>
      </c>
      <c r="F210" s="155">
        <v>737</v>
      </c>
      <c r="G210" s="155">
        <v>758</v>
      </c>
      <c r="H210" s="155">
        <v>781</v>
      </c>
      <c r="I210" s="155">
        <v>813</v>
      </c>
      <c r="J210" s="155">
        <v>843</v>
      </c>
      <c r="K210" s="155">
        <v>908</v>
      </c>
      <c r="L210" s="155">
        <v>991</v>
      </c>
      <c r="M210" s="155">
        <v>1064</v>
      </c>
      <c r="N210" s="155">
        <v>1132</v>
      </c>
      <c r="O210" s="155">
        <v>1183</v>
      </c>
      <c r="P210" s="155">
        <v>1251</v>
      </c>
      <c r="Q210" s="155">
        <v>1372</v>
      </c>
      <c r="R210" s="155">
        <v>1454</v>
      </c>
      <c r="S210" s="155">
        <v>1549</v>
      </c>
      <c r="T210" s="155">
        <v>1636</v>
      </c>
      <c r="U210" s="155">
        <v>1682</v>
      </c>
      <c r="V210" s="155">
        <v>1699</v>
      </c>
      <c r="W210" s="155">
        <v>1652</v>
      </c>
      <c r="X210" s="155">
        <v>1895</v>
      </c>
      <c r="Y210" s="155">
        <v>2179</v>
      </c>
      <c r="Z210" s="155">
        <v>2435</v>
      </c>
      <c r="AA210" s="155">
        <v>2516</v>
      </c>
      <c r="AB210" s="155">
        <v>2688</v>
      </c>
      <c r="AC210" s="155">
        <v>3607</v>
      </c>
      <c r="AD210" s="155">
        <v>3392</v>
      </c>
      <c r="AE210" s="155">
        <v>3283</v>
      </c>
      <c r="AF210" s="155">
        <v>3247</v>
      </c>
      <c r="AG210" s="155">
        <v>3279</v>
      </c>
      <c r="AH210" s="155">
        <v>3328</v>
      </c>
      <c r="AI210" s="155">
        <v>3536</v>
      </c>
      <c r="AJ210" s="155">
        <v>3690</v>
      </c>
      <c r="AK210" s="155">
        <v>3810</v>
      </c>
      <c r="AL210" s="155">
        <v>4101</v>
      </c>
      <c r="AM210" s="155">
        <v>4383</v>
      </c>
      <c r="AN210" s="155">
        <v>4722</v>
      </c>
      <c r="AO210" s="155">
        <v>5000</v>
      </c>
      <c r="AP210" s="155">
        <v>5293</v>
      </c>
      <c r="AQ210" s="155">
        <v>5672</v>
      </c>
      <c r="AR210" s="155">
        <v>6038</v>
      </c>
      <c r="AS210" s="155">
        <v>6363</v>
      </c>
      <c r="AT210" s="155">
        <v>6697</v>
      </c>
      <c r="AU210" s="155">
        <v>6990</v>
      </c>
      <c r="AV210" s="155">
        <v>7158</v>
      </c>
      <c r="AW210" s="155">
        <v>7430</v>
      </c>
      <c r="AX210" s="155">
        <v>7587</v>
      </c>
      <c r="AY210" s="155">
        <v>7839</v>
      </c>
      <c r="AZ210" s="155">
        <v>7895</v>
      </c>
      <c r="BA210" s="155">
        <v>8327</v>
      </c>
      <c r="BB210" s="155">
        <v>8315</v>
      </c>
      <c r="BC210" s="155">
        <v>8283</v>
      </c>
      <c r="BD210" s="155">
        <v>8230</v>
      </c>
      <c r="BE210" s="155">
        <v>8393</v>
      </c>
      <c r="BF210" s="155">
        <v>8511</v>
      </c>
      <c r="BG210" s="155">
        <v>8601</v>
      </c>
      <c r="BH210" s="155">
        <v>9022</v>
      </c>
      <c r="BI210" s="155">
        <v>9998</v>
      </c>
      <c r="BJ210" s="155">
        <v>10723</v>
      </c>
      <c r="BK210" s="155">
        <v>11014</v>
      </c>
      <c r="BL210" s="155">
        <v>11291</v>
      </c>
      <c r="BM210" s="155">
        <v>11712</v>
      </c>
      <c r="BN210" s="155">
        <v>12124</v>
      </c>
      <c r="BO210" s="155">
        <v>12946</v>
      </c>
      <c r="BP210" s="155">
        <v>13471</v>
      </c>
      <c r="BQ210" s="155">
        <v>14002</v>
      </c>
      <c r="BR210" s="155">
        <v>14873</v>
      </c>
      <c r="BS210" s="155">
        <v>15339</v>
      </c>
      <c r="BT210" s="155">
        <v>16050</v>
      </c>
      <c r="BU210" s="155">
        <v>16815</v>
      </c>
      <c r="BV210" s="155">
        <v>17292</v>
      </c>
      <c r="BW210" s="155">
        <v>17587</v>
      </c>
      <c r="BX210" s="155">
        <v>18334</v>
      </c>
      <c r="BY210" s="155">
        <v>18757</v>
      </c>
      <c r="BZ210" s="155">
        <v>19400</v>
      </c>
      <c r="CA210" s="155">
        <v>20421</v>
      </c>
      <c r="CB210" s="155">
        <v>20894</v>
      </c>
      <c r="CC210" s="155">
        <v>21731</v>
      </c>
      <c r="CD210" s="155">
        <v>22072</v>
      </c>
      <c r="CE210" s="155">
        <v>22467</v>
      </c>
      <c r="CF210" s="155">
        <v>23250</v>
      </c>
      <c r="CG210" s="155">
        <v>24376</v>
      </c>
      <c r="CH210" s="155">
        <v>25371</v>
      </c>
      <c r="CI210" s="155">
        <v>25967</v>
      </c>
      <c r="CJ210" s="155">
        <v>26509</v>
      </c>
      <c r="CK210" s="155">
        <v>27448</v>
      </c>
      <c r="CL210" s="155">
        <v>28841</v>
      </c>
      <c r="CM210" s="155">
        <v>29383</v>
      </c>
      <c r="CN210" s="155">
        <v>30264</v>
      </c>
      <c r="CO210" s="155">
        <v>31372</v>
      </c>
      <c r="CP210" s="155">
        <v>32106</v>
      </c>
      <c r="CQ210" s="155">
        <v>32340</v>
      </c>
      <c r="CR210" s="155">
        <v>32586</v>
      </c>
      <c r="CS210" s="155">
        <v>33311</v>
      </c>
      <c r="CT210" s="155">
        <v>34402</v>
      </c>
      <c r="CU210" s="155">
        <v>34520</v>
      </c>
      <c r="CV210" s="155">
        <v>34823</v>
      </c>
      <c r="CW210" s="155">
        <v>35451</v>
      </c>
      <c r="CX210" s="155">
        <v>35797</v>
      </c>
      <c r="CY210" s="154">
        <v>35952</v>
      </c>
    </row>
    <row r="211" spans="1:103">
      <c r="A211" s="155" t="s">
        <v>1139</v>
      </c>
      <c r="B211" s="154">
        <v>102</v>
      </c>
      <c r="C211" s="155">
        <v>473</v>
      </c>
      <c r="D211" s="155">
        <v>439</v>
      </c>
      <c r="E211" s="155">
        <v>419</v>
      </c>
      <c r="F211" s="155">
        <v>404</v>
      </c>
      <c r="G211" s="155">
        <v>398</v>
      </c>
      <c r="H211" s="155">
        <v>411</v>
      </c>
      <c r="I211" s="155">
        <v>425</v>
      </c>
      <c r="J211" s="155">
        <v>442</v>
      </c>
      <c r="K211" s="155">
        <v>460</v>
      </c>
      <c r="L211" s="155">
        <v>497</v>
      </c>
      <c r="M211" s="155">
        <v>546</v>
      </c>
      <c r="N211" s="155">
        <v>587</v>
      </c>
      <c r="O211" s="155">
        <v>627</v>
      </c>
      <c r="P211" s="155">
        <v>657</v>
      </c>
      <c r="Q211" s="155">
        <v>696</v>
      </c>
      <c r="R211" s="155">
        <v>767</v>
      </c>
      <c r="S211" s="155">
        <v>815</v>
      </c>
      <c r="T211" s="155">
        <v>869</v>
      </c>
      <c r="U211" s="155">
        <v>920</v>
      </c>
      <c r="V211" s="155">
        <v>947</v>
      </c>
      <c r="W211" s="155">
        <v>959</v>
      </c>
      <c r="X211" s="155">
        <v>934</v>
      </c>
      <c r="Y211" s="155">
        <v>1075</v>
      </c>
      <c r="Z211" s="155">
        <v>1239</v>
      </c>
      <c r="AA211" s="155">
        <v>1387</v>
      </c>
      <c r="AB211" s="155">
        <v>1436</v>
      </c>
      <c r="AC211" s="155">
        <v>1540</v>
      </c>
      <c r="AD211" s="155">
        <v>2072</v>
      </c>
      <c r="AE211" s="155">
        <v>1953</v>
      </c>
      <c r="AF211" s="155">
        <v>1896</v>
      </c>
      <c r="AG211" s="155">
        <v>1879</v>
      </c>
      <c r="AH211" s="155">
        <v>1902</v>
      </c>
      <c r="AI211" s="155">
        <v>1936</v>
      </c>
      <c r="AJ211" s="155">
        <v>2062</v>
      </c>
      <c r="AK211" s="155">
        <v>2158</v>
      </c>
      <c r="AL211" s="155">
        <v>2234</v>
      </c>
      <c r="AM211" s="155">
        <v>2410</v>
      </c>
      <c r="AN211" s="155">
        <v>2582</v>
      </c>
      <c r="AO211" s="155">
        <v>2788</v>
      </c>
      <c r="AP211" s="155">
        <v>2960</v>
      </c>
      <c r="AQ211" s="155">
        <v>3141</v>
      </c>
      <c r="AR211" s="155">
        <v>3374</v>
      </c>
      <c r="AS211" s="155">
        <v>3601</v>
      </c>
      <c r="AT211" s="155">
        <v>3803</v>
      </c>
      <c r="AU211" s="155">
        <v>4012</v>
      </c>
      <c r="AV211" s="155">
        <v>4199</v>
      </c>
      <c r="AW211" s="155">
        <v>4310</v>
      </c>
      <c r="AX211" s="155">
        <v>4483</v>
      </c>
      <c r="AY211" s="155">
        <v>4590</v>
      </c>
      <c r="AZ211" s="155">
        <v>4752</v>
      </c>
      <c r="BA211" s="155">
        <v>4798</v>
      </c>
      <c r="BB211" s="155">
        <v>5071</v>
      </c>
      <c r="BC211" s="155">
        <v>5075</v>
      </c>
      <c r="BD211" s="155">
        <v>5067</v>
      </c>
      <c r="BE211" s="155">
        <v>5047</v>
      </c>
      <c r="BF211" s="155">
        <v>5158</v>
      </c>
      <c r="BG211" s="155">
        <v>5243</v>
      </c>
      <c r="BH211" s="155">
        <v>5310</v>
      </c>
      <c r="BI211" s="155">
        <v>5583</v>
      </c>
      <c r="BJ211" s="155">
        <v>6200</v>
      </c>
      <c r="BK211" s="155">
        <v>6665</v>
      </c>
      <c r="BL211" s="155">
        <v>6860</v>
      </c>
      <c r="BM211" s="155">
        <v>7049</v>
      </c>
      <c r="BN211" s="155">
        <v>7327</v>
      </c>
      <c r="BO211" s="155">
        <v>7603</v>
      </c>
      <c r="BP211" s="155">
        <v>8134</v>
      </c>
      <c r="BQ211" s="155">
        <v>8483</v>
      </c>
      <c r="BR211" s="155">
        <v>8836</v>
      </c>
      <c r="BS211" s="155">
        <v>9406</v>
      </c>
      <c r="BT211" s="155">
        <v>9721</v>
      </c>
      <c r="BU211" s="155">
        <v>10193</v>
      </c>
      <c r="BV211" s="155">
        <v>10702</v>
      </c>
      <c r="BW211" s="155">
        <v>11029</v>
      </c>
      <c r="BX211" s="155">
        <v>11241</v>
      </c>
      <c r="BY211" s="155">
        <v>11741</v>
      </c>
      <c r="BZ211" s="155">
        <v>12037</v>
      </c>
      <c r="CA211" s="155">
        <v>12476</v>
      </c>
      <c r="CB211" s="155">
        <v>13159</v>
      </c>
      <c r="CC211" s="155">
        <v>13491</v>
      </c>
      <c r="CD211" s="155">
        <v>14062</v>
      </c>
      <c r="CE211" s="155">
        <v>14312</v>
      </c>
      <c r="CF211" s="155">
        <v>14596</v>
      </c>
      <c r="CG211" s="155">
        <v>15135</v>
      </c>
      <c r="CH211" s="155">
        <v>15901</v>
      </c>
      <c r="CI211" s="155">
        <v>16581</v>
      </c>
      <c r="CJ211" s="155">
        <v>17003</v>
      </c>
      <c r="CK211" s="155">
        <v>17394</v>
      </c>
      <c r="CL211" s="155">
        <v>18045</v>
      </c>
      <c r="CM211" s="155">
        <v>18997</v>
      </c>
      <c r="CN211" s="155">
        <v>19392</v>
      </c>
      <c r="CO211" s="155">
        <v>20012</v>
      </c>
      <c r="CP211" s="155">
        <v>20785</v>
      </c>
      <c r="CQ211" s="155">
        <v>21312</v>
      </c>
      <c r="CR211" s="155">
        <v>21508</v>
      </c>
      <c r="CS211" s="155">
        <v>21713</v>
      </c>
      <c r="CT211" s="155">
        <v>22238</v>
      </c>
      <c r="CU211" s="155">
        <v>23009</v>
      </c>
      <c r="CV211" s="155">
        <v>23129</v>
      </c>
      <c r="CW211" s="155">
        <v>23377</v>
      </c>
      <c r="CX211" s="155">
        <v>23843</v>
      </c>
      <c r="CY211" s="154">
        <v>24120</v>
      </c>
    </row>
    <row r="212" spans="1:103">
      <c r="A212" s="155" t="s">
        <v>1139</v>
      </c>
      <c r="B212" s="154">
        <v>103</v>
      </c>
      <c r="C212" s="155">
        <v>163</v>
      </c>
      <c r="D212" s="155">
        <v>242</v>
      </c>
      <c r="E212" s="155">
        <v>229</v>
      </c>
      <c r="F212" s="155">
        <v>218</v>
      </c>
      <c r="G212" s="155">
        <v>209</v>
      </c>
      <c r="H212" s="155">
        <v>206</v>
      </c>
      <c r="I212" s="155">
        <v>212</v>
      </c>
      <c r="J212" s="155">
        <v>219</v>
      </c>
      <c r="K212" s="155">
        <v>229</v>
      </c>
      <c r="L212" s="155">
        <v>239</v>
      </c>
      <c r="M212" s="155">
        <v>261</v>
      </c>
      <c r="N212" s="155">
        <v>286</v>
      </c>
      <c r="O212" s="155">
        <v>309</v>
      </c>
      <c r="P212" s="155">
        <v>330</v>
      </c>
      <c r="Q212" s="155">
        <v>347</v>
      </c>
      <c r="R212" s="155">
        <v>370</v>
      </c>
      <c r="S212" s="155">
        <v>408</v>
      </c>
      <c r="T212" s="155">
        <v>434</v>
      </c>
      <c r="U212" s="155">
        <v>464</v>
      </c>
      <c r="V212" s="155">
        <v>493</v>
      </c>
      <c r="W212" s="155">
        <v>508</v>
      </c>
      <c r="X212" s="155">
        <v>515</v>
      </c>
      <c r="Y212" s="155">
        <v>504</v>
      </c>
      <c r="Z212" s="155">
        <v>581</v>
      </c>
      <c r="AA212" s="155">
        <v>671</v>
      </c>
      <c r="AB212" s="155">
        <v>754</v>
      </c>
      <c r="AC212" s="155">
        <v>782</v>
      </c>
      <c r="AD212" s="155">
        <v>841</v>
      </c>
      <c r="AE212" s="155">
        <v>1134</v>
      </c>
      <c r="AF212" s="155">
        <v>1071</v>
      </c>
      <c r="AG212" s="155">
        <v>1043</v>
      </c>
      <c r="AH212" s="155">
        <v>1035</v>
      </c>
      <c r="AI212" s="155">
        <v>1051</v>
      </c>
      <c r="AJ212" s="155">
        <v>1072</v>
      </c>
      <c r="AK212" s="155">
        <v>1145</v>
      </c>
      <c r="AL212" s="155">
        <v>1203</v>
      </c>
      <c r="AM212" s="155">
        <v>1247</v>
      </c>
      <c r="AN212" s="155">
        <v>1349</v>
      </c>
      <c r="AO212" s="155">
        <v>1448</v>
      </c>
      <c r="AP212" s="155">
        <v>1567</v>
      </c>
      <c r="AQ212" s="155">
        <v>1667</v>
      </c>
      <c r="AR212" s="155">
        <v>1774</v>
      </c>
      <c r="AS212" s="155">
        <v>1910</v>
      </c>
      <c r="AT212" s="155">
        <v>2043</v>
      </c>
      <c r="AU212" s="155">
        <v>2162</v>
      </c>
      <c r="AV212" s="155">
        <v>2288</v>
      </c>
      <c r="AW212" s="155">
        <v>2399</v>
      </c>
      <c r="AX212" s="155">
        <v>2468</v>
      </c>
      <c r="AY212" s="155">
        <v>2573</v>
      </c>
      <c r="AZ212" s="155">
        <v>2641</v>
      </c>
      <c r="BA212" s="155">
        <v>2740</v>
      </c>
      <c r="BB212" s="155">
        <v>2772</v>
      </c>
      <c r="BC212" s="155">
        <v>2936</v>
      </c>
      <c r="BD212" s="155">
        <v>2946</v>
      </c>
      <c r="BE212" s="155">
        <v>2948</v>
      </c>
      <c r="BF212" s="155">
        <v>2941</v>
      </c>
      <c r="BG212" s="155">
        <v>3013</v>
      </c>
      <c r="BH212" s="155">
        <v>3070</v>
      </c>
      <c r="BI212" s="155">
        <v>3117</v>
      </c>
      <c r="BJ212" s="155">
        <v>3283</v>
      </c>
      <c r="BK212" s="155">
        <v>3654</v>
      </c>
      <c r="BL212" s="155">
        <v>3938</v>
      </c>
      <c r="BM212" s="155">
        <v>4061</v>
      </c>
      <c r="BN212" s="155">
        <v>4182</v>
      </c>
      <c r="BO212" s="155">
        <v>4355</v>
      </c>
      <c r="BP212" s="155">
        <v>4530</v>
      </c>
      <c r="BQ212" s="155">
        <v>4856</v>
      </c>
      <c r="BR212" s="155">
        <v>5075</v>
      </c>
      <c r="BS212" s="155">
        <v>5297</v>
      </c>
      <c r="BT212" s="155">
        <v>5651</v>
      </c>
      <c r="BU212" s="155">
        <v>5853</v>
      </c>
      <c r="BV212" s="155">
        <v>6150</v>
      </c>
      <c r="BW212" s="155">
        <v>6470</v>
      </c>
      <c r="BX212" s="155">
        <v>6681</v>
      </c>
      <c r="BY212" s="155">
        <v>6823</v>
      </c>
      <c r="BZ212" s="155">
        <v>7142</v>
      </c>
      <c r="CA212" s="155">
        <v>7336</v>
      </c>
      <c r="CB212" s="155">
        <v>7619</v>
      </c>
      <c r="CC212" s="155">
        <v>8053</v>
      </c>
      <c r="CD212" s="155">
        <v>8273</v>
      </c>
      <c r="CE212" s="155">
        <v>8641</v>
      </c>
      <c r="CF212" s="155">
        <v>8813</v>
      </c>
      <c r="CG212" s="155">
        <v>9006</v>
      </c>
      <c r="CH212" s="155">
        <v>9355</v>
      </c>
      <c r="CI212" s="155">
        <v>9849</v>
      </c>
      <c r="CJ212" s="155">
        <v>10290</v>
      </c>
      <c r="CK212" s="155">
        <v>10572</v>
      </c>
      <c r="CL212" s="155">
        <v>10835</v>
      </c>
      <c r="CM212" s="155">
        <v>11263</v>
      </c>
      <c r="CN212" s="155">
        <v>11881</v>
      </c>
      <c r="CO212" s="155">
        <v>12152</v>
      </c>
      <c r="CP212" s="155">
        <v>12564</v>
      </c>
      <c r="CQ212" s="155">
        <v>13074</v>
      </c>
      <c r="CR212" s="155">
        <v>13431</v>
      </c>
      <c r="CS212" s="155">
        <v>13580</v>
      </c>
      <c r="CT212" s="155">
        <v>13735</v>
      </c>
      <c r="CU212" s="155">
        <v>14095</v>
      </c>
      <c r="CV212" s="155">
        <v>14611</v>
      </c>
      <c r="CW212" s="155">
        <v>14713</v>
      </c>
      <c r="CX212" s="155">
        <v>14899</v>
      </c>
      <c r="CY212" s="154">
        <v>15223</v>
      </c>
    </row>
    <row r="213" spans="1:103">
      <c r="A213" s="155" t="s">
        <v>1139</v>
      </c>
      <c r="B213" s="154">
        <v>104</v>
      </c>
      <c r="C213" s="155">
        <v>72</v>
      </c>
      <c r="D213" s="155">
        <v>80</v>
      </c>
      <c r="E213" s="155">
        <v>120</v>
      </c>
      <c r="F213" s="155">
        <v>114</v>
      </c>
      <c r="G213" s="155">
        <v>107</v>
      </c>
      <c r="H213" s="155">
        <v>103</v>
      </c>
      <c r="I213" s="155">
        <v>101</v>
      </c>
      <c r="J213" s="155">
        <v>104</v>
      </c>
      <c r="K213" s="155">
        <v>107</v>
      </c>
      <c r="L213" s="155">
        <v>113</v>
      </c>
      <c r="M213" s="155">
        <v>119</v>
      </c>
      <c r="N213" s="155">
        <v>130</v>
      </c>
      <c r="O213" s="155">
        <v>142</v>
      </c>
      <c r="P213" s="155">
        <v>155</v>
      </c>
      <c r="Q213" s="155">
        <v>167</v>
      </c>
      <c r="R213" s="155">
        <v>176</v>
      </c>
      <c r="S213" s="155">
        <v>188</v>
      </c>
      <c r="T213" s="155">
        <v>207</v>
      </c>
      <c r="U213" s="155">
        <v>221</v>
      </c>
      <c r="V213" s="155">
        <v>236</v>
      </c>
      <c r="W213" s="155">
        <v>252</v>
      </c>
      <c r="X213" s="155">
        <v>260</v>
      </c>
      <c r="Y213" s="155">
        <v>264</v>
      </c>
      <c r="Z213" s="155">
        <v>259</v>
      </c>
      <c r="AA213" s="155">
        <v>299</v>
      </c>
      <c r="AB213" s="155">
        <v>347</v>
      </c>
      <c r="AC213" s="155">
        <v>390</v>
      </c>
      <c r="AD213" s="155">
        <v>406</v>
      </c>
      <c r="AE213" s="155">
        <v>437</v>
      </c>
      <c r="AF213" s="155">
        <v>592</v>
      </c>
      <c r="AG213" s="155">
        <v>560</v>
      </c>
      <c r="AH213" s="155">
        <v>547</v>
      </c>
      <c r="AI213" s="155">
        <v>544</v>
      </c>
      <c r="AJ213" s="155">
        <v>552</v>
      </c>
      <c r="AK213" s="155">
        <v>565</v>
      </c>
      <c r="AL213" s="155">
        <v>606</v>
      </c>
      <c r="AM213" s="155">
        <v>638</v>
      </c>
      <c r="AN213" s="155">
        <v>663</v>
      </c>
      <c r="AO213" s="155">
        <v>718</v>
      </c>
      <c r="AP213" s="155">
        <v>773</v>
      </c>
      <c r="AQ213" s="155">
        <v>839</v>
      </c>
      <c r="AR213" s="155">
        <v>894</v>
      </c>
      <c r="AS213" s="155">
        <v>952</v>
      </c>
      <c r="AT213" s="155">
        <v>1028</v>
      </c>
      <c r="AU213" s="155">
        <v>1102</v>
      </c>
      <c r="AV213" s="155">
        <v>1169</v>
      </c>
      <c r="AW213" s="155">
        <v>1239</v>
      </c>
      <c r="AX213" s="155">
        <v>1302</v>
      </c>
      <c r="AY213" s="155">
        <v>1342</v>
      </c>
      <c r="AZ213" s="155">
        <v>1402</v>
      </c>
      <c r="BA213" s="155">
        <v>1444</v>
      </c>
      <c r="BB213" s="155">
        <v>1501</v>
      </c>
      <c r="BC213" s="155">
        <v>1521</v>
      </c>
      <c r="BD213" s="155">
        <v>1614</v>
      </c>
      <c r="BE213" s="155">
        <v>1623</v>
      </c>
      <c r="BF213" s="155">
        <v>1628</v>
      </c>
      <c r="BG213" s="155">
        <v>1628</v>
      </c>
      <c r="BH213" s="155">
        <v>1672</v>
      </c>
      <c r="BI213" s="155">
        <v>1707</v>
      </c>
      <c r="BJ213" s="155">
        <v>1735</v>
      </c>
      <c r="BK213" s="155">
        <v>1832</v>
      </c>
      <c r="BL213" s="155">
        <v>2043</v>
      </c>
      <c r="BM213" s="155">
        <v>2207</v>
      </c>
      <c r="BN213" s="155">
        <v>2281</v>
      </c>
      <c r="BO213" s="155">
        <v>2354</v>
      </c>
      <c r="BP213" s="155">
        <v>2455</v>
      </c>
      <c r="BQ213" s="155">
        <v>2560</v>
      </c>
      <c r="BR213" s="155">
        <v>2748</v>
      </c>
      <c r="BS213" s="155">
        <v>2879</v>
      </c>
      <c r="BT213" s="155">
        <v>3011</v>
      </c>
      <c r="BU213" s="155">
        <v>3218</v>
      </c>
      <c r="BV213" s="155">
        <v>3339</v>
      </c>
      <c r="BW213" s="155">
        <v>3516</v>
      </c>
      <c r="BX213" s="155">
        <v>3708</v>
      </c>
      <c r="BY213" s="155">
        <v>3836</v>
      </c>
      <c r="BZ213" s="155">
        <v>3926</v>
      </c>
      <c r="CA213" s="155">
        <v>4117</v>
      </c>
      <c r="CB213" s="155">
        <v>4237</v>
      </c>
      <c r="CC213" s="155">
        <v>4408</v>
      </c>
      <c r="CD213" s="155">
        <v>4668</v>
      </c>
      <c r="CE213" s="155">
        <v>4806</v>
      </c>
      <c r="CF213" s="155">
        <v>5029</v>
      </c>
      <c r="CG213" s="155">
        <v>5141</v>
      </c>
      <c r="CH213" s="155">
        <v>5262</v>
      </c>
      <c r="CI213" s="155">
        <v>5476</v>
      </c>
      <c r="CJ213" s="155">
        <v>5777</v>
      </c>
      <c r="CK213" s="155">
        <v>6047</v>
      </c>
      <c r="CL213" s="155">
        <v>6223</v>
      </c>
      <c r="CM213" s="155">
        <v>6391</v>
      </c>
      <c r="CN213" s="155">
        <v>6655</v>
      </c>
      <c r="CO213" s="155">
        <v>7033</v>
      </c>
      <c r="CP213" s="155">
        <v>7208</v>
      </c>
      <c r="CQ213" s="155">
        <v>7465</v>
      </c>
      <c r="CR213" s="155">
        <v>7783</v>
      </c>
      <c r="CS213" s="155">
        <v>8011</v>
      </c>
      <c r="CT213" s="155">
        <v>8114</v>
      </c>
      <c r="CU213" s="155">
        <v>8222</v>
      </c>
      <c r="CV213" s="155">
        <v>8454</v>
      </c>
      <c r="CW213" s="155">
        <v>8778</v>
      </c>
      <c r="CX213" s="155">
        <v>8855</v>
      </c>
      <c r="CY213" s="154">
        <v>8983</v>
      </c>
    </row>
    <row r="214" spans="1:103">
      <c r="A214" s="155" t="s">
        <v>1139</v>
      </c>
      <c r="B214" s="154" t="s">
        <v>1137</v>
      </c>
      <c r="C214" s="155">
        <v>69</v>
      </c>
      <c r="D214" s="155">
        <v>61</v>
      </c>
      <c r="E214" s="155">
        <v>65</v>
      </c>
      <c r="F214" s="155">
        <v>84</v>
      </c>
      <c r="G214" s="155">
        <v>91</v>
      </c>
      <c r="H214" s="155">
        <v>90</v>
      </c>
      <c r="I214" s="155">
        <v>86</v>
      </c>
      <c r="J214" s="155">
        <v>84</v>
      </c>
      <c r="K214" s="155">
        <v>84</v>
      </c>
      <c r="L214" s="155">
        <v>86</v>
      </c>
      <c r="M214" s="155">
        <v>88</v>
      </c>
      <c r="N214" s="155">
        <v>93</v>
      </c>
      <c r="O214" s="155">
        <v>100</v>
      </c>
      <c r="P214" s="155">
        <v>110</v>
      </c>
      <c r="Q214" s="155">
        <v>121</v>
      </c>
      <c r="R214" s="155">
        <v>132</v>
      </c>
      <c r="S214" s="155">
        <v>142</v>
      </c>
      <c r="T214" s="155">
        <v>153</v>
      </c>
      <c r="U214" s="155">
        <v>167</v>
      </c>
      <c r="V214" s="155">
        <v>180</v>
      </c>
      <c r="W214" s="155">
        <v>195</v>
      </c>
      <c r="X214" s="155">
        <v>209</v>
      </c>
      <c r="Y214" s="155">
        <v>219</v>
      </c>
      <c r="Z214" s="155">
        <v>225</v>
      </c>
      <c r="AA214" s="155">
        <v>226</v>
      </c>
      <c r="AB214" s="155">
        <v>245</v>
      </c>
      <c r="AC214" s="155">
        <v>279</v>
      </c>
      <c r="AD214" s="155">
        <v>317</v>
      </c>
      <c r="AE214" s="155">
        <v>344</v>
      </c>
      <c r="AF214" s="155">
        <v>371</v>
      </c>
      <c r="AG214" s="155">
        <v>462</v>
      </c>
      <c r="AH214" s="155">
        <v>489</v>
      </c>
      <c r="AI214" s="155">
        <v>493</v>
      </c>
      <c r="AJ214" s="155">
        <v>496</v>
      </c>
      <c r="AK214" s="155">
        <v>500</v>
      </c>
      <c r="AL214" s="155">
        <v>509</v>
      </c>
      <c r="AM214" s="155">
        <v>537</v>
      </c>
      <c r="AN214" s="155">
        <v>566</v>
      </c>
      <c r="AO214" s="155">
        <v>593</v>
      </c>
      <c r="AP214" s="155">
        <v>634</v>
      </c>
      <c r="AQ214" s="155">
        <v>685</v>
      </c>
      <c r="AR214" s="155">
        <v>742</v>
      </c>
      <c r="AS214" s="155">
        <v>799</v>
      </c>
      <c r="AT214" s="155">
        <v>853</v>
      </c>
      <c r="AU214" s="155">
        <v>922</v>
      </c>
      <c r="AV214" s="155">
        <v>991</v>
      </c>
      <c r="AW214" s="155">
        <v>1059</v>
      </c>
      <c r="AX214" s="155">
        <v>1128</v>
      </c>
      <c r="AY214" s="155">
        <v>1198</v>
      </c>
      <c r="AZ214" s="155">
        <v>1251</v>
      </c>
      <c r="BA214" s="155">
        <v>1308</v>
      </c>
      <c r="BB214" s="155">
        <v>1358</v>
      </c>
      <c r="BC214" s="155">
        <v>1415</v>
      </c>
      <c r="BD214" s="155">
        <v>1452</v>
      </c>
      <c r="BE214" s="155">
        <v>1519</v>
      </c>
      <c r="BF214" s="155">
        <v>1559</v>
      </c>
      <c r="BG214" s="155">
        <v>1583</v>
      </c>
      <c r="BH214" s="155">
        <v>1594</v>
      </c>
      <c r="BI214" s="155">
        <v>1625</v>
      </c>
      <c r="BJ214" s="155">
        <v>1661</v>
      </c>
      <c r="BK214" s="155">
        <v>1695</v>
      </c>
      <c r="BL214" s="155">
        <v>1765</v>
      </c>
      <c r="BM214" s="155">
        <v>1913</v>
      </c>
      <c r="BN214" s="155">
        <v>2078</v>
      </c>
      <c r="BO214" s="155">
        <v>2203</v>
      </c>
      <c r="BP214" s="155">
        <v>2304</v>
      </c>
      <c r="BQ214" s="155">
        <v>2409</v>
      </c>
      <c r="BR214" s="155">
        <v>2517</v>
      </c>
      <c r="BS214" s="155">
        <v>2672</v>
      </c>
      <c r="BT214" s="155">
        <v>2821</v>
      </c>
      <c r="BU214" s="155">
        <v>2969</v>
      </c>
      <c r="BV214" s="155">
        <v>3157</v>
      </c>
      <c r="BW214" s="155">
        <v>3318</v>
      </c>
      <c r="BX214" s="155">
        <v>3493</v>
      </c>
      <c r="BY214" s="155">
        <v>3691</v>
      </c>
      <c r="BZ214" s="155">
        <v>3858</v>
      </c>
      <c r="CA214" s="155">
        <v>3993</v>
      </c>
      <c r="CB214" s="155">
        <v>4170</v>
      </c>
      <c r="CC214" s="155">
        <v>4325</v>
      </c>
      <c r="CD214" s="155">
        <v>4501</v>
      </c>
      <c r="CE214" s="155">
        <v>4735</v>
      </c>
      <c r="CF214" s="155">
        <v>4936</v>
      </c>
      <c r="CG214" s="155">
        <v>5161</v>
      </c>
      <c r="CH214" s="155">
        <v>5342</v>
      </c>
      <c r="CI214" s="155">
        <v>5502</v>
      </c>
      <c r="CJ214" s="155">
        <v>5707</v>
      </c>
      <c r="CK214" s="155">
        <v>5983</v>
      </c>
      <c r="CL214" s="155">
        <v>6276</v>
      </c>
      <c r="CM214" s="155">
        <v>6531</v>
      </c>
      <c r="CN214" s="155">
        <v>6757</v>
      </c>
      <c r="CO214" s="155">
        <v>7024</v>
      </c>
      <c r="CP214" s="155">
        <v>7376</v>
      </c>
      <c r="CQ214" s="155">
        <v>7660</v>
      </c>
      <c r="CR214" s="155">
        <v>7954</v>
      </c>
      <c r="CS214" s="155">
        <v>8291</v>
      </c>
      <c r="CT214" s="155">
        <v>8597</v>
      </c>
      <c r="CU214" s="155">
        <v>8817</v>
      </c>
      <c r="CV214" s="155">
        <v>8995</v>
      </c>
      <c r="CW214" s="155">
        <v>9225</v>
      </c>
      <c r="CX214" s="155">
        <v>9537</v>
      </c>
      <c r="CY214" s="154">
        <v>9753</v>
      </c>
    </row>
    <row r="215" spans="1:103">
      <c r="A215" s="155" t="s">
        <v>1139</v>
      </c>
      <c r="B215" s="154" t="s">
        <v>1138</v>
      </c>
      <c r="C215" s="155">
        <v>2</v>
      </c>
      <c r="D215" s="155">
        <v>0</v>
      </c>
      <c r="E215" s="155">
        <v>0</v>
      </c>
      <c r="F215" s="155">
        <v>0</v>
      </c>
      <c r="G215" s="155">
        <v>0</v>
      </c>
      <c r="H215" s="155">
        <v>0</v>
      </c>
      <c r="I215" s="155">
        <v>0</v>
      </c>
      <c r="J215" s="155">
        <v>0</v>
      </c>
      <c r="K215" s="155">
        <v>1</v>
      </c>
      <c r="L215" s="155">
        <v>1</v>
      </c>
      <c r="M215" s="155">
        <v>1</v>
      </c>
      <c r="N215" s="155">
        <v>0</v>
      </c>
      <c r="O215" s="155">
        <v>0</v>
      </c>
      <c r="P215" s="155">
        <v>0</v>
      </c>
      <c r="Q215" s="155">
        <v>0</v>
      </c>
      <c r="R215" s="155">
        <v>1</v>
      </c>
      <c r="S215" s="155">
        <v>1</v>
      </c>
      <c r="T215" s="155">
        <v>1</v>
      </c>
      <c r="U215" s="155">
        <v>1</v>
      </c>
      <c r="V215" s="155">
        <v>1</v>
      </c>
      <c r="W215" s="155">
        <v>1</v>
      </c>
      <c r="X215" s="155">
        <v>1</v>
      </c>
      <c r="Y215" s="155">
        <v>1</v>
      </c>
      <c r="Z215" s="155">
        <v>1</v>
      </c>
      <c r="AA215" s="155">
        <v>1</v>
      </c>
      <c r="AB215" s="155">
        <v>2</v>
      </c>
      <c r="AC215" s="155">
        <v>3</v>
      </c>
      <c r="AD215" s="155">
        <v>3</v>
      </c>
      <c r="AE215" s="155">
        <v>3</v>
      </c>
      <c r="AF215" s="155">
        <v>3</v>
      </c>
      <c r="AG215" s="155">
        <v>3</v>
      </c>
      <c r="AH215" s="155">
        <v>3</v>
      </c>
      <c r="AI215" s="155">
        <v>3</v>
      </c>
      <c r="AJ215" s="155">
        <v>3</v>
      </c>
      <c r="AK215" s="155">
        <v>4</v>
      </c>
      <c r="AL215" s="155">
        <v>5</v>
      </c>
      <c r="AM215" s="155">
        <v>6</v>
      </c>
      <c r="AN215" s="155">
        <v>7</v>
      </c>
      <c r="AO215" s="155">
        <v>7</v>
      </c>
      <c r="AP215" s="155">
        <v>7</v>
      </c>
      <c r="AQ215" s="155">
        <v>7</v>
      </c>
      <c r="AR215" s="155">
        <v>7</v>
      </c>
      <c r="AS215" s="155">
        <v>7</v>
      </c>
      <c r="AT215" s="155">
        <v>8</v>
      </c>
      <c r="AU215" s="155">
        <v>9</v>
      </c>
      <c r="AV215" s="155">
        <v>9</v>
      </c>
      <c r="AW215" s="155">
        <v>10</v>
      </c>
      <c r="AX215" s="155">
        <v>10</v>
      </c>
      <c r="AY215" s="155">
        <v>10</v>
      </c>
      <c r="AZ215" s="155">
        <v>11</v>
      </c>
      <c r="BA215" s="155">
        <v>12</v>
      </c>
      <c r="BB215" s="155">
        <v>13</v>
      </c>
      <c r="BC215" s="155">
        <v>14</v>
      </c>
      <c r="BD215" s="155">
        <v>15</v>
      </c>
      <c r="BE215" s="155">
        <v>15</v>
      </c>
      <c r="BF215" s="155">
        <v>16</v>
      </c>
      <c r="BG215" s="155">
        <v>17</v>
      </c>
      <c r="BH215" s="155">
        <v>18</v>
      </c>
      <c r="BI215" s="155">
        <v>18</v>
      </c>
      <c r="BJ215" s="155">
        <v>19</v>
      </c>
      <c r="BK215" s="155">
        <v>20</v>
      </c>
      <c r="BL215" s="155">
        <v>21</v>
      </c>
      <c r="BM215" s="155">
        <v>22</v>
      </c>
      <c r="BN215" s="155">
        <v>23</v>
      </c>
      <c r="BO215" s="155">
        <v>24</v>
      </c>
      <c r="BP215" s="155">
        <v>25</v>
      </c>
      <c r="BQ215" s="155">
        <v>26</v>
      </c>
      <c r="BR215" s="155">
        <v>29</v>
      </c>
      <c r="BS215" s="155">
        <v>31</v>
      </c>
      <c r="BT215" s="155">
        <v>32</v>
      </c>
      <c r="BU215" s="155">
        <v>34</v>
      </c>
      <c r="BV215" s="155">
        <v>35</v>
      </c>
      <c r="BW215" s="155">
        <v>37</v>
      </c>
      <c r="BX215" s="155">
        <v>40</v>
      </c>
      <c r="BY215" s="155">
        <v>42</v>
      </c>
      <c r="BZ215" s="155">
        <v>46</v>
      </c>
      <c r="CA215" s="155">
        <v>48</v>
      </c>
      <c r="CB215" s="155">
        <v>50</v>
      </c>
      <c r="CC215" s="155">
        <v>54</v>
      </c>
      <c r="CD215" s="155">
        <v>56</v>
      </c>
      <c r="CE215" s="155">
        <v>60</v>
      </c>
      <c r="CF215" s="155">
        <v>62</v>
      </c>
      <c r="CG215" s="155">
        <v>65</v>
      </c>
      <c r="CH215" s="155">
        <v>68</v>
      </c>
      <c r="CI215" s="155">
        <v>72</v>
      </c>
      <c r="CJ215" s="155">
        <v>77</v>
      </c>
      <c r="CK215" s="155">
        <v>79</v>
      </c>
      <c r="CL215" s="155">
        <v>83</v>
      </c>
      <c r="CM215" s="155">
        <v>87</v>
      </c>
      <c r="CN215" s="155">
        <v>89</v>
      </c>
      <c r="CO215" s="155">
        <v>93</v>
      </c>
      <c r="CP215" s="155">
        <v>98</v>
      </c>
      <c r="CQ215" s="155">
        <v>104</v>
      </c>
      <c r="CR215" s="155">
        <v>109</v>
      </c>
      <c r="CS215" s="155">
        <v>114</v>
      </c>
      <c r="CT215" s="155">
        <v>120</v>
      </c>
      <c r="CU215" s="155">
        <v>125</v>
      </c>
      <c r="CV215" s="155">
        <v>131</v>
      </c>
      <c r="CW215" s="155">
        <v>134</v>
      </c>
      <c r="CX215" s="155">
        <v>139</v>
      </c>
      <c r="CY215" s="154">
        <v>146</v>
      </c>
    </row>
  </sheetData>
  <pageMargins left="0.75" right="0.75" top="1" bottom="1" header="0.5" footer="0.5"/>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32733-FF34-4FA4-AB04-B8A19FAA9A1F}">
  <dimension ref="A1:CY57"/>
  <sheetViews>
    <sheetView topLeftCell="AC1" workbookViewId="0">
      <selection activeCell="C14" sqref="C14"/>
    </sheetView>
  </sheetViews>
  <sheetFormatPr defaultColWidth="9.5703125" defaultRowHeight="12.75"/>
  <cols>
    <col min="1" max="1" width="40.28515625" style="57" customWidth="1"/>
    <col min="2" max="2" width="15.28515625" style="57" customWidth="1"/>
    <col min="3" max="3" width="15" style="57" customWidth="1"/>
    <col min="4" max="102" width="12.140625" style="57" customWidth="1"/>
    <col min="103" max="103" width="9.5703125" style="57" customWidth="1"/>
    <col min="104" max="16384" width="9.5703125" style="57"/>
  </cols>
  <sheetData>
    <row r="1" spans="1:103" s="39" customFormat="1" ht="28.7" customHeight="1">
      <c r="A1" s="38" t="s">
        <v>331</v>
      </c>
    </row>
    <row r="2" spans="1:103" s="39" customFormat="1" ht="15.6" customHeight="1">
      <c r="A2" s="40" t="s">
        <v>332</v>
      </c>
    </row>
    <row r="3" spans="1:103" s="39" customFormat="1" ht="15.6" customHeight="1">
      <c r="A3" s="40" t="s">
        <v>441</v>
      </c>
    </row>
    <row r="4" spans="1:103" s="39" customFormat="1" ht="13.7" customHeight="1">
      <c r="A4" s="41" t="s">
        <v>334</v>
      </c>
    </row>
    <row r="5" spans="1:103" s="39" customFormat="1" ht="13.7" customHeight="1">
      <c r="A5" s="41" t="s">
        <v>335</v>
      </c>
    </row>
    <row r="6" spans="1:103" s="39" customFormat="1" ht="28.7" customHeight="1">
      <c r="A6" s="42" t="s">
        <v>336</v>
      </c>
    </row>
    <row r="7" spans="1:103" s="45" customFormat="1" ht="15.6" customHeight="1">
      <c r="A7" s="43" t="s">
        <v>337</v>
      </c>
      <c r="B7" s="44" t="s">
        <v>338</v>
      </c>
      <c r="C7" s="44" t="s">
        <v>177</v>
      </c>
      <c r="D7" s="44" t="s">
        <v>178</v>
      </c>
      <c r="E7" s="44" t="s">
        <v>179</v>
      </c>
      <c r="F7" s="44" t="s">
        <v>180</v>
      </c>
      <c r="G7" s="44" t="s">
        <v>181</v>
      </c>
      <c r="H7" s="44" t="s">
        <v>182</v>
      </c>
      <c r="I7" s="44" t="s">
        <v>183</v>
      </c>
      <c r="J7" s="44" t="s">
        <v>184</v>
      </c>
      <c r="K7" s="44" t="s">
        <v>185</v>
      </c>
      <c r="L7" s="44" t="s">
        <v>186</v>
      </c>
      <c r="M7" s="44" t="s">
        <v>187</v>
      </c>
      <c r="N7" s="44" t="s">
        <v>188</v>
      </c>
      <c r="O7" s="44" t="s">
        <v>189</v>
      </c>
      <c r="P7" s="44" t="s">
        <v>190</v>
      </c>
      <c r="Q7" s="44" t="s">
        <v>191</v>
      </c>
      <c r="R7" s="44" t="s">
        <v>192</v>
      </c>
      <c r="S7" s="44" t="s">
        <v>193</v>
      </c>
      <c r="T7" s="44" t="s">
        <v>194</v>
      </c>
      <c r="U7" s="44" t="s">
        <v>195</v>
      </c>
      <c r="V7" s="44" t="s">
        <v>196</v>
      </c>
      <c r="W7" s="44" t="s">
        <v>197</v>
      </c>
      <c r="X7" s="44" t="s">
        <v>198</v>
      </c>
      <c r="Y7" s="44" t="s">
        <v>199</v>
      </c>
      <c r="Z7" s="44" t="s">
        <v>200</v>
      </c>
      <c r="AA7" s="44" t="s">
        <v>201</v>
      </c>
      <c r="AB7" s="44" t="s">
        <v>202</v>
      </c>
      <c r="AC7" s="44" t="s">
        <v>203</v>
      </c>
      <c r="AD7" s="44" t="s">
        <v>204</v>
      </c>
      <c r="AE7" s="44" t="s">
        <v>205</v>
      </c>
      <c r="AF7" s="44" t="s">
        <v>206</v>
      </c>
      <c r="AG7" s="44" t="s">
        <v>207</v>
      </c>
      <c r="AH7" s="44" t="s">
        <v>208</v>
      </c>
      <c r="AI7" s="44" t="s">
        <v>209</v>
      </c>
      <c r="AJ7" s="44" t="s">
        <v>210</v>
      </c>
      <c r="AK7" s="44" t="s">
        <v>211</v>
      </c>
      <c r="AL7" s="44" t="s">
        <v>212</v>
      </c>
      <c r="AM7" s="44" t="s">
        <v>213</v>
      </c>
      <c r="AN7" s="44" t="s">
        <v>214</v>
      </c>
      <c r="AO7" s="44" t="s">
        <v>339</v>
      </c>
      <c r="AP7" s="44" t="s">
        <v>340</v>
      </c>
      <c r="AQ7" s="44" t="s">
        <v>341</v>
      </c>
      <c r="AR7" s="44" t="s">
        <v>342</v>
      </c>
      <c r="AS7" s="44" t="s">
        <v>343</v>
      </c>
      <c r="AT7" s="44" t="s">
        <v>344</v>
      </c>
      <c r="AU7" s="44" t="s">
        <v>345</v>
      </c>
      <c r="AV7" s="44" t="s">
        <v>346</v>
      </c>
      <c r="AW7" s="44" t="s">
        <v>347</v>
      </c>
      <c r="AX7" s="44" t="s">
        <v>348</v>
      </c>
      <c r="AY7" s="44" t="s">
        <v>349</v>
      </c>
      <c r="AZ7" s="44" t="s">
        <v>350</v>
      </c>
      <c r="BA7" s="44" t="s">
        <v>351</v>
      </c>
      <c r="BB7" s="44" t="s">
        <v>352</v>
      </c>
      <c r="BC7" s="44" t="s">
        <v>353</v>
      </c>
      <c r="BD7" s="44" t="s">
        <v>354</v>
      </c>
      <c r="BE7" s="44" t="s">
        <v>355</v>
      </c>
      <c r="BF7" s="44" t="s">
        <v>356</v>
      </c>
      <c r="BG7" s="44" t="s">
        <v>357</v>
      </c>
      <c r="BH7" s="44" t="s">
        <v>358</v>
      </c>
      <c r="BI7" s="44" t="s">
        <v>359</v>
      </c>
      <c r="BJ7" s="44" t="s">
        <v>360</v>
      </c>
      <c r="BK7" s="44" t="s">
        <v>361</v>
      </c>
      <c r="BL7" s="44" t="s">
        <v>362</v>
      </c>
      <c r="BM7" s="44" t="s">
        <v>363</v>
      </c>
      <c r="BN7" s="44" t="s">
        <v>364</v>
      </c>
      <c r="BO7" s="44" t="s">
        <v>365</v>
      </c>
      <c r="BP7" s="44" t="s">
        <v>366</v>
      </c>
      <c r="BQ7" s="44" t="s">
        <v>367</v>
      </c>
      <c r="BR7" s="44" t="s">
        <v>368</v>
      </c>
      <c r="BS7" s="44" t="s">
        <v>369</v>
      </c>
      <c r="BT7" s="44" t="s">
        <v>370</v>
      </c>
      <c r="BU7" s="44" t="s">
        <v>371</v>
      </c>
      <c r="BV7" s="44" t="s">
        <v>372</v>
      </c>
      <c r="BW7" s="44" t="s">
        <v>373</v>
      </c>
      <c r="BX7" s="44" t="s">
        <v>374</v>
      </c>
      <c r="BY7" s="44" t="s">
        <v>375</v>
      </c>
      <c r="BZ7" s="44" t="s">
        <v>376</v>
      </c>
      <c r="CA7" s="44" t="s">
        <v>377</v>
      </c>
      <c r="CB7" s="44" t="s">
        <v>378</v>
      </c>
      <c r="CC7" s="44" t="s">
        <v>379</v>
      </c>
      <c r="CD7" s="44" t="s">
        <v>380</v>
      </c>
      <c r="CE7" s="44" t="s">
        <v>381</v>
      </c>
      <c r="CF7" s="44" t="s">
        <v>382</v>
      </c>
      <c r="CG7" s="44" t="s">
        <v>383</v>
      </c>
      <c r="CH7" s="44" t="s">
        <v>384</v>
      </c>
      <c r="CI7" s="44" t="s">
        <v>385</v>
      </c>
      <c r="CJ7" s="44" t="s">
        <v>386</v>
      </c>
      <c r="CK7" s="44" t="s">
        <v>387</v>
      </c>
      <c r="CL7" s="44" t="s">
        <v>388</v>
      </c>
      <c r="CM7" s="44" t="s">
        <v>389</v>
      </c>
      <c r="CN7" s="44" t="s">
        <v>390</v>
      </c>
      <c r="CO7" s="44" t="s">
        <v>391</v>
      </c>
      <c r="CP7" s="44" t="s">
        <v>392</v>
      </c>
      <c r="CQ7" s="44" t="s">
        <v>393</v>
      </c>
      <c r="CR7" s="44" t="s">
        <v>394</v>
      </c>
      <c r="CS7" s="44" t="s">
        <v>395</v>
      </c>
      <c r="CT7" s="44" t="s">
        <v>396</v>
      </c>
      <c r="CU7" s="44" t="s">
        <v>397</v>
      </c>
      <c r="CV7" s="44" t="s">
        <v>398</v>
      </c>
      <c r="CW7" s="44" t="s">
        <v>399</v>
      </c>
      <c r="CX7" s="44" t="s">
        <v>400</v>
      </c>
    </row>
    <row r="8" spans="1:103" s="39" customFormat="1" ht="15" customHeight="1">
      <c r="A8" s="46" t="s">
        <v>401</v>
      </c>
      <c r="B8" s="47" t="s">
        <v>402</v>
      </c>
      <c r="C8" s="48">
        <v>67602.760999999999</v>
      </c>
      <c r="D8" s="48">
        <v>68492.494999999995</v>
      </c>
      <c r="E8" s="48">
        <v>69226.231</v>
      </c>
      <c r="F8" s="48">
        <v>69584.497000000003</v>
      </c>
      <c r="G8" s="48">
        <v>69850.426000000007</v>
      </c>
      <c r="H8" s="48">
        <v>70106.548999999999</v>
      </c>
      <c r="I8" s="48">
        <v>70387.142000000007</v>
      </c>
      <c r="J8" s="48">
        <v>70696.611000000004</v>
      </c>
      <c r="K8" s="48">
        <v>71011.585000000006</v>
      </c>
      <c r="L8" s="48">
        <v>71318.66</v>
      </c>
      <c r="M8" s="48">
        <v>71617.736999999994</v>
      </c>
      <c r="N8" s="48">
        <v>71909.247000000003</v>
      </c>
      <c r="O8" s="48">
        <v>72193.850999999995</v>
      </c>
      <c r="P8" s="48">
        <v>72472.001000000004</v>
      </c>
      <c r="Q8" s="48">
        <v>72744.274000000005</v>
      </c>
      <c r="R8" s="48">
        <v>73011.327000000005</v>
      </c>
      <c r="S8" s="48">
        <v>73273.896999999997</v>
      </c>
      <c r="T8" s="48">
        <v>73532.486999999994</v>
      </c>
      <c r="U8" s="48">
        <v>73787.498000000007</v>
      </c>
      <c r="V8" s="48">
        <v>74039.146999999997</v>
      </c>
      <c r="W8" s="48">
        <v>74287.558000000005</v>
      </c>
      <c r="X8" s="48">
        <v>74532.479999999996</v>
      </c>
      <c r="Y8" s="48">
        <v>74773.337</v>
      </c>
      <c r="Z8" s="48">
        <v>75009.672999999995</v>
      </c>
      <c r="AA8" s="48">
        <v>75241.096999999994</v>
      </c>
      <c r="AB8" s="48">
        <v>75467.100000000006</v>
      </c>
      <c r="AC8" s="48">
        <v>75686.179000000004</v>
      </c>
      <c r="AD8" s="48">
        <v>75896.638000000006</v>
      </c>
      <c r="AE8" s="48">
        <v>76097.808999999994</v>
      </c>
      <c r="AF8" s="48">
        <v>76289.212</v>
      </c>
      <c r="AG8" s="48">
        <v>76470.676999999996</v>
      </c>
      <c r="AH8" s="48">
        <v>76642.198000000004</v>
      </c>
      <c r="AI8" s="48">
        <v>76803.913</v>
      </c>
      <c r="AJ8" s="48">
        <v>76956.519</v>
      </c>
      <c r="AK8" s="48">
        <v>77101.106</v>
      </c>
      <c r="AL8" s="48">
        <v>77238.857000000004</v>
      </c>
      <c r="AM8" s="48">
        <v>77370.850999999995</v>
      </c>
      <c r="AN8" s="48">
        <v>77498.203999999998</v>
      </c>
      <c r="AO8" s="48">
        <v>77622.122000000003</v>
      </c>
      <c r="AP8" s="48">
        <v>77743.703999999998</v>
      </c>
      <c r="AQ8" s="48">
        <v>77863.948999999993</v>
      </c>
      <c r="AR8" s="48">
        <v>77983.501999999993</v>
      </c>
      <c r="AS8" s="48">
        <v>78102.845000000001</v>
      </c>
      <c r="AT8" s="48">
        <v>78222.456000000006</v>
      </c>
      <c r="AU8" s="48">
        <v>78342.623000000007</v>
      </c>
      <c r="AV8" s="48">
        <v>78463.256999999998</v>
      </c>
      <c r="AW8" s="48">
        <v>78584.182000000001</v>
      </c>
      <c r="AX8" s="48">
        <v>78704.879000000001</v>
      </c>
      <c r="AY8" s="48">
        <v>78824.737999999998</v>
      </c>
      <c r="AZ8" s="48">
        <v>78942.971000000005</v>
      </c>
      <c r="BA8" s="48">
        <v>79058.665999999997</v>
      </c>
      <c r="BB8" s="48">
        <v>79170.899000000005</v>
      </c>
      <c r="BC8" s="48">
        <v>79278.778000000006</v>
      </c>
      <c r="BD8" s="48">
        <v>79381.562000000005</v>
      </c>
      <c r="BE8" s="48">
        <v>79478.528999999995</v>
      </c>
      <c r="BF8" s="48">
        <v>79569.187999999995</v>
      </c>
      <c r="BG8" s="48">
        <v>79653.2</v>
      </c>
      <c r="BH8" s="48">
        <v>79730.365000000005</v>
      </c>
      <c r="BI8" s="48">
        <v>79800.581999999995</v>
      </c>
      <c r="BJ8" s="48">
        <v>79863.884999999995</v>
      </c>
      <c r="BK8" s="48">
        <v>79920.417000000001</v>
      </c>
      <c r="BL8" s="48">
        <v>79970.331999999995</v>
      </c>
      <c r="BM8" s="48">
        <v>80013.941000000006</v>
      </c>
      <c r="BN8" s="48">
        <v>80051.607000000004</v>
      </c>
      <c r="BO8" s="48">
        <v>80083.735000000001</v>
      </c>
      <c r="BP8" s="48">
        <v>80110.804000000004</v>
      </c>
      <c r="BQ8" s="48">
        <v>80133.301999999996</v>
      </c>
      <c r="BR8" s="48">
        <v>80151.657999999996</v>
      </c>
      <c r="BS8" s="48">
        <v>80166.324999999997</v>
      </c>
      <c r="BT8" s="48">
        <v>80177.728000000003</v>
      </c>
      <c r="BU8" s="48">
        <v>80186.307000000001</v>
      </c>
      <c r="BV8" s="48">
        <v>80192.392000000007</v>
      </c>
      <c r="BW8" s="48">
        <v>80196.274000000005</v>
      </c>
      <c r="BX8" s="48">
        <v>80198.191999999995</v>
      </c>
      <c r="BY8" s="48">
        <v>80198.338000000003</v>
      </c>
      <c r="BZ8" s="48">
        <v>80196.877999999997</v>
      </c>
      <c r="CA8" s="48">
        <v>80193.956999999995</v>
      </c>
      <c r="CB8" s="48">
        <v>80189.673999999999</v>
      </c>
      <c r="CC8" s="48">
        <v>80184.073000000004</v>
      </c>
      <c r="CD8" s="48">
        <v>80177.255000000005</v>
      </c>
      <c r="CE8" s="48">
        <v>80169.381999999998</v>
      </c>
      <c r="CF8" s="48">
        <v>80160.626000000004</v>
      </c>
      <c r="CG8" s="48">
        <v>80151.23</v>
      </c>
      <c r="CH8" s="48">
        <v>80141.584000000003</v>
      </c>
      <c r="CI8" s="48">
        <v>80132.145000000004</v>
      </c>
      <c r="CJ8" s="48">
        <v>80123.373999999996</v>
      </c>
      <c r="CK8" s="48">
        <v>80115.792000000001</v>
      </c>
      <c r="CL8" s="48">
        <v>80109.933000000005</v>
      </c>
      <c r="CM8" s="48">
        <v>80106.304999999993</v>
      </c>
      <c r="CN8" s="48">
        <v>80105.319000000003</v>
      </c>
      <c r="CO8" s="48">
        <v>80107.360000000001</v>
      </c>
      <c r="CP8" s="48">
        <v>80112.668000000005</v>
      </c>
      <c r="CQ8" s="48">
        <v>80121.38</v>
      </c>
      <c r="CR8" s="48">
        <v>80133.539999999994</v>
      </c>
      <c r="CS8" s="48">
        <v>80149.062999999995</v>
      </c>
      <c r="CT8" s="48">
        <v>80167.744000000006</v>
      </c>
      <c r="CU8" s="48">
        <v>80189.311000000002</v>
      </c>
      <c r="CV8" s="48">
        <v>80213.442999999999</v>
      </c>
      <c r="CW8" s="48">
        <v>80239.733999999997</v>
      </c>
      <c r="CX8" s="48">
        <v>80267.724000000002</v>
      </c>
    </row>
    <row r="9" spans="1:103" s="39" customFormat="1" ht="15" customHeight="1">
      <c r="A9" s="49" t="s">
        <v>403</v>
      </c>
      <c r="B9" s="47" t="s">
        <v>402</v>
      </c>
      <c r="C9" s="48">
        <v>664.46400000000006</v>
      </c>
      <c r="D9" s="48">
        <v>667.90899999999999</v>
      </c>
      <c r="E9" s="48">
        <v>671.82899999999995</v>
      </c>
      <c r="F9" s="48">
        <v>670.57600000000002</v>
      </c>
      <c r="G9" s="48">
        <v>668.01900000000001</v>
      </c>
      <c r="H9" s="48">
        <v>666.21799999999996</v>
      </c>
      <c r="I9" s="48">
        <v>665.76400000000001</v>
      </c>
      <c r="J9" s="48">
        <v>665.87900000000002</v>
      </c>
      <c r="K9" s="48">
        <v>666.24599999999998</v>
      </c>
      <c r="L9" s="48">
        <v>666.76</v>
      </c>
      <c r="M9" s="48">
        <v>667.85500000000002</v>
      </c>
      <c r="N9" s="48">
        <v>669.67200000000003</v>
      </c>
      <c r="O9" s="48">
        <v>671.88</v>
      </c>
      <c r="P9" s="48">
        <v>674.46</v>
      </c>
      <c r="Q9" s="48">
        <v>677.47500000000002</v>
      </c>
      <c r="R9" s="48">
        <v>680.92200000000003</v>
      </c>
      <c r="S9" s="48">
        <v>684.55399999999997</v>
      </c>
      <c r="T9" s="48">
        <v>688.02499999999998</v>
      </c>
      <c r="U9" s="48">
        <v>691.19399999999996</v>
      </c>
      <c r="V9" s="48">
        <v>694.00099999999998</v>
      </c>
      <c r="W9" s="48">
        <v>696.03200000000004</v>
      </c>
      <c r="X9" s="48">
        <v>697.09100000000001</v>
      </c>
      <c r="Y9" s="48">
        <v>697.45699999999999</v>
      </c>
      <c r="Z9" s="48">
        <v>697.25199999999995</v>
      </c>
      <c r="AA9" s="48">
        <v>696.54899999999998</v>
      </c>
      <c r="AB9" s="48">
        <v>694.49099999999999</v>
      </c>
      <c r="AC9" s="48">
        <v>690.93</v>
      </c>
      <c r="AD9" s="48">
        <v>686.85</v>
      </c>
      <c r="AE9" s="48">
        <v>682.41399999999999</v>
      </c>
      <c r="AF9" s="48">
        <v>677.84</v>
      </c>
      <c r="AG9" s="48">
        <v>673.07299999999998</v>
      </c>
      <c r="AH9" s="48">
        <v>668.20600000000002</v>
      </c>
      <c r="AI9" s="48">
        <v>663.64</v>
      </c>
      <c r="AJ9" s="48">
        <v>659.61300000000006</v>
      </c>
      <c r="AK9" s="48">
        <v>656.15599999999995</v>
      </c>
      <c r="AL9" s="48">
        <v>653.11099999999999</v>
      </c>
      <c r="AM9" s="48">
        <v>650.52499999999998</v>
      </c>
      <c r="AN9" s="48">
        <v>648.49099999999999</v>
      </c>
      <c r="AO9" s="48">
        <v>647.02</v>
      </c>
      <c r="AP9" s="48">
        <v>646.10799999999995</v>
      </c>
      <c r="AQ9" s="48">
        <v>645.54100000000005</v>
      </c>
      <c r="AR9" s="48">
        <v>645.26199999999994</v>
      </c>
      <c r="AS9" s="48">
        <v>645.45799999999997</v>
      </c>
      <c r="AT9" s="48">
        <v>646.02099999999996</v>
      </c>
      <c r="AU9" s="48">
        <v>646.81600000000003</v>
      </c>
      <c r="AV9" s="48">
        <v>647.779</v>
      </c>
      <c r="AW9" s="48">
        <v>648.82500000000005</v>
      </c>
      <c r="AX9" s="48">
        <v>649.92999999999995</v>
      </c>
      <c r="AY9" s="48">
        <v>651.07799999999997</v>
      </c>
      <c r="AZ9" s="48">
        <v>652.154</v>
      </c>
      <c r="BA9" s="48">
        <v>653.10199999999998</v>
      </c>
      <c r="BB9" s="48">
        <v>653.89200000000005</v>
      </c>
      <c r="BC9" s="48">
        <v>654.47699999999998</v>
      </c>
      <c r="BD9" s="48">
        <v>654.81899999999996</v>
      </c>
      <c r="BE9" s="48">
        <v>654.9</v>
      </c>
      <c r="BF9" s="48">
        <v>654.69100000000003</v>
      </c>
      <c r="BG9" s="48">
        <v>654.197</v>
      </c>
      <c r="BH9" s="48">
        <v>653.38900000000001</v>
      </c>
      <c r="BI9" s="48">
        <v>652.30499999999995</v>
      </c>
      <c r="BJ9" s="48">
        <v>650.96400000000006</v>
      </c>
      <c r="BK9" s="48">
        <v>649.41499999999996</v>
      </c>
      <c r="BL9" s="48">
        <v>647.67499999999995</v>
      </c>
      <c r="BM9" s="48">
        <v>645.81200000000001</v>
      </c>
      <c r="BN9" s="48">
        <v>643.87599999999998</v>
      </c>
      <c r="BO9" s="48">
        <v>641.92700000000002</v>
      </c>
      <c r="BP9" s="48">
        <v>640.01400000000001</v>
      </c>
      <c r="BQ9" s="48">
        <v>638.178</v>
      </c>
      <c r="BR9" s="48">
        <v>636.46699999999998</v>
      </c>
      <c r="BS9" s="48">
        <v>634.88900000000001</v>
      </c>
      <c r="BT9" s="48">
        <v>633.505</v>
      </c>
      <c r="BU9" s="48">
        <v>632.31299999999999</v>
      </c>
      <c r="BV9" s="48">
        <v>631.32100000000003</v>
      </c>
      <c r="BW9" s="48">
        <v>630.54300000000001</v>
      </c>
      <c r="BX9" s="48">
        <v>629.95399999999995</v>
      </c>
      <c r="BY9" s="48">
        <v>629.55999999999995</v>
      </c>
      <c r="BZ9" s="48">
        <v>629.33399999999995</v>
      </c>
      <c r="CA9" s="48">
        <v>629.25</v>
      </c>
      <c r="CB9" s="48">
        <v>629.28700000000003</v>
      </c>
      <c r="CC9" s="48">
        <v>629.43100000000004</v>
      </c>
      <c r="CD9" s="48">
        <v>629.63499999999999</v>
      </c>
      <c r="CE9" s="48">
        <v>629.87</v>
      </c>
      <c r="CF9" s="48">
        <v>630.12400000000002</v>
      </c>
      <c r="CG9" s="48">
        <v>630.35699999999997</v>
      </c>
      <c r="CH9" s="48">
        <v>630.54100000000005</v>
      </c>
      <c r="CI9" s="48">
        <v>630.66999999999996</v>
      </c>
      <c r="CJ9" s="48">
        <v>630.71699999999998</v>
      </c>
      <c r="CK9" s="48">
        <v>630.67100000000005</v>
      </c>
      <c r="CL9" s="48">
        <v>630.52700000000004</v>
      </c>
      <c r="CM9" s="48">
        <v>630.26900000000001</v>
      </c>
      <c r="CN9" s="48">
        <v>629.89200000000005</v>
      </c>
      <c r="CO9" s="48">
        <v>629.40499999999997</v>
      </c>
      <c r="CP9" s="48">
        <v>628.83199999999999</v>
      </c>
      <c r="CQ9" s="48">
        <v>628.14800000000002</v>
      </c>
      <c r="CR9" s="48">
        <v>627.38099999999997</v>
      </c>
      <c r="CS9" s="48">
        <v>626.55899999999997</v>
      </c>
      <c r="CT9" s="48">
        <v>625.69100000000003</v>
      </c>
      <c r="CU9" s="48">
        <v>624.78300000000002</v>
      </c>
      <c r="CV9" s="48">
        <v>623.87800000000004</v>
      </c>
      <c r="CW9" s="48">
        <v>622.96699999999998</v>
      </c>
      <c r="CX9" s="48">
        <v>622.08100000000002</v>
      </c>
    </row>
    <row r="10" spans="1:103" s="39" customFormat="1" ht="15" customHeight="1">
      <c r="A10" s="50" t="s">
        <v>404</v>
      </c>
      <c r="B10" s="47" t="s">
        <v>402</v>
      </c>
      <c r="C10" s="48">
        <v>680.72699999999998</v>
      </c>
      <c r="D10" s="48">
        <v>662.16499999999996</v>
      </c>
      <c r="E10" s="48">
        <v>663.80700000000002</v>
      </c>
      <c r="F10" s="48">
        <v>666.51</v>
      </c>
      <c r="G10" s="48">
        <v>670.351</v>
      </c>
      <c r="H10" s="48">
        <v>675.92399999999998</v>
      </c>
      <c r="I10" s="48">
        <v>683.10500000000002</v>
      </c>
      <c r="J10" s="48">
        <v>690.90899999999999</v>
      </c>
      <c r="K10" s="48">
        <v>699.17100000000005</v>
      </c>
      <c r="L10" s="48">
        <v>707.69600000000003</v>
      </c>
      <c r="M10" s="48">
        <v>716.34900000000005</v>
      </c>
      <c r="N10" s="48">
        <v>725.08</v>
      </c>
      <c r="O10" s="48">
        <v>733.72299999999996</v>
      </c>
      <c r="P10" s="48">
        <v>742.19200000000001</v>
      </c>
      <c r="Q10" s="48">
        <v>750.428</v>
      </c>
      <c r="R10" s="48">
        <v>758.36500000000001</v>
      </c>
      <c r="S10" s="48">
        <v>765.96500000000003</v>
      </c>
      <c r="T10" s="48">
        <v>773.01099999999997</v>
      </c>
      <c r="U10" s="48">
        <v>779.54600000000005</v>
      </c>
      <c r="V10" s="48">
        <v>785.58600000000001</v>
      </c>
      <c r="W10" s="48">
        <v>791.11500000000001</v>
      </c>
      <c r="X10" s="48">
        <v>796.23699999999997</v>
      </c>
      <c r="Y10" s="48">
        <v>801.12099999999998</v>
      </c>
      <c r="Z10" s="48">
        <v>805.82899999999995</v>
      </c>
      <c r="AA10" s="48">
        <v>810.55600000000004</v>
      </c>
      <c r="AB10" s="48">
        <v>815.428</v>
      </c>
      <c r="AC10" s="48">
        <v>820.471</v>
      </c>
      <c r="AD10" s="48">
        <v>825.69100000000003</v>
      </c>
      <c r="AE10" s="48">
        <v>831.024</v>
      </c>
      <c r="AF10" s="48">
        <v>836.36500000000001</v>
      </c>
      <c r="AG10" s="48">
        <v>841.56700000000001</v>
      </c>
      <c r="AH10" s="48">
        <v>846.50300000000004</v>
      </c>
      <c r="AI10" s="48">
        <v>851.04100000000005</v>
      </c>
      <c r="AJ10" s="48">
        <v>855.03099999999995</v>
      </c>
      <c r="AK10" s="48">
        <v>858.41099999999994</v>
      </c>
      <c r="AL10" s="48">
        <v>861.12099999999998</v>
      </c>
      <c r="AM10" s="48">
        <v>863.16099999999994</v>
      </c>
      <c r="AN10" s="48">
        <v>864.58399999999995</v>
      </c>
      <c r="AO10" s="48">
        <v>865.452</v>
      </c>
      <c r="AP10" s="48">
        <v>865.86400000000003</v>
      </c>
      <c r="AQ10" s="48">
        <v>866</v>
      </c>
      <c r="AR10" s="48">
        <v>865.93100000000004</v>
      </c>
      <c r="AS10" s="48">
        <v>865.85599999999999</v>
      </c>
      <c r="AT10" s="48">
        <v>865.86599999999999</v>
      </c>
      <c r="AU10" s="48">
        <v>866.17700000000002</v>
      </c>
      <c r="AV10" s="48">
        <v>866.87800000000004</v>
      </c>
      <c r="AW10" s="48">
        <v>868.12699999999995</v>
      </c>
      <c r="AX10" s="48">
        <v>870.07500000000005</v>
      </c>
      <c r="AY10" s="48">
        <v>872.85599999999999</v>
      </c>
      <c r="AZ10" s="48">
        <v>876.47500000000002</v>
      </c>
      <c r="BA10" s="48">
        <v>880.875</v>
      </c>
      <c r="BB10" s="48">
        <v>886.01499999999999</v>
      </c>
      <c r="BC10" s="48">
        <v>891.71199999999999</v>
      </c>
      <c r="BD10" s="48">
        <v>897.85900000000004</v>
      </c>
      <c r="BE10" s="48">
        <v>904.24699999999996</v>
      </c>
      <c r="BF10" s="48">
        <v>910.68799999999999</v>
      </c>
      <c r="BG10" s="48">
        <v>917.04200000000003</v>
      </c>
      <c r="BH10" s="48">
        <v>923.18399999999997</v>
      </c>
      <c r="BI10" s="48">
        <v>929.01700000000005</v>
      </c>
      <c r="BJ10" s="48">
        <v>934.45299999999997</v>
      </c>
      <c r="BK10" s="48">
        <v>939.49099999999999</v>
      </c>
      <c r="BL10" s="48">
        <v>944.06399999999996</v>
      </c>
      <c r="BM10" s="48">
        <v>948.15599999999995</v>
      </c>
      <c r="BN10" s="48">
        <v>951.74900000000002</v>
      </c>
      <c r="BO10" s="48">
        <v>954.86699999999996</v>
      </c>
      <c r="BP10" s="48">
        <v>957.54499999999996</v>
      </c>
      <c r="BQ10" s="48">
        <v>959.83100000000002</v>
      </c>
      <c r="BR10" s="48">
        <v>961.79600000000005</v>
      </c>
      <c r="BS10" s="48">
        <v>963.48900000000003</v>
      </c>
      <c r="BT10" s="48">
        <v>964.93700000000001</v>
      </c>
      <c r="BU10" s="48">
        <v>966.24099999999999</v>
      </c>
      <c r="BV10" s="48">
        <v>967.44299999999998</v>
      </c>
      <c r="BW10" s="48">
        <v>968.62400000000002</v>
      </c>
      <c r="BX10" s="48">
        <v>969.80700000000002</v>
      </c>
      <c r="BY10" s="48">
        <v>971.01300000000003</v>
      </c>
      <c r="BZ10" s="48">
        <v>972.26099999999997</v>
      </c>
      <c r="CA10" s="48">
        <v>973.548</v>
      </c>
      <c r="CB10" s="48">
        <v>974.904</v>
      </c>
      <c r="CC10" s="48">
        <v>976.24400000000003</v>
      </c>
      <c r="CD10" s="48">
        <v>977.51099999999997</v>
      </c>
      <c r="CE10" s="48">
        <v>978.63699999999994</v>
      </c>
      <c r="CF10" s="48">
        <v>979.52</v>
      </c>
      <c r="CG10" s="48">
        <v>979.995</v>
      </c>
      <c r="CH10" s="48">
        <v>979.99099999999999</v>
      </c>
      <c r="CI10" s="48">
        <v>979.447</v>
      </c>
      <c r="CJ10" s="48">
        <v>978.30899999999997</v>
      </c>
      <c r="CK10" s="48">
        <v>976.54200000000003</v>
      </c>
      <c r="CL10" s="48">
        <v>974.15700000000004</v>
      </c>
      <c r="CM10" s="48">
        <v>971.24300000000005</v>
      </c>
      <c r="CN10" s="48">
        <v>967.86099999999999</v>
      </c>
      <c r="CO10" s="48">
        <v>964.10599999999999</v>
      </c>
      <c r="CP10" s="48">
        <v>960.11699999999996</v>
      </c>
      <c r="CQ10" s="48">
        <v>955.98800000000006</v>
      </c>
      <c r="CR10" s="48">
        <v>951.86500000000001</v>
      </c>
      <c r="CS10" s="48">
        <v>947.87699999999995</v>
      </c>
      <c r="CT10" s="48">
        <v>944.12099999999998</v>
      </c>
      <c r="CU10" s="48">
        <v>940.66300000000001</v>
      </c>
      <c r="CV10" s="48">
        <v>937.59299999999996</v>
      </c>
      <c r="CW10" s="48">
        <v>934.98500000000001</v>
      </c>
      <c r="CX10" s="48">
        <v>932.84400000000005</v>
      </c>
    </row>
    <row r="11" spans="1:103" s="39" customFormat="1" ht="15" customHeight="1">
      <c r="A11" s="49" t="s">
        <v>405</v>
      </c>
      <c r="B11" s="47" t="s">
        <v>402</v>
      </c>
      <c r="C11" s="48">
        <v>-16.263000000000002</v>
      </c>
      <c r="D11" s="48">
        <v>5.7439999999999998</v>
      </c>
      <c r="E11" s="48">
        <v>8.0220000000000002</v>
      </c>
      <c r="F11" s="48">
        <v>4.0659999999999998</v>
      </c>
      <c r="G11" s="48">
        <v>-2.3319999999999999</v>
      </c>
      <c r="H11" s="48">
        <v>-9.7059999999999995</v>
      </c>
      <c r="I11" s="48">
        <v>-17.341000000000001</v>
      </c>
      <c r="J11" s="48">
        <v>-25.03</v>
      </c>
      <c r="K11" s="48">
        <v>-32.924999999999997</v>
      </c>
      <c r="L11" s="48">
        <v>-40.936</v>
      </c>
      <c r="M11" s="48">
        <v>-48.494</v>
      </c>
      <c r="N11" s="48">
        <v>-55.408000000000001</v>
      </c>
      <c r="O11" s="48">
        <v>-61.843000000000004</v>
      </c>
      <c r="P11" s="48">
        <v>-67.731999999999999</v>
      </c>
      <c r="Q11" s="48">
        <v>-72.953000000000003</v>
      </c>
      <c r="R11" s="48">
        <v>-77.442999999999998</v>
      </c>
      <c r="S11" s="48">
        <v>-81.411000000000001</v>
      </c>
      <c r="T11" s="48">
        <v>-84.986000000000004</v>
      </c>
      <c r="U11" s="48">
        <v>-88.352000000000004</v>
      </c>
      <c r="V11" s="48">
        <v>-91.584999999999994</v>
      </c>
      <c r="W11" s="48">
        <v>-95.082999999999998</v>
      </c>
      <c r="X11" s="48">
        <v>-99.146000000000001</v>
      </c>
      <c r="Y11" s="48">
        <v>-103.664</v>
      </c>
      <c r="Z11" s="48">
        <v>-108.577</v>
      </c>
      <c r="AA11" s="48">
        <v>-114.00700000000001</v>
      </c>
      <c r="AB11" s="48">
        <v>-120.937</v>
      </c>
      <c r="AC11" s="48">
        <v>-129.541</v>
      </c>
      <c r="AD11" s="48">
        <v>-138.84100000000001</v>
      </c>
      <c r="AE11" s="48">
        <v>-148.61000000000001</v>
      </c>
      <c r="AF11" s="48">
        <v>-158.52500000000001</v>
      </c>
      <c r="AG11" s="48">
        <v>-168.494</v>
      </c>
      <c r="AH11" s="48">
        <v>-178.297</v>
      </c>
      <c r="AI11" s="48">
        <v>-187.40100000000001</v>
      </c>
      <c r="AJ11" s="48">
        <v>-195.41800000000001</v>
      </c>
      <c r="AK11" s="48">
        <v>-202.255</v>
      </c>
      <c r="AL11" s="48">
        <v>-208.01</v>
      </c>
      <c r="AM11" s="48">
        <v>-212.636</v>
      </c>
      <c r="AN11" s="48">
        <v>-216.09299999999999</v>
      </c>
      <c r="AO11" s="48">
        <v>-218.43199999999999</v>
      </c>
      <c r="AP11" s="48">
        <v>-219.756</v>
      </c>
      <c r="AQ11" s="48">
        <v>-220.459</v>
      </c>
      <c r="AR11" s="48">
        <v>-220.66900000000001</v>
      </c>
      <c r="AS11" s="48">
        <v>-220.398</v>
      </c>
      <c r="AT11" s="48">
        <v>-219.845</v>
      </c>
      <c r="AU11" s="48">
        <v>-219.36099999999999</v>
      </c>
      <c r="AV11" s="48">
        <v>-219.09899999999999</v>
      </c>
      <c r="AW11" s="48">
        <v>-219.30199999999999</v>
      </c>
      <c r="AX11" s="48">
        <v>-220.14500000000001</v>
      </c>
      <c r="AY11" s="48">
        <v>-221.77799999999999</v>
      </c>
      <c r="AZ11" s="48">
        <v>-224.321</v>
      </c>
      <c r="BA11" s="48">
        <v>-227.773</v>
      </c>
      <c r="BB11" s="48">
        <v>-232.12299999999999</v>
      </c>
      <c r="BC11" s="48">
        <v>-237.23500000000001</v>
      </c>
      <c r="BD11" s="48">
        <v>-243.04</v>
      </c>
      <c r="BE11" s="48">
        <v>-249.34700000000001</v>
      </c>
      <c r="BF11" s="48">
        <v>-255.99700000000001</v>
      </c>
      <c r="BG11" s="48">
        <v>-262.84500000000003</v>
      </c>
      <c r="BH11" s="48">
        <v>-269.79500000000002</v>
      </c>
      <c r="BI11" s="48">
        <v>-276.71199999999999</v>
      </c>
      <c r="BJ11" s="48">
        <v>-283.48899999999998</v>
      </c>
      <c r="BK11" s="48">
        <v>-290.07600000000002</v>
      </c>
      <c r="BL11" s="48">
        <v>-296.38900000000001</v>
      </c>
      <c r="BM11" s="48">
        <v>-302.34399999999999</v>
      </c>
      <c r="BN11" s="48">
        <v>-307.87299999999999</v>
      </c>
      <c r="BO11" s="48">
        <v>-312.94</v>
      </c>
      <c r="BP11" s="48">
        <v>-317.53100000000001</v>
      </c>
      <c r="BQ11" s="48">
        <v>-321.65300000000002</v>
      </c>
      <c r="BR11" s="48">
        <v>-325.32900000000001</v>
      </c>
      <c r="BS11" s="48">
        <v>-328.6</v>
      </c>
      <c r="BT11" s="48">
        <v>-331.43200000000002</v>
      </c>
      <c r="BU11" s="48">
        <v>-333.928</v>
      </c>
      <c r="BV11" s="48">
        <v>-336.12200000000001</v>
      </c>
      <c r="BW11" s="48">
        <v>-338.08100000000002</v>
      </c>
      <c r="BX11" s="48">
        <v>-339.85300000000001</v>
      </c>
      <c r="BY11" s="48">
        <v>-341.45299999999997</v>
      </c>
      <c r="BZ11" s="48">
        <v>-342.92700000000002</v>
      </c>
      <c r="CA11" s="48">
        <v>-344.298</v>
      </c>
      <c r="CB11" s="48">
        <v>-345.61700000000002</v>
      </c>
      <c r="CC11" s="48">
        <v>-346.81299999999999</v>
      </c>
      <c r="CD11" s="48">
        <v>-347.87599999999998</v>
      </c>
      <c r="CE11" s="48">
        <v>-348.767</v>
      </c>
      <c r="CF11" s="48">
        <v>-349.39600000000002</v>
      </c>
      <c r="CG11" s="48">
        <v>-349.63799999999998</v>
      </c>
      <c r="CH11" s="48">
        <v>-349.45</v>
      </c>
      <c r="CI11" s="48">
        <v>-348.77699999999999</v>
      </c>
      <c r="CJ11" s="48">
        <v>-347.59199999999998</v>
      </c>
      <c r="CK11" s="48">
        <v>-345.87099999999998</v>
      </c>
      <c r="CL11" s="48">
        <v>-343.63</v>
      </c>
      <c r="CM11" s="48">
        <v>-340.97399999999999</v>
      </c>
      <c r="CN11" s="48">
        <v>-337.96899999999999</v>
      </c>
      <c r="CO11" s="48">
        <v>-334.70100000000002</v>
      </c>
      <c r="CP11" s="48">
        <v>-331.28500000000003</v>
      </c>
      <c r="CQ11" s="48">
        <v>-327.84</v>
      </c>
      <c r="CR11" s="48">
        <v>-324.48399999999998</v>
      </c>
      <c r="CS11" s="48">
        <v>-321.31799999999998</v>
      </c>
      <c r="CT11" s="48">
        <v>-318.43</v>
      </c>
      <c r="CU11" s="48">
        <v>-315.88</v>
      </c>
      <c r="CV11" s="48">
        <v>-313.71499999999997</v>
      </c>
      <c r="CW11" s="48">
        <v>-312.01799999999997</v>
      </c>
      <c r="CX11" s="48">
        <v>-310.76299999999998</v>
      </c>
    </row>
    <row r="12" spans="1:103" s="39" customFormat="1" ht="15" customHeight="1">
      <c r="A12" s="46" t="s">
        <v>406</v>
      </c>
      <c r="B12" s="47" t="s">
        <v>402</v>
      </c>
      <c r="C12" s="48">
        <v>1319.5</v>
      </c>
      <c r="D12" s="48">
        <v>1207</v>
      </c>
      <c r="E12" s="48">
        <v>802.65499999999997</v>
      </c>
      <c r="F12" s="48">
        <v>733.40300000000002</v>
      </c>
      <c r="G12" s="48">
        <v>733.404</v>
      </c>
      <c r="H12" s="48">
        <v>733.40499999999997</v>
      </c>
      <c r="I12" s="48">
        <v>733.40499999999997</v>
      </c>
      <c r="J12" s="48">
        <v>733.40499999999997</v>
      </c>
      <c r="K12" s="48">
        <v>733.40499999999997</v>
      </c>
      <c r="L12" s="48">
        <v>733.40499999999997</v>
      </c>
      <c r="M12" s="48">
        <v>733.40499999999997</v>
      </c>
      <c r="N12" s="48">
        <v>733.40499999999997</v>
      </c>
      <c r="O12" s="48">
        <v>733.40499999999997</v>
      </c>
      <c r="P12" s="48">
        <v>733.40499999999997</v>
      </c>
      <c r="Q12" s="48">
        <v>733.40499999999997</v>
      </c>
      <c r="R12" s="48">
        <v>733.40499999999997</v>
      </c>
      <c r="S12" s="48">
        <v>733.40499999999997</v>
      </c>
      <c r="T12" s="48">
        <v>733.40499999999997</v>
      </c>
      <c r="U12" s="48">
        <v>733.40499999999997</v>
      </c>
      <c r="V12" s="48">
        <v>733.40499999999997</v>
      </c>
      <c r="W12" s="48">
        <v>733.40499999999997</v>
      </c>
      <c r="X12" s="48">
        <v>733.40499999999997</v>
      </c>
      <c r="Y12" s="48">
        <v>733.40499999999997</v>
      </c>
      <c r="Z12" s="48">
        <v>733.40499999999997</v>
      </c>
      <c r="AA12" s="48">
        <v>733.40499999999997</v>
      </c>
      <c r="AB12" s="48">
        <v>733.40499999999997</v>
      </c>
      <c r="AC12" s="48">
        <v>733.40499999999997</v>
      </c>
      <c r="AD12" s="48">
        <v>733.40499999999997</v>
      </c>
      <c r="AE12" s="48">
        <v>733.40499999999997</v>
      </c>
      <c r="AF12" s="48">
        <v>733.40499999999997</v>
      </c>
      <c r="AG12" s="48">
        <v>733.40499999999997</v>
      </c>
      <c r="AH12" s="48">
        <v>733.40499999999997</v>
      </c>
      <c r="AI12" s="48">
        <v>733.40499999999997</v>
      </c>
      <c r="AJ12" s="48">
        <v>733.40499999999997</v>
      </c>
      <c r="AK12" s="48">
        <v>733.40499999999997</v>
      </c>
      <c r="AL12" s="48">
        <v>733.40499999999997</v>
      </c>
      <c r="AM12" s="48">
        <v>733.40499999999997</v>
      </c>
      <c r="AN12" s="48">
        <v>733.40499999999997</v>
      </c>
      <c r="AO12" s="48">
        <v>733.40499999999997</v>
      </c>
      <c r="AP12" s="48">
        <v>733.40499999999997</v>
      </c>
      <c r="AQ12" s="48">
        <v>733.40499999999997</v>
      </c>
      <c r="AR12" s="48">
        <v>733.40499999999997</v>
      </c>
      <c r="AS12" s="48">
        <v>733.40499999999997</v>
      </c>
      <c r="AT12" s="48">
        <v>733.40499999999997</v>
      </c>
      <c r="AU12" s="48">
        <v>733.40499999999997</v>
      </c>
      <c r="AV12" s="48">
        <v>733.40499999999997</v>
      </c>
      <c r="AW12" s="48">
        <v>733.40499999999997</v>
      </c>
      <c r="AX12" s="48">
        <v>733.40499999999997</v>
      </c>
      <c r="AY12" s="48">
        <v>733.40499999999997</v>
      </c>
      <c r="AZ12" s="48">
        <v>733.40499999999997</v>
      </c>
      <c r="BA12" s="48">
        <v>733.40499999999997</v>
      </c>
      <c r="BB12" s="48">
        <v>733.40499999999997</v>
      </c>
      <c r="BC12" s="48">
        <v>733.40499999999997</v>
      </c>
      <c r="BD12" s="48">
        <v>733.40499999999997</v>
      </c>
      <c r="BE12" s="48">
        <v>733.40499999999997</v>
      </c>
      <c r="BF12" s="48">
        <v>733.40499999999997</v>
      </c>
      <c r="BG12" s="48">
        <v>733.40499999999997</v>
      </c>
      <c r="BH12" s="48">
        <v>733.40499999999997</v>
      </c>
      <c r="BI12" s="48">
        <v>733.40499999999997</v>
      </c>
      <c r="BJ12" s="48">
        <v>733.40499999999997</v>
      </c>
      <c r="BK12" s="48">
        <v>733.40499999999997</v>
      </c>
      <c r="BL12" s="48">
        <v>733.40499999999997</v>
      </c>
      <c r="BM12" s="48">
        <v>733.40499999999997</v>
      </c>
      <c r="BN12" s="48">
        <v>733.40499999999997</v>
      </c>
      <c r="BO12" s="48">
        <v>733.40499999999997</v>
      </c>
      <c r="BP12" s="48">
        <v>733.40499999999997</v>
      </c>
      <c r="BQ12" s="48">
        <v>733.40499999999997</v>
      </c>
      <c r="BR12" s="48">
        <v>733.40499999999997</v>
      </c>
      <c r="BS12" s="48">
        <v>733.40499999999997</v>
      </c>
      <c r="BT12" s="48">
        <v>733.40499999999997</v>
      </c>
      <c r="BU12" s="48">
        <v>733.40499999999997</v>
      </c>
      <c r="BV12" s="48">
        <v>733.40499999999997</v>
      </c>
      <c r="BW12" s="48">
        <v>733.40499999999997</v>
      </c>
      <c r="BX12" s="48">
        <v>733.40499999999997</v>
      </c>
      <c r="BY12" s="48">
        <v>733.40499999999997</v>
      </c>
      <c r="BZ12" s="48">
        <v>733.40499999999997</v>
      </c>
      <c r="CA12" s="48">
        <v>733.40499999999997</v>
      </c>
      <c r="CB12" s="48">
        <v>733.40499999999997</v>
      </c>
      <c r="CC12" s="48">
        <v>733.40499999999997</v>
      </c>
      <c r="CD12" s="48">
        <v>733.40499999999997</v>
      </c>
      <c r="CE12" s="48">
        <v>733.40499999999997</v>
      </c>
      <c r="CF12" s="48">
        <v>733.40499999999997</v>
      </c>
      <c r="CG12" s="48">
        <v>733.40499999999997</v>
      </c>
      <c r="CH12" s="48">
        <v>733.40499999999997</v>
      </c>
      <c r="CI12" s="48">
        <v>733.40499999999997</v>
      </c>
      <c r="CJ12" s="48">
        <v>733.40499999999997</v>
      </c>
      <c r="CK12" s="48">
        <v>733.40499999999997</v>
      </c>
      <c r="CL12" s="48">
        <v>733.40499999999997</v>
      </c>
      <c r="CM12" s="48">
        <v>733.40499999999997</v>
      </c>
      <c r="CN12" s="48">
        <v>733.40499999999997</v>
      </c>
      <c r="CO12" s="48">
        <v>733.40499999999997</v>
      </c>
      <c r="CP12" s="48">
        <v>733.40499999999997</v>
      </c>
      <c r="CQ12" s="48">
        <v>733.40499999999997</v>
      </c>
      <c r="CR12" s="48">
        <v>733.40499999999997</v>
      </c>
      <c r="CS12" s="48">
        <v>733.40499999999997</v>
      </c>
      <c r="CT12" s="48">
        <v>733.40499999999997</v>
      </c>
      <c r="CU12" s="48">
        <v>733.40499999999997</v>
      </c>
      <c r="CV12" s="48">
        <v>733.40499999999997</v>
      </c>
      <c r="CW12" s="48">
        <v>733.40499999999997</v>
      </c>
      <c r="CX12" s="48">
        <v>733.40499999999997</v>
      </c>
    </row>
    <row r="13" spans="1:103" s="39" customFormat="1" ht="15" customHeight="1">
      <c r="A13" s="51" t="s">
        <v>407</v>
      </c>
      <c r="B13" s="47" t="s">
        <v>402</v>
      </c>
      <c r="C13" s="48" t="s">
        <v>402</v>
      </c>
      <c r="D13" s="48" t="s">
        <v>402</v>
      </c>
      <c r="E13" s="48" t="s">
        <v>402</v>
      </c>
      <c r="F13" s="48" t="s">
        <v>402</v>
      </c>
      <c r="G13" s="48" t="s">
        <v>402</v>
      </c>
      <c r="H13" s="48" t="s">
        <v>402</v>
      </c>
      <c r="I13" s="48" t="s">
        <v>402</v>
      </c>
      <c r="J13" s="48" t="s">
        <v>402</v>
      </c>
      <c r="K13" s="48" t="s">
        <v>402</v>
      </c>
      <c r="L13" s="48" t="s">
        <v>402</v>
      </c>
      <c r="M13" s="48" t="s">
        <v>402</v>
      </c>
      <c r="N13" s="48" t="s">
        <v>402</v>
      </c>
      <c r="O13" s="48" t="s">
        <v>402</v>
      </c>
      <c r="P13" s="48" t="s">
        <v>402</v>
      </c>
      <c r="Q13" s="48" t="s">
        <v>402</v>
      </c>
      <c r="R13" s="48" t="s">
        <v>402</v>
      </c>
      <c r="S13" s="48" t="s">
        <v>402</v>
      </c>
      <c r="T13" s="48" t="s">
        <v>402</v>
      </c>
      <c r="U13" s="48" t="s">
        <v>402</v>
      </c>
      <c r="V13" s="48" t="s">
        <v>402</v>
      </c>
      <c r="W13" s="48" t="s">
        <v>402</v>
      </c>
      <c r="X13" s="48" t="s">
        <v>402</v>
      </c>
      <c r="Y13" s="48" t="s">
        <v>402</v>
      </c>
      <c r="Z13" s="48" t="s">
        <v>402</v>
      </c>
      <c r="AA13" s="48" t="s">
        <v>402</v>
      </c>
      <c r="AB13" s="48" t="s">
        <v>402</v>
      </c>
      <c r="AC13" s="48" t="s">
        <v>402</v>
      </c>
      <c r="AD13" s="48" t="s">
        <v>402</v>
      </c>
      <c r="AE13" s="48" t="s">
        <v>402</v>
      </c>
      <c r="AF13" s="48" t="s">
        <v>402</v>
      </c>
      <c r="AG13" s="48" t="s">
        <v>402</v>
      </c>
      <c r="AH13" s="48" t="s">
        <v>402</v>
      </c>
      <c r="AI13" s="48" t="s">
        <v>402</v>
      </c>
      <c r="AJ13" s="48" t="s">
        <v>402</v>
      </c>
      <c r="AK13" s="48" t="s">
        <v>402</v>
      </c>
      <c r="AL13" s="48" t="s">
        <v>402</v>
      </c>
      <c r="AM13" s="48" t="s">
        <v>402</v>
      </c>
      <c r="AN13" s="48" t="s">
        <v>402</v>
      </c>
      <c r="AO13" s="48" t="s">
        <v>402</v>
      </c>
      <c r="AP13" s="48" t="s">
        <v>402</v>
      </c>
      <c r="AQ13" s="48" t="s">
        <v>402</v>
      </c>
      <c r="AR13" s="48" t="s">
        <v>402</v>
      </c>
      <c r="AS13" s="48" t="s">
        <v>402</v>
      </c>
      <c r="AT13" s="48" t="s">
        <v>402</v>
      </c>
      <c r="AU13" s="48" t="s">
        <v>402</v>
      </c>
      <c r="AV13" s="48" t="s">
        <v>402</v>
      </c>
      <c r="AW13" s="48" t="s">
        <v>402</v>
      </c>
      <c r="AX13" s="48" t="s">
        <v>402</v>
      </c>
      <c r="AY13" s="48" t="s">
        <v>402</v>
      </c>
      <c r="AZ13" s="48" t="s">
        <v>402</v>
      </c>
      <c r="BA13" s="48" t="s">
        <v>402</v>
      </c>
      <c r="BB13" s="48" t="s">
        <v>402</v>
      </c>
      <c r="BC13" s="48" t="s">
        <v>402</v>
      </c>
      <c r="BD13" s="48" t="s">
        <v>402</v>
      </c>
      <c r="BE13" s="48" t="s">
        <v>402</v>
      </c>
      <c r="BF13" s="48" t="s">
        <v>402</v>
      </c>
      <c r="BG13" s="48" t="s">
        <v>402</v>
      </c>
      <c r="BH13" s="48" t="s">
        <v>402</v>
      </c>
      <c r="BI13" s="48" t="s">
        <v>402</v>
      </c>
      <c r="BJ13" s="48" t="s">
        <v>402</v>
      </c>
      <c r="BK13" s="48" t="s">
        <v>402</v>
      </c>
      <c r="BL13" s="48" t="s">
        <v>402</v>
      </c>
      <c r="BM13" s="48" t="s">
        <v>402</v>
      </c>
      <c r="BN13" s="48" t="s">
        <v>402</v>
      </c>
      <c r="BO13" s="48" t="s">
        <v>402</v>
      </c>
      <c r="BP13" s="48" t="s">
        <v>402</v>
      </c>
      <c r="BQ13" s="48" t="s">
        <v>402</v>
      </c>
      <c r="BR13" s="48" t="s">
        <v>402</v>
      </c>
      <c r="BS13" s="48" t="s">
        <v>402</v>
      </c>
      <c r="BT13" s="48" t="s">
        <v>402</v>
      </c>
      <c r="BU13" s="48" t="s">
        <v>402</v>
      </c>
      <c r="BV13" s="48" t="s">
        <v>402</v>
      </c>
      <c r="BW13" s="48" t="s">
        <v>402</v>
      </c>
      <c r="BX13" s="48" t="s">
        <v>402</v>
      </c>
      <c r="BY13" s="48" t="s">
        <v>402</v>
      </c>
      <c r="BZ13" s="48" t="s">
        <v>402</v>
      </c>
      <c r="CA13" s="48" t="s">
        <v>402</v>
      </c>
      <c r="CB13" s="48" t="s">
        <v>402</v>
      </c>
      <c r="CC13" s="48" t="s">
        <v>402</v>
      </c>
      <c r="CD13" s="48" t="s">
        <v>402</v>
      </c>
      <c r="CE13" s="48" t="s">
        <v>402</v>
      </c>
      <c r="CF13" s="48" t="s">
        <v>402</v>
      </c>
      <c r="CG13" s="48" t="s">
        <v>402</v>
      </c>
      <c r="CH13" s="48" t="s">
        <v>402</v>
      </c>
      <c r="CI13" s="48" t="s">
        <v>402</v>
      </c>
      <c r="CJ13" s="48" t="s">
        <v>402</v>
      </c>
      <c r="CK13" s="48" t="s">
        <v>402</v>
      </c>
      <c r="CL13" s="48" t="s">
        <v>402</v>
      </c>
      <c r="CM13" s="48" t="s">
        <v>402</v>
      </c>
      <c r="CN13" s="48" t="s">
        <v>402</v>
      </c>
      <c r="CO13" s="48" t="s">
        <v>402</v>
      </c>
      <c r="CP13" s="48" t="s">
        <v>402</v>
      </c>
      <c r="CQ13" s="48" t="s">
        <v>402</v>
      </c>
      <c r="CR13" s="48" t="s">
        <v>402</v>
      </c>
      <c r="CS13" s="48" t="s">
        <v>402</v>
      </c>
      <c r="CT13" s="48" t="s">
        <v>402</v>
      </c>
      <c r="CU13" s="48" t="s">
        <v>402</v>
      </c>
      <c r="CV13" s="48" t="s">
        <v>402</v>
      </c>
      <c r="CW13" s="48" t="s">
        <v>402</v>
      </c>
      <c r="CX13" s="48" t="s">
        <v>402</v>
      </c>
      <c r="CY13" s="52" t="s">
        <v>402</v>
      </c>
    </row>
    <row r="14" spans="1:103" s="39" customFormat="1" ht="15" customHeight="1">
      <c r="A14" s="46" t="s">
        <v>408</v>
      </c>
      <c r="B14" s="47" t="s">
        <v>402</v>
      </c>
      <c r="C14" s="48">
        <v>413.5</v>
      </c>
      <c r="D14" s="48">
        <v>479</v>
      </c>
      <c r="E14" s="48">
        <v>452.404</v>
      </c>
      <c r="F14" s="48">
        <v>471.53399999999999</v>
      </c>
      <c r="G14" s="48">
        <v>474.94</v>
      </c>
      <c r="H14" s="48">
        <v>443.10300000000001</v>
      </c>
      <c r="I14" s="48">
        <v>406.58300000000003</v>
      </c>
      <c r="J14" s="48">
        <v>393.40499999999997</v>
      </c>
      <c r="K14" s="48">
        <v>393.40499999999997</v>
      </c>
      <c r="L14" s="48">
        <v>393.40499999999997</v>
      </c>
      <c r="M14" s="48">
        <v>393.40499999999997</v>
      </c>
      <c r="N14" s="48">
        <v>393.40499999999997</v>
      </c>
      <c r="O14" s="48">
        <v>393.40499999999997</v>
      </c>
      <c r="P14" s="48">
        <v>393.40499999999997</v>
      </c>
      <c r="Q14" s="48">
        <v>393.40499999999997</v>
      </c>
      <c r="R14" s="48">
        <v>393.40499999999997</v>
      </c>
      <c r="S14" s="48">
        <v>393.40499999999997</v>
      </c>
      <c r="T14" s="48">
        <v>393.40499999999997</v>
      </c>
      <c r="U14" s="48">
        <v>393.40499999999997</v>
      </c>
      <c r="V14" s="48">
        <v>393.40499999999997</v>
      </c>
      <c r="W14" s="48">
        <v>393.40499999999997</v>
      </c>
      <c r="X14" s="48">
        <v>393.40499999999997</v>
      </c>
      <c r="Y14" s="48">
        <v>393.40499999999997</v>
      </c>
      <c r="Z14" s="48">
        <v>393.40499999999997</v>
      </c>
      <c r="AA14" s="48">
        <v>393.40499999999997</v>
      </c>
      <c r="AB14" s="48">
        <v>393.40499999999997</v>
      </c>
      <c r="AC14" s="48">
        <v>393.40499999999997</v>
      </c>
      <c r="AD14" s="48">
        <v>393.40499999999997</v>
      </c>
      <c r="AE14" s="48">
        <v>393.40499999999997</v>
      </c>
      <c r="AF14" s="48">
        <v>393.40499999999997</v>
      </c>
      <c r="AG14" s="48">
        <v>393.40499999999997</v>
      </c>
      <c r="AH14" s="48">
        <v>393.40499999999997</v>
      </c>
      <c r="AI14" s="48">
        <v>393.40499999999997</v>
      </c>
      <c r="AJ14" s="48">
        <v>393.40499999999997</v>
      </c>
      <c r="AK14" s="48">
        <v>393.40499999999997</v>
      </c>
      <c r="AL14" s="48">
        <v>393.40499999999997</v>
      </c>
      <c r="AM14" s="48">
        <v>393.40499999999997</v>
      </c>
      <c r="AN14" s="48">
        <v>393.40499999999997</v>
      </c>
      <c r="AO14" s="48">
        <v>393.40499999999997</v>
      </c>
      <c r="AP14" s="48">
        <v>393.40499999999997</v>
      </c>
      <c r="AQ14" s="48">
        <v>393.40499999999997</v>
      </c>
      <c r="AR14" s="48">
        <v>393.40499999999997</v>
      </c>
      <c r="AS14" s="48">
        <v>393.40499999999997</v>
      </c>
      <c r="AT14" s="48">
        <v>393.40499999999997</v>
      </c>
      <c r="AU14" s="48">
        <v>393.40499999999997</v>
      </c>
      <c r="AV14" s="48">
        <v>393.40499999999997</v>
      </c>
      <c r="AW14" s="48">
        <v>393.40499999999997</v>
      </c>
      <c r="AX14" s="48">
        <v>393.40499999999997</v>
      </c>
      <c r="AY14" s="48">
        <v>393.40499999999997</v>
      </c>
      <c r="AZ14" s="48">
        <v>393.40499999999997</v>
      </c>
      <c r="BA14" s="48">
        <v>393.40499999999997</v>
      </c>
      <c r="BB14" s="48">
        <v>393.40499999999997</v>
      </c>
      <c r="BC14" s="48">
        <v>393.40499999999997</v>
      </c>
      <c r="BD14" s="48">
        <v>393.40499999999997</v>
      </c>
      <c r="BE14" s="48">
        <v>393.40499999999997</v>
      </c>
      <c r="BF14" s="48">
        <v>393.40499999999997</v>
      </c>
      <c r="BG14" s="48">
        <v>393.40499999999997</v>
      </c>
      <c r="BH14" s="48">
        <v>393.40499999999997</v>
      </c>
      <c r="BI14" s="48">
        <v>393.40499999999997</v>
      </c>
      <c r="BJ14" s="48">
        <v>393.40499999999997</v>
      </c>
      <c r="BK14" s="48">
        <v>393.40499999999997</v>
      </c>
      <c r="BL14" s="48">
        <v>393.40499999999997</v>
      </c>
      <c r="BM14" s="48">
        <v>393.40499999999997</v>
      </c>
      <c r="BN14" s="48">
        <v>393.40499999999997</v>
      </c>
      <c r="BO14" s="48">
        <v>393.40499999999997</v>
      </c>
      <c r="BP14" s="48">
        <v>393.40499999999997</v>
      </c>
      <c r="BQ14" s="48">
        <v>393.40499999999997</v>
      </c>
      <c r="BR14" s="48">
        <v>393.40499999999997</v>
      </c>
      <c r="BS14" s="48">
        <v>393.40499999999997</v>
      </c>
      <c r="BT14" s="48">
        <v>393.40499999999997</v>
      </c>
      <c r="BU14" s="48">
        <v>393.40499999999997</v>
      </c>
      <c r="BV14" s="48">
        <v>393.40499999999997</v>
      </c>
      <c r="BW14" s="48">
        <v>393.40499999999997</v>
      </c>
      <c r="BX14" s="48">
        <v>393.40499999999997</v>
      </c>
      <c r="BY14" s="48">
        <v>393.40499999999997</v>
      </c>
      <c r="BZ14" s="48">
        <v>393.40499999999997</v>
      </c>
      <c r="CA14" s="48">
        <v>393.40499999999997</v>
      </c>
      <c r="CB14" s="48">
        <v>393.40499999999997</v>
      </c>
      <c r="CC14" s="48">
        <v>393.40499999999997</v>
      </c>
      <c r="CD14" s="48">
        <v>393.40499999999997</v>
      </c>
      <c r="CE14" s="48">
        <v>393.40499999999997</v>
      </c>
      <c r="CF14" s="48">
        <v>393.40499999999997</v>
      </c>
      <c r="CG14" s="48">
        <v>393.40499999999997</v>
      </c>
      <c r="CH14" s="48">
        <v>393.40499999999997</v>
      </c>
      <c r="CI14" s="48">
        <v>393.40499999999997</v>
      </c>
      <c r="CJ14" s="48">
        <v>393.40499999999997</v>
      </c>
      <c r="CK14" s="48">
        <v>393.40499999999997</v>
      </c>
      <c r="CL14" s="48">
        <v>393.40499999999997</v>
      </c>
      <c r="CM14" s="48">
        <v>393.40499999999997</v>
      </c>
      <c r="CN14" s="48">
        <v>393.40499999999997</v>
      </c>
      <c r="CO14" s="48">
        <v>393.40499999999997</v>
      </c>
      <c r="CP14" s="48">
        <v>393.40499999999997</v>
      </c>
      <c r="CQ14" s="48">
        <v>393.40499999999997</v>
      </c>
      <c r="CR14" s="48">
        <v>393.40499999999997</v>
      </c>
      <c r="CS14" s="48">
        <v>393.40499999999997</v>
      </c>
      <c r="CT14" s="48">
        <v>393.40499999999997</v>
      </c>
      <c r="CU14" s="48">
        <v>393.40499999999997</v>
      </c>
      <c r="CV14" s="48">
        <v>393.40499999999997</v>
      </c>
      <c r="CW14" s="48">
        <v>393.40499999999997</v>
      </c>
      <c r="CX14" s="48">
        <v>393.40499999999997</v>
      </c>
    </row>
    <row r="15" spans="1:103" s="39" customFormat="1" ht="15" customHeight="1">
      <c r="A15" s="51" t="s">
        <v>409</v>
      </c>
      <c r="B15" s="47" t="s">
        <v>402</v>
      </c>
      <c r="C15" s="48" t="s">
        <v>402</v>
      </c>
      <c r="D15" s="48" t="s">
        <v>402</v>
      </c>
      <c r="E15" s="48" t="s">
        <v>402</v>
      </c>
      <c r="F15" s="48" t="s">
        <v>402</v>
      </c>
      <c r="G15" s="48" t="s">
        <v>402</v>
      </c>
      <c r="H15" s="48" t="s">
        <v>402</v>
      </c>
      <c r="I15" s="48" t="s">
        <v>402</v>
      </c>
      <c r="J15" s="48" t="s">
        <v>402</v>
      </c>
      <c r="K15" s="48" t="s">
        <v>402</v>
      </c>
      <c r="L15" s="48" t="s">
        <v>402</v>
      </c>
      <c r="M15" s="48" t="s">
        <v>402</v>
      </c>
      <c r="N15" s="48" t="s">
        <v>402</v>
      </c>
      <c r="O15" s="48" t="s">
        <v>402</v>
      </c>
      <c r="P15" s="48" t="s">
        <v>402</v>
      </c>
      <c r="Q15" s="48" t="s">
        <v>402</v>
      </c>
      <c r="R15" s="48" t="s">
        <v>402</v>
      </c>
      <c r="S15" s="48" t="s">
        <v>402</v>
      </c>
      <c r="T15" s="48" t="s">
        <v>402</v>
      </c>
      <c r="U15" s="48" t="s">
        <v>402</v>
      </c>
      <c r="V15" s="48" t="s">
        <v>402</v>
      </c>
      <c r="W15" s="48" t="s">
        <v>402</v>
      </c>
      <c r="X15" s="48" t="s">
        <v>402</v>
      </c>
      <c r="Y15" s="48" t="s">
        <v>402</v>
      </c>
      <c r="Z15" s="48" t="s">
        <v>402</v>
      </c>
      <c r="AA15" s="48" t="s">
        <v>402</v>
      </c>
      <c r="AB15" s="48" t="s">
        <v>402</v>
      </c>
      <c r="AC15" s="48" t="s">
        <v>402</v>
      </c>
      <c r="AD15" s="48" t="s">
        <v>402</v>
      </c>
      <c r="AE15" s="48" t="s">
        <v>402</v>
      </c>
      <c r="AF15" s="48" t="s">
        <v>402</v>
      </c>
      <c r="AG15" s="48" t="s">
        <v>402</v>
      </c>
      <c r="AH15" s="48" t="s">
        <v>402</v>
      </c>
      <c r="AI15" s="48" t="s">
        <v>402</v>
      </c>
      <c r="AJ15" s="48" t="s">
        <v>402</v>
      </c>
      <c r="AK15" s="48" t="s">
        <v>402</v>
      </c>
      <c r="AL15" s="48" t="s">
        <v>402</v>
      </c>
      <c r="AM15" s="48" t="s">
        <v>402</v>
      </c>
      <c r="AN15" s="48" t="s">
        <v>402</v>
      </c>
      <c r="AO15" s="48" t="s">
        <v>402</v>
      </c>
      <c r="AP15" s="48" t="s">
        <v>402</v>
      </c>
      <c r="AQ15" s="48" t="s">
        <v>402</v>
      </c>
      <c r="AR15" s="48" t="s">
        <v>402</v>
      </c>
      <c r="AS15" s="48" t="s">
        <v>402</v>
      </c>
      <c r="AT15" s="48" t="s">
        <v>402</v>
      </c>
      <c r="AU15" s="48" t="s">
        <v>402</v>
      </c>
      <c r="AV15" s="48" t="s">
        <v>402</v>
      </c>
      <c r="AW15" s="48" t="s">
        <v>402</v>
      </c>
      <c r="AX15" s="48" t="s">
        <v>402</v>
      </c>
      <c r="AY15" s="48" t="s">
        <v>402</v>
      </c>
      <c r="AZ15" s="48" t="s">
        <v>402</v>
      </c>
      <c r="BA15" s="48" t="s">
        <v>402</v>
      </c>
      <c r="BB15" s="48" t="s">
        <v>402</v>
      </c>
      <c r="BC15" s="48" t="s">
        <v>402</v>
      </c>
      <c r="BD15" s="48" t="s">
        <v>402</v>
      </c>
      <c r="BE15" s="48" t="s">
        <v>402</v>
      </c>
      <c r="BF15" s="48" t="s">
        <v>402</v>
      </c>
      <c r="BG15" s="48" t="s">
        <v>402</v>
      </c>
      <c r="BH15" s="48" t="s">
        <v>402</v>
      </c>
      <c r="BI15" s="48" t="s">
        <v>402</v>
      </c>
      <c r="BJ15" s="48" t="s">
        <v>402</v>
      </c>
      <c r="BK15" s="48" t="s">
        <v>402</v>
      </c>
      <c r="BL15" s="48" t="s">
        <v>402</v>
      </c>
      <c r="BM15" s="48" t="s">
        <v>402</v>
      </c>
      <c r="BN15" s="48" t="s">
        <v>402</v>
      </c>
      <c r="BO15" s="48" t="s">
        <v>402</v>
      </c>
      <c r="BP15" s="48" t="s">
        <v>402</v>
      </c>
      <c r="BQ15" s="48" t="s">
        <v>402</v>
      </c>
      <c r="BR15" s="48" t="s">
        <v>402</v>
      </c>
      <c r="BS15" s="48" t="s">
        <v>402</v>
      </c>
      <c r="BT15" s="48" t="s">
        <v>402</v>
      </c>
      <c r="BU15" s="48" t="s">
        <v>402</v>
      </c>
      <c r="BV15" s="48" t="s">
        <v>402</v>
      </c>
      <c r="BW15" s="48" t="s">
        <v>402</v>
      </c>
      <c r="BX15" s="48" t="s">
        <v>402</v>
      </c>
      <c r="BY15" s="48" t="s">
        <v>402</v>
      </c>
      <c r="BZ15" s="48" t="s">
        <v>402</v>
      </c>
      <c r="CA15" s="48" t="s">
        <v>402</v>
      </c>
      <c r="CB15" s="48" t="s">
        <v>402</v>
      </c>
      <c r="CC15" s="48" t="s">
        <v>402</v>
      </c>
      <c r="CD15" s="48" t="s">
        <v>402</v>
      </c>
      <c r="CE15" s="48" t="s">
        <v>402</v>
      </c>
      <c r="CF15" s="48" t="s">
        <v>402</v>
      </c>
      <c r="CG15" s="48" t="s">
        <v>402</v>
      </c>
      <c r="CH15" s="48" t="s">
        <v>402</v>
      </c>
      <c r="CI15" s="48" t="s">
        <v>402</v>
      </c>
      <c r="CJ15" s="48" t="s">
        <v>402</v>
      </c>
      <c r="CK15" s="48" t="s">
        <v>402</v>
      </c>
      <c r="CL15" s="48" t="s">
        <v>402</v>
      </c>
      <c r="CM15" s="48" t="s">
        <v>402</v>
      </c>
      <c r="CN15" s="48" t="s">
        <v>402</v>
      </c>
      <c r="CO15" s="48" t="s">
        <v>402</v>
      </c>
      <c r="CP15" s="48" t="s">
        <v>402</v>
      </c>
      <c r="CQ15" s="48" t="s">
        <v>402</v>
      </c>
      <c r="CR15" s="48" t="s">
        <v>402</v>
      </c>
      <c r="CS15" s="48" t="s">
        <v>402</v>
      </c>
      <c r="CT15" s="48" t="s">
        <v>402</v>
      </c>
      <c r="CU15" s="48" t="s">
        <v>402</v>
      </c>
      <c r="CV15" s="48" t="s">
        <v>402</v>
      </c>
      <c r="CW15" s="48" t="s">
        <v>402</v>
      </c>
      <c r="CX15" s="48" t="s">
        <v>402</v>
      </c>
      <c r="CY15" s="52" t="s">
        <v>402</v>
      </c>
    </row>
    <row r="16" spans="1:103" s="39" customFormat="1" ht="15" customHeight="1">
      <c r="A16" s="46" t="s">
        <v>410</v>
      </c>
      <c r="B16" s="47" t="s">
        <v>402</v>
      </c>
      <c r="C16" s="48">
        <v>906</v>
      </c>
      <c r="D16" s="48">
        <v>728</v>
      </c>
      <c r="E16" s="48">
        <v>350.25099999999998</v>
      </c>
      <c r="F16" s="48">
        <v>261.86900000000003</v>
      </c>
      <c r="G16" s="48">
        <v>258.464</v>
      </c>
      <c r="H16" s="48">
        <v>290.30200000000002</v>
      </c>
      <c r="I16" s="48">
        <v>326.822</v>
      </c>
      <c r="J16" s="48">
        <v>340</v>
      </c>
      <c r="K16" s="48">
        <v>340</v>
      </c>
      <c r="L16" s="48">
        <v>340</v>
      </c>
      <c r="M16" s="48">
        <v>340</v>
      </c>
      <c r="N16" s="48">
        <v>340</v>
      </c>
      <c r="O16" s="48">
        <v>340</v>
      </c>
      <c r="P16" s="48">
        <v>340</v>
      </c>
      <c r="Q16" s="48">
        <v>340</v>
      </c>
      <c r="R16" s="48">
        <v>340</v>
      </c>
      <c r="S16" s="48">
        <v>340</v>
      </c>
      <c r="T16" s="48">
        <v>340</v>
      </c>
      <c r="U16" s="48">
        <v>340</v>
      </c>
      <c r="V16" s="48">
        <v>340</v>
      </c>
      <c r="W16" s="48">
        <v>340</v>
      </c>
      <c r="X16" s="48">
        <v>340</v>
      </c>
      <c r="Y16" s="48">
        <v>340</v>
      </c>
      <c r="Z16" s="48">
        <v>340</v>
      </c>
      <c r="AA16" s="48">
        <v>340</v>
      </c>
      <c r="AB16" s="48">
        <v>340</v>
      </c>
      <c r="AC16" s="48">
        <v>340</v>
      </c>
      <c r="AD16" s="48">
        <v>340</v>
      </c>
      <c r="AE16" s="48">
        <v>340</v>
      </c>
      <c r="AF16" s="48">
        <v>340</v>
      </c>
      <c r="AG16" s="48">
        <v>340</v>
      </c>
      <c r="AH16" s="48">
        <v>340</v>
      </c>
      <c r="AI16" s="48">
        <v>340</v>
      </c>
      <c r="AJ16" s="48">
        <v>340</v>
      </c>
      <c r="AK16" s="48">
        <v>340</v>
      </c>
      <c r="AL16" s="48">
        <v>340</v>
      </c>
      <c r="AM16" s="48">
        <v>340</v>
      </c>
      <c r="AN16" s="48">
        <v>340</v>
      </c>
      <c r="AO16" s="48">
        <v>340</v>
      </c>
      <c r="AP16" s="48">
        <v>340</v>
      </c>
      <c r="AQ16" s="48">
        <v>340</v>
      </c>
      <c r="AR16" s="48">
        <v>340</v>
      </c>
      <c r="AS16" s="48">
        <v>340</v>
      </c>
      <c r="AT16" s="48">
        <v>340</v>
      </c>
      <c r="AU16" s="48">
        <v>340</v>
      </c>
      <c r="AV16" s="48">
        <v>340</v>
      </c>
      <c r="AW16" s="48">
        <v>340</v>
      </c>
      <c r="AX16" s="48">
        <v>340</v>
      </c>
      <c r="AY16" s="48">
        <v>340</v>
      </c>
      <c r="AZ16" s="48">
        <v>340</v>
      </c>
      <c r="BA16" s="48">
        <v>340</v>
      </c>
      <c r="BB16" s="48">
        <v>340</v>
      </c>
      <c r="BC16" s="48">
        <v>340</v>
      </c>
      <c r="BD16" s="48">
        <v>340</v>
      </c>
      <c r="BE16" s="48">
        <v>340</v>
      </c>
      <c r="BF16" s="48">
        <v>340</v>
      </c>
      <c r="BG16" s="48">
        <v>340</v>
      </c>
      <c r="BH16" s="48">
        <v>340</v>
      </c>
      <c r="BI16" s="48">
        <v>340</v>
      </c>
      <c r="BJ16" s="48">
        <v>340</v>
      </c>
      <c r="BK16" s="48">
        <v>340</v>
      </c>
      <c r="BL16" s="48">
        <v>340</v>
      </c>
      <c r="BM16" s="48">
        <v>340</v>
      </c>
      <c r="BN16" s="48">
        <v>340</v>
      </c>
      <c r="BO16" s="48">
        <v>340</v>
      </c>
      <c r="BP16" s="48">
        <v>340</v>
      </c>
      <c r="BQ16" s="48">
        <v>340</v>
      </c>
      <c r="BR16" s="48">
        <v>340</v>
      </c>
      <c r="BS16" s="48">
        <v>340</v>
      </c>
      <c r="BT16" s="48">
        <v>340</v>
      </c>
      <c r="BU16" s="48">
        <v>340</v>
      </c>
      <c r="BV16" s="48">
        <v>340</v>
      </c>
      <c r="BW16" s="48">
        <v>340</v>
      </c>
      <c r="BX16" s="48">
        <v>340</v>
      </c>
      <c r="BY16" s="48">
        <v>340</v>
      </c>
      <c r="BZ16" s="48">
        <v>340</v>
      </c>
      <c r="CA16" s="48">
        <v>340</v>
      </c>
      <c r="CB16" s="48">
        <v>340</v>
      </c>
      <c r="CC16" s="48">
        <v>340</v>
      </c>
      <c r="CD16" s="48">
        <v>340</v>
      </c>
      <c r="CE16" s="48">
        <v>340</v>
      </c>
      <c r="CF16" s="48">
        <v>340</v>
      </c>
      <c r="CG16" s="48">
        <v>340</v>
      </c>
      <c r="CH16" s="48">
        <v>340</v>
      </c>
      <c r="CI16" s="48">
        <v>340</v>
      </c>
      <c r="CJ16" s="48">
        <v>340</v>
      </c>
      <c r="CK16" s="48">
        <v>340</v>
      </c>
      <c r="CL16" s="48">
        <v>340</v>
      </c>
      <c r="CM16" s="48">
        <v>340</v>
      </c>
      <c r="CN16" s="48">
        <v>340</v>
      </c>
      <c r="CO16" s="48">
        <v>340</v>
      </c>
      <c r="CP16" s="48">
        <v>340</v>
      </c>
      <c r="CQ16" s="48">
        <v>340</v>
      </c>
      <c r="CR16" s="48">
        <v>340</v>
      </c>
      <c r="CS16" s="48">
        <v>340</v>
      </c>
      <c r="CT16" s="48">
        <v>340</v>
      </c>
      <c r="CU16" s="48">
        <v>340</v>
      </c>
      <c r="CV16" s="48">
        <v>340</v>
      </c>
      <c r="CW16" s="48">
        <v>340</v>
      </c>
      <c r="CX16" s="48">
        <v>340</v>
      </c>
    </row>
    <row r="17" spans="1:103" s="39" customFormat="1" ht="15" customHeight="1">
      <c r="A17" s="51" t="s">
        <v>411</v>
      </c>
      <c r="B17" s="47" t="s">
        <v>402</v>
      </c>
      <c r="C17" s="48" t="s">
        <v>402</v>
      </c>
      <c r="D17" s="48" t="s">
        <v>402</v>
      </c>
      <c r="E17" s="48" t="s">
        <v>402</v>
      </c>
      <c r="F17" s="48" t="s">
        <v>402</v>
      </c>
      <c r="G17" s="48" t="s">
        <v>402</v>
      </c>
      <c r="H17" s="48" t="s">
        <v>402</v>
      </c>
      <c r="I17" s="48" t="s">
        <v>402</v>
      </c>
      <c r="J17" s="48" t="s">
        <v>402</v>
      </c>
      <c r="K17" s="48" t="s">
        <v>402</v>
      </c>
      <c r="L17" s="48" t="s">
        <v>402</v>
      </c>
      <c r="M17" s="48" t="s">
        <v>402</v>
      </c>
      <c r="N17" s="48" t="s">
        <v>402</v>
      </c>
      <c r="O17" s="48" t="s">
        <v>402</v>
      </c>
      <c r="P17" s="48" t="s">
        <v>402</v>
      </c>
      <c r="Q17" s="48" t="s">
        <v>402</v>
      </c>
      <c r="R17" s="48" t="s">
        <v>402</v>
      </c>
      <c r="S17" s="48" t="s">
        <v>402</v>
      </c>
      <c r="T17" s="48" t="s">
        <v>402</v>
      </c>
      <c r="U17" s="48" t="s">
        <v>402</v>
      </c>
      <c r="V17" s="48" t="s">
        <v>402</v>
      </c>
      <c r="W17" s="48" t="s">
        <v>402</v>
      </c>
      <c r="X17" s="48" t="s">
        <v>402</v>
      </c>
      <c r="Y17" s="48" t="s">
        <v>402</v>
      </c>
      <c r="Z17" s="48" t="s">
        <v>402</v>
      </c>
      <c r="AA17" s="48" t="s">
        <v>402</v>
      </c>
      <c r="AB17" s="48" t="s">
        <v>402</v>
      </c>
      <c r="AC17" s="48" t="s">
        <v>402</v>
      </c>
      <c r="AD17" s="48" t="s">
        <v>402</v>
      </c>
      <c r="AE17" s="48" t="s">
        <v>402</v>
      </c>
      <c r="AF17" s="48" t="s">
        <v>402</v>
      </c>
      <c r="AG17" s="48" t="s">
        <v>402</v>
      </c>
      <c r="AH17" s="48" t="s">
        <v>402</v>
      </c>
      <c r="AI17" s="48" t="s">
        <v>402</v>
      </c>
      <c r="AJ17" s="48" t="s">
        <v>402</v>
      </c>
      <c r="AK17" s="48" t="s">
        <v>402</v>
      </c>
      <c r="AL17" s="48" t="s">
        <v>402</v>
      </c>
      <c r="AM17" s="48" t="s">
        <v>402</v>
      </c>
      <c r="AN17" s="48" t="s">
        <v>402</v>
      </c>
      <c r="AO17" s="48" t="s">
        <v>402</v>
      </c>
      <c r="AP17" s="48" t="s">
        <v>402</v>
      </c>
      <c r="AQ17" s="48" t="s">
        <v>402</v>
      </c>
      <c r="AR17" s="48" t="s">
        <v>402</v>
      </c>
      <c r="AS17" s="48" t="s">
        <v>402</v>
      </c>
      <c r="AT17" s="48" t="s">
        <v>402</v>
      </c>
      <c r="AU17" s="48" t="s">
        <v>402</v>
      </c>
      <c r="AV17" s="48" t="s">
        <v>402</v>
      </c>
      <c r="AW17" s="48" t="s">
        <v>402</v>
      </c>
      <c r="AX17" s="48" t="s">
        <v>402</v>
      </c>
      <c r="AY17" s="48" t="s">
        <v>402</v>
      </c>
      <c r="AZ17" s="48" t="s">
        <v>402</v>
      </c>
      <c r="BA17" s="48" t="s">
        <v>402</v>
      </c>
      <c r="BB17" s="48" t="s">
        <v>402</v>
      </c>
      <c r="BC17" s="48" t="s">
        <v>402</v>
      </c>
      <c r="BD17" s="48" t="s">
        <v>402</v>
      </c>
      <c r="BE17" s="48" t="s">
        <v>402</v>
      </c>
      <c r="BF17" s="48" t="s">
        <v>402</v>
      </c>
      <c r="BG17" s="48" t="s">
        <v>402</v>
      </c>
      <c r="BH17" s="48" t="s">
        <v>402</v>
      </c>
      <c r="BI17" s="48" t="s">
        <v>402</v>
      </c>
      <c r="BJ17" s="48" t="s">
        <v>402</v>
      </c>
      <c r="BK17" s="48" t="s">
        <v>402</v>
      </c>
      <c r="BL17" s="48" t="s">
        <v>402</v>
      </c>
      <c r="BM17" s="48" t="s">
        <v>402</v>
      </c>
      <c r="BN17" s="48" t="s">
        <v>402</v>
      </c>
      <c r="BO17" s="48" t="s">
        <v>402</v>
      </c>
      <c r="BP17" s="48" t="s">
        <v>402</v>
      </c>
      <c r="BQ17" s="48" t="s">
        <v>402</v>
      </c>
      <c r="BR17" s="48" t="s">
        <v>402</v>
      </c>
      <c r="BS17" s="48" t="s">
        <v>402</v>
      </c>
      <c r="BT17" s="48" t="s">
        <v>402</v>
      </c>
      <c r="BU17" s="48" t="s">
        <v>402</v>
      </c>
      <c r="BV17" s="48" t="s">
        <v>402</v>
      </c>
      <c r="BW17" s="48" t="s">
        <v>402</v>
      </c>
      <c r="BX17" s="48" t="s">
        <v>402</v>
      </c>
      <c r="BY17" s="48" t="s">
        <v>402</v>
      </c>
      <c r="BZ17" s="48" t="s">
        <v>402</v>
      </c>
      <c r="CA17" s="48" t="s">
        <v>402</v>
      </c>
      <c r="CB17" s="48" t="s">
        <v>402</v>
      </c>
      <c r="CC17" s="48" t="s">
        <v>402</v>
      </c>
      <c r="CD17" s="48" t="s">
        <v>402</v>
      </c>
      <c r="CE17" s="48" t="s">
        <v>402</v>
      </c>
      <c r="CF17" s="48" t="s">
        <v>402</v>
      </c>
      <c r="CG17" s="48" t="s">
        <v>402</v>
      </c>
      <c r="CH17" s="48" t="s">
        <v>402</v>
      </c>
      <c r="CI17" s="48" t="s">
        <v>402</v>
      </c>
      <c r="CJ17" s="48" t="s">
        <v>402</v>
      </c>
      <c r="CK17" s="48" t="s">
        <v>402</v>
      </c>
      <c r="CL17" s="48" t="s">
        <v>402</v>
      </c>
      <c r="CM17" s="48" t="s">
        <v>402</v>
      </c>
      <c r="CN17" s="48" t="s">
        <v>402</v>
      </c>
      <c r="CO17" s="48" t="s">
        <v>402</v>
      </c>
      <c r="CP17" s="48" t="s">
        <v>402</v>
      </c>
      <c r="CQ17" s="48" t="s">
        <v>402</v>
      </c>
      <c r="CR17" s="48" t="s">
        <v>402</v>
      </c>
      <c r="CS17" s="48" t="s">
        <v>402</v>
      </c>
      <c r="CT17" s="48" t="s">
        <v>402</v>
      </c>
      <c r="CU17" s="48" t="s">
        <v>402</v>
      </c>
      <c r="CV17" s="48" t="s">
        <v>402</v>
      </c>
      <c r="CW17" s="48" t="s">
        <v>402</v>
      </c>
      <c r="CX17" s="48" t="s">
        <v>402</v>
      </c>
      <c r="CY17" s="52" t="s">
        <v>402</v>
      </c>
    </row>
    <row r="18" spans="1:103" s="39" customFormat="1" ht="15" customHeight="1">
      <c r="A18" s="46" t="s">
        <v>66</v>
      </c>
      <c r="B18" s="47" t="s">
        <v>402</v>
      </c>
      <c r="C18" s="48">
        <v>906</v>
      </c>
      <c r="D18" s="48">
        <v>728</v>
      </c>
      <c r="E18" s="48">
        <v>350.25099999999998</v>
      </c>
      <c r="F18" s="48">
        <v>261.86900000000003</v>
      </c>
      <c r="G18" s="48">
        <v>258.464</v>
      </c>
      <c r="H18" s="48">
        <v>290.30200000000002</v>
      </c>
      <c r="I18" s="48">
        <v>326.822</v>
      </c>
      <c r="J18" s="48">
        <v>340</v>
      </c>
      <c r="K18" s="48">
        <v>340</v>
      </c>
      <c r="L18" s="48">
        <v>340</v>
      </c>
      <c r="M18" s="48">
        <v>340</v>
      </c>
      <c r="N18" s="48">
        <v>340</v>
      </c>
      <c r="O18" s="48">
        <v>340</v>
      </c>
      <c r="P18" s="48">
        <v>340</v>
      </c>
      <c r="Q18" s="48">
        <v>340</v>
      </c>
      <c r="R18" s="48">
        <v>340</v>
      </c>
      <c r="S18" s="48">
        <v>340</v>
      </c>
      <c r="T18" s="48">
        <v>340</v>
      </c>
      <c r="U18" s="48">
        <v>340</v>
      </c>
      <c r="V18" s="48">
        <v>340</v>
      </c>
      <c r="W18" s="48">
        <v>340</v>
      </c>
      <c r="X18" s="48">
        <v>340</v>
      </c>
      <c r="Y18" s="48">
        <v>340</v>
      </c>
      <c r="Z18" s="48">
        <v>340</v>
      </c>
      <c r="AA18" s="48">
        <v>340</v>
      </c>
      <c r="AB18" s="48">
        <v>340</v>
      </c>
      <c r="AC18" s="48">
        <v>340</v>
      </c>
      <c r="AD18" s="48">
        <v>340</v>
      </c>
      <c r="AE18" s="48">
        <v>340</v>
      </c>
      <c r="AF18" s="48">
        <v>340</v>
      </c>
      <c r="AG18" s="48">
        <v>340</v>
      </c>
      <c r="AH18" s="48">
        <v>340</v>
      </c>
      <c r="AI18" s="48">
        <v>340</v>
      </c>
      <c r="AJ18" s="48">
        <v>340</v>
      </c>
      <c r="AK18" s="48">
        <v>340</v>
      </c>
      <c r="AL18" s="48">
        <v>340</v>
      </c>
      <c r="AM18" s="48">
        <v>340</v>
      </c>
      <c r="AN18" s="48">
        <v>340</v>
      </c>
      <c r="AO18" s="48">
        <v>340</v>
      </c>
      <c r="AP18" s="48">
        <v>340</v>
      </c>
      <c r="AQ18" s="48">
        <v>340</v>
      </c>
      <c r="AR18" s="48">
        <v>340</v>
      </c>
      <c r="AS18" s="48">
        <v>340</v>
      </c>
      <c r="AT18" s="48">
        <v>340</v>
      </c>
      <c r="AU18" s="48">
        <v>340</v>
      </c>
      <c r="AV18" s="48">
        <v>340</v>
      </c>
      <c r="AW18" s="48">
        <v>340</v>
      </c>
      <c r="AX18" s="48">
        <v>340</v>
      </c>
      <c r="AY18" s="48">
        <v>340</v>
      </c>
      <c r="AZ18" s="48">
        <v>340</v>
      </c>
      <c r="BA18" s="48">
        <v>340</v>
      </c>
      <c r="BB18" s="48">
        <v>340</v>
      </c>
      <c r="BC18" s="48">
        <v>340</v>
      </c>
      <c r="BD18" s="48">
        <v>340</v>
      </c>
      <c r="BE18" s="48">
        <v>340</v>
      </c>
      <c r="BF18" s="48">
        <v>340</v>
      </c>
      <c r="BG18" s="48">
        <v>340</v>
      </c>
      <c r="BH18" s="48">
        <v>340</v>
      </c>
      <c r="BI18" s="48">
        <v>340</v>
      </c>
      <c r="BJ18" s="48">
        <v>340</v>
      </c>
      <c r="BK18" s="48">
        <v>340</v>
      </c>
      <c r="BL18" s="48">
        <v>340</v>
      </c>
      <c r="BM18" s="48">
        <v>340</v>
      </c>
      <c r="BN18" s="48">
        <v>340</v>
      </c>
      <c r="BO18" s="48">
        <v>340</v>
      </c>
      <c r="BP18" s="48">
        <v>340</v>
      </c>
      <c r="BQ18" s="48">
        <v>340</v>
      </c>
      <c r="BR18" s="48">
        <v>340</v>
      </c>
      <c r="BS18" s="48">
        <v>340</v>
      </c>
      <c r="BT18" s="48">
        <v>340</v>
      </c>
      <c r="BU18" s="48">
        <v>340</v>
      </c>
      <c r="BV18" s="48">
        <v>340</v>
      </c>
      <c r="BW18" s="48">
        <v>340</v>
      </c>
      <c r="BX18" s="48">
        <v>340</v>
      </c>
      <c r="BY18" s="48">
        <v>340</v>
      </c>
      <c r="BZ18" s="48">
        <v>340</v>
      </c>
      <c r="CA18" s="48">
        <v>340</v>
      </c>
      <c r="CB18" s="48">
        <v>340</v>
      </c>
      <c r="CC18" s="48">
        <v>340</v>
      </c>
      <c r="CD18" s="48">
        <v>340</v>
      </c>
      <c r="CE18" s="48">
        <v>340</v>
      </c>
      <c r="CF18" s="48">
        <v>340</v>
      </c>
      <c r="CG18" s="48">
        <v>340</v>
      </c>
      <c r="CH18" s="48">
        <v>340</v>
      </c>
      <c r="CI18" s="48">
        <v>340</v>
      </c>
      <c r="CJ18" s="48">
        <v>340</v>
      </c>
      <c r="CK18" s="48">
        <v>340</v>
      </c>
      <c r="CL18" s="48">
        <v>340</v>
      </c>
      <c r="CM18" s="48">
        <v>340</v>
      </c>
      <c r="CN18" s="48">
        <v>340</v>
      </c>
      <c r="CO18" s="48">
        <v>340</v>
      </c>
      <c r="CP18" s="48">
        <v>340</v>
      </c>
      <c r="CQ18" s="48">
        <v>340</v>
      </c>
      <c r="CR18" s="48">
        <v>340</v>
      </c>
      <c r="CS18" s="48">
        <v>340</v>
      </c>
      <c r="CT18" s="48">
        <v>340</v>
      </c>
      <c r="CU18" s="48">
        <v>340</v>
      </c>
      <c r="CV18" s="48">
        <v>340</v>
      </c>
      <c r="CW18" s="48">
        <v>340</v>
      </c>
      <c r="CX18" s="48">
        <v>340</v>
      </c>
    </row>
    <row r="19" spans="1:103" s="39" customFormat="1" ht="15" customHeight="1">
      <c r="A19" s="51" t="s">
        <v>412</v>
      </c>
      <c r="B19" s="47" t="s">
        <v>402</v>
      </c>
      <c r="C19" s="48">
        <v>889.73699999999997</v>
      </c>
      <c r="D19" s="48">
        <v>733.74400000000003</v>
      </c>
      <c r="E19" s="48">
        <v>358.27300000000002</v>
      </c>
      <c r="F19" s="48">
        <v>265.935</v>
      </c>
      <c r="G19" s="48">
        <v>256.13200000000001</v>
      </c>
      <c r="H19" s="48">
        <v>280.596</v>
      </c>
      <c r="I19" s="48">
        <v>309.48099999999999</v>
      </c>
      <c r="J19" s="48">
        <v>314.97000000000003</v>
      </c>
      <c r="K19" s="48">
        <v>307.07499999999999</v>
      </c>
      <c r="L19" s="48">
        <v>299.06400000000002</v>
      </c>
      <c r="M19" s="48">
        <v>291.50599999999997</v>
      </c>
      <c r="N19" s="48">
        <v>284.59199999999998</v>
      </c>
      <c r="O19" s="48">
        <v>278.15699999999998</v>
      </c>
      <c r="P19" s="48">
        <v>272.26799999999997</v>
      </c>
      <c r="Q19" s="48">
        <v>267.04700000000003</v>
      </c>
      <c r="R19" s="48">
        <v>262.55700000000002</v>
      </c>
      <c r="S19" s="48">
        <v>258.589</v>
      </c>
      <c r="T19" s="48">
        <v>255.01400000000001</v>
      </c>
      <c r="U19" s="48">
        <v>251.648</v>
      </c>
      <c r="V19" s="48">
        <v>248.41499999999999</v>
      </c>
      <c r="W19" s="48">
        <v>244.917</v>
      </c>
      <c r="X19" s="48">
        <v>240.85400000000001</v>
      </c>
      <c r="Y19" s="48">
        <v>236.33600000000001</v>
      </c>
      <c r="Z19" s="48">
        <v>231.423</v>
      </c>
      <c r="AA19" s="48">
        <v>225.99299999999999</v>
      </c>
      <c r="AB19" s="48">
        <v>219.06299999999999</v>
      </c>
      <c r="AC19" s="48">
        <v>210.459</v>
      </c>
      <c r="AD19" s="48">
        <v>201.15899999999999</v>
      </c>
      <c r="AE19" s="48">
        <v>191.39</v>
      </c>
      <c r="AF19" s="48">
        <v>181.47499999999999</v>
      </c>
      <c r="AG19" s="48">
        <v>171.506</v>
      </c>
      <c r="AH19" s="48">
        <v>161.703</v>
      </c>
      <c r="AI19" s="48">
        <v>152.59899999999999</v>
      </c>
      <c r="AJ19" s="48">
        <v>144.58199999999999</v>
      </c>
      <c r="AK19" s="48">
        <v>137.745</v>
      </c>
      <c r="AL19" s="48">
        <v>131.99</v>
      </c>
      <c r="AM19" s="48">
        <v>127.364</v>
      </c>
      <c r="AN19" s="48">
        <v>123.907</v>
      </c>
      <c r="AO19" s="48">
        <v>121.568</v>
      </c>
      <c r="AP19" s="48">
        <v>120.244</v>
      </c>
      <c r="AQ19" s="48">
        <v>119.541</v>
      </c>
      <c r="AR19" s="48">
        <v>119.331</v>
      </c>
      <c r="AS19" s="48">
        <v>119.602</v>
      </c>
      <c r="AT19" s="48">
        <v>120.155</v>
      </c>
      <c r="AU19" s="48">
        <v>120.639</v>
      </c>
      <c r="AV19" s="48">
        <v>120.901</v>
      </c>
      <c r="AW19" s="48">
        <v>120.69799999999999</v>
      </c>
      <c r="AX19" s="48">
        <v>119.855</v>
      </c>
      <c r="AY19" s="48">
        <v>118.22199999999999</v>
      </c>
      <c r="AZ19" s="48">
        <v>115.679</v>
      </c>
      <c r="BA19" s="48">
        <v>112.227</v>
      </c>
      <c r="BB19" s="48">
        <v>107.877</v>
      </c>
      <c r="BC19" s="48">
        <v>102.765</v>
      </c>
      <c r="BD19" s="48">
        <v>96.960000000000008</v>
      </c>
      <c r="BE19" s="48">
        <v>90.652999999999992</v>
      </c>
      <c r="BF19" s="48">
        <v>84.002999999999986</v>
      </c>
      <c r="BG19" s="48">
        <v>77.154999999999973</v>
      </c>
      <c r="BH19" s="48">
        <v>70.204999999999984</v>
      </c>
      <c r="BI19" s="48">
        <v>63.288000000000011</v>
      </c>
      <c r="BJ19" s="48">
        <v>56.511000000000017</v>
      </c>
      <c r="BK19" s="48">
        <v>49.923999999999978</v>
      </c>
      <c r="BL19" s="48">
        <v>43.61099999999999</v>
      </c>
      <c r="BM19" s="48">
        <v>37.656000000000013</v>
      </c>
      <c r="BN19" s="48">
        <v>32.12700000000001</v>
      </c>
      <c r="BO19" s="48">
        <v>27.06</v>
      </c>
      <c r="BP19" s="48">
        <v>22.468999999999991</v>
      </c>
      <c r="BQ19" s="48">
        <v>18.34699999999998</v>
      </c>
      <c r="BR19" s="48">
        <v>14.67099999999999</v>
      </c>
      <c r="BS19" s="48">
        <v>11.399999999999981</v>
      </c>
      <c r="BT19" s="48">
        <v>8.5679999999999836</v>
      </c>
      <c r="BU19" s="48">
        <v>6.0720000000000027</v>
      </c>
      <c r="BV19" s="48">
        <v>3.8779999999999859</v>
      </c>
      <c r="BW19" s="48">
        <v>1.9189999999999829</v>
      </c>
      <c r="BX19" s="48">
        <v>0.14699999999999139</v>
      </c>
      <c r="BY19" s="48">
        <v>-1.452999999999975</v>
      </c>
      <c r="BZ19" s="48">
        <v>-2.9270000000000209</v>
      </c>
      <c r="CA19" s="48">
        <v>-4.2980000000000018</v>
      </c>
      <c r="CB19" s="48">
        <v>-5.6170000000000186</v>
      </c>
      <c r="CC19" s="48">
        <v>-6.8129999999999882</v>
      </c>
      <c r="CD19" s="48">
        <v>-7.8759999999999764</v>
      </c>
      <c r="CE19" s="48">
        <v>-8.7669999999999959</v>
      </c>
      <c r="CF19" s="48">
        <v>-9.396000000000015</v>
      </c>
      <c r="CG19" s="48">
        <v>-9.6379999999999768</v>
      </c>
      <c r="CH19" s="48">
        <v>-9.4499999999999886</v>
      </c>
      <c r="CI19" s="48">
        <v>-8.7769999999999868</v>
      </c>
      <c r="CJ19" s="48">
        <v>-7.5919999999999854</v>
      </c>
      <c r="CK19" s="48">
        <v>-5.8709999999999809</v>
      </c>
      <c r="CL19" s="48">
        <v>-3.629999999999995</v>
      </c>
      <c r="CM19" s="48">
        <v>-0.97399999999998954</v>
      </c>
      <c r="CN19" s="48">
        <v>2.0310000000000059</v>
      </c>
      <c r="CO19" s="48">
        <v>5.2989999999999782</v>
      </c>
      <c r="CP19" s="48">
        <v>8.714999999999975</v>
      </c>
      <c r="CQ19" s="48">
        <v>12.16000000000003</v>
      </c>
      <c r="CR19" s="48">
        <v>15.51600000000002</v>
      </c>
      <c r="CS19" s="48">
        <v>18.68200000000002</v>
      </c>
      <c r="CT19" s="48">
        <v>21.56999999999999</v>
      </c>
      <c r="CU19" s="48">
        <v>24.12</v>
      </c>
      <c r="CV19" s="48">
        <v>26.285000000000029</v>
      </c>
      <c r="CW19" s="48">
        <v>27.982000000000031</v>
      </c>
      <c r="CX19" s="48">
        <v>29.23700000000002</v>
      </c>
    </row>
    <row r="20" spans="1:103" s="39" customFormat="1" ht="15" customHeight="1">
      <c r="A20" s="46" t="s">
        <v>413</v>
      </c>
      <c r="B20" s="47" t="s">
        <v>402</v>
      </c>
      <c r="C20" s="48">
        <v>68492.494999999995</v>
      </c>
      <c r="D20" s="48">
        <v>69226.231</v>
      </c>
      <c r="E20" s="48">
        <v>69584.497000000003</v>
      </c>
      <c r="F20" s="48">
        <v>69850.426000000007</v>
      </c>
      <c r="G20" s="48">
        <v>70106.548999999999</v>
      </c>
      <c r="H20" s="48">
        <v>70387.142000000007</v>
      </c>
      <c r="I20" s="48">
        <v>70696.611000000004</v>
      </c>
      <c r="J20" s="48">
        <v>71011.585000000006</v>
      </c>
      <c r="K20" s="48">
        <v>71318.66</v>
      </c>
      <c r="L20" s="48">
        <v>71617.736999999994</v>
      </c>
      <c r="M20" s="48">
        <v>71909.247000000003</v>
      </c>
      <c r="N20" s="48">
        <v>72193.850999999995</v>
      </c>
      <c r="O20" s="48">
        <v>72472.001000000004</v>
      </c>
      <c r="P20" s="48">
        <v>72744.274000000005</v>
      </c>
      <c r="Q20" s="48">
        <v>73011.327000000005</v>
      </c>
      <c r="R20" s="48">
        <v>73273.896999999997</v>
      </c>
      <c r="S20" s="48">
        <v>73532.486999999994</v>
      </c>
      <c r="T20" s="48">
        <v>73787.498000000007</v>
      </c>
      <c r="U20" s="48">
        <v>74039.146999999997</v>
      </c>
      <c r="V20" s="48">
        <v>74287.558000000005</v>
      </c>
      <c r="W20" s="48">
        <v>74532.479999999996</v>
      </c>
      <c r="X20" s="48">
        <v>74773.337</v>
      </c>
      <c r="Y20" s="48">
        <v>75009.672999999995</v>
      </c>
      <c r="Z20" s="48">
        <v>75241.096999999994</v>
      </c>
      <c r="AA20" s="48">
        <v>75467.100000000006</v>
      </c>
      <c r="AB20" s="48">
        <v>75686.179000000004</v>
      </c>
      <c r="AC20" s="48">
        <v>75896.638000000006</v>
      </c>
      <c r="AD20" s="48">
        <v>76097.808999999994</v>
      </c>
      <c r="AE20" s="48">
        <v>76289.212</v>
      </c>
      <c r="AF20" s="48">
        <v>76470.676999999996</v>
      </c>
      <c r="AG20" s="48">
        <v>76642.198000000004</v>
      </c>
      <c r="AH20" s="48">
        <v>76803.913</v>
      </c>
      <c r="AI20" s="48">
        <v>76956.519</v>
      </c>
      <c r="AJ20" s="48">
        <v>77101.106</v>
      </c>
      <c r="AK20" s="48">
        <v>77238.857000000004</v>
      </c>
      <c r="AL20" s="48">
        <v>77370.850999999995</v>
      </c>
      <c r="AM20" s="48">
        <v>77498.203999999998</v>
      </c>
      <c r="AN20" s="48">
        <v>77622.122000000003</v>
      </c>
      <c r="AO20" s="48">
        <v>77743.703999999998</v>
      </c>
      <c r="AP20" s="48">
        <v>77863.948999999993</v>
      </c>
      <c r="AQ20" s="48">
        <v>77983.501999999993</v>
      </c>
      <c r="AR20" s="48">
        <v>78102.845000000001</v>
      </c>
      <c r="AS20" s="48">
        <v>78222.456000000006</v>
      </c>
      <c r="AT20" s="48">
        <v>78342.623000000007</v>
      </c>
      <c r="AU20" s="48">
        <v>78463.256999999998</v>
      </c>
      <c r="AV20" s="48">
        <v>78584.182000000001</v>
      </c>
      <c r="AW20" s="48">
        <v>78704.879000000001</v>
      </c>
      <c r="AX20" s="48">
        <v>78824.737999999998</v>
      </c>
      <c r="AY20" s="48">
        <v>78942.971000000005</v>
      </c>
      <c r="AZ20" s="48">
        <v>79058.665999999997</v>
      </c>
      <c r="BA20" s="48">
        <v>79170.899000000005</v>
      </c>
      <c r="BB20" s="48">
        <v>79278.778000000006</v>
      </c>
      <c r="BC20" s="48">
        <v>79381.562000000005</v>
      </c>
      <c r="BD20" s="48">
        <v>79478.528999999995</v>
      </c>
      <c r="BE20" s="48">
        <v>79569.187999999995</v>
      </c>
      <c r="BF20" s="48">
        <v>79653.2</v>
      </c>
      <c r="BG20" s="48">
        <v>79730.365000000005</v>
      </c>
      <c r="BH20" s="48">
        <v>79800.581999999995</v>
      </c>
      <c r="BI20" s="48">
        <v>79863.884999999995</v>
      </c>
      <c r="BJ20" s="48">
        <v>79920.417000000001</v>
      </c>
      <c r="BK20" s="48">
        <v>79970.331999999995</v>
      </c>
      <c r="BL20" s="48">
        <v>80013.941000000006</v>
      </c>
      <c r="BM20" s="48">
        <v>80051.607000000004</v>
      </c>
      <c r="BN20" s="48">
        <v>80083.735000000001</v>
      </c>
      <c r="BO20" s="48">
        <v>80110.804000000004</v>
      </c>
      <c r="BP20" s="48">
        <v>80133.301999999996</v>
      </c>
      <c r="BQ20" s="48">
        <v>80151.657999999996</v>
      </c>
      <c r="BR20" s="48">
        <v>80166.324999999997</v>
      </c>
      <c r="BS20" s="48">
        <v>80177.728000000003</v>
      </c>
      <c r="BT20" s="48">
        <v>80186.307000000001</v>
      </c>
      <c r="BU20" s="48">
        <v>80192.392000000007</v>
      </c>
      <c r="BV20" s="48">
        <v>80196.274000000005</v>
      </c>
      <c r="BW20" s="48">
        <v>80198.191999999995</v>
      </c>
      <c r="BX20" s="48">
        <v>80198.338000000003</v>
      </c>
      <c r="BY20" s="48">
        <v>80196.877999999997</v>
      </c>
      <c r="BZ20" s="48">
        <v>80193.956999999995</v>
      </c>
      <c r="CA20" s="48">
        <v>80189.673999999999</v>
      </c>
      <c r="CB20" s="48">
        <v>80184.073000000004</v>
      </c>
      <c r="CC20" s="48">
        <v>80177.255000000005</v>
      </c>
      <c r="CD20" s="48">
        <v>80169.381999999998</v>
      </c>
      <c r="CE20" s="48">
        <v>80160.626000000004</v>
      </c>
      <c r="CF20" s="48">
        <v>80151.23</v>
      </c>
      <c r="CG20" s="48">
        <v>80141.584000000003</v>
      </c>
      <c r="CH20" s="48">
        <v>80132.145000000004</v>
      </c>
      <c r="CI20" s="48">
        <v>80123.373999999996</v>
      </c>
      <c r="CJ20" s="48">
        <v>80115.792000000001</v>
      </c>
      <c r="CK20" s="48">
        <v>80109.933000000005</v>
      </c>
      <c r="CL20" s="48">
        <v>80106.304999999993</v>
      </c>
      <c r="CM20" s="48">
        <v>80105.319000000003</v>
      </c>
      <c r="CN20" s="48">
        <v>80107.360000000001</v>
      </c>
      <c r="CO20" s="48">
        <v>80112.668000000005</v>
      </c>
      <c r="CP20" s="48">
        <v>80121.38</v>
      </c>
      <c r="CQ20" s="48">
        <v>80133.539999999994</v>
      </c>
      <c r="CR20" s="48">
        <v>80149.062999999995</v>
      </c>
      <c r="CS20" s="48">
        <v>80167.744000000006</v>
      </c>
      <c r="CT20" s="48">
        <v>80189.311000000002</v>
      </c>
      <c r="CU20" s="48">
        <v>80213.442999999999</v>
      </c>
      <c r="CV20" s="48">
        <v>80239.733999999997</v>
      </c>
      <c r="CW20" s="48">
        <v>80267.724000000002</v>
      </c>
      <c r="CX20" s="48">
        <v>80296.955000000002</v>
      </c>
    </row>
    <row r="21" spans="1:103" s="39" customFormat="1" ht="15" customHeight="1">
      <c r="A21" s="51" t="s">
        <v>414</v>
      </c>
      <c r="B21" s="47" t="s">
        <v>402</v>
      </c>
      <c r="C21" s="53">
        <v>1.3161208016341181E-2</v>
      </c>
      <c r="D21" s="53">
        <v>1.071264815218083E-2</v>
      </c>
      <c r="E21" s="53">
        <v>5.1752925852629949E-3</v>
      </c>
      <c r="F21" s="53">
        <v>3.8216702205953099E-3</v>
      </c>
      <c r="G21" s="53">
        <v>3.666734974529609E-3</v>
      </c>
      <c r="H21" s="53">
        <v>4.002379292696436E-3</v>
      </c>
      <c r="I21" s="53">
        <v>4.3966694939822576E-3</v>
      </c>
      <c r="J21" s="53">
        <v>4.4552913576013133E-3</v>
      </c>
      <c r="K21" s="53">
        <v>4.3242944091446073E-3</v>
      </c>
      <c r="L21" s="53">
        <v>4.1935308375113918E-3</v>
      </c>
      <c r="M21" s="53">
        <v>4.0703603913093394E-3</v>
      </c>
      <c r="N21" s="53">
        <v>3.957822003058829E-3</v>
      </c>
      <c r="O21" s="53">
        <v>3.8528212049528808E-3</v>
      </c>
      <c r="P21" s="53">
        <v>3.756940559706652E-3</v>
      </c>
      <c r="Q21" s="53">
        <v>3.6711205613241789E-3</v>
      </c>
      <c r="R21" s="53">
        <v>3.596291298745911E-3</v>
      </c>
      <c r="S21" s="53">
        <v>3.529087582171268E-3</v>
      </c>
      <c r="T21" s="53">
        <v>3.468004556951993E-3</v>
      </c>
      <c r="U21" s="53">
        <v>3.4104557929310782E-3</v>
      </c>
      <c r="V21" s="53">
        <v>3.355130496033502E-3</v>
      </c>
      <c r="W21" s="53">
        <v>3.2969450954356502E-3</v>
      </c>
      <c r="X21" s="53">
        <v>3.2315709875748622E-3</v>
      </c>
      <c r="Y21" s="53">
        <v>3.1606988464350019E-3</v>
      </c>
      <c r="Z21" s="53">
        <v>3.0852554176579211E-3</v>
      </c>
      <c r="AA21" s="53">
        <v>3.0037175029493731E-3</v>
      </c>
      <c r="AB21" s="53">
        <v>2.9029736136673848E-3</v>
      </c>
      <c r="AC21" s="53">
        <v>2.7806794157226849E-3</v>
      </c>
      <c r="AD21" s="53">
        <v>2.6505917165920781E-3</v>
      </c>
      <c r="AE21" s="53">
        <v>2.5152235329141438E-3</v>
      </c>
      <c r="AF21" s="53">
        <v>2.3786456203007639E-3</v>
      </c>
      <c r="AG21" s="53">
        <v>2.2429643195130589E-3</v>
      </c>
      <c r="AH21" s="53">
        <v>2.1099995070600211E-3</v>
      </c>
      <c r="AI21" s="53">
        <v>1.986956055220777E-3</v>
      </c>
      <c r="AJ21" s="53">
        <v>1.8788141911668271E-3</v>
      </c>
      <c r="AK21" s="53">
        <v>1.786628067306892E-3</v>
      </c>
      <c r="AL21" s="53">
        <v>1.708906697052644E-3</v>
      </c>
      <c r="AM21" s="53">
        <v>1.6460074867213599E-3</v>
      </c>
      <c r="AN21" s="53">
        <v>1.598978990532544E-3</v>
      </c>
      <c r="AO21" s="53">
        <v>1.5663318248371879E-3</v>
      </c>
      <c r="AP21" s="53">
        <v>1.5466847321809541E-3</v>
      </c>
      <c r="AQ21" s="53">
        <v>1.5354088963558719E-3</v>
      </c>
      <c r="AR21" s="53">
        <v>1.5303621527539E-3</v>
      </c>
      <c r="AS21" s="53">
        <v>1.531455096162047E-3</v>
      </c>
      <c r="AT21" s="53">
        <v>1.5362212610660201E-3</v>
      </c>
      <c r="AU21" s="53">
        <v>1.539825900391297E-3</v>
      </c>
      <c r="AV21" s="53">
        <v>1.541167224297137E-3</v>
      </c>
      <c r="AW21" s="53">
        <v>1.5358943355801571E-3</v>
      </c>
      <c r="AX21" s="53">
        <v>1.522891611331957E-3</v>
      </c>
      <c r="AY21" s="53">
        <v>1.4999478970676369E-3</v>
      </c>
      <c r="AZ21" s="53">
        <v>1.465551632202852E-3</v>
      </c>
      <c r="BA21" s="53">
        <v>1.41961666795652E-3</v>
      </c>
      <c r="BB21" s="53">
        <v>1.36260925873787E-3</v>
      </c>
      <c r="BC21" s="53">
        <v>1.2964881976359379E-3</v>
      </c>
      <c r="BD21" s="53">
        <v>1.2215305110774919E-3</v>
      </c>
      <c r="BE21" s="53">
        <v>1.140672847631587E-3</v>
      </c>
      <c r="BF21" s="53">
        <v>1.055835834343345E-3</v>
      </c>
      <c r="BG21" s="53">
        <v>9.6876208363264938E-4</v>
      </c>
      <c r="BH21" s="53">
        <v>8.8068077952470976E-4</v>
      </c>
      <c r="BI21" s="53">
        <v>7.9326489122597986E-4</v>
      </c>
      <c r="BJ21" s="53">
        <v>7.0785436996968689E-4</v>
      </c>
      <c r="BK21" s="53">
        <v>6.2455880329044826E-4</v>
      </c>
      <c r="BL21" s="53">
        <v>5.4531472996774974E-4</v>
      </c>
      <c r="BM21" s="53">
        <v>4.7074296715365432E-4</v>
      </c>
      <c r="BN21" s="53">
        <v>4.013410998731977E-4</v>
      </c>
      <c r="BO21" s="53">
        <v>3.3800871050785963E-4</v>
      </c>
      <c r="BP21" s="53">
        <v>2.808360280592405E-4</v>
      </c>
      <c r="BQ21" s="53">
        <v>2.2906830920307969E-4</v>
      </c>
      <c r="BR21" s="53">
        <v>1.82990600144557E-4</v>
      </c>
      <c r="BS21" s="53">
        <v>1.4224177046915531E-4</v>
      </c>
      <c r="BT21" s="53">
        <v>1.0699978926813569E-4</v>
      </c>
      <c r="BU21" s="53">
        <v>7.5885774363026876E-5</v>
      </c>
      <c r="BV21" s="53">
        <v>4.8408582200638043E-5</v>
      </c>
      <c r="BW21" s="53">
        <v>2.391632309489304E-5</v>
      </c>
      <c r="BX21" s="53">
        <v>1.82048991837517E-6</v>
      </c>
      <c r="BY21" s="53">
        <v>-1.8204866041069361E-5</v>
      </c>
      <c r="BZ21" s="53">
        <v>-3.6422864241698983E-5</v>
      </c>
      <c r="CA21" s="53">
        <v>-5.3408014272145343E-5</v>
      </c>
      <c r="CB21" s="53">
        <v>-6.9846898242722751E-5</v>
      </c>
      <c r="CC21" s="53">
        <v>-8.5029354894447694E-5</v>
      </c>
      <c r="CD21" s="53">
        <v>-9.8194930719527234E-5</v>
      </c>
      <c r="CE21" s="53">
        <v>-1.0921875386283941E-4</v>
      </c>
      <c r="CF21" s="53">
        <v>-1.172146534884585E-4</v>
      </c>
      <c r="CG21" s="53">
        <v>-1.2034749809819969E-4</v>
      </c>
      <c r="CH21" s="53">
        <v>-1.177790546290985E-4</v>
      </c>
      <c r="CI21" s="53">
        <v>-1.09456698058038E-4</v>
      </c>
      <c r="CJ21" s="53">
        <v>-9.462906542097039E-5</v>
      </c>
      <c r="CK21" s="53">
        <v>-7.3131649250833598E-5</v>
      </c>
      <c r="CL21" s="53">
        <v>-4.5287767248682192E-5</v>
      </c>
      <c r="CM21" s="53">
        <v>-1.2308644119709081E-5</v>
      </c>
      <c r="CN21" s="53">
        <v>2.547895727120741E-5</v>
      </c>
      <c r="CO21" s="53">
        <v>6.626107763387209E-5</v>
      </c>
      <c r="CP21" s="53">
        <v>1.087468463788965E-4</v>
      </c>
      <c r="CQ21" s="53">
        <v>1.517697273809929E-4</v>
      </c>
      <c r="CR21" s="53">
        <v>1.937141426673656E-4</v>
      </c>
      <c r="CS21" s="53">
        <v>2.3307820828811701E-4</v>
      </c>
      <c r="CT21" s="53">
        <v>2.6902341171026908E-4</v>
      </c>
      <c r="CU21" s="53">
        <v>3.0093786439938089E-4</v>
      </c>
      <c r="CV21" s="53">
        <v>3.2776301598221432E-4</v>
      </c>
      <c r="CW21" s="53">
        <v>3.4882967084618252E-4</v>
      </c>
      <c r="CX21" s="53">
        <v>3.6416879093270122E-4</v>
      </c>
    </row>
    <row r="22" spans="1:103" s="39" customFormat="1" ht="15" customHeight="1">
      <c r="A22" s="46" t="s">
        <v>415</v>
      </c>
      <c r="B22" s="47" t="s">
        <v>402</v>
      </c>
      <c r="C22" s="54">
        <v>1.4474239373754281</v>
      </c>
      <c r="D22" s="54">
        <v>1.4281623940472381</v>
      </c>
      <c r="E22" s="54">
        <v>1.423394261752045</v>
      </c>
      <c r="F22" s="54">
        <v>1.4189017531346679</v>
      </c>
      <c r="G22" s="54">
        <v>1.414670608448608</v>
      </c>
      <c r="H22" s="54">
        <v>1.412172380550289</v>
      </c>
      <c r="I22" s="54">
        <v>1.411410863285927</v>
      </c>
      <c r="J22" s="54">
        <v>1.4108119728587689</v>
      </c>
      <c r="K22" s="54">
        <v>1.4103807669020909</v>
      </c>
      <c r="L22" s="54">
        <v>1.410092100886464</v>
      </c>
      <c r="M22" s="54">
        <v>1.4106901483736021</v>
      </c>
      <c r="N22" s="54">
        <v>1.4121455473830971</v>
      </c>
      <c r="O22" s="54">
        <v>1.4137852131461941</v>
      </c>
      <c r="P22" s="54">
        <v>1.4156584656791349</v>
      </c>
      <c r="Q22" s="54">
        <v>1.4177555482626809</v>
      </c>
      <c r="R22" s="54">
        <v>1.4202057304859119</v>
      </c>
      <c r="S22" s="54">
        <v>1.423067255765498</v>
      </c>
      <c r="T22" s="54">
        <v>1.4260786121666951</v>
      </c>
      <c r="U22" s="54">
        <v>1.429216475941224</v>
      </c>
      <c r="V22" s="54">
        <v>1.4324804631718719</v>
      </c>
      <c r="W22" s="54">
        <v>1.4352777067736719</v>
      </c>
      <c r="X22" s="54">
        <v>1.437621297359269</v>
      </c>
      <c r="Y22" s="54">
        <v>1.4400968584174481</v>
      </c>
      <c r="Z22" s="54">
        <v>1.4427530044534269</v>
      </c>
      <c r="AA22" s="54">
        <v>1.4455539740234999</v>
      </c>
      <c r="AB22" s="54">
        <v>1.4469886674273089</v>
      </c>
      <c r="AC22" s="54">
        <v>1.4469658345861161</v>
      </c>
      <c r="AD22" s="54">
        <v>1.4469622296745119</v>
      </c>
      <c r="AE22" s="54">
        <v>1.4469507980310969</v>
      </c>
      <c r="AF22" s="54">
        <v>1.446952474202359</v>
      </c>
      <c r="AG22" s="54">
        <v>1.4469228304403441</v>
      </c>
      <c r="AH22" s="54">
        <v>1.4469198847145039</v>
      </c>
      <c r="AI22" s="54">
        <v>1.446903802890384</v>
      </c>
      <c r="AJ22" s="54">
        <v>1.446887938202559</v>
      </c>
      <c r="AK22" s="54">
        <v>1.4468819894743929</v>
      </c>
      <c r="AL22" s="54">
        <v>1.4468718403371461</v>
      </c>
      <c r="AM22" s="54">
        <v>1.446882857303226</v>
      </c>
      <c r="AN22" s="54">
        <v>1.446840050956917</v>
      </c>
      <c r="AO22" s="54">
        <v>1.446834630269801</v>
      </c>
      <c r="AP22" s="54">
        <v>1.4468367878745541</v>
      </c>
      <c r="AQ22" s="54">
        <v>1.4468280995956899</v>
      </c>
      <c r="AR22" s="54">
        <v>1.4468182455267671</v>
      </c>
      <c r="AS22" s="54">
        <v>1.446811668017032</v>
      </c>
      <c r="AT22" s="54">
        <v>1.4468042282127651</v>
      </c>
      <c r="AU22" s="54">
        <v>1.446819600667798</v>
      </c>
      <c r="AV22" s="54">
        <v>1.446807345801028</v>
      </c>
      <c r="AW22" s="54">
        <v>1.4468098721819129</v>
      </c>
      <c r="AX22" s="54">
        <v>1.446842495213315</v>
      </c>
      <c r="AY22" s="54">
        <v>1.4468538672547571</v>
      </c>
      <c r="AZ22" s="54">
        <v>1.446867138788632</v>
      </c>
      <c r="BA22" s="54">
        <v>1.446872518044829</v>
      </c>
      <c r="BB22" s="54">
        <v>1.4468929322564199</v>
      </c>
      <c r="BC22" s="54">
        <v>1.446911817312041</v>
      </c>
      <c r="BD22" s="54">
        <v>1.44692262689663</v>
      </c>
      <c r="BE22" s="54">
        <v>1.4469422065940669</v>
      </c>
      <c r="BF22" s="54">
        <v>1.4469467454380149</v>
      </c>
      <c r="BG22" s="54">
        <v>1.4469766707314049</v>
      </c>
      <c r="BH22" s="54">
        <v>1.4469674582329499</v>
      </c>
      <c r="BI22" s="54">
        <v>1.446974388673125</v>
      </c>
      <c r="BJ22" s="54">
        <v>1.446973592670741</v>
      </c>
      <c r="BK22" s="54">
        <v>1.446991188524648</v>
      </c>
      <c r="BL22" s="54">
        <v>1.44697727603432</v>
      </c>
      <c r="BM22" s="54">
        <v>1.4469803115576829</v>
      </c>
      <c r="BN22" s="54">
        <v>1.4469774760916709</v>
      </c>
      <c r="BO22" s="54">
        <v>1.4469749040222291</v>
      </c>
      <c r="BP22" s="54">
        <v>1.4469627775600491</v>
      </c>
      <c r="BQ22" s="54">
        <v>1.44695669674623</v>
      </c>
      <c r="BR22" s="54">
        <v>1.4469776451905401</v>
      </c>
      <c r="BS22" s="54">
        <v>1.4469565291654931</v>
      </c>
      <c r="BT22" s="54">
        <v>1.446964863610255</v>
      </c>
      <c r="BU22" s="54">
        <v>1.4469579467496241</v>
      </c>
      <c r="BV22" s="54">
        <v>1.4469440758633061</v>
      </c>
      <c r="BW22" s="54">
        <v>1.4469585099454321</v>
      </c>
      <c r="BX22" s="54">
        <v>1.4469526279201359</v>
      </c>
      <c r="BY22" s="54">
        <v>1.446953991640062</v>
      </c>
      <c r="BZ22" s="54">
        <v>1.4469518968854751</v>
      </c>
      <c r="CA22" s="54">
        <v>1.446935738205209</v>
      </c>
      <c r="CB22" s="54">
        <v>1.446924019603175</v>
      </c>
      <c r="CC22" s="54">
        <v>1.446942840467069</v>
      </c>
      <c r="CD22" s="54">
        <v>1.446945889983051</v>
      </c>
      <c r="CE22" s="54">
        <v>1.446934156052992</v>
      </c>
      <c r="CF22" s="54">
        <v>1.446950112426167</v>
      </c>
      <c r="CG22" s="54">
        <v>1.446958321407279</v>
      </c>
      <c r="CH22" s="54">
        <v>1.4469501771831059</v>
      </c>
      <c r="CI22" s="54">
        <v>1.4469567694241281</v>
      </c>
      <c r="CJ22" s="54">
        <v>1.446957376384943</v>
      </c>
      <c r="CK22" s="54">
        <v>1.4469621882203141</v>
      </c>
      <c r="CL22" s="54">
        <v>1.446983048540462</v>
      </c>
      <c r="CM22" s="54">
        <v>1.4469948911921919</v>
      </c>
      <c r="CN22" s="54">
        <v>1.446989995797836</v>
      </c>
      <c r="CO22" s="54">
        <v>1.4469790410761629</v>
      </c>
      <c r="CP22" s="54">
        <v>1.4470090897358601</v>
      </c>
      <c r="CQ22" s="54">
        <v>1.446995974478227</v>
      </c>
      <c r="CR22" s="54">
        <v>1.446978543800759</v>
      </c>
      <c r="CS22" s="54">
        <v>1.44698443766614</v>
      </c>
      <c r="CT22" s="54">
        <v>1.446995669605307</v>
      </c>
      <c r="CU22" s="54">
        <v>1.4469829364010141</v>
      </c>
      <c r="CV22" s="54">
        <v>1.447005003746711</v>
      </c>
      <c r="CW22" s="54">
        <v>1.446996606233278</v>
      </c>
      <c r="CX22" s="54">
        <v>1.4469933756376141</v>
      </c>
    </row>
    <row r="23" spans="1:103" s="39" customFormat="1" ht="15" customHeight="1">
      <c r="A23" s="51" t="s">
        <v>416</v>
      </c>
      <c r="B23" s="47" t="s">
        <v>402</v>
      </c>
      <c r="C23" s="55">
        <v>78.858002376783517</v>
      </c>
      <c r="D23" s="55">
        <v>79.31286512539215</v>
      </c>
      <c r="E23" s="55">
        <v>79.471408717269625</v>
      </c>
      <c r="F23" s="55">
        <v>79.626187753264134</v>
      </c>
      <c r="G23" s="55">
        <v>79.776657155625173</v>
      </c>
      <c r="H23" s="55">
        <v>79.912419077152776</v>
      </c>
      <c r="I23" s="55">
        <v>80.031922325407621</v>
      </c>
      <c r="J23" s="55">
        <v>80.149347092601886</v>
      </c>
      <c r="K23" s="55">
        <v>80.264096721203643</v>
      </c>
      <c r="L23" s="55">
        <v>80.377857350263454</v>
      </c>
      <c r="M23" s="55">
        <v>80.490829307447186</v>
      </c>
      <c r="N23" s="55">
        <v>80.603613078905312</v>
      </c>
      <c r="O23" s="55">
        <v>80.713821047565617</v>
      </c>
      <c r="P23" s="55">
        <v>80.824253387598631</v>
      </c>
      <c r="Q23" s="55">
        <v>80.934372172992326</v>
      </c>
      <c r="R23" s="55">
        <v>81.043799013115603</v>
      </c>
      <c r="S23" s="55">
        <v>81.153865297195509</v>
      </c>
      <c r="T23" s="55">
        <v>81.264230523929172</v>
      </c>
      <c r="U23" s="55">
        <v>81.373235919030307</v>
      </c>
      <c r="V23" s="55">
        <v>81.48207986821194</v>
      </c>
      <c r="W23" s="55">
        <v>81.591625010566801</v>
      </c>
      <c r="X23" s="55">
        <v>81.702187023185658</v>
      </c>
      <c r="Y23" s="55">
        <v>81.809475866247084</v>
      </c>
      <c r="Z23" s="55">
        <v>81.918408125680131</v>
      </c>
      <c r="AA23" s="55">
        <v>82.027425947160822</v>
      </c>
      <c r="AB23" s="55">
        <v>82.135555031513135</v>
      </c>
      <c r="AC23" s="55">
        <v>82.244500516921462</v>
      </c>
      <c r="AD23" s="55">
        <v>82.353756185800506</v>
      </c>
      <c r="AE23" s="55">
        <v>82.461021462168361</v>
      </c>
      <c r="AF23" s="55">
        <v>82.567992958065531</v>
      </c>
      <c r="AG23" s="55">
        <v>82.675438299160973</v>
      </c>
      <c r="AH23" s="55">
        <v>82.782849837894133</v>
      </c>
      <c r="AI23" s="55">
        <v>82.888931556194549</v>
      </c>
      <c r="AJ23" s="55">
        <v>82.995924896530994</v>
      </c>
      <c r="AK23" s="55">
        <v>83.10345147923681</v>
      </c>
      <c r="AL23" s="55">
        <v>83.209942360074507</v>
      </c>
      <c r="AM23" s="55">
        <v>83.315211144493489</v>
      </c>
      <c r="AN23" s="55">
        <v>83.420489669284919</v>
      </c>
      <c r="AO23" s="55">
        <v>83.525783815617729</v>
      </c>
      <c r="AP23" s="55">
        <v>83.630662654591049</v>
      </c>
      <c r="AQ23" s="55">
        <v>83.735757686424108</v>
      </c>
      <c r="AR23" s="55">
        <v>83.839839669687052</v>
      </c>
      <c r="AS23" s="55">
        <v>83.943466619296757</v>
      </c>
      <c r="AT23" s="55">
        <v>84.047411030179447</v>
      </c>
      <c r="AU23" s="55">
        <v>84.151311291634755</v>
      </c>
      <c r="AV23" s="55">
        <v>84.255695442556259</v>
      </c>
      <c r="AW23" s="55">
        <v>84.358863396010619</v>
      </c>
      <c r="AX23" s="55">
        <v>84.462779033525791</v>
      </c>
      <c r="AY23" s="55">
        <v>84.565233230196597</v>
      </c>
      <c r="AZ23" s="55">
        <v>84.667329740516351</v>
      </c>
      <c r="BA23" s="55">
        <v>84.769466416455415</v>
      </c>
      <c r="BB23" s="55">
        <v>84.870843073906315</v>
      </c>
      <c r="BC23" s="55">
        <v>84.973124673335121</v>
      </c>
      <c r="BD23" s="55">
        <v>85.073742419777858</v>
      </c>
      <c r="BE23" s="55">
        <v>85.17520828909565</v>
      </c>
      <c r="BF23" s="55">
        <v>85.275704354704047</v>
      </c>
      <c r="BG23" s="55">
        <v>85.376340427928909</v>
      </c>
      <c r="BH23" s="55">
        <v>85.477718316831272</v>
      </c>
      <c r="BI23" s="55">
        <v>85.577499364233844</v>
      </c>
      <c r="BJ23" s="55">
        <v>85.676945273418539</v>
      </c>
      <c r="BK23" s="55">
        <v>85.776177576184921</v>
      </c>
      <c r="BL23" s="55">
        <v>85.876671884153964</v>
      </c>
      <c r="BM23" s="55">
        <v>85.975261418256707</v>
      </c>
      <c r="BN23" s="55">
        <v>86.074360030861726</v>
      </c>
      <c r="BO23" s="55">
        <v>86.171669257819772</v>
      </c>
      <c r="BP23" s="55">
        <v>86.269987064767236</v>
      </c>
      <c r="BQ23" s="55">
        <v>86.368411703940097</v>
      </c>
      <c r="BR23" s="55">
        <v>86.465150227064925</v>
      </c>
      <c r="BS23" s="55">
        <v>86.562369990516288</v>
      </c>
      <c r="BT23" s="55">
        <v>86.659694352206344</v>
      </c>
      <c r="BU23" s="55">
        <v>86.756353279027039</v>
      </c>
      <c r="BV23" s="55">
        <v>86.852515913650223</v>
      </c>
      <c r="BW23" s="55">
        <v>86.949785114475347</v>
      </c>
      <c r="BX23" s="55">
        <v>87.044979883988489</v>
      </c>
      <c r="BY23" s="55">
        <v>87.139528050341767</v>
      </c>
      <c r="BZ23" s="55">
        <v>87.234850412048132</v>
      </c>
      <c r="CA23" s="55">
        <v>87.330178022252099</v>
      </c>
      <c r="CB23" s="55">
        <v>87.42519502323654</v>
      </c>
      <c r="CC23" s="55">
        <v>87.519102995602253</v>
      </c>
      <c r="CD23" s="55">
        <v>87.613414280248051</v>
      </c>
      <c r="CE23" s="55">
        <v>87.706456520382872</v>
      </c>
      <c r="CF23" s="55">
        <v>87.798820651695308</v>
      </c>
      <c r="CG23" s="55">
        <v>87.892820229365299</v>
      </c>
      <c r="CH23" s="55">
        <v>87.986397403236367</v>
      </c>
      <c r="CI23" s="55">
        <v>88.07932186633137</v>
      </c>
      <c r="CJ23" s="55">
        <v>88.171235742274675</v>
      </c>
      <c r="CK23" s="55">
        <v>88.263697992518487</v>
      </c>
      <c r="CL23" s="55">
        <v>88.355848969295366</v>
      </c>
      <c r="CM23" s="55">
        <v>88.447463724562951</v>
      </c>
      <c r="CN23" s="55">
        <v>88.537218734974388</v>
      </c>
      <c r="CO23" s="55">
        <v>88.628416568755398</v>
      </c>
      <c r="CP23" s="55">
        <v>88.718692524850084</v>
      </c>
      <c r="CQ23" s="55">
        <v>88.808697176457059</v>
      </c>
      <c r="CR23" s="55">
        <v>88.899134958617651</v>
      </c>
      <c r="CS23" s="55">
        <v>88.988562682636939</v>
      </c>
      <c r="CT23" s="55">
        <v>89.077736842908848</v>
      </c>
      <c r="CU23" s="55">
        <v>89.166556014920189</v>
      </c>
      <c r="CV23" s="55">
        <v>89.254839623811279</v>
      </c>
      <c r="CW23" s="55">
        <v>89.341687024412423</v>
      </c>
      <c r="CX23" s="55">
        <v>89.430840424193249</v>
      </c>
    </row>
    <row r="24" spans="1:103" s="39" customFormat="1" ht="15" customHeight="1">
      <c r="A24" s="56" t="s">
        <v>417</v>
      </c>
      <c r="B24" s="47" t="s">
        <v>402</v>
      </c>
      <c r="C24" s="55">
        <v>82.701026255098569</v>
      </c>
      <c r="D24" s="55">
        <v>83.088346692155653</v>
      </c>
      <c r="E24" s="55">
        <v>83.2429657370472</v>
      </c>
      <c r="F24" s="55">
        <v>83.392425910691074</v>
      </c>
      <c r="G24" s="55">
        <v>83.53676622712706</v>
      </c>
      <c r="H24" s="55">
        <v>83.669977640635594</v>
      </c>
      <c r="I24" s="55">
        <v>83.787223613053371</v>
      </c>
      <c r="J24" s="55">
        <v>83.901999966970067</v>
      </c>
      <c r="K24" s="55">
        <v>84.013261021587638</v>
      </c>
      <c r="L24" s="55">
        <v>84.122005706344467</v>
      </c>
      <c r="M24" s="55">
        <v>84.229481251802454</v>
      </c>
      <c r="N24" s="55">
        <v>84.33372020566442</v>
      </c>
      <c r="O24" s="55">
        <v>84.439260138999174</v>
      </c>
      <c r="P24" s="55">
        <v>84.541219397950229</v>
      </c>
      <c r="Q24" s="55">
        <v>84.64175470459783</v>
      </c>
      <c r="R24" s="55">
        <v>84.74163327797109</v>
      </c>
      <c r="S24" s="55">
        <v>84.840227430519732</v>
      </c>
      <c r="T24" s="55">
        <v>84.940542099494166</v>
      </c>
      <c r="U24" s="55">
        <v>85.038635545905976</v>
      </c>
      <c r="V24" s="55">
        <v>85.135793598821039</v>
      </c>
      <c r="W24" s="55">
        <v>85.234472128863601</v>
      </c>
      <c r="X24" s="55">
        <v>85.331395626982086</v>
      </c>
      <c r="Y24" s="55">
        <v>85.428367628388202</v>
      </c>
      <c r="Z24" s="55">
        <v>85.525772650237798</v>
      </c>
      <c r="AA24" s="55">
        <v>85.622704693490817</v>
      </c>
      <c r="AB24" s="55">
        <v>85.718199417743577</v>
      </c>
      <c r="AC24" s="55">
        <v>85.814519529906036</v>
      </c>
      <c r="AD24" s="55">
        <v>85.910665869999889</v>
      </c>
      <c r="AE24" s="55">
        <v>86.006314818258986</v>
      </c>
      <c r="AF24" s="55">
        <v>86.101712413988622</v>
      </c>
      <c r="AG24" s="55">
        <v>86.197413095250155</v>
      </c>
      <c r="AH24" s="55">
        <v>86.292061545769997</v>
      </c>
      <c r="AI24" s="55">
        <v>86.387151708129835</v>
      </c>
      <c r="AJ24" s="55">
        <v>86.48132643655488</v>
      </c>
      <c r="AK24" s="55">
        <v>86.574410831990775</v>
      </c>
      <c r="AL24" s="55">
        <v>86.668007390162657</v>
      </c>
      <c r="AM24" s="55">
        <v>86.762147157868625</v>
      </c>
      <c r="AN24" s="55">
        <v>86.85614189290925</v>
      </c>
      <c r="AO24" s="55">
        <v>86.947991421394534</v>
      </c>
      <c r="AP24" s="55">
        <v>87.042182694711897</v>
      </c>
      <c r="AQ24" s="55">
        <v>87.133631879704637</v>
      </c>
      <c r="AR24" s="55">
        <v>87.226144335292361</v>
      </c>
      <c r="AS24" s="55">
        <v>87.317242318097684</v>
      </c>
      <c r="AT24" s="55">
        <v>87.410135422324899</v>
      </c>
      <c r="AU24" s="55">
        <v>87.500996064198588</v>
      </c>
      <c r="AV24" s="55">
        <v>87.591524017086044</v>
      </c>
      <c r="AW24" s="55">
        <v>87.683689523832925</v>
      </c>
      <c r="AX24" s="55">
        <v>87.773473722626392</v>
      </c>
      <c r="AY24" s="55">
        <v>87.863658246279982</v>
      </c>
      <c r="AZ24" s="55">
        <v>87.951836859268752</v>
      </c>
      <c r="BA24" s="55">
        <v>88.042497547766374</v>
      </c>
      <c r="BB24" s="55">
        <v>88.13074578723878</v>
      </c>
      <c r="BC24" s="55">
        <v>88.220239084501785</v>
      </c>
      <c r="BD24" s="55">
        <v>88.309641053375827</v>
      </c>
      <c r="BE24" s="55">
        <v>88.398120645709369</v>
      </c>
      <c r="BF24" s="55">
        <v>88.486963770558262</v>
      </c>
      <c r="BG24" s="55">
        <v>88.574663333453003</v>
      </c>
      <c r="BH24" s="55">
        <v>88.661882155092698</v>
      </c>
      <c r="BI24" s="55">
        <v>88.748741553192644</v>
      </c>
      <c r="BJ24" s="55">
        <v>88.836432894122723</v>
      </c>
      <c r="BK24" s="55">
        <v>88.922617354952877</v>
      </c>
      <c r="BL24" s="55">
        <v>89.008693754424044</v>
      </c>
      <c r="BM24" s="55">
        <v>89.094164815905685</v>
      </c>
      <c r="BN24" s="55">
        <v>89.1803179478716</v>
      </c>
      <c r="BO24" s="55">
        <v>89.267154272322117</v>
      </c>
      <c r="BP24" s="55">
        <v>89.352138547004017</v>
      </c>
      <c r="BQ24" s="55">
        <v>89.436175485781135</v>
      </c>
      <c r="BR24" s="55">
        <v>89.520831410149029</v>
      </c>
      <c r="BS24" s="55">
        <v>89.605168330773779</v>
      </c>
      <c r="BT24" s="55">
        <v>89.689664650814791</v>
      </c>
      <c r="BU24" s="55">
        <v>89.774072292354802</v>
      </c>
      <c r="BV24" s="55">
        <v>89.85826584977049</v>
      </c>
      <c r="BW24" s="55">
        <v>89.941895270804423</v>
      </c>
      <c r="BX24" s="55">
        <v>90.025806215253183</v>
      </c>
      <c r="BY24" s="55">
        <v>90.108771354764713</v>
      </c>
      <c r="BZ24" s="55">
        <v>90.191249785513918</v>
      </c>
      <c r="CA24" s="55">
        <v>90.273389275687592</v>
      </c>
      <c r="CB24" s="55">
        <v>90.354999924939946</v>
      </c>
      <c r="CC24" s="55">
        <v>90.43688543612987</v>
      </c>
      <c r="CD24" s="55">
        <v>90.517644955894838</v>
      </c>
      <c r="CE24" s="55">
        <v>90.600016414820033</v>
      </c>
      <c r="CF24" s="55">
        <v>90.680052639344126</v>
      </c>
      <c r="CG24" s="55">
        <v>90.760182023754325</v>
      </c>
      <c r="CH24" s="55">
        <v>90.841680851449851</v>
      </c>
      <c r="CI24" s="55">
        <v>90.920383305660394</v>
      </c>
      <c r="CJ24" s="55">
        <v>91.001090246973732</v>
      </c>
      <c r="CK24" s="55">
        <v>91.079775817932415</v>
      </c>
      <c r="CL24" s="55">
        <v>91.15877242546793</v>
      </c>
      <c r="CM24" s="55">
        <v>91.236770685149864</v>
      </c>
      <c r="CN24" s="55">
        <v>91.314395988661843</v>
      </c>
      <c r="CO24" s="55">
        <v>91.393256323046856</v>
      </c>
      <c r="CP24" s="55">
        <v>91.47044390212821</v>
      </c>
      <c r="CQ24" s="55">
        <v>91.548521082053512</v>
      </c>
      <c r="CR24" s="55">
        <v>91.62500736990026</v>
      </c>
      <c r="CS24" s="55">
        <v>91.701753331626165</v>
      </c>
      <c r="CT24" s="55">
        <v>91.778145468294682</v>
      </c>
      <c r="CU24" s="55">
        <v>91.855027922813903</v>
      </c>
      <c r="CV24" s="55">
        <v>91.93039083267513</v>
      </c>
      <c r="CW24" s="55">
        <v>92.007690205702275</v>
      </c>
      <c r="CX24" s="55">
        <v>92.082761650040652</v>
      </c>
    </row>
    <row r="25" spans="1:103" ht="15" customHeight="1"/>
    <row r="26" spans="1:103" ht="28.7" customHeight="1">
      <c r="A26" s="42" t="s">
        <v>418</v>
      </c>
    </row>
    <row r="27" spans="1:103" s="60" customFormat="1" ht="15.6" customHeight="1">
      <c r="A27" s="58" t="s">
        <v>419</v>
      </c>
      <c r="B27" s="59" t="s">
        <v>176</v>
      </c>
      <c r="C27" s="59" t="s">
        <v>177</v>
      </c>
      <c r="D27" s="59" t="s">
        <v>178</v>
      </c>
      <c r="E27" s="59" t="s">
        <v>179</v>
      </c>
      <c r="F27" s="59" t="s">
        <v>180</v>
      </c>
      <c r="G27" s="59" t="s">
        <v>181</v>
      </c>
      <c r="H27" s="59" t="s">
        <v>182</v>
      </c>
      <c r="I27" s="59" t="s">
        <v>183</v>
      </c>
      <c r="J27" s="59" t="s">
        <v>184</v>
      </c>
      <c r="K27" s="59" t="s">
        <v>185</v>
      </c>
      <c r="L27" s="59" t="s">
        <v>186</v>
      </c>
      <c r="M27" s="59" t="s">
        <v>187</v>
      </c>
      <c r="N27" s="59" t="s">
        <v>188</v>
      </c>
      <c r="O27" s="59" t="s">
        <v>189</v>
      </c>
      <c r="P27" s="59" t="s">
        <v>190</v>
      </c>
      <c r="Q27" s="59" t="s">
        <v>191</v>
      </c>
      <c r="R27" s="59" t="s">
        <v>192</v>
      </c>
      <c r="S27" s="59" t="s">
        <v>193</v>
      </c>
      <c r="T27" s="59" t="s">
        <v>194</v>
      </c>
      <c r="U27" s="59" t="s">
        <v>195</v>
      </c>
      <c r="V27" s="59" t="s">
        <v>196</v>
      </c>
      <c r="W27" s="59" t="s">
        <v>197</v>
      </c>
      <c r="X27" s="59" t="s">
        <v>198</v>
      </c>
      <c r="Y27" s="59" t="s">
        <v>199</v>
      </c>
      <c r="Z27" s="59" t="s">
        <v>200</v>
      </c>
      <c r="AA27" s="59" t="s">
        <v>201</v>
      </c>
      <c r="AB27" s="59" t="s">
        <v>202</v>
      </c>
      <c r="AC27" s="59" t="s">
        <v>203</v>
      </c>
      <c r="AD27" s="59" t="s">
        <v>204</v>
      </c>
      <c r="AE27" s="59" t="s">
        <v>205</v>
      </c>
      <c r="AF27" s="59" t="s">
        <v>206</v>
      </c>
      <c r="AG27" s="59" t="s">
        <v>207</v>
      </c>
      <c r="AH27" s="59" t="s">
        <v>208</v>
      </c>
      <c r="AI27" s="59" t="s">
        <v>209</v>
      </c>
      <c r="AJ27" s="59" t="s">
        <v>210</v>
      </c>
      <c r="AK27" s="59" t="s">
        <v>211</v>
      </c>
      <c r="AL27" s="59" t="s">
        <v>212</v>
      </c>
      <c r="AM27" s="59" t="s">
        <v>213</v>
      </c>
      <c r="AN27" s="59" t="s">
        <v>214</v>
      </c>
      <c r="AO27" s="59" t="s">
        <v>339</v>
      </c>
      <c r="AP27" s="59" t="s">
        <v>340</v>
      </c>
      <c r="AQ27" s="59" t="s">
        <v>341</v>
      </c>
      <c r="AR27" s="59" t="s">
        <v>342</v>
      </c>
      <c r="AS27" s="59" t="s">
        <v>343</v>
      </c>
      <c r="AT27" s="59" t="s">
        <v>344</v>
      </c>
      <c r="AU27" s="59" t="s">
        <v>345</v>
      </c>
      <c r="AV27" s="59" t="s">
        <v>346</v>
      </c>
      <c r="AW27" s="59" t="s">
        <v>347</v>
      </c>
      <c r="AX27" s="59" t="s">
        <v>348</v>
      </c>
      <c r="AY27" s="59" t="s">
        <v>349</v>
      </c>
      <c r="AZ27" s="59" t="s">
        <v>350</v>
      </c>
      <c r="BA27" s="59" t="s">
        <v>351</v>
      </c>
      <c r="BB27" s="59" t="s">
        <v>352</v>
      </c>
      <c r="BC27" s="59" t="s">
        <v>353</v>
      </c>
      <c r="BD27" s="59" t="s">
        <v>354</v>
      </c>
      <c r="BE27" s="59" t="s">
        <v>355</v>
      </c>
      <c r="BF27" s="59" t="s">
        <v>356</v>
      </c>
      <c r="BG27" s="59" t="s">
        <v>357</v>
      </c>
      <c r="BH27" s="59" t="s">
        <v>358</v>
      </c>
      <c r="BI27" s="59" t="s">
        <v>359</v>
      </c>
      <c r="BJ27" s="59" t="s">
        <v>360</v>
      </c>
      <c r="BK27" s="59" t="s">
        <v>361</v>
      </c>
      <c r="BL27" s="59" t="s">
        <v>362</v>
      </c>
      <c r="BM27" s="59" t="s">
        <v>363</v>
      </c>
      <c r="BN27" s="59" t="s">
        <v>364</v>
      </c>
      <c r="BO27" s="59" t="s">
        <v>365</v>
      </c>
      <c r="BP27" s="59" t="s">
        <v>366</v>
      </c>
      <c r="BQ27" s="59" t="s">
        <v>367</v>
      </c>
      <c r="BR27" s="59" t="s">
        <v>368</v>
      </c>
      <c r="BS27" s="59" t="s">
        <v>369</v>
      </c>
      <c r="BT27" s="59" t="s">
        <v>370</v>
      </c>
      <c r="BU27" s="59" t="s">
        <v>371</v>
      </c>
      <c r="BV27" s="59" t="s">
        <v>372</v>
      </c>
      <c r="BW27" s="59" t="s">
        <v>373</v>
      </c>
      <c r="BX27" s="59" t="s">
        <v>374</v>
      </c>
      <c r="BY27" s="59" t="s">
        <v>375</v>
      </c>
      <c r="BZ27" s="59" t="s">
        <v>376</v>
      </c>
      <c r="CA27" s="59" t="s">
        <v>377</v>
      </c>
      <c r="CB27" s="59" t="s">
        <v>378</v>
      </c>
      <c r="CC27" s="59" t="s">
        <v>379</v>
      </c>
      <c r="CD27" s="59" t="s">
        <v>380</v>
      </c>
      <c r="CE27" s="59" t="s">
        <v>381</v>
      </c>
      <c r="CF27" s="59" t="s">
        <v>382</v>
      </c>
      <c r="CG27" s="59" t="s">
        <v>383</v>
      </c>
      <c r="CH27" s="59" t="s">
        <v>384</v>
      </c>
      <c r="CI27" s="59" t="s">
        <v>385</v>
      </c>
      <c r="CJ27" s="59" t="s">
        <v>386</v>
      </c>
      <c r="CK27" s="59" t="s">
        <v>387</v>
      </c>
      <c r="CL27" s="59" t="s">
        <v>388</v>
      </c>
      <c r="CM27" s="59" t="s">
        <v>389</v>
      </c>
      <c r="CN27" s="59" t="s">
        <v>390</v>
      </c>
      <c r="CO27" s="59" t="s">
        <v>391</v>
      </c>
      <c r="CP27" s="59" t="s">
        <v>392</v>
      </c>
      <c r="CQ27" s="59" t="s">
        <v>393</v>
      </c>
      <c r="CR27" s="59" t="s">
        <v>394</v>
      </c>
      <c r="CS27" s="59" t="s">
        <v>395</v>
      </c>
      <c r="CT27" s="59" t="s">
        <v>396</v>
      </c>
      <c r="CU27" s="59" t="s">
        <v>397</v>
      </c>
      <c r="CV27" s="59" t="s">
        <v>398</v>
      </c>
      <c r="CW27" s="59" t="s">
        <v>399</v>
      </c>
      <c r="CX27" s="59" t="s">
        <v>400</v>
      </c>
    </row>
    <row r="28" spans="1:103" s="62" customFormat="1" ht="15" customHeight="1">
      <c r="A28" s="39" t="s">
        <v>420</v>
      </c>
      <c r="B28" s="61">
        <v>11607.401</v>
      </c>
      <c r="C28" s="61">
        <v>11567.178</v>
      </c>
      <c r="D28" s="61">
        <v>11508.288</v>
      </c>
      <c r="E28" s="61">
        <v>11393.366</v>
      </c>
      <c r="F28" s="61">
        <v>11253.68</v>
      </c>
      <c r="G28" s="61">
        <v>11110.874</v>
      </c>
      <c r="H28" s="61">
        <v>10989.767</v>
      </c>
      <c r="I28" s="61">
        <v>10890.322</v>
      </c>
      <c r="J28" s="61">
        <v>10794.625</v>
      </c>
      <c r="K28" s="61">
        <v>10690.931</v>
      </c>
      <c r="L28" s="61">
        <v>10608.21</v>
      </c>
      <c r="M28" s="61">
        <v>10542.156000000001</v>
      </c>
      <c r="N28" s="61">
        <v>10484.664000000001</v>
      </c>
      <c r="O28" s="61">
        <v>10441.549999999999</v>
      </c>
      <c r="P28" s="61">
        <v>10420.912</v>
      </c>
      <c r="Q28" s="61">
        <v>10396.289000000001</v>
      </c>
      <c r="R28" s="61">
        <v>10409.996999999999</v>
      </c>
      <c r="S28" s="61">
        <v>10428.1</v>
      </c>
      <c r="T28" s="61">
        <v>10446.735000000001</v>
      </c>
      <c r="U28" s="61">
        <v>10469.156000000001</v>
      </c>
      <c r="V28" s="61">
        <v>10496.23</v>
      </c>
      <c r="W28" s="61">
        <v>10526.655000000001</v>
      </c>
      <c r="X28" s="61">
        <v>10558.388000000001</v>
      </c>
      <c r="Y28" s="61">
        <v>10590.295</v>
      </c>
      <c r="Z28" s="61">
        <v>10621.602000000001</v>
      </c>
      <c r="AA28" s="61">
        <v>10651.683000000001</v>
      </c>
      <c r="AB28" s="61">
        <v>10678.599</v>
      </c>
      <c r="AC28" s="61">
        <v>10700.130999999999</v>
      </c>
      <c r="AD28" s="61">
        <v>10715.366</v>
      </c>
      <c r="AE28" s="61">
        <v>10723.585999999999</v>
      </c>
      <c r="AF28" s="61">
        <v>10724.213</v>
      </c>
      <c r="AG28" s="61">
        <v>10716.643</v>
      </c>
      <c r="AH28" s="61">
        <v>10700.594999999999</v>
      </c>
      <c r="AI28" s="61">
        <v>10676.525</v>
      </c>
      <c r="AJ28" s="61">
        <v>10645.264999999999</v>
      </c>
      <c r="AK28" s="61">
        <v>10607.73</v>
      </c>
      <c r="AL28" s="61">
        <v>10565.138999999999</v>
      </c>
      <c r="AM28" s="61">
        <v>10518.903</v>
      </c>
      <c r="AN28" s="61">
        <v>10470.280000000001</v>
      </c>
      <c r="AO28" s="61">
        <v>10420.379000000001</v>
      </c>
      <c r="AP28" s="61">
        <v>10370.276</v>
      </c>
      <c r="AQ28" s="61">
        <v>10321.656000000001</v>
      </c>
      <c r="AR28" s="61">
        <v>10276.303</v>
      </c>
      <c r="AS28" s="61">
        <v>10235.213</v>
      </c>
      <c r="AT28" s="61">
        <v>10199.114</v>
      </c>
      <c r="AU28" s="61">
        <v>10168.369000000001</v>
      </c>
      <c r="AV28" s="61">
        <v>10143.337</v>
      </c>
      <c r="AW28" s="61">
        <v>10124.213</v>
      </c>
      <c r="AX28" s="61">
        <v>10110.731</v>
      </c>
      <c r="AY28" s="61">
        <v>10102.421</v>
      </c>
      <c r="AZ28" s="61">
        <v>10098.628000000001</v>
      </c>
      <c r="BA28" s="61">
        <v>10098.812</v>
      </c>
      <c r="BB28" s="61">
        <v>10102.377</v>
      </c>
      <c r="BC28" s="61">
        <v>10108.540000000001</v>
      </c>
      <c r="BD28" s="61">
        <v>10116.513000000001</v>
      </c>
      <c r="BE28" s="61">
        <v>10125.481</v>
      </c>
      <c r="BF28" s="61">
        <v>10134.803</v>
      </c>
      <c r="BG28" s="61">
        <v>10143.905000000001</v>
      </c>
      <c r="BH28" s="61">
        <v>10152.011</v>
      </c>
      <c r="BI28" s="61">
        <v>10158.467000000001</v>
      </c>
      <c r="BJ28" s="61">
        <v>10162.791999999999</v>
      </c>
      <c r="BK28" s="61">
        <v>10164.597</v>
      </c>
      <c r="BL28" s="61">
        <v>10163.611999999999</v>
      </c>
      <c r="BM28" s="61">
        <v>10159.674000000001</v>
      </c>
      <c r="BN28" s="61">
        <v>10152.651</v>
      </c>
      <c r="BO28" s="61">
        <v>10142.606</v>
      </c>
      <c r="BP28" s="61">
        <v>10129.704</v>
      </c>
      <c r="BQ28" s="61">
        <v>10114.17</v>
      </c>
      <c r="BR28" s="61">
        <v>10096.328</v>
      </c>
      <c r="BS28" s="61">
        <v>10076.575000000001</v>
      </c>
      <c r="BT28" s="61">
        <v>10055.36</v>
      </c>
      <c r="BU28" s="61">
        <v>10033.156000000001</v>
      </c>
      <c r="BV28" s="61">
        <v>10010.468999999999</v>
      </c>
      <c r="BW28" s="61">
        <v>9987.8060000000005</v>
      </c>
      <c r="BX28" s="61">
        <v>9965.6389999999992</v>
      </c>
      <c r="BY28" s="61">
        <v>9944.4040000000005</v>
      </c>
      <c r="BZ28" s="61">
        <v>9924.5049999999992</v>
      </c>
      <c r="CA28" s="61">
        <v>9906.2530000000006</v>
      </c>
      <c r="CB28" s="61">
        <v>9889.9</v>
      </c>
      <c r="CC28" s="61">
        <v>9875.6139999999996</v>
      </c>
      <c r="CD28" s="61">
        <v>9863.4740000000002</v>
      </c>
      <c r="CE28" s="61">
        <v>9853.482</v>
      </c>
      <c r="CF28" s="61">
        <v>9845.5669999999991</v>
      </c>
      <c r="CG28" s="61">
        <v>9839.6010000000006</v>
      </c>
      <c r="CH28" s="61">
        <v>9835.3960000000006</v>
      </c>
      <c r="CI28" s="61">
        <v>9832.7039999999997</v>
      </c>
      <c r="CJ28" s="61">
        <v>9831.2520000000004</v>
      </c>
      <c r="CK28" s="61">
        <v>9830.73</v>
      </c>
      <c r="CL28" s="61">
        <v>9830.8520000000008</v>
      </c>
      <c r="CM28" s="61">
        <v>9831.2890000000007</v>
      </c>
      <c r="CN28" s="61">
        <v>9831.7549999999992</v>
      </c>
      <c r="CO28" s="61">
        <v>9831.9599999999991</v>
      </c>
      <c r="CP28" s="61">
        <v>9831.6470000000008</v>
      </c>
      <c r="CQ28" s="61">
        <v>9830.6170000000002</v>
      </c>
      <c r="CR28" s="61">
        <v>9828.6910000000007</v>
      </c>
      <c r="CS28" s="61">
        <v>9825.7330000000002</v>
      </c>
      <c r="CT28" s="61">
        <v>9821.6630000000005</v>
      </c>
      <c r="CU28" s="61">
        <v>9816.4410000000007</v>
      </c>
      <c r="CV28" s="61">
        <v>9810.0740000000005</v>
      </c>
      <c r="CW28" s="61">
        <v>9802.6190000000006</v>
      </c>
      <c r="CX28" s="61">
        <v>9794.1470000000008</v>
      </c>
    </row>
    <row r="29" spans="1:103" s="62" customFormat="1" ht="15" customHeight="1">
      <c r="A29" s="39" t="s">
        <v>421</v>
      </c>
      <c r="B29" s="61">
        <v>12333.328</v>
      </c>
      <c r="C29" s="61">
        <v>12709.81</v>
      </c>
      <c r="D29" s="61">
        <v>12973.174000000001</v>
      </c>
      <c r="E29" s="61">
        <v>13060.946</v>
      </c>
      <c r="F29" s="61">
        <v>13117.976000000001</v>
      </c>
      <c r="G29" s="61">
        <v>13152.163</v>
      </c>
      <c r="H29" s="61">
        <v>13193.205</v>
      </c>
      <c r="I29" s="61">
        <v>13228.841</v>
      </c>
      <c r="J29" s="61">
        <v>13284.38</v>
      </c>
      <c r="K29" s="61">
        <v>13360.3</v>
      </c>
      <c r="L29" s="61">
        <v>13412.603999999999</v>
      </c>
      <c r="M29" s="61">
        <v>13432.166999999999</v>
      </c>
      <c r="N29" s="61">
        <v>13425.588</v>
      </c>
      <c r="O29" s="61">
        <v>13407.459000000001</v>
      </c>
      <c r="P29" s="61">
        <v>13369.76</v>
      </c>
      <c r="Q29" s="61">
        <v>13323.617</v>
      </c>
      <c r="R29" s="61">
        <v>13207.954</v>
      </c>
      <c r="S29" s="61">
        <v>13095.99</v>
      </c>
      <c r="T29" s="61">
        <v>12979.084999999999</v>
      </c>
      <c r="U29" s="61">
        <v>12849.517</v>
      </c>
      <c r="V29" s="61">
        <v>12717.527</v>
      </c>
      <c r="W29" s="61">
        <v>12603.322</v>
      </c>
      <c r="X29" s="61">
        <v>12506.198</v>
      </c>
      <c r="Y29" s="61">
        <v>12411.186</v>
      </c>
      <c r="Z29" s="61">
        <v>12308.218000000001</v>
      </c>
      <c r="AA29" s="61">
        <v>12226.117</v>
      </c>
      <c r="AB29" s="61">
        <v>12160.61</v>
      </c>
      <c r="AC29" s="61">
        <v>12103.651</v>
      </c>
      <c r="AD29" s="61">
        <v>12061.022999999999</v>
      </c>
      <c r="AE29" s="61">
        <v>12040.767</v>
      </c>
      <c r="AF29" s="61">
        <v>12016.558000000001</v>
      </c>
      <c r="AG29" s="61">
        <v>12030.525</v>
      </c>
      <c r="AH29" s="61">
        <v>12048.876</v>
      </c>
      <c r="AI29" s="61">
        <v>12067.746999999999</v>
      </c>
      <c r="AJ29" s="61">
        <v>12090.413</v>
      </c>
      <c r="AK29" s="61">
        <v>12117.728999999999</v>
      </c>
      <c r="AL29" s="61">
        <v>12148.374</v>
      </c>
      <c r="AM29" s="61">
        <v>12180.294</v>
      </c>
      <c r="AN29" s="61">
        <v>12212.397999999999</v>
      </c>
      <c r="AO29" s="61">
        <v>12243.911</v>
      </c>
      <c r="AP29" s="61">
        <v>12274.169</v>
      </c>
      <c r="AQ29" s="61">
        <v>12301.255999999999</v>
      </c>
      <c r="AR29" s="61">
        <v>12322.973</v>
      </c>
      <c r="AS29" s="61">
        <v>12338.388999999999</v>
      </c>
      <c r="AT29" s="61">
        <v>12346.804</v>
      </c>
      <c r="AU29" s="61">
        <v>12347.63</v>
      </c>
      <c r="AV29" s="61">
        <v>12340.27</v>
      </c>
      <c r="AW29" s="61">
        <v>12324.432000000001</v>
      </c>
      <c r="AX29" s="61">
        <v>12300.6</v>
      </c>
      <c r="AY29" s="61">
        <v>12269.594999999999</v>
      </c>
      <c r="AZ29" s="61">
        <v>12232.329</v>
      </c>
      <c r="BA29" s="61">
        <v>12190.002</v>
      </c>
      <c r="BB29" s="61">
        <v>12144.044</v>
      </c>
      <c r="BC29" s="61">
        <v>12095.704</v>
      </c>
      <c r="BD29" s="61">
        <v>12046.093999999999</v>
      </c>
      <c r="BE29" s="61">
        <v>11996.28</v>
      </c>
      <c r="BF29" s="61">
        <v>11947.958000000001</v>
      </c>
      <c r="BG29" s="61">
        <v>11902.892</v>
      </c>
      <c r="BH29" s="61">
        <v>11862.097</v>
      </c>
      <c r="BI29" s="61">
        <v>11826.266</v>
      </c>
      <c r="BJ29" s="61">
        <v>11795.78</v>
      </c>
      <c r="BK29" s="61">
        <v>11770.984</v>
      </c>
      <c r="BL29" s="61">
        <v>11752.094999999999</v>
      </c>
      <c r="BM29" s="61">
        <v>11738.828</v>
      </c>
      <c r="BN29" s="61">
        <v>11730.718999999999</v>
      </c>
      <c r="BO29" s="61">
        <v>11727.116</v>
      </c>
      <c r="BP29" s="61">
        <v>11727.494000000001</v>
      </c>
      <c r="BQ29" s="61">
        <v>11731.245999999999</v>
      </c>
      <c r="BR29" s="61">
        <v>11737.585999999999</v>
      </c>
      <c r="BS29" s="61">
        <v>11745.727000000001</v>
      </c>
      <c r="BT29" s="61">
        <v>11754.843999999999</v>
      </c>
      <c r="BU29" s="61">
        <v>11764.323</v>
      </c>
      <c r="BV29" s="61">
        <v>11773.569</v>
      </c>
      <c r="BW29" s="61">
        <v>11781.816000000001</v>
      </c>
      <c r="BX29" s="61">
        <v>11788.407999999999</v>
      </c>
      <c r="BY29" s="61">
        <v>11792.878000000001</v>
      </c>
      <c r="BZ29" s="61">
        <v>11794.826999999999</v>
      </c>
      <c r="CA29" s="61">
        <v>11793.989</v>
      </c>
      <c r="CB29" s="61">
        <v>11790.197</v>
      </c>
      <c r="CC29" s="61">
        <v>11783.332</v>
      </c>
      <c r="CD29" s="61">
        <v>11773.437</v>
      </c>
      <c r="CE29" s="61">
        <v>11760.688</v>
      </c>
      <c r="CF29" s="61">
        <v>11745.307000000001</v>
      </c>
      <c r="CG29" s="61">
        <v>11727.625</v>
      </c>
      <c r="CH29" s="61">
        <v>11708.041999999999</v>
      </c>
      <c r="CI29" s="61">
        <v>11686.991</v>
      </c>
      <c r="CJ29" s="61">
        <v>11664.945</v>
      </c>
      <c r="CK29" s="61">
        <v>11642.424999999999</v>
      </c>
      <c r="CL29" s="61">
        <v>11619.918</v>
      </c>
      <c r="CM29" s="61">
        <v>11597.907999999999</v>
      </c>
      <c r="CN29" s="61">
        <v>11576.831</v>
      </c>
      <c r="CO29" s="61">
        <v>11557.087</v>
      </c>
      <c r="CP29" s="61">
        <v>11538.983</v>
      </c>
      <c r="CQ29" s="61">
        <v>11522.786</v>
      </c>
      <c r="CR29" s="61">
        <v>11508.635</v>
      </c>
      <c r="CS29" s="61">
        <v>11496.642</v>
      </c>
      <c r="CT29" s="61">
        <v>11486.787</v>
      </c>
      <c r="CU29" s="61">
        <v>11479.017</v>
      </c>
      <c r="CV29" s="61">
        <v>11473.194</v>
      </c>
      <c r="CW29" s="61">
        <v>11469.11</v>
      </c>
      <c r="CX29" s="61">
        <v>11466.535</v>
      </c>
    </row>
    <row r="30" spans="1:103" s="62" customFormat="1" ht="15" customHeight="1">
      <c r="A30" s="39" t="s">
        <v>422</v>
      </c>
      <c r="B30" s="61">
        <v>13533.36</v>
      </c>
      <c r="C30" s="61">
        <v>13870.659</v>
      </c>
      <c r="D30" s="61">
        <v>14117.975</v>
      </c>
      <c r="E30" s="61">
        <v>14217.844999999999</v>
      </c>
      <c r="F30" s="61">
        <v>14292.436</v>
      </c>
      <c r="G30" s="61">
        <v>14394.888999999999</v>
      </c>
      <c r="H30" s="61">
        <v>14487.887000000001</v>
      </c>
      <c r="I30" s="61">
        <v>14593.638000000001</v>
      </c>
      <c r="J30" s="61">
        <v>14654.68</v>
      </c>
      <c r="K30" s="61">
        <v>14694.68</v>
      </c>
      <c r="L30" s="61">
        <v>14725.135</v>
      </c>
      <c r="M30" s="61">
        <v>14743.662</v>
      </c>
      <c r="N30" s="61">
        <v>14785.147000000001</v>
      </c>
      <c r="O30" s="61">
        <v>14812.066000000001</v>
      </c>
      <c r="P30" s="61">
        <v>14825.258</v>
      </c>
      <c r="Q30" s="61">
        <v>14855.858</v>
      </c>
      <c r="R30" s="61">
        <v>14936.959000000001</v>
      </c>
      <c r="S30" s="61">
        <v>15004.009</v>
      </c>
      <c r="T30" s="61">
        <v>15090.503000000001</v>
      </c>
      <c r="U30" s="61">
        <v>15189.308999999999</v>
      </c>
      <c r="V30" s="61">
        <v>15265.245999999999</v>
      </c>
      <c r="W30" s="61">
        <v>15331.308000000001</v>
      </c>
      <c r="X30" s="61">
        <v>15374.126</v>
      </c>
      <c r="Y30" s="61">
        <v>15430.307000000001</v>
      </c>
      <c r="Z30" s="61">
        <v>15506.672</v>
      </c>
      <c r="AA30" s="61">
        <v>15559.557000000001</v>
      </c>
      <c r="AB30" s="61">
        <v>15580.031000000001</v>
      </c>
      <c r="AC30" s="61">
        <v>15574.557000000001</v>
      </c>
      <c r="AD30" s="61">
        <v>15557.563</v>
      </c>
      <c r="AE30" s="61">
        <v>15521.071</v>
      </c>
      <c r="AF30" s="61">
        <v>15476.252</v>
      </c>
      <c r="AG30" s="61">
        <v>15362.462</v>
      </c>
      <c r="AH30" s="61">
        <v>15252.347</v>
      </c>
      <c r="AI30" s="61">
        <v>15137.364</v>
      </c>
      <c r="AJ30" s="61">
        <v>15009.884</v>
      </c>
      <c r="AK30" s="61">
        <v>14880.022000000001</v>
      </c>
      <c r="AL30" s="61">
        <v>14767.76</v>
      </c>
      <c r="AM30" s="61">
        <v>14672.418</v>
      </c>
      <c r="AN30" s="61">
        <v>14579.195</v>
      </c>
      <c r="AO30" s="61">
        <v>14478.117</v>
      </c>
      <c r="AP30" s="61">
        <v>14397.705</v>
      </c>
      <c r="AQ30" s="61">
        <v>14333.75</v>
      </c>
      <c r="AR30" s="61">
        <v>14278.282999999999</v>
      </c>
      <c r="AS30" s="61">
        <v>14236.999</v>
      </c>
      <c r="AT30" s="61">
        <v>14217.898999999999</v>
      </c>
      <c r="AU30" s="61">
        <v>14194.9</v>
      </c>
      <c r="AV30" s="61">
        <v>14209.724</v>
      </c>
      <c r="AW30" s="61">
        <v>14228.887000000001</v>
      </c>
      <c r="AX30" s="61">
        <v>14248.593999999999</v>
      </c>
      <c r="AY30" s="61">
        <v>14272.054</v>
      </c>
      <c r="AZ30" s="61">
        <v>14300.111999999999</v>
      </c>
      <c r="BA30" s="61">
        <v>14331.482</v>
      </c>
      <c r="BB30" s="61">
        <v>14364.103999999999</v>
      </c>
      <c r="BC30" s="61">
        <v>14396.898999999999</v>
      </c>
      <c r="BD30" s="61">
        <v>14429.082</v>
      </c>
      <c r="BE30" s="61">
        <v>14460.004000000001</v>
      </c>
      <c r="BF30" s="61">
        <v>14487.764999999999</v>
      </c>
      <c r="BG30" s="61">
        <v>14510.157999999999</v>
      </c>
      <c r="BH30" s="61">
        <v>14526.258</v>
      </c>
      <c r="BI30" s="61">
        <v>14535.393</v>
      </c>
      <c r="BJ30" s="61">
        <v>14536.975</v>
      </c>
      <c r="BK30" s="61">
        <v>14530.391</v>
      </c>
      <c r="BL30" s="61">
        <v>14515.374</v>
      </c>
      <c r="BM30" s="61">
        <v>14492.383</v>
      </c>
      <c r="BN30" s="61">
        <v>14462.254000000001</v>
      </c>
      <c r="BO30" s="61">
        <v>14425.898999999999</v>
      </c>
      <c r="BP30" s="61">
        <v>14384.514999999999</v>
      </c>
      <c r="BQ30" s="61">
        <v>14339.508</v>
      </c>
      <c r="BR30" s="61">
        <v>14292.124</v>
      </c>
      <c r="BS30" s="61">
        <v>14243.478999999999</v>
      </c>
      <c r="BT30" s="61">
        <v>14194.635</v>
      </c>
      <c r="BU30" s="61">
        <v>14147.262000000001</v>
      </c>
      <c r="BV30" s="61">
        <v>14103.123</v>
      </c>
      <c r="BW30" s="61">
        <v>14063.223</v>
      </c>
      <c r="BX30" s="61">
        <v>14028.253000000001</v>
      </c>
      <c r="BY30" s="61">
        <v>13998.599</v>
      </c>
      <c r="BZ30" s="61">
        <v>13974.602999999999</v>
      </c>
      <c r="CA30" s="61">
        <v>13956.457</v>
      </c>
      <c r="CB30" s="61">
        <v>13943.915000000001</v>
      </c>
      <c r="CC30" s="61">
        <v>13936.483</v>
      </c>
      <c r="CD30" s="61">
        <v>13933.540999999999</v>
      </c>
      <c r="CE30" s="61">
        <v>13934.540999999999</v>
      </c>
      <c r="CF30" s="61">
        <v>13938.888999999999</v>
      </c>
      <c r="CG30" s="61">
        <v>13945.807000000001</v>
      </c>
      <c r="CH30" s="61">
        <v>13954.51</v>
      </c>
      <c r="CI30" s="61">
        <v>13964.188</v>
      </c>
      <c r="CJ30" s="61">
        <v>13974.201999999999</v>
      </c>
      <c r="CK30" s="61">
        <v>13983.984</v>
      </c>
      <c r="CL30" s="61">
        <v>13992.766</v>
      </c>
      <c r="CM30" s="61">
        <v>13999.901</v>
      </c>
      <c r="CN30" s="61">
        <v>14004.895</v>
      </c>
      <c r="CO30" s="61">
        <v>14007.365</v>
      </c>
      <c r="CP30" s="61">
        <v>14007.066000000001</v>
      </c>
      <c r="CQ30" s="61">
        <v>14003.812</v>
      </c>
      <c r="CR30" s="61">
        <v>13997.496999999999</v>
      </c>
      <c r="CS30" s="61">
        <v>13988.147999999999</v>
      </c>
      <c r="CT30" s="61">
        <v>13975.958000000001</v>
      </c>
      <c r="CU30" s="61">
        <v>13961.145</v>
      </c>
      <c r="CV30" s="61">
        <v>13944.029</v>
      </c>
      <c r="CW30" s="61">
        <v>13925.009</v>
      </c>
      <c r="CX30" s="61">
        <v>13904.518</v>
      </c>
    </row>
    <row r="31" spans="1:103" s="62" customFormat="1" ht="15" customHeight="1">
      <c r="A31" s="39" t="s">
        <v>423</v>
      </c>
      <c r="B31" s="61">
        <v>13314.705</v>
      </c>
      <c r="C31" s="61">
        <v>13221.608</v>
      </c>
      <c r="D31" s="61">
        <v>13164.691999999999</v>
      </c>
      <c r="E31" s="61">
        <v>13114.049000000001</v>
      </c>
      <c r="F31" s="61">
        <v>13066.464</v>
      </c>
      <c r="G31" s="61">
        <v>13011.767</v>
      </c>
      <c r="H31" s="61">
        <v>12976.263999999999</v>
      </c>
      <c r="I31" s="61">
        <v>12948.249</v>
      </c>
      <c r="J31" s="61">
        <v>12977.686</v>
      </c>
      <c r="K31" s="61">
        <v>12997.234</v>
      </c>
      <c r="L31" s="61">
        <v>13064.498</v>
      </c>
      <c r="M31" s="61">
        <v>13194.027</v>
      </c>
      <c r="N31" s="61">
        <v>13352.255999999999</v>
      </c>
      <c r="O31" s="61">
        <v>13535.121999999999</v>
      </c>
      <c r="P31" s="61">
        <v>13745.641</v>
      </c>
      <c r="Q31" s="61">
        <v>13970.769</v>
      </c>
      <c r="R31" s="61">
        <v>14164.619000000001</v>
      </c>
      <c r="S31" s="61">
        <v>14308.652</v>
      </c>
      <c r="T31" s="61">
        <v>14404.8</v>
      </c>
      <c r="U31" s="61">
        <v>14500.412</v>
      </c>
      <c r="V31" s="61">
        <v>14625.556</v>
      </c>
      <c r="W31" s="61">
        <v>14733.471</v>
      </c>
      <c r="X31" s="61">
        <v>14843.852000000001</v>
      </c>
      <c r="Y31" s="61">
        <v>14907.062</v>
      </c>
      <c r="Z31" s="61">
        <v>14949.437</v>
      </c>
      <c r="AA31" s="61">
        <v>14982.427</v>
      </c>
      <c r="AB31" s="61">
        <v>15004.281999999999</v>
      </c>
      <c r="AC31" s="61">
        <v>15048.57</v>
      </c>
      <c r="AD31" s="61">
        <v>15078.762000000001</v>
      </c>
      <c r="AE31" s="61">
        <v>15095.725</v>
      </c>
      <c r="AF31" s="61">
        <v>15129.749</v>
      </c>
      <c r="AG31" s="61">
        <v>15213.141</v>
      </c>
      <c r="AH31" s="61">
        <v>15282.795</v>
      </c>
      <c r="AI31" s="61">
        <v>15371.27</v>
      </c>
      <c r="AJ31" s="61">
        <v>15471.807000000001</v>
      </c>
      <c r="AK31" s="61">
        <v>15550.281000000001</v>
      </c>
      <c r="AL31" s="61">
        <v>15618.663</v>
      </c>
      <c r="AM31" s="61">
        <v>15664.206</v>
      </c>
      <c r="AN31" s="61">
        <v>15722.521000000001</v>
      </c>
      <c r="AO31" s="61">
        <v>15800.314</v>
      </c>
      <c r="AP31" s="61">
        <v>15854.807000000001</v>
      </c>
      <c r="AQ31" s="61">
        <v>15877.597</v>
      </c>
      <c r="AR31" s="61">
        <v>15875.03</v>
      </c>
      <c r="AS31" s="61">
        <v>15860.937</v>
      </c>
      <c r="AT31" s="61">
        <v>15827.467000000001</v>
      </c>
      <c r="AU31" s="61">
        <v>15786.088</v>
      </c>
      <c r="AV31" s="61">
        <v>15677.254999999999</v>
      </c>
      <c r="AW31" s="61">
        <v>15572.022000000001</v>
      </c>
      <c r="AX31" s="61">
        <v>15462.213</v>
      </c>
      <c r="AY31" s="61">
        <v>15340.409</v>
      </c>
      <c r="AZ31" s="61">
        <v>15216.386</v>
      </c>
      <c r="BA31" s="61">
        <v>15109.496999999999</v>
      </c>
      <c r="BB31" s="61">
        <v>15019.057000000001</v>
      </c>
      <c r="BC31" s="61">
        <v>14930.776</v>
      </c>
      <c r="BD31" s="61">
        <v>14835.008</v>
      </c>
      <c r="BE31" s="61">
        <v>14759.339</v>
      </c>
      <c r="BF31" s="61">
        <v>14699.721</v>
      </c>
      <c r="BG31" s="61">
        <v>14648.471</v>
      </c>
      <c r="BH31" s="61">
        <v>14611.045</v>
      </c>
      <c r="BI31" s="61">
        <v>14595.225</v>
      </c>
      <c r="BJ31" s="61">
        <v>14575.713</v>
      </c>
      <c r="BK31" s="61">
        <v>14592.982</v>
      </c>
      <c r="BL31" s="61">
        <v>14614.516</v>
      </c>
      <c r="BM31" s="61">
        <v>14636.605</v>
      </c>
      <c r="BN31" s="61">
        <v>14662.365</v>
      </c>
      <c r="BO31" s="61">
        <v>14692.627</v>
      </c>
      <c r="BP31" s="61">
        <v>14726.099</v>
      </c>
      <c r="BQ31" s="61">
        <v>14760.767</v>
      </c>
      <c r="BR31" s="61">
        <v>14795.550999999999</v>
      </c>
      <c r="BS31" s="61">
        <v>14829.683000000001</v>
      </c>
      <c r="BT31" s="61">
        <v>14862.529</v>
      </c>
      <c r="BU31" s="61">
        <v>14892.192999999999</v>
      </c>
      <c r="BV31" s="61">
        <v>14916.504999999999</v>
      </c>
      <c r="BW31" s="61">
        <v>14934.564</v>
      </c>
      <c r="BX31" s="61">
        <v>14945.724</v>
      </c>
      <c r="BY31" s="61">
        <v>14949.375</v>
      </c>
      <c r="BZ31" s="61">
        <v>14944.958000000001</v>
      </c>
      <c r="CA31" s="61">
        <v>14932.210999999999</v>
      </c>
      <c r="CB31" s="61">
        <v>14911.593000000001</v>
      </c>
      <c r="CC31" s="61">
        <v>14883.901</v>
      </c>
      <c r="CD31" s="61">
        <v>14850.064</v>
      </c>
      <c r="CE31" s="61">
        <v>14811.276</v>
      </c>
      <c r="CF31" s="61">
        <v>14768.91</v>
      </c>
      <c r="CG31" s="61">
        <v>14724.194</v>
      </c>
      <c r="CH31" s="61">
        <v>14678.239</v>
      </c>
      <c r="CI31" s="61">
        <v>14632.085999999999</v>
      </c>
      <c r="CJ31" s="61">
        <v>14587.39</v>
      </c>
      <c r="CK31" s="61">
        <v>14545.866</v>
      </c>
      <c r="CL31" s="61">
        <v>14508.501</v>
      </c>
      <c r="CM31" s="61">
        <v>14475.972</v>
      </c>
      <c r="CN31" s="61">
        <v>14448.689</v>
      </c>
      <c r="CO31" s="61">
        <v>14426.983</v>
      </c>
      <c r="CP31" s="61">
        <v>14411.02</v>
      </c>
      <c r="CQ31" s="61">
        <v>14400.534</v>
      </c>
      <c r="CR31" s="61">
        <v>14395.084999999999</v>
      </c>
      <c r="CS31" s="61">
        <v>14394.032999999999</v>
      </c>
      <c r="CT31" s="61">
        <v>14396.84</v>
      </c>
      <c r="CU31" s="61">
        <v>14402.944</v>
      </c>
      <c r="CV31" s="61">
        <v>14411.548000000001</v>
      </c>
      <c r="CW31" s="61">
        <v>14421.888000000001</v>
      </c>
      <c r="CX31" s="61">
        <v>14433.154</v>
      </c>
    </row>
    <row r="32" spans="1:103" s="62" customFormat="1" ht="15" customHeight="1">
      <c r="A32" s="39" t="s">
        <v>424</v>
      </c>
      <c r="B32" s="61">
        <v>10693.165000000001</v>
      </c>
      <c r="C32" s="61">
        <v>10803.975</v>
      </c>
      <c r="D32" s="61">
        <v>10974.592000000001</v>
      </c>
      <c r="E32" s="61">
        <v>11168.079</v>
      </c>
      <c r="F32" s="61">
        <v>11364.796</v>
      </c>
      <c r="G32" s="61">
        <v>11570.412</v>
      </c>
      <c r="H32" s="61">
        <v>11754.375</v>
      </c>
      <c r="I32" s="61">
        <v>11931.921</v>
      </c>
      <c r="J32" s="61">
        <v>12089.527</v>
      </c>
      <c r="K32" s="61">
        <v>12244.996999999999</v>
      </c>
      <c r="L32" s="61">
        <v>12345.085999999999</v>
      </c>
      <c r="M32" s="61">
        <v>12387.728999999999</v>
      </c>
      <c r="N32" s="61">
        <v>12383.19</v>
      </c>
      <c r="O32" s="61">
        <v>12353.615</v>
      </c>
      <c r="P32" s="61">
        <v>12285.392</v>
      </c>
      <c r="Q32" s="61">
        <v>12177.877</v>
      </c>
      <c r="R32" s="61">
        <v>12071.464</v>
      </c>
      <c r="S32" s="61">
        <v>12010.957</v>
      </c>
      <c r="T32" s="61">
        <v>11980.822</v>
      </c>
      <c r="U32" s="61">
        <v>11959.342000000001</v>
      </c>
      <c r="V32" s="61">
        <v>11932.687</v>
      </c>
      <c r="W32" s="61">
        <v>11921.953</v>
      </c>
      <c r="X32" s="61">
        <v>11916.22</v>
      </c>
      <c r="Y32" s="61">
        <v>11962.214</v>
      </c>
      <c r="Z32" s="61">
        <v>12001.136</v>
      </c>
      <c r="AA32" s="61">
        <v>12082.200999999999</v>
      </c>
      <c r="AB32" s="61">
        <v>12218.937</v>
      </c>
      <c r="AC32" s="61">
        <v>12378.948</v>
      </c>
      <c r="AD32" s="61">
        <v>12560.4</v>
      </c>
      <c r="AE32" s="61">
        <v>12765.611000000001</v>
      </c>
      <c r="AF32" s="61">
        <v>12981.619000000001</v>
      </c>
      <c r="AG32" s="61">
        <v>13167.645</v>
      </c>
      <c r="AH32" s="61">
        <v>13310.698</v>
      </c>
      <c r="AI32" s="61">
        <v>13410.476000000001</v>
      </c>
      <c r="AJ32" s="61">
        <v>13508.950999999999</v>
      </c>
      <c r="AK32" s="61">
        <v>13634.431</v>
      </c>
      <c r="AL32" s="61">
        <v>13743.174999999999</v>
      </c>
      <c r="AM32" s="61">
        <v>13853.698</v>
      </c>
      <c r="AN32" s="61">
        <v>13921.098</v>
      </c>
      <c r="AO32" s="61">
        <v>13968.763000000001</v>
      </c>
      <c r="AP32" s="61">
        <v>14007.945</v>
      </c>
      <c r="AQ32" s="61">
        <v>14038.627</v>
      </c>
      <c r="AR32" s="61">
        <v>14090.478999999999</v>
      </c>
      <c r="AS32" s="61">
        <v>14129.718000000001</v>
      </c>
      <c r="AT32" s="61">
        <v>14157.313</v>
      </c>
      <c r="AU32" s="61">
        <v>14201.053</v>
      </c>
      <c r="AV32" s="61">
        <v>14290.885</v>
      </c>
      <c r="AW32" s="61">
        <v>14367.964</v>
      </c>
      <c r="AX32" s="61">
        <v>14462.002</v>
      </c>
      <c r="AY32" s="61">
        <v>14567.371999999999</v>
      </c>
      <c r="AZ32" s="61">
        <v>14652.994000000001</v>
      </c>
      <c r="BA32" s="61">
        <v>14727.852999999999</v>
      </c>
      <c r="BB32" s="61">
        <v>14780.97</v>
      </c>
      <c r="BC32" s="61">
        <v>14845.061</v>
      </c>
      <c r="BD32" s="61">
        <v>14926.601000000001</v>
      </c>
      <c r="BE32" s="61">
        <v>14985.464</v>
      </c>
      <c r="BF32" s="61">
        <v>15014.761</v>
      </c>
      <c r="BG32" s="61">
        <v>15020.601000000001</v>
      </c>
      <c r="BH32" s="61">
        <v>15015.038</v>
      </c>
      <c r="BI32" s="61">
        <v>14990.453</v>
      </c>
      <c r="BJ32" s="61">
        <v>14959.205</v>
      </c>
      <c r="BK32" s="61">
        <v>14865.041999999999</v>
      </c>
      <c r="BL32" s="61">
        <v>14774.272999999999</v>
      </c>
      <c r="BM32" s="61">
        <v>14679.877</v>
      </c>
      <c r="BN32" s="61">
        <v>14575.05</v>
      </c>
      <c r="BO32" s="61">
        <v>14468.459000000001</v>
      </c>
      <c r="BP32" s="61">
        <v>14377.593000000001</v>
      </c>
      <c r="BQ32" s="61">
        <v>14301.824000000001</v>
      </c>
      <c r="BR32" s="61">
        <v>14228.285</v>
      </c>
      <c r="BS32" s="61">
        <v>14148.376</v>
      </c>
      <c r="BT32" s="61">
        <v>14086.94</v>
      </c>
      <c r="BU32" s="61">
        <v>14040.35</v>
      </c>
      <c r="BV32" s="61">
        <v>14001.717000000001</v>
      </c>
      <c r="BW32" s="61">
        <v>13975.859</v>
      </c>
      <c r="BX32" s="61">
        <v>13969.887000000001</v>
      </c>
      <c r="BY32" s="61">
        <v>13960.825000000001</v>
      </c>
      <c r="BZ32" s="61">
        <v>13985.457</v>
      </c>
      <c r="CA32" s="61">
        <v>14014.078</v>
      </c>
      <c r="CB32" s="61">
        <v>14043.298000000001</v>
      </c>
      <c r="CC32" s="61">
        <v>14075.962</v>
      </c>
      <c r="CD32" s="61">
        <v>14112.79</v>
      </c>
      <c r="CE32" s="61">
        <v>14152.532999999999</v>
      </c>
      <c r="CF32" s="61">
        <v>14193.282999999999</v>
      </c>
      <c r="CG32" s="61">
        <v>14234.008</v>
      </c>
      <c r="CH32" s="61">
        <v>14273.968000000001</v>
      </c>
      <c r="CI32" s="61">
        <v>14312.531999999999</v>
      </c>
      <c r="CJ32" s="61">
        <v>14347.903</v>
      </c>
      <c r="CK32" s="61">
        <v>14378.001</v>
      </c>
      <c r="CL32" s="61">
        <v>14401.957</v>
      </c>
      <c r="CM32" s="61">
        <v>14419.169</v>
      </c>
      <c r="CN32" s="61">
        <v>14429.079</v>
      </c>
      <c r="CO32" s="61">
        <v>14431.171</v>
      </c>
      <c r="CP32" s="61">
        <v>14425.231</v>
      </c>
      <c r="CQ32" s="61">
        <v>14411.714</v>
      </c>
      <c r="CR32" s="61">
        <v>14391.424000000001</v>
      </c>
      <c r="CS32" s="61">
        <v>14365.242</v>
      </c>
      <c r="CT32" s="61">
        <v>14334.316999999999</v>
      </c>
      <c r="CU32" s="61">
        <v>14299.968999999999</v>
      </c>
      <c r="CV32" s="61">
        <v>14263.388000000001</v>
      </c>
      <c r="CW32" s="61">
        <v>14225.620999999999</v>
      </c>
      <c r="CX32" s="61">
        <v>14187.684999999999</v>
      </c>
    </row>
    <row r="33" spans="1:102" s="62" customFormat="1" ht="15" customHeight="1">
      <c r="A33" s="39" t="s">
        <v>425</v>
      </c>
      <c r="B33" s="61">
        <v>6120.8019999999997</v>
      </c>
      <c r="C33" s="61">
        <v>6319.2650000000003</v>
      </c>
      <c r="D33" s="61">
        <v>6487.51</v>
      </c>
      <c r="E33" s="61">
        <v>6630.2120000000004</v>
      </c>
      <c r="F33" s="61">
        <v>6755.0739999999996</v>
      </c>
      <c r="G33" s="61">
        <v>6866.4440000000004</v>
      </c>
      <c r="H33" s="61">
        <v>6985.6440000000002</v>
      </c>
      <c r="I33" s="61">
        <v>7103.64</v>
      </c>
      <c r="J33" s="61">
        <v>7210.6869999999999</v>
      </c>
      <c r="K33" s="61">
        <v>7330.518</v>
      </c>
      <c r="L33" s="61">
        <v>7462.2039999999997</v>
      </c>
      <c r="M33" s="61">
        <v>7609.5060000000003</v>
      </c>
      <c r="N33" s="61">
        <v>7763.0060000000003</v>
      </c>
      <c r="O33" s="61">
        <v>7922.1890000000003</v>
      </c>
      <c r="P33" s="61">
        <v>8097.3109999999997</v>
      </c>
      <c r="Q33" s="61">
        <v>8286.9169999999995</v>
      </c>
      <c r="R33" s="61">
        <v>8482.9040000000005</v>
      </c>
      <c r="S33" s="61">
        <v>8684.7790000000005</v>
      </c>
      <c r="T33" s="61">
        <v>8885.5529999999999</v>
      </c>
      <c r="U33" s="61">
        <v>9071.4110000000001</v>
      </c>
      <c r="V33" s="61">
        <v>9250.3119999999999</v>
      </c>
      <c r="W33" s="61">
        <v>9415.7710000000006</v>
      </c>
      <c r="X33" s="61">
        <v>9574.5529999999999</v>
      </c>
      <c r="Y33" s="61">
        <v>9708.6090000000004</v>
      </c>
      <c r="Z33" s="61">
        <v>9854.0319999999992</v>
      </c>
      <c r="AA33" s="61">
        <v>9965.1149999999998</v>
      </c>
      <c r="AB33" s="61">
        <v>10043.719999999999</v>
      </c>
      <c r="AC33" s="61">
        <v>10090.781000000001</v>
      </c>
      <c r="AD33" s="61">
        <v>10124.695</v>
      </c>
      <c r="AE33" s="61">
        <v>10142.451999999999</v>
      </c>
      <c r="AF33" s="61">
        <v>10142.286</v>
      </c>
      <c r="AG33" s="61">
        <v>10151.781999999999</v>
      </c>
      <c r="AH33" s="61">
        <v>10208.602000000001</v>
      </c>
      <c r="AI33" s="61">
        <v>10293.137000000001</v>
      </c>
      <c r="AJ33" s="61">
        <v>10374.786</v>
      </c>
      <c r="AK33" s="61">
        <v>10448.664000000001</v>
      </c>
      <c r="AL33" s="61">
        <v>10527.74</v>
      </c>
      <c r="AM33" s="61">
        <v>10608.684999999999</v>
      </c>
      <c r="AN33" s="61">
        <v>10716.63</v>
      </c>
      <c r="AO33" s="61">
        <v>10832.22</v>
      </c>
      <c r="AP33" s="61">
        <v>10959.047</v>
      </c>
      <c r="AQ33" s="61">
        <v>11110.616</v>
      </c>
      <c r="AR33" s="61">
        <v>11259.777</v>
      </c>
      <c r="AS33" s="61">
        <v>11421.2</v>
      </c>
      <c r="AT33" s="61">
        <v>11594.026</v>
      </c>
      <c r="AU33" s="61">
        <v>11765.217000000001</v>
      </c>
      <c r="AV33" s="61">
        <v>11922.710999999999</v>
      </c>
      <c r="AW33" s="61">
        <v>12087.361000000001</v>
      </c>
      <c r="AX33" s="61">
        <v>12240.598</v>
      </c>
      <c r="AY33" s="61">
        <v>12391.12</v>
      </c>
      <c r="AZ33" s="61">
        <v>12558.217000000001</v>
      </c>
      <c r="BA33" s="61">
        <v>12713.253000000001</v>
      </c>
      <c r="BB33" s="61">
        <v>12868.226000000001</v>
      </c>
      <c r="BC33" s="61">
        <v>13004.582</v>
      </c>
      <c r="BD33" s="61">
        <v>13125.231</v>
      </c>
      <c r="BE33" s="61">
        <v>13242.62</v>
      </c>
      <c r="BF33" s="61">
        <v>13368.191999999999</v>
      </c>
      <c r="BG33" s="61">
        <v>13504.338</v>
      </c>
      <c r="BH33" s="61">
        <v>13634.133</v>
      </c>
      <c r="BI33" s="61">
        <v>13758.081</v>
      </c>
      <c r="BJ33" s="61">
        <v>13889.951999999999</v>
      </c>
      <c r="BK33" s="61">
        <v>14046.335999999999</v>
      </c>
      <c r="BL33" s="61">
        <v>14194.071</v>
      </c>
      <c r="BM33" s="61">
        <v>14344.24</v>
      </c>
      <c r="BN33" s="61">
        <v>14500.696</v>
      </c>
      <c r="BO33" s="61">
        <v>14654.097</v>
      </c>
      <c r="BP33" s="61">
        <v>14787.897000000001</v>
      </c>
      <c r="BQ33" s="61">
        <v>14904.143</v>
      </c>
      <c r="BR33" s="61">
        <v>15016.450999999999</v>
      </c>
      <c r="BS33" s="61">
        <v>15133.888000000001</v>
      </c>
      <c r="BT33" s="61">
        <v>15231.999</v>
      </c>
      <c r="BU33" s="61">
        <v>15315.108</v>
      </c>
      <c r="BV33" s="61">
        <v>15390.891</v>
      </c>
      <c r="BW33" s="61">
        <v>15454.924000000001</v>
      </c>
      <c r="BX33" s="61">
        <v>15500.427</v>
      </c>
      <c r="BY33" s="61">
        <v>15550.797</v>
      </c>
      <c r="BZ33" s="61">
        <v>15569.607</v>
      </c>
      <c r="CA33" s="61">
        <v>15586.686</v>
      </c>
      <c r="CB33" s="61">
        <v>15605.17</v>
      </c>
      <c r="CC33" s="61">
        <v>15621.963</v>
      </c>
      <c r="CD33" s="61">
        <v>15636.075999999999</v>
      </c>
      <c r="CE33" s="61">
        <v>15648.106</v>
      </c>
      <c r="CF33" s="61">
        <v>15659.273999999999</v>
      </c>
      <c r="CG33" s="61">
        <v>15670.349</v>
      </c>
      <c r="CH33" s="61">
        <v>15681.99</v>
      </c>
      <c r="CI33" s="61">
        <v>15694.873</v>
      </c>
      <c r="CJ33" s="61">
        <v>15710.1</v>
      </c>
      <c r="CK33" s="61">
        <v>15728.927</v>
      </c>
      <c r="CL33" s="61">
        <v>15752.311</v>
      </c>
      <c r="CM33" s="61">
        <v>15781.08</v>
      </c>
      <c r="CN33" s="61">
        <v>15816.111000000001</v>
      </c>
      <c r="CO33" s="61">
        <v>15858.102000000001</v>
      </c>
      <c r="CP33" s="61">
        <v>15907.433000000001</v>
      </c>
      <c r="CQ33" s="61">
        <v>15964.076999999999</v>
      </c>
      <c r="CR33" s="61">
        <v>16027.731</v>
      </c>
      <c r="CS33" s="61">
        <v>16097.946</v>
      </c>
      <c r="CT33" s="61">
        <v>16173.745999999999</v>
      </c>
      <c r="CU33" s="61">
        <v>16253.927</v>
      </c>
      <c r="CV33" s="61">
        <v>16337.501</v>
      </c>
      <c r="CW33" s="61">
        <v>16423.476999999999</v>
      </c>
      <c r="CX33" s="61">
        <v>16510.916000000001</v>
      </c>
    </row>
    <row r="34" spans="1:102" s="62" customFormat="1" ht="15" customHeight="1">
      <c r="A34" s="39" t="s">
        <v>426</v>
      </c>
      <c r="B34" s="61">
        <v>67602.760999999999</v>
      </c>
      <c r="C34" s="61">
        <v>68492.494999999995</v>
      </c>
      <c r="D34" s="61">
        <v>69226.231</v>
      </c>
      <c r="E34" s="61">
        <v>69584.497000000003</v>
      </c>
      <c r="F34" s="61">
        <v>69850.426000000007</v>
      </c>
      <c r="G34" s="61">
        <v>70106.548999999999</v>
      </c>
      <c r="H34" s="61">
        <v>70387.142000000007</v>
      </c>
      <c r="I34" s="61">
        <v>70696.611000000004</v>
      </c>
      <c r="J34" s="61">
        <v>71011.585000000006</v>
      </c>
      <c r="K34" s="61">
        <v>71318.66</v>
      </c>
      <c r="L34" s="61">
        <v>71617.736999999994</v>
      </c>
      <c r="M34" s="61">
        <v>71909.247000000003</v>
      </c>
      <c r="N34" s="61">
        <v>72193.850999999995</v>
      </c>
      <c r="O34" s="61">
        <v>72472.001000000004</v>
      </c>
      <c r="P34" s="61">
        <v>72744.274000000005</v>
      </c>
      <c r="Q34" s="61">
        <v>73011.327000000005</v>
      </c>
      <c r="R34" s="61">
        <v>73273.896999999997</v>
      </c>
      <c r="S34" s="61">
        <v>73532.486999999994</v>
      </c>
      <c r="T34" s="61">
        <v>73787.498000000007</v>
      </c>
      <c r="U34" s="61">
        <v>74039.146999999997</v>
      </c>
      <c r="V34" s="61">
        <v>74287.558000000005</v>
      </c>
      <c r="W34" s="61">
        <v>74532.479999999996</v>
      </c>
      <c r="X34" s="61">
        <v>74773.337</v>
      </c>
      <c r="Y34" s="61">
        <v>75009.672999999995</v>
      </c>
      <c r="Z34" s="61">
        <v>75241.096999999994</v>
      </c>
      <c r="AA34" s="61">
        <v>75467.100000000006</v>
      </c>
      <c r="AB34" s="61">
        <v>75686.179000000004</v>
      </c>
      <c r="AC34" s="61">
        <v>75896.638000000006</v>
      </c>
      <c r="AD34" s="61">
        <v>76097.808999999994</v>
      </c>
      <c r="AE34" s="61">
        <v>76289.212</v>
      </c>
      <c r="AF34" s="61">
        <v>76470.676999999996</v>
      </c>
      <c r="AG34" s="61">
        <v>76642.198000000004</v>
      </c>
      <c r="AH34" s="61">
        <v>76803.913</v>
      </c>
      <c r="AI34" s="61">
        <v>76956.519</v>
      </c>
      <c r="AJ34" s="61">
        <v>77101.106</v>
      </c>
      <c r="AK34" s="61">
        <v>77238.857000000004</v>
      </c>
      <c r="AL34" s="61">
        <v>77370.850999999995</v>
      </c>
      <c r="AM34" s="61">
        <v>77498.203999999998</v>
      </c>
      <c r="AN34" s="61">
        <v>77622.122000000003</v>
      </c>
      <c r="AO34" s="61">
        <v>77743.703999999998</v>
      </c>
      <c r="AP34" s="61">
        <v>77863.948999999993</v>
      </c>
      <c r="AQ34" s="61">
        <v>77983.501999999993</v>
      </c>
      <c r="AR34" s="61">
        <v>78102.845000000001</v>
      </c>
      <c r="AS34" s="61">
        <v>78222.456000000006</v>
      </c>
      <c r="AT34" s="61">
        <v>78342.623000000007</v>
      </c>
      <c r="AU34" s="61">
        <v>78463.256999999998</v>
      </c>
      <c r="AV34" s="61">
        <v>78584.182000000001</v>
      </c>
      <c r="AW34" s="61">
        <v>78704.879000000001</v>
      </c>
      <c r="AX34" s="61">
        <v>78824.737999999998</v>
      </c>
      <c r="AY34" s="61">
        <v>78942.971000000005</v>
      </c>
      <c r="AZ34" s="61">
        <v>79058.665999999997</v>
      </c>
      <c r="BA34" s="61">
        <v>79170.899000000005</v>
      </c>
      <c r="BB34" s="61">
        <v>79278.778000000006</v>
      </c>
      <c r="BC34" s="61">
        <v>79381.562000000005</v>
      </c>
      <c r="BD34" s="61">
        <v>79478.528999999995</v>
      </c>
      <c r="BE34" s="61">
        <v>79569.187999999995</v>
      </c>
      <c r="BF34" s="61">
        <v>79653.2</v>
      </c>
      <c r="BG34" s="61">
        <v>79730.365000000005</v>
      </c>
      <c r="BH34" s="61">
        <v>79800.581999999995</v>
      </c>
      <c r="BI34" s="61">
        <v>79863.884999999995</v>
      </c>
      <c r="BJ34" s="61">
        <v>79920.417000000001</v>
      </c>
      <c r="BK34" s="61">
        <v>79970.331999999995</v>
      </c>
      <c r="BL34" s="61">
        <v>80013.941000000006</v>
      </c>
      <c r="BM34" s="61">
        <v>80051.607000000004</v>
      </c>
      <c r="BN34" s="61">
        <v>80083.735000000001</v>
      </c>
      <c r="BO34" s="61">
        <v>80110.804000000004</v>
      </c>
      <c r="BP34" s="61">
        <v>80133.301999999996</v>
      </c>
      <c r="BQ34" s="61">
        <v>80151.657999999996</v>
      </c>
      <c r="BR34" s="61">
        <v>80166.324999999997</v>
      </c>
      <c r="BS34" s="61">
        <v>80177.728000000003</v>
      </c>
      <c r="BT34" s="61">
        <v>80186.307000000001</v>
      </c>
      <c r="BU34" s="61">
        <v>80192.392000000007</v>
      </c>
      <c r="BV34" s="61">
        <v>80196.274000000005</v>
      </c>
      <c r="BW34" s="61">
        <v>80198.191999999995</v>
      </c>
      <c r="BX34" s="61">
        <v>80198.338000000003</v>
      </c>
      <c r="BY34" s="61">
        <v>80196.877999999997</v>
      </c>
      <c r="BZ34" s="61">
        <v>80193.956999999995</v>
      </c>
      <c r="CA34" s="61">
        <v>80189.673999999999</v>
      </c>
      <c r="CB34" s="61">
        <v>80184.073000000004</v>
      </c>
      <c r="CC34" s="61">
        <v>80177.255000000005</v>
      </c>
      <c r="CD34" s="61">
        <v>80169.381999999998</v>
      </c>
      <c r="CE34" s="61">
        <v>80160.626000000004</v>
      </c>
      <c r="CF34" s="61">
        <v>80151.23</v>
      </c>
      <c r="CG34" s="61">
        <v>80141.584000000003</v>
      </c>
      <c r="CH34" s="61">
        <v>80132.145000000004</v>
      </c>
      <c r="CI34" s="61">
        <v>80123.373999999996</v>
      </c>
      <c r="CJ34" s="61">
        <v>80115.792000000001</v>
      </c>
      <c r="CK34" s="61">
        <v>80109.933000000005</v>
      </c>
      <c r="CL34" s="61">
        <v>80106.304999999993</v>
      </c>
      <c r="CM34" s="61">
        <v>80105.319000000003</v>
      </c>
      <c r="CN34" s="61">
        <v>80107.360000000001</v>
      </c>
      <c r="CO34" s="61">
        <v>80112.668000000005</v>
      </c>
      <c r="CP34" s="61">
        <v>80121.38</v>
      </c>
      <c r="CQ34" s="61">
        <v>80133.539999999994</v>
      </c>
      <c r="CR34" s="61">
        <v>80149.062999999995</v>
      </c>
      <c r="CS34" s="61">
        <v>80167.744000000006</v>
      </c>
      <c r="CT34" s="61">
        <v>80189.311000000002</v>
      </c>
      <c r="CU34" s="61">
        <v>80213.442999999999</v>
      </c>
      <c r="CV34" s="61">
        <v>80239.733999999997</v>
      </c>
      <c r="CW34" s="61">
        <v>80267.724000000002</v>
      </c>
      <c r="CX34" s="61">
        <v>80296.955000000002</v>
      </c>
    </row>
    <row r="35" spans="1:102" s="62" customFormat="1" ht="15" customHeight="1">
      <c r="A35" s="39" t="s">
        <v>420</v>
      </c>
      <c r="B35" s="63">
        <v>0.17170010260379751</v>
      </c>
      <c r="C35" s="63">
        <v>0.16888241551136371</v>
      </c>
      <c r="D35" s="63">
        <v>0.1662417241811128</v>
      </c>
      <c r="E35" s="63">
        <v>0.16373425822133919</v>
      </c>
      <c r="F35" s="63">
        <v>0.1611111147697224</v>
      </c>
      <c r="G35" s="63">
        <v>0.15848553606596719</v>
      </c>
      <c r="H35" s="63">
        <v>0.15613316136631891</v>
      </c>
      <c r="I35" s="63">
        <v>0.15404305589697931</v>
      </c>
      <c r="J35" s="63">
        <v>0.1520121681553791</v>
      </c>
      <c r="K35" s="63">
        <v>0.14990369981713059</v>
      </c>
      <c r="L35" s="63">
        <v>0.14812266408250241</v>
      </c>
      <c r="M35" s="63">
        <v>0.14660362108923211</v>
      </c>
      <c r="N35" s="63">
        <v>0.14522932153875551</v>
      </c>
      <c r="O35" s="63">
        <v>0.14407702086216709</v>
      </c>
      <c r="P35" s="63">
        <v>0.14325405185843221</v>
      </c>
      <c r="Q35" s="63">
        <v>0.14239282351353511</v>
      </c>
      <c r="R35" s="63">
        <v>0.14206965135210431</v>
      </c>
      <c r="S35" s="63">
        <v>0.14181622879149999</v>
      </c>
      <c r="T35" s="63">
        <v>0.14157865875869649</v>
      </c>
      <c r="U35" s="63">
        <v>0.14140027842298081</v>
      </c>
      <c r="V35" s="63">
        <v>0.1412918970899541</v>
      </c>
      <c r="W35" s="63">
        <v>0.1412358075298179</v>
      </c>
      <c r="X35" s="63">
        <v>0.14120525341807341</v>
      </c>
      <c r="Y35" s="63">
        <v>0.1411857241398719</v>
      </c>
      <c r="Z35" s="63">
        <v>0.1411675590003692</v>
      </c>
      <c r="AA35" s="63">
        <v>0.1411433989115787</v>
      </c>
      <c r="AB35" s="63">
        <v>0.1410904757128775</v>
      </c>
      <c r="AC35" s="63">
        <v>0.14098293787400701</v>
      </c>
      <c r="AD35" s="63">
        <v>0.14081044041622801</v>
      </c>
      <c r="AE35" s="63">
        <v>0.14056490713261011</v>
      </c>
      <c r="AF35" s="63">
        <v>0.14023954567578889</v>
      </c>
      <c r="AG35" s="63">
        <v>0.13982692667556321</v>
      </c>
      <c r="AH35" s="63">
        <v>0.13932356545427571</v>
      </c>
      <c r="AI35" s="63">
        <v>0.13873451058772551</v>
      </c>
      <c r="AJ35" s="63">
        <v>0.13806890137218009</v>
      </c>
      <c r="AK35" s="63">
        <v>0.13733670346778951</v>
      </c>
      <c r="AL35" s="63">
        <v>0.13655192961493989</v>
      </c>
      <c r="AM35" s="63">
        <v>0.13573092609991319</v>
      </c>
      <c r="AN35" s="63">
        <v>0.13488783519729081</v>
      </c>
      <c r="AO35" s="63">
        <v>0.13403502102240969</v>
      </c>
      <c r="AP35" s="63">
        <v>0.13318456273005111</v>
      </c>
      <c r="AQ35" s="63">
        <v>0.13235691826201909</v>
      </c>
      <c r="AR35" s="63">
        <v>0.13157399067857259</v>
      </c>
      <c r="AS35" s="63">
        <v>0.13084750241030529</v>
      </c>
      <c r="AT35" s="63">
        <v>0.13018601636557409</v>
      </c>
      <c r="AU35" s="63">
        <v>0.12959402131369591</v>
      </c>
      <c r="AV35" s="63">
        <v>0.1290760652060996</v>
      </c>
      <c r="AW35" s="63">
        <v>0.12863513836289611</v>
      </c>
      <c r="AX35" s="63">
        <v>0.128268501190578</v>
      </c>
      <c r="AY35" s="63">
        <v>0.1279711274104442</v>
      </c>
      <c r="AZ35" s="63">
        <v>0.1277358765451469</v>
      </c>
      <c r="BA35" s="63">
        <v>0.12755712171463399</v>
      </c>
      <c r="BB35" s="63">
        <v>0.1274285156110756</v>
      </c>
      <c r="BC35" s="63">
        <v>0.12734115763557291</v>
      </c>
      <c r="BD35" s="63">
        <v>0.1272861127059863</v>
      </c>
      <c r="BE35" s="63">
        <v>0.12725379326479991</v>
      </c>
      <c r="BF35" s="63">
        <v>0.12723660819653199</v>
      </c>
      <c r="BG35" s="63">
        <v>0.12722762525920961</v>
      </c>
      <c r="BH35" s="63">
        <v>0.1272172551322997</v>
      </c>
      <c r="BI35" s="63">
        <v>0.1271972556807123</v>
      </c>
      <c r="BJ35" s="63">
        <v>0.1271613985697797</v>
      </c>
      <c r="BK35" s="63">
        <v>0.12710459924062839</v>
      </c>
      <c r="BL35" s="63">
        <v>0.12702301465190921</v>
      </c>
      <c r="BM35" s="63">
        <v>0.1269140543299774</v>
      </c>
      <c r="BN35" s="63">
        <v>0.126775443228266</v>
      </c>
      <c r="BO35" s="63">
        <v>0.1266072176731618</v>
      </c>
      <c r="BP35" s="63">
        <v>0.12641066506906201</v>
      </c>
      <c r="BQ35" s="63">
        <v>0.12618790742918881</v>
      </c>
      <c r="BR35" s="63">
        <v>0.1259422581738654</v>
      </c>
      <c r="BS35" s="63">
        <v>0.12567798129675109</v>
      </c>
      <c r="BT35" s="63">
        <v>0.1253999638616603</v>
      </c>
      <c r="BU35" s="63">
        <v>0.1251135643890009</v>
      </c>
      <c r="BV35" s="63">
        <v>0.12482461466975379</v>
      </c>
      <c r="BW35" s="63">
        <v>0.1245390419774052</v>
      </c>
      <c r="BX35" s="63">
        <v>0.12426241301908281</v>
      </c>
      <c r="BY35" s="63">
        <v>0.12399988937225211</v>
      </c>
      <c r="BZ35" s="63">
        <v>0.12375627006408969</v>
      </c>
      <c r="CA35" s="63">
        <v>0.1235352696408268</v>
      </c>
      <c r="CB35" s="63">
        <v>0.1233399555545152</v>
      </c>
      <c r="CC35" s="63">
        <v>0.1231722637548517</v>
      </c>
      <c r="CD35" s="63">
        <v>0.12303293045217691</v>
      </c>
      <c r="CE35" s="63">
        <v>0.12292171969814709</v>
      </c>
      <c r="CF35" s="63">
        <v>0.1228373787900697</v>
      </c>
      <c r="CG35" s="63">
        <v>0.1227777204902763</v>
      </c>
      <c r="CH35" s="63">
        <v>0.1227397070177018</v>
      </c>
      <c r="CI35" s="63">
        <v>0.12271954498571171</v>
      </c>
      <c r="CJ35" s="63">
        <v>0.1227130351529197</v>
      </c>
      <c r="CK35" s="63">
        <v>0.12271549397001739</v>
      </c>
      <c r="CL35" s="63">
        <v>0.1227225747086949</v>
      </c>
      <c r="CM35" s="63">
        <v>0.12272954059392729</v>
      </c>
      <c r="CN35" s="63">
        <v>0.1227322308462044</v>
      </c>
      <c r="CO35" s="63">
        <v>0.1227266579113306</v>
      </c>
      <c r="CP35" s="63">
        <v>0.12270940665275611</v>
      </c>
      <c r="CQ35" s="63">
        <v>0.1226779323614057</v>
      </c>
      <c r="CR35" s="63">
        <v>0.1226301422887502</v>
      </c>
      <c r="CS35" s="63">
        <v>0.12256466890224579</v>
      </c>
      <c r="CT35" s="63">
        <v>0.12248095011067001</v>
      </c>
      <c r="CU35" s="63">
        <v>0.12237900073682161</v>
      </c>
      <c r="CV35" s="63">
        <v>0.12225955285444989</v>
      </c>
      <c r="CW35" s="63">
        <v>0.1221240432829514</v>
      </c>
      <c r="CX35" s="63">
        <v>0.1219740773482631</v>
      </c>
    </row>
    <row r="36" spans="1:102" s="62" customFormat="1" ht="15" customHeight="1">
      <c r="A36" s="39" t="s">
        <v>421</v>
      </c>
      <c r="B36" s="63">
        <v>0.1824382291131571</v>
      </c>
      <c r="C36" s="63">
        <v>0.18556500241376811</v>
      </c>
      <c r="D36" s="63">
        <v>0.18740257576640279</v>
      </c>
      <c r="E36" s="63">
        <v>0.18769907900606081</v>
      </c>
      <c r="F36" s="63">
        <v>0.18780094483604151</v>
      </c>
      <c r="G36" s="63">
        <v>0.18760248775046681</v>
      </c>
      <c r="H36" s="63">
        <v>0.18743771412113869</v>
      </c>
      <c r="I36" s="63">
        <v>0.18712128930763031</v>
      </c>
      <c r="J36" s="63">
        <v>0.18707341907661959</v>
      </c>
      <c r="K36" s="63">
        <v>0.1873324596956813</v>
      </c>
      <c r="L36" s="63">
        <v>0.1872804777397532</v>
      </c>
      <c r="M36" s="63">
        <v>0.18679332019705339</v>
      </c>
      <c r="N36" s="63">
        <v>0.18596581030148951</v>
      </c>
      <c r="O36" s="63">
        <v>0.1850019154293808</v>
      </c>
      <c r="P36" s="63">
        <v>0.18379123558233601</v>
      </c>
      <c r="Q36" s="63">
        <v>0.18248698588918949</v>
      </c>
      <c r="R36" s="63">
        <v>0.18025455913720551</v>
      </c>
      <c r="S36" s="63">
        <v>0.17809801537108361</v>
      </c>
      <c r="T36" s="63">
        <v>0.17589815824897601</v>
      </c>
      <c r="U36" s="63">
        <v>0.1735503111617426</v>
      </c>
      <c r="V36" s="63">
        <v>0.17119322996187331</v>
      </c>
      <c r="W36" s="63">
        <v>0.16909838502623289</v>
      </c>
      <c r="X36" s="63">
        <v>0.16725477960145069</v>
      </c>
      <c r="Y36" s="63">
        <v>0.16546113992524669</v>
      </c>
      <c r="Z36" s="63">
        <v>0.1635837127680369</v>
      </c>
      <c r="AA36" s="63">
        <v>0.16200592046070411</v>
      </c>
      <c r="AB36" s="63">
        <v>0.16067147477480659</v>
      </c>
      <c r="AC36" s="63">
        <v>0.15947545660718199</v>
      </c>
      <c r="AD36" s="63">
        <v>0.15849369592230969</v>
      </c>
      <c r="AE36" s="63">
        <v>0.15783053310342229</v>
      </c>
      <c r="AF36" s="63">
        <v>0.15713942221277841</v>
      </c>
      <c r="AG36" s="63">
        <v>0.1569699893001503</v>
      </c>
      <c r="AH36" s="63">
        <v>0.15687841321313931</v>
      </c>
      <c r="AI36" s="63">
        <v>0.15681253721988131</v>
      </c>
      <c r="AJ36" s="63">
        <v>0.15681244572548669</v>
      </c>
      <c r="AK36" s="63">
        <v>0.15688643605899039</v>
      </c>
      <c r="AL36" s="63">
        <v>0.15701486855818611</v>
      </c>
      <c r="AM36" s="63">
        <v>0.1571687261294468</v>
      </c>
      <c r="AN36" s="63">
        <v>0.15733141126958619</v>
      </c>
      <c r="AO36" s="63">
        <v>0.15749070818647901</v>
      </c>
      <c r="AP36" s="63">
        <v>0.15763609677695639</v>
      </c>
      <c r="AQ36" s="63">
        <v>0.15774177466408221</v>
      </c>
      <c r="AR36" s="63">
        <v>0.1577787979426358</v>
      </c>
      <c r="AS36" s="63">
        <v>0.15773461523632029</v>
      </c>
      <c r="AT36" s="63">
        <v>0.15760008443934789</v>
      </c>
      <c r="AU36" s="63">
        <v>0.15736830807316601</v>
      </c>
      <c r="AV36" s="63">
        <v>0.1570324928749656</v>
      </c>
      <c r="AW36" s="63">
        <v>0.15659044466607969</v>
      </c>
      <c r="AX36" s="63">
        <v>0.1560499953707426</v>
      </c>
      <c r="AY36" s="63">
        <v>0.1554235271940804</v>
      </c>
      <c r="AZ36" s="63">
        <v>0.15472470785176159</v>
      </c>
      <c r="BA36" s="63">
        <v>0.15397074119368029</v>
      </c>
      <c r="BB36" s="63">
        <v>0.15318152355981071</v>
      </c>
      <c r="BC36" s="63">
        <v>0.15237422513807419</v>
      </c>
      <c r="BD36" s="63">
        <v>0.15156412872211061</v>
      </c>
      <c r="BE36" s="63">
        <v>0.15076539426291499</v>
      </c>
      <c r="BF36" s="63">
        <v>0.14999972380268459</v>
      </c>
      <c r="BG36" s="63">
        <v>0.14928932032356809</v>
      </c>
      <c r="BH36" s="63">
        <v>0.14864674796482061</v>
      </c>
      <c r="BI36" s="63">
        <v>0.14808027433175841</v>
      </c>
      <c r="BJ36" s="63">
        <v>0.14759407474062611</v>
      </c>
      <c r="BK36" s="63">
        <v>0.14719188611096429</v>
      </c>
      <c r="BL36" s="63">
        <v>0.14687559259204591</v>
      </c>
      <c r="BM36" s="63">
        <v>0.14664075388267969</v>
      </c>
      <c r="BN36" s="63">
        <v>0.14648066801579621</v>
      </c>
      <c r="BO36" s="63">
        <v>0.14638619779674161</v>
      </c>
      <c r="BP36" s="63">
        <v>0.14634981596041061</v>
      </c>
      <c r="BQ36" s="63">
        <v>0.1463631107917942</v>
      </c>
      <c r="BR36" s="63">
        <v>0.14641541819460979</v>
      </c>
      <c r="BS36" s="63">
        <v>0.146496131693829</v>
      </c>
      <c r="BT36" s="63">
        <v>0.14659415603215151</v>
      </c>
      <c r="BU36" s="63">
        <v>0.14670123569826921</v>
      </c>
      <c r="BV36" s="63">
        <v>0.14680942658258661</v>
      </c>
      <c r="BW36" s="63">
        <v>0.14690874826704331</v>
      </c>
      <c r="BX36" s="63">
        <v>0.14699067703871871</v>
      </c>
      <c r="BY36" s="63">
        <v>0.1470490908636119</v>
      </c>
      <c r="BZ36" s="63">
        <v>0.14707875058466061</v>
      </c>
      <c r="CA36" s="63">
        <v>0.14707615596491891</v>
      </c>
      <c r="CB36" s="63">
        <v>0.14703913830867629</v>
      </c>
      <c r="CC36" s="63">
        <v>0.14696601922827121</v>
      </c>
      <c r="CD36" s="63">
        <v>0.14685702579071899</v>
      </c>
      <c r="CE36" s="63">
        <v>0.14671402391493299</v>
      </c>
      <c r="CF36" s="63">
        <v>0.14653932322685509</v>
      </c>
      <c r="CG36" s="63">
        <v>0.14633632646941441</v>
      </c>
      <c r="CH36" s="63">
        <v>0.1461091800300616</v>
      </c>
      <c r="CI36" s="63">
        <v>0.1458624420883724</v>
      </c>
      <c r="CJ36" s="63">
        <v>0.14560106951198831</v>
      </c>
      <c r="CK36" s="63">
        <v>0.14533060463301101</v>
      </c>
      <c r="CL36" s="63">
        <v>0.145056222478368</v>
      </c>
      <c r="CM36" s="63">
        <v>0.1447832446681849</v>
      </c>
      <c r="CN36" s="63">
        <v>0.14451644642889239</v>
      </c>
      <c r="CO36" s="63">
        <v>0.14426041833983111</v>
      </c>
      <c r="CP36" s="63">
        <v>0.1440187750136106</v>
      </c>
      <c r="CQ36" s="63">
        <v>0.14379479553754901</v>
      </c>
      <c r="CR36" s="63">
        <v>0.14359038732617499</v>
      </c>
      <c r="CS36" s="63">
        <v>0.14340732851357271</v>
      </c>
      <c r="CT36" s="63">
        <v>0.14324586228206901</v>
      </c>
      <c r="CU36" s="63">
        <v>0.14310590059075259</v>
      </c>
      <c r="CV36" s="63">
        <v>0.14298644110659689</v>
      </c>
      <c r="CW36" s="63">
        <v>0.14288570085779431</v>
      </c>
      <c r="CX36" s="63">
        <v>0.14280161682345241</v>
      </c>
    </row>
    <row r="37" spans="1:102" s="62" customFormat="1" ht="15" customHeight="1">
      <c r="A37" s="39" t="s">
        <v>422</v>
      </c>
      <c r="B37" s="63">
        <v>0.200189456759022</v>
      </c>
      <c r="C37" s="63">
        <v>0.2025135600623105</v>
      </c>
      <c r="D37" s="63">
        <v>0.20393967425440221</v>
      </c>
      <c r="E37" s="63">
        <v>0.2043248943798501</v>
      </c>
      <c r="F37" s="63">
        <v>0.20461487235596809</v>
      </c>
      <c r="G37" s="63">
        <v>0.20532873469495691</v>
      </c>
      <c r="H37" s="63">
        <v>0.20583144290756969</v>
      </c>
      <c r="I37" s="63">
        <v>0.20642627409678799</v>
      </c>
      <c r="J37" s="63">
        <v>0.20637027042840969</v>
      </c>
      <c r="K37" s="63">
        <v>0.2060425700651134</v>
      </c>
      <c r="L37" s="63">
        <v>0.20560737628445311</v>
      </c>
      <c r="M37" s="63">
        <v>0.20503151701755409</v>
      </c>
      <c r="N37" s="63">
        <v>0.204797871220362</v>
      </c>
      <c r="O37" s="63">
        <v>0.20438329003776229</v>
      </c>
      <c r="P37" s="63">
        <v>0.20379965576397119</v>
      </c>
      <c r="Q37" s="63">
        <v>0.2034733322954122</v>
      </c>
      <c r="R37" s="63">
        <v>0.20385102487451981</v>
      </c>
      <c r="S37" s="63">
        <v>0.20404598854381201</v>
      </c>
      <c r="T37" s="63">
        <v>0.2045130057127022</v>
      </c>
      <c r="U37" s="63">
        <v>0.20515240403836629</v>
      </c>
      <c r="V37" s="63">
        <v>0.20548859608495951</v>
      </c>
      <c r="W37" s="63">
        <v>0.2056996895849971</v>
      </c>
      <c r="X37" s="63">
        <v>0.20560973492462961</v>
      </c>
      <c r="Y37" s="63">
        <v>0.2057108954467779</v>
      </c>
      <c r="Z37" s="63">
        <v>0.20609311424579579</v>
      </c>
      <c r="AA37" s="63">
        <v>0.2061766915649336</v>
      </c>
      <c r="AB37" s="63">
        <v>0.20585041028428719</v>
      </c>
      <c r="AC37" s="63">
        <v>0.2052074691371705</v>
      </c>
      <c r="AD37" s="63">
        <v>0.20444166795919189</v>
      </c>
      <c r="AE37" s="63">
        <v>0.20345040397061651</v>
      </c>
      <c r="AF37" s="63">
        <v>0.20238152200483331</v>
      </c>
      <c r="AG37" s="63">
        <v>0.20044391211222831</v>
      </c>
      <c r="AH37" s="63">
        <v>0.19858815005948979</v>
      </c>
      <c r="AI37" s="63">
        <v>0.1967002171706857</v>
      </c>
      <c r="AJ37" s="63">
        <v>0.1946779336732212</v>
      </c>
      <c r="AK37" s="63">
        <v>0.19264943291431669</v>
      </c>
      <c r="AL37" s="63">
        <v>0.1908698147833478</v>
      </c>
      <c r="AM37" s="63">
        <v>0.1893259100559285</v>
      </c>
      <c r="AN37" s="63">
        <v>0.18782268024056339</v>
      </c>
      <c r="AO37" s="63">
        <v>0.18622880381413259</v>
      </c>
      <c r="AP37" s="63">
        <v>0.18490848698156831</v>
      </c>
      <c r="AQ37" s="63">
        <v>0.18380490273442709</v>
      </c>
      <c r="AR37" s="63">
        <v>0.1828138654872303</v>
      </c>
      <c r="AS37" s="63">
        <v>0.1820065455372559</v>
      </c>
      <c r="AT37" s="63">
        <v>0.18148357121001679</v>
      </c>
      <c r="AU37" s="63">
        <v>0.18091142966446069</v>
      </c>
      <c r="AV37" s="63">
        <v>0.1808216824093174</v>
      </c>
      <c r="AW37" s="63">
        <v>0.1807878644982098</v>
      </c>
      <c r="AX37" s="63">
        <v>0.1807629731671293</v>
      </c>
      <c r="AY37" s="63">
        <v>0.18078942075792909</v>
      </c>
      <c r="AZ37" s="63">
        <v>0.1808797532708179</v>
      </c>
      <c r="BA37" s="63">
        <v>0.18101956881909351</v>
      </c>
      <c r="BB37" s="63">
        <v>0.18118473016826769</v>
      </c>
      <c r="BC37" s="63">
        <v>0.18136326166018249</v>
      </c>
      <c r="BD37" s="63">
        <v>0.1815469181620108</v>
      </c>
      <c r="BE37" s="63">
        <v>0.1817286862346767</v>
      </c>
      <c r="BF37" s="63">
        <v>0.1818855362998599</v>
      </c>
      <c r="BG37" s="63">
        <v>0.18199036214119929</v>
      </c>
      <c r="BH37" s="63">
        <v>0.18203198066901319</v>
      </c>
      <c r="BI37" s="63">
        <v>0.1820020776600087</v>
      </c>
      <c r="BJ37" s="63">
        <v>0.1818931325145613</v>
      </c>
      <c r="BK37" s="63">
        <v>0.1816972699325545</v>
      </c>
      <c r="BL37" s="63">
        <v>0.1814105619419496</v>
      </c>
      <c r="BM37" s="63">
        <v>0.18103800214778951</v>
      </c>
      <c r="BN37" s="63">
        <v>0.1805891545892559</v>
      </c>
      <c r="BO37" s="63">
        <v>0.18007432555538949</v>
      </c>
      <c r="BP37" s="63">
        <v>0.1795073289254947</v>
      </c>
      <c r="BQ37" s="63">
        <v>0.17890469589537369</v>
      </c>
      <c r="BR37" s="63">
        <v>0.17828089288114429</v>
      </c>
      <c r="BS37" s="63">
        <v>0.1776488228751007</v>
      </c>
      <c r="BT37" s="63">
        <v>0.17702068509028601</v>
      </c>
      <c r="BU37" s="63">
        <v>0.1764165109328576</v>
      </c>
      <c r="BV37" s="63">
        <v>0.17585758410671301</v>
      </c>
      <c r="BW37" s="63">
        <v>0.17535586089023061</v>
      </c>
      <c r="BX37" s="63">
        <v>0.17491949770829421</v>
      </c>
      <c r="BY37" s="63">
        <v>0.17455291713475429</v>
      </c>
      <c r="BZ37" s="63">
        <v>0.1742600505422123</v>
      </c>
      <c r="CA37" s="63">
        <v>0.17404306943559841</v>
      </c>
      <c r="CB37" s="63">
        <v>0.1738988115507677</v>
      </c>
      <c r="CC37" s="63">
        <v>0.17382090469423031</v>
      </c>
      <c r="CD37" s="63">
        <v>0.17380127740039211</v>
      </c>
      <c r="CE37" s="63">
        <v>0.17383273678526409</v>
      </c>
      <c r="CF37" s="63">
        <v>0.1739073623698601</v>
      </c>
      <c r="CG37" s="63">
        <v>0.17401461643183891</v>
      </c>
      <c r="CH37" s="63">
        <v>0.17414372222283581</v>
      </c>
      <c r="CI37" s="63">
        <v>0.1742835742289135</v>
      </c>
      <c r="CJ37" s="63">
        <v>0.17442506216502229</v>
      </c>
      <c r="CK37" s="63">
        <v>0.17455992629528219</v>
      </c>
      <c r="CL37" s="63">
        <v>0.17467746140581569</v>
      </c>
      <c r="CM37" s="63">
        <v>0.17476868171513049</v>
      </c>
      <c r="CN37" s="63">
        <v>0.17482657024273429</v>
      </c>
      <c r="CO37" s="63">
        <v>0.1748458183916681</v>
      </c>
      <c r="CP37" s="63">
        <v>0.17482307468992669</v>
      </c>
      <c r="CQ37" s="63">
        <v>0.1747559386494095</v>
      </c>
      <c r="CR37" s="63">
        <v>0.17464330181876239</v>
      </c>
      <c r="CS37" s="63">
        <v>0.17448598778082111</v>
      </c>
      <c r="CT37" s="63">
        <v>0.1742870443169165</v>
      </c>
      <c r="CU37" s="63">
        <v>0.17404994073125621</v>
      </c>
      <c r="CV37" s="63">
        <v>0.17377960151263711</v>
      </c>
      <c r="CW37" s="63">
        <v>0.17348204615842849</v>
      </c>
      <c r="CX37" s="63">
        <v>0.17316370216031229</v>
      </c>
    </row>
    <row r="38" spans="1:102" s="62" customFormat="1" ht="15" customHeight="1">
      <c r="A38" s="39" t="s">
        <v>423</v>
      </c>
      <c r="B38" s="63">
        <v>0.19695504744251499</v>
      </c>
      <c r="C38" s="63">
        <v>0.1930373247463098</v>
      </c>
      <c r="D38" s="63">
        <v>0.19016912823117579</v>
      </c>
      <c r="E38" s="63">
        <v>0.18846222312995961</v>
      </c>
      <c r="F38" s="63">
        <v>0.1870634833350909</v>
      </c>
      <c r="G38" s="63">
        <v>0.18559987883585599</v>
      </c>
      <c r="H38" s="63">
        <v>0.1843556029025869</v>
      </c>
      <c r="I38" s="63">
        <v>0.18315232960742631</v>
      </c>
      <c r="J38" s="63">
        <v>0.18275448998920379</v>
      </c>
      <c r="K38" s="63">
        <v>0.18224170224174149</v>
      </c>
      <c r="L38" s="63">
        <v>0.18241986618482511</v>
      </c>
      <c r="M38" s="63">
        <v>0.1834816459696762</v>
      </c>
      <c r="N38" s="63">
        <v>0.18495004512226401</v>
      </c>
      <c r="O38" s="63">
        <v>0.186763464693075</v>
      </c>
      <c r="P38" s="63">
        <v>0.1889583914192339</v>
      </c>
      <c r="Q38" s="63">
        <v>0.19135070644586419</v>
      </c>
      <c r="R38" s="63">
        <v>0.19331057279511149</v>
      </c>
      <c r="S38" s="63">
        <v>0.19458952884321731</v>
      </c>
      <c r="T38" s="63">
        <v>0.1952200628892444</v>
      </c>
      <c r="U38" s="63">
        <v>0.1958479073239458</v>
      </c>
      <c r="V38" s="63">
        <v>0.19687759826484</v>
      </c>
      <c r="W38" s="63">
        <v>0.1976785288776115</v>
      </c>
      <c r="X38" s="63">
        <v>0.1985179824193215</v>
      </c>
      <c r="Y38" s="63">
        <v>0.19873519512610061</v>
      </c>
      <c r="Z38" s="63">
        <v>0.19868712174677619</v>
      </c>
      <c r="AA38" s="63">
        <v>0.19852925314474781</v>
      </c>
      <c r="AB38" s="63">
        <v>0.19824335431175619</v>
      </c>
      <c r="AC38" s="63">
        <v>0.19827716215835539</v>
      </c>
      <c r="AD38" s="63">
        <v>0.19814975224845169</v>
      </c>
      <c r="AE38" s="63">
        <v>0.19787496297641671</v>
      </c>
      <c r="AF38" s="63">
        <v>0.19785033418757361</v>
      </c>
      <c r="AG38" s="63">
        <v>0.19849562508632651</v>
      </c>
      <c r="AH38" s="63">
        <v>0.1989845881940937</v>
      </c>
      <c r="AI38" s="63">
        <v>0.1997396737760449</v>
      </c>
      <c r="AJ38" s="63">
        <v>0.20066906692622541</v>
      </c>
      <c r="AK38" s="63">
        <v>0.20132717655311749</v>
      </c>
      <c r="AL38" s="63">
        <v>0.20186753535902041</v>
      </c>
      <c r="AM38" s="63">
        <v>0.2021234711452152</v>
      </c>
      <c r="AN38" s="63">
        <v>0.20255206370163389</v>
      </c>
      <c r="AO38" s="63">
        <v>0.2032359302047147</v>
      </c>
      <c r="AP38" s="63">
        <v>0.20362192264355869</v>
      </c>
      <c r="AQ38" s="63">
        <v>0.2036020003307879</v>
      </c>
      <c r="AR38" s="63">
        <v>0.20325802472368321</v>
      </c>
      <c r="AS38" s="63">
        <v>0.20276705451437119</v>
      </c>
      <c r="AT38" s="63">
        <v>0.20202881131513811</v>
      </c>
      <c r="AU38" s="63">
        <v>0.20119083254471579</v>
      </c>
      <c r="AV38" s="63">
        <v>0.19949631848302499</v>
      </c>
      <c r="AW38" s="63">
        <v>0.197853324950795</v>
      </c>
      <c r="AX38" s="63">
        <v>0.19615939605152891</v>
      </c>
      <c r="AY38" s="63">
        <v>0.1943226712356696</v>
      </c>
      <c r="AZ38" s="63">
        <v>0.1924695516618001</v>
      </c>
      <c r="BA38" s="63">
        <v>0.19084660135032691</v>
      </c>
      <c r="BB38" s="63">
        <v>0.18944612138194161</v>
      </c>
      <c r="BC38" s="63">
        <v>0.18808871510993949</v>
      </c>
      <c r="BD38" s="63">
        <v>0.18665428495789099</v>
      </c>
      <c r="BE38" s="63">
        <v>0.18549063237895561</v>
      </c>
      <c r="BF38" s="63">
        <v>0.1845465216714457</v>
      </c>
      <c r="BG38" s="63">
        <v>0.18372512153932821</v>
      </c>
      <c r="BH38" s="63">
        <v>0.18309446665439111</v>
      </c>
      <c r="BI38" s="63">
        <v>0.18275125233389289</v>
      </c>
      <c r="BJ38" s="63">
        <v>0.1823778396952058</v>
      </c>
      <c r="BK38" s="63">
        <v>0.18247994768860029</v>
      </c>
      <c r="BL38" s="63">
        <v>0.1826496210204169</v>
      </c>
      <c r="BM38" s="63">
        <v>0.18283961494989101</v>
      </c>
      <c r="BN38" s="63">
        <v>0.18308792665576851</v>
      </c>
      <c r="BO38" s="63">
        <v>0.1834038140473537</v>
      </c>
      <c r="BP38" s="63">
        <v>0.18377002609976059</v>
      </c>
      <c r="BQ38" s="63">
        <v>0.18416046989321169</v>
      </c>
      <c r="BR38" s="63">
        <v>0.18456067432304021</v>
      </c>
      <c r="BS38" s="63">
        <v>0.18496013007502529</v>
      </c>
      <c r="BT38" s="63">
        <v>0.18534996255657471</v>
      </c>
      <c r="BU38" s="63">
        <v>0.18570580860089569</v>
      </c>
      <c r="BV38" s="63">
        <v>0.18599997551008421</v>
      </c>
      <c r="BW38" s="63">
        <v>0.1862207068209219</v>
      </c>
      <c r="BX38" s="63">
        <v>0.18635952281205631</v>
      </c>
      <c r="BY38" s="63">
        <v>0.1864084409869422</v>
      </c>
      <c r="BZ38" s="63">
        <v>0.1863601518004655</v>
      </c>
      <c r="CA38" s="63">
        <v>0.18621114484141679</v>
      </c>
      <c r="CB38" s="63">
        <v>0.1859670186621725</v>
      </c>
      <c r="CC38" s="63">
        <v>0.18563744792709599</v>
      </c>
      <c r="CD38" s="63">
        <v>0.18523360950942591</v>
      </c>
      <c r="CE38" s="63">
        <v>0.18476996424653669</v>
      </c>
      <c r="CF38" s="63">
        <v>0.1842630487392396</v>
      </c>
      <c r="CG38" s="63">
        <v>0.1837272644873103</v>
      </c>
      <c r="CH38" s="63">
        <v>0.18317541605806259</v>
      </c>
      <c r="CI38" s="63">
        <v>0.18261944385916651</v>
      </c>
      <c r="CJ38" s="63">
        <v>0.18207883409553011</v>
      </c>
      <c r="CK38" s="63">
        <v>0.18157381307509021</v>
      </c>
      <c r="CL38" s="63">
        <v>0.1811155938349672</v>
      </c>
      <c r="CM38" s="63">
        <v>0.18071174524628009</v>
      </c>
      <c r="CN38" s="63">
        <v>0.18036656057570741</v>
      </c>
      <c r="CO38" s="63">
        <v>0.18008366666804801</v>
      </c>
      <c r="CP38" s="63">
        <v>0.17986485005625211</v>
      </c>
      <c r="CQ38" s="63">
        <v>0.17970669959170649</v>
      </c>
      <c r="CR38" s="63">
        <v>0.1796039087818157</v>
      </c>
      <c r="CS38" s="63">
        <v>0.17954893429457111</v>
      </c>
      <c r="CT38" s="63">
        <v>0.17953564908420269</v>
      </c>
      <c r="CU38" s="63">
        <v>0.17955773323431579</v>
      </c>
      <c r="CV38" s="63">
        <v>0.1796061288039664</v>
      </c>
      <c r="CW38" s="63">
        <v>0.1796723176055173</v>
      </c>
      <c r="CX38" s="63">
        <v>0.1797472145737033</v>
      </c>
    </row>
    <row r="39" spans="1:102" s="62" customFormat="1" ht="15" customHeight="1">
      <c r="A39" s="39" t="s">
        <v>424</v>
      </c>
      <c r="B39" s="63">
        <v>0.1581764537693956</v>
      </c>
      <c r="C39" s="63">
        <v>0.1577395450406647</v>
      </c>
      <c r="D39" s="63">
        <v>0.15853227658746871</v>
      </c>
      <c r="E39" s="63">
        <v>0.1604966548798937</v>
      </c>
      <c r="F39" s="63">
        <v>0.1627018853113365</v>
      </c>
      <c r="G39" s="63">
        <v>0.16504038731103421</v>
      </c>
      <c r="H39" s="63">
        <v>0.16699605447824539</v>
      </c>
      <c r="I39" s="63">
        <v>0.16877642126296549</v>
      </c>
      <c r="J39" s="63">
        <v>0.17024724909322889</v>
      </c>
      <c r="K39" s="63">
        <v>0.17169415409655761</v>
      </c>
      <c r="L39" s="63">
        <v>0.17237470097665891</v>
      </c>
      <c r="M39" s="63">
        <v>0.17226892947439709</v>
      </c>
      <c r="N39" s="63">
        <v>0.1715269351679273</v>
      </c>
      <c r="O39" s="63">
        <v>0.170460520332535</v>
      </c>
      <c r="P39" s="63">
        <v>0.16888466025518381</v>
      </c>
      <c r="Q39" s="63">
        <v>0.1667943523338509</v>
      </c>
      <c r="R39" s="63">
        <v>0.1647443973124563</v>
      </c>
      <c r="S39" s="63">
        <v>0.1633421837071824</v>
      </c>
      <c r="T39" s="63">
        <v>0.1623692674875627</v>
      </c>
      <c r="U39" s="63">
        <v>0.16152727961601179</v>
      </c>
      <c r="V39" s="63">
        <v>0.16062833832820289</v>
      </c>
      <c r="W39" s="63">
        <v>0.15995647803481111</v>
      </c>
      <c r="X39" s="63">
        <v>0.15936456065883481</v>
      </c>
      <c r="Y39" s="63">
        <v>0.159475618564555</v>
      </c>
      <c r="Z39" s="63">
        <v>0.15950240597900911</v>
      </c>
      <c r="AA39" s="63">
        <v>0.16009891727653511</v>
      </c>
      <c r="AB39" s="63">
        <v>0.16144211745713841</v>
      </c>
      <c r="AC39" s="63">
        <v>0.16310271872648691</v>
      </c>
      <c r="AD39" s="63">
        <v>0.16505600049536251</v>
      </c>
      <c r="AE39" s="63">
        <v>0.16733179784318661</v>
      </c>
      <c r="AF39" s="63">
        <v>0.16975943602539309</v>
      </c>
      <c r="AG39" s="63">
        <v>0.17180672454096371</v>
      </c>
      <c r="AH39" s="63">
        <v>0.17330755009839149</v>
      </c>
      <c r="AI39" s="63">
        <v>0.17426042880135989</v>
      </c>
      <c r="AJ39" s="63">
        <v>0.1752108588429328</v>
      </c>
      <c r="AK39" s="63">
        <v>0.17652295139478821</v>
      </c>
      <c r="AL39" s="63">
        <v>0.17762729532340291</v>
      </c>
      <c r="AM39" s="63">
        <v>0.17876153620282609</v>
      </c>
      <c r="AN39" s="63">
        <v>0.17934446574392801</v>
      </c>
      <c r="AO39" s="63">
        <v>0.17967709642442559</v>
      </c>
      <c r="AP39" s="63">
        <v>0.17990283282446931</v>
      </c>
      <c r="AQ39" s="63">
        <v>0.18002047407411889</v>
      </c>
      <c r="AR39" s="63">
        <v>0.18040929238877279</v>
      </c>
      <c r="AS39" s="63">
        <v>0.18063505957931059</v>
      </c>
      <c r="AT39" s="63">
        <v>0.18071022462446781</v>
      </c>
      <c r="AU39" s="63">
        <v>0.18098984853509201</v>
      </c>
      <c r="AV39" s="63">
        <v>0.18185447295233029</v>
      </c>
      <c r="AW39" s="63">
        <v>0.18255493411024751</v>
      </c>
      <c r="AX39" s="63">
        <v>0.18347034658079039</v>
      </c>
      <c r="AY39" s="63">
        <v>0.18453032379538889</v>
      </c>
      <c r="AZ39" s="63">
        <v>0.18534329936708019</v>
      </c>
      <c r="BA39" s="63">
        <v>0.18602609274400181</v>
      </c>
      <c r="BB39" s="63">
        <v>0.18644295955217671</v>
      </c>
      <c r="BC39" s="63">
        <v>0.18700893036093191</v>
      </c>
      <c r="BD39" s="63">
        <v>0.1878067094070148</v>
      </c>
      <c r="BE39" s="63">
        <v>0.18833249875567409</v>
      </c>
      <c r="BF39" s="63">
        <v>0.18850166722743089</v>
      </c>
      <c r="BG39" s="63">
        <v>0.1883924775711236</v>
      </c>
      <c r="BH39" s="63">
        <v>0.188156998654471</v>
      </c>
      <c r="BI39" s="63">
        <v>0.1877000223567887</v>
      </c>
      <c r="BJ39" s="63">
        <v>0.18717626310683541</v>
      </c>
      <c r="BK39" s="63">
        <v>0.18588195932461549</v>
      </c>
      <c r="BL39" s="63">
        <v>0.1846462355853713</v>
      </c>
      <c r="BM39" s="63">
        <v>0.18338016624700609</v>
      </c>
      <c r="BN39" s="63">
        <v>0.1819976303552775</v>
      </c>
      <c r="BO39" s="63">
        <v>0.1806055897279473</v>
      </c>
      <c r="BP39" s="63">
        <v>0.1794209478601044</v>
      </c>
      <c r="BQ39" s="63">
        <v>0.1784345371869912</v>
      </c>
      <c r="BR39" s="63">
        <v>0.1774845610048858</v>
      </c>
      <c r="BS39" s="63">
        <v>0.176462670531148</v>
      </c>
      <c r="BT39" s="63">
        <v>0.17567762535815501</v>
      </c>
      <c r="BU39" s="63">
        <v>0.17508331713063249</v>
      </c>
      <c r="BV39" s="63">
        <v>0.1745931113956741</v>
      </c>
      <c r="BW39" s="63">
        <v>0.17426650964899559</v>
      </c>
      <c r="BX39" s="63">
        <v>0.1741917270155898</v>
      </c>
      <c r="BY39" s="63">
        <v>0.17408190129296561</v>
      </c>
      <c r="BZ39" s="63">
        <v>0.17439539739883389</v>
      </c>
      <c r="CA39" s="63">
        <v>0.17476162828645489</v>
      </c>
      <c r="CB39" s="63">
        <v>0.17513824721774859</v>
      </c>
      <c r="CC39" s="63">
        <v>0.1755605377111002</v>
      </c>
      <c r="CD39" s="63">
        <v>0.1760371559306769</v>
      </c>
      <c r="CE39" s="63">
        <v>0.17655217662596601</v>
      </c>
      <c r="CF39" s="63">
        <v>0.17708128746121549</v>
      </c>
      <c r="CG39" s="63">
        <v>0.1776107644690427</v>
      </c>
      <c r="CH39" s="63">
        <v>0.1781303620413506</v>
      </c>
      <c r="CI39" s="63">
        <v>0.17863116947621299</v>
      </c>
      <c r="CJ39" s="63">
        <v>0.17908957325167549</v>
      </c>
      <c r="CK39" s="63">
        <v>0.1794783800405875</v>
      </c>
      <c r="CL39" s="63">
        <v>0.1797855611989593</v>
      </c>
      <c r="CM39" s="63">
        <v>0.18000264127279739</v>
      </c>
      <c r="CN39" s="63">
        <v>0.18012176409258771</v>
      </c>
      <c r="CO39" s="63">
        <v>0.18013594304461311</v>
      </c>
      <c r="CP39" s="63">
        <v>0.1800422184440657</v>
      </c>
      <c r="CQ39" s="63">
        <v>0.1798462167027689</v>
      </c>
      <c r="CR39" s="63">
        <v>0.17955823139192531</v>
      </c>
      <c r="CS39" s="63">
        <v>0.17918979982772121</v>
      </c>
      <c r="CT39" s="63">
        <v>0.1787559566386597</v>
      </c>
      <c r="CU39" s="63">
        <v>0.17827397086047031</v>
      </c>
      <c r="CV39" s="63">
        <v>0.1777596620646823</v>
      </c>
      <c r="CW39" s="63">
        <v>0.17722716293787019</v>
      </c>
      <c r="CX39" s="63">
        <v>0.17669019952250989</v>
      </c>
    </row>
    <row r="40" spans="1:102" s="62" customFormat="1" ht="15" customHeight="1">
      <c r="A40" s="39" t="s">
        <v>425</v>
      </c>
      <c r="B40" s="63">
        <v>9.0540710312112846E-2</v>
      </c>
      <c r="C40" s="63">
        <v>9.226215222558326E-2</v>
      </c>
      <c r="D40" s="63">
        <v>9.3714620979437696E-2</v>
      </c>
      <c r="E40" s="63">
        <v>9.528289038289664E-2</v>
      </c>
      <c r="F40" s="63">
        <v>9.6707699391840485E-2</v>
      </c>
      <c r="G40" s="63">
        <v>9.7942975341718794E-2</v>
      </c>
      <c r="H40" s="63">
        <v>9.924602422414025E-2</v>
      </c>
      <c r="I40" s="63">
        <v>0.1004806298282106</v>
      </c>
      <c r="J40" s="63">
        <v>0.1015424032571587</v>
      </c>
      <c r="K40" s="63">
        <v>0.10278541408377551</v>
      </c>
      <c r="L40" s="63">
        <v>0.10419491473180729</v>
      </c>
      <c r="M40" s="63">
        <v>0.1058209662520872</v>
      </c>
      <c r="N40" s="63">
        <v>0.10753001664920191</v>
      </c>
      <c r="O40" s="63">
        <v>0.1093137886450796</v>
      </c>
      <c r="P40" s="63">
        <v>0.1113120051208429</v>
      </c>
      <c r="Q40" s="63">
        <v>0.1135017995221481</v>
      </c>
      <c r="R40" s="63">
        <v>0.1157697945286027</v>
      </c>
      <c r="S40" s="63">
        <v>0.1181080547432049</v>
      </c>
      <c r="T40" s="63">
        <v>0.1204208469028181</v>
      </c>
      <c r="U40" s="63">
        <v>0.1225218194369527</v>
      </c>
      <c r="V40" s="63">
        <v>0.1245203402701701</v>
      </c>
      <c r="W40" s="63">
        <v>0.1263311109465296</v>
      </c>
      <c r="X40" s="63">
        <v>0.12804768897769001</v>
      </c>
      <c r="Y40" s="63">
        <v>0.12943142679744779</v>
      </c>
      <c r="Z40" s="63">
        <v>0.13096608626001291</v>
      </c>
      <c r="AA40" s="63">
        <v>0.1320458186415007</v>
      </c>
      <c r="AB40" s="63">
        <v>0.1327021674591341</v>
      </c>
      <c r="AC40" s="63">
        <v>0.13295425549679821</v>
      </c>
      <c r="AD40" s="63">
        <v>0.1330484429584563</v>
      </c>
      <c r="AE40" s="63">
        <v>0.13294739497374811</v>
      </c>
      <c r="AF40" s="63">
        <v>0.13262973989363269</v>
      </c>
      <c r="AG40" s="63">
        <v>0.13245682228476799</v>
      </c>
      <c r="AH40" s="63">
        <v>0.13291773298060999</v>
      </c>
      <c r="AI40" s="63">
        <v>0.13375263244430269</v>
      </c>
      <c r="AJ40" s="63">
        <v>0.13456079345995381</v>
      </c>
      <c r="AK40" s="63">
        <v>0.1352772996109976</v>
      </c>
      <c r="AL40" s="63">
        <v>0.13606855636110299</v>
      </c>
      <c r="AM40" s="63">
        <v>0.1368894303666702</v>
      </c>
      <c r="AN40" s="63">
        <v>0.13806154384699759</v>
      </c>
      <c r="AO40" s="63">
        <v>0.13933244034783829</v>
      </c>
      <c r="AP40" s="63">
        <v>0.14074609804339619</v>
      </c>
      <c r="AQ40" s="63">
        <v>0.1424739299345649</v>
      </c>
      <c r="AR40" s="63">
        <v>0.14416602877910531</v>
      </c>
      <c r="AS40" s="63">
        <v>0.1460092227224366</v>
      </c>
      <c r="AT40" s="63">
        <v>0.14799129204545519</v>
      </c>
      <c r="AU40" s="63">
        <v>0.14994555986886959</v>
      </c>
      <c r="AV40" s="63">
        <v>0.15171896807426211</v>
      </c>
      <c r="AW40" s="63">
        <v>0.15357829341177179</v>
      </c>
      <c r="AX40" s="63">
        <v>0.15528878763923071</v>
      </c>
      <c r="AY40" s="63">
        <v>0.15696292960648769</v>
      </c>
      <c r="AZ40" s="63">
        <v>0.1588468113033934</v>
      </c>
      <c r="BA40" s="63">
        <v>0.16057987417826339</v>
      </c>
      <c r="BB40" s="63">
        <v>0.16231614972672759</v>
      </c>
      <c r="BC40" s="63">
        <v>0.16382371009529889</v>
      </c>
      <c r="BD40" s="63">
        <v>0.16514184604498661</v>
      </c>
      <c r="BE40" s="63">
        <v>0.16642899510297879</v>
      </c>
      <c r="BF40" s="63">
        <v>0.16782994280204691</v>
      </c>
      <c r="BG40" s="63">
        <v>0.1693750931655712</v>
      </c>
      <c r="BH40" s="63">
        <v>0.17085255092500451</v>
      </c>
      <c r="BI40" s="63">
        <v>0.17226911763683919</v>
      </c>
      <c r="BJ40" s="63">
        <v>0.17379729137299171</v>
      </c>
      <c r="BK40" s="63">
        <v>0.17564433770263699</v>
      </c>
      <c r="BL40" s="63">
        <v>0.17739497420830699</v>
      </c>
      <c r="BM40" s="63">
        <v>0.17918740844265621</v>
      </c>
      <c r="BN40" s="63">
        <v>0.18106917715563589</v>
      </c>
      <c r="BO40" s="63">
        <v>0.18292285519940599</v>
      </c>
      <c r="BP40" s="63">
        <v>0.18454121608516769</v>
      </c>
      <c r="BQ40" s="63">
        <v>0.18594927880344039</v>
      </c>
      <c r="BR40" s="63">
        <v>0.18731619542245451</v>
      </c>
      <c r="BS40" s="63">
        <v>0.18875426352814589</v>
      </c>
      <c r="BT40" s="63">
        <v>0.18995760710117249</v>
      </c>
      <c r="BU40" s="63">
        <v>0.190979563248344</v>
      </c>
      <c r="BV40" s="63">
        <v>0.19191528773518829</v>
      </c>
      <c r="BW40" s="63">
        <v>0.19270913239540369</v>
      </c>
      <c r="BX40" s="63">
        <v>0.19327616240625831</v>
      </c>
      <c r="BY40" s="63">
        <v>0.19390776034947399</v>
      </c>
      <c r="BZ40" s="63">
        <v>0.19414937960973791</v>
      </c>
      <c r="CA40" s="63">
        <v>0.1943727318307841</v>
      </c>
      <c r="CB40" s="63">
        <v>0.19461682870611971</v>
      </c>
      <c r="CC40" s="63">
        <v>0.1948428266844506</v>
      </c>
      <c r="CD40" s="63">
        <v>0.19503800091660931</v>
      </c>
      <c r="CE40" s="63">
        <v>0.19520937872915309</v>
      </c>
      <c r="CF40" s="63">
        <v>0.19537159941276011</v>
      </c>
      <c r="CG40" s="63">
        <v>0.19553330765211729</v>
      </c>
      <c r="CH40" s="63">
        <v>0.19570161262998759</v>
      </c>
      <c r="CI40" s="63">
        <v>0.19588382536162291</v>
      </c>
      <c r="CJ40" s="63">
        <v>0.19609242582286401</v>
      </c>
      <c r="CK40" s="63">
        <v>0.1963417819860116</v>
      </c>
      <c r="CL40" s="63">
        <v>0.19664258637319501</v>
      </c>
      <c r="CM40" s="63">
        <v>0.1970041465036797</v>
      </c>
      <c r="CN40" s="63">
        <v>0.1974364278138738</v>
      </c>
      <c r="CO40" s="63">
        <v>0.19794749564450911</v>
      </c>
      <c r="CP40" s="63">
        <v>0.19854167514338869</v>
      </c>
      <c r="CQ40" s="63">
        <v>0.1992184171571604</v>
      </c>
      <c r="CR40" s="63">
        <v>0.1999740283925715</v>
      </c>
      <c r="CS40" s="63">
        <v>0.2008032806810679</v>
      </c>
      <c r="CT40" s="63">
        <v>0.20169453756748201</v>
      </c>
      <c r="CU40" s="63">
        <v>0.20263345384638329</v>
      </c>
      <c r="CV40" s="63">
        <v>0.20360861365766739</v>
      </c>
      <c r="CW40" s="63">
        <v>0.20460872915743819</v>
      </c>
      <c r="CX40" s="63">
        <v>0.20562318957175901</v>
      </c>
    </row>
    <row r="41" spans="1:102" s="62" customFormat="1" ht="15" customHeight="1">
      <c r="A41" s="39" t="s">
        <v>426</v>
      </c>
      <c r="B41" s="63">
        <v>1</v>
      </c>
      <c r="C41" s="63">
        <v>1</v>
      </c>
      <c r="D41" s="63">
        <v>1</v>
      </c>
      <c r="E41" s="63">
        <v>1</v>
      </c>
      <c r="F41" s="63">
        <v>1</v>
      </c>
      <c r="G41" s="63">
        <v>1</v>
      </c>
      <c r="H41" s="63">
        <v>1</v>
      </c>
      <c r="I41" s="63">
        <v>1</v>
      </c>
      <c r="J41" s="63">
        <v>1</v>
      </c>
      <c r="K41" s="63">
        <v>1</v>
      </c>
      <c r="L41" s="63">
        <v>1</v>
      </c>
      <c r="M41" s="63">
        <v>1</v>
      </c>
      <c r="N41" s="63">
        <v>1</v>
      </c>
      <c r="O41" s="63">
        <v>1</v>
      </c>
      <c r="P41" s="63">
        <v>1</v>
      </c>
      <c r="Q41" s="63">
        <v>1</v>
      </c>
      <c r="R41" s="63">
        <v>1</v>
      </c>
      <c r="S41" s="63">
        <v>1</v>
      </c>
      <c r="T41" s="63">
        <v>1</v>
      </c>
      <c r="U41" s="63">
        <v>1</v>
      </c>
      <c r="V41" s="63">
        <v>1</v>
      </c>
      <c r="W41" s="63">
        <v>1</v>
      </c>
      <c r="X41" s="63">
        <v>1</v>
      </c>
      <c r="Y41" s="63">
        <v>1</v>
      </c>
      <c r="Z41" s="63">
        <v>1</v>
      </c>
      <c r="AA41" s="63">
        <v>1</v>
      </c>
      <c r="AB41" s="63">
        <v>1</v>
      </c>
      <c r="AC41" s="63">
        <v>1</v>
      </c>
      <c r="AD41" s="63">
        <v>1</v>
      </c>
      <c r="AE41" s="63">
        <v>1</v>
      </c>
      <c r="AF41" s="63">
        <v>1</v>
      </c>
      <c r="AG41" s="63">
        <v>1</v>
      </c>
      <c r="AH41" s="63">
        <v>1</v>
      </c>
      <c r="AI41" s="63">
        <v>1</v>
      </c>
      <c r="AJ41" s="63">
        <v>1</v>
      </c>
      <c r="AK41" s="63">
        <v>1</v>
      </c>
      <c r="AL41" s="63">
        <v>1</v>
      </c>
      <c r="AM41" s="63">
        <v>1</v>
      </c>
      <c r="AN41" s="63">
        <v>1</v>
      </c>
      <c r="AO41" s="63">
        <v>1</v>
      </c>
      <c r="AP41" s="63">
        <v>1</v>
      </c>
      <c r="AQ41" s="63">
        <v>1</v>
      </c>
      <c r="AR41" s="63">
        <v>1</v>
      </c>
      <c r="AS41" s="63">
        <v>1</v>
      </c>
      <c r="AT41" s="63">
        <v>1</v>
      </c>
      <c r="AU41" s="63">
        <v>1</v>
      </c>
      <c r="AV41" s="63">
        <v>1</v>
      </c>
      <c r="AW41" s="63">
        <v>1</v>
      </c>
      <c r="AX41" s="63">
        <v>1</v>
      </c>
      <c r="AY41" s="63">
        <v>1</v>
      </c>
      <c r="AZ41" s="63">
        <v>1</v>
      </c>
      <c r="BA41" s="63">
        <v>1</v>
      </c>
      <c r="BB41" s="63">
        <v>1</v>
      </c>
      <c r="BC41" s="63">
        <v>1</v>
      </c>
      <c r="BD41" s="63">
        <v>1</v>
      </c>
      <c r="BE41" s="63">
        <v>1</v>
      </c>
      <c r="BF41" s="63">
        <v>1</v>
      </c>
      <c r="BG41" s="63">
        <v>1</v>
      </c>
      <c r="BH41" s="63">
        <v>1</v>
      </c>
      <c r="BI41" s="63">
        <v>1</v>
      </c>
      <c r="BJ41" s="63">
        <v>1</v>
      </c>
      <c r="BK41" s="63">
        <v>1</v>
      </c>
      <c r="BL41" s="63">
        <v>1</v>
      </c>
      <c r="BM41" s="63">
        <v>1</v>
      </c>
      <c r="BN41" s="63">
        <v>1</v>
      </c>
      <c r="BO41" s="63">
        <v>1</v>
      </c>
      <c r="BP41" s="63">
        <v>1</v>
      </c>
      <c r="BQ41" s="63">
        <v>1</v>
      </c>
      <c r="BR41" s="63">
        <v>1</v>
      </c>
      <c r="BS41" s="63">
        <v>1</v>
      </c>
      <c r="BT41" s="63">
        <v>1</v>
      </c>
      <c r="BU41" s="63">
        <v>1</v>
      </c>
      <c r="BV41" s="63">
        <v>1</v>
      </c>
      <c r="BW41" s="63">
        <v>1</v>
      </c>
      <c r="BX41" s="63">
        <v>1</v>
      </c>
      <c r="BY41" s="63">
        <v>1</v>
      </c>
      <c r="BZ41" s="63">
        <v>1</v>
      </c>
      <c r="CA41" s="63">
        <v>1</v>
      </c>
      <c r="CB41" s="63">
        <v>1</v>
      </c>
      <c r="CC41" s="63">
        <v>1</v>
      </c>
      <c r="CD41" s="63">
        <v>1</v>
      </c>
      <c r="CE41" s="63">
        <v>1</v>
      </c>
      <c r="CF41" s="63">
        <v>1</v>
      </c>
      <c r="CG41" s="63">
        <v>1</v>
      </c>
      <c r="CH41" s="63">
        <v>1</v>
      </c>
      <c r="CI41" s="63">
        <v>1</v>
      </c>
      <c r="CJ41" s="63">
        <v>1</v>
      </c>
      <c r="CK41" s="63">
        <v>1</v>
      </c>
      <c r="CL41" s="63">
        <v>1</v>
      </c>
      <c r="CM41" s="63">
        <v>1</v>
      </c>
      <c r="CN41" s="63">
        <v>1</v>
      </c>
      <c r="CO41" s="63">
        <v>1</v>
      </c>
      <c r="CP41" s="63">
        <v>1</v>
      </c>
      <c r="CQ41" s="63">
        <v>1</v>
      </c>
      <c r="CR41" s="63">
        <v>1</v>
      </c>
      <c r="CS41" s="63">
        <v>1</v>
      </c>
      <c r="CT41" s="63">
        <v>1</v>
      </c>
      <c r="CU41" s="63">
        <v>1</v>
      </c>
      <c r="CV41" s="63">
        <v>1</v>
      </c>
      <c r="CW41" s="63">
        <v>1</v>
      </c>
      <c r="CX41" s="63">
        <v>1</v>
      </c>
    </row>
    <row r="42" spans="1:102" s="62" customFormat="1" ht="15" customHeight="1">
      <c r="A42" s="39" t="s">
        <v>427</v>
      </c>
      <c r="B42" s="64">
        <v>41.366685652084527</v>
      </c>
      <c r="C42" s="64">
        <v>41.399113837216767</v>
      </c>
      <c r="D42" s="64">
        <v>41.484200714321723</v>
      </c>
      <c r="E42" s="64">
        <v>41.647336194727387</v>
      </c>
      <c r="F42" s="64">
        <v>41.829108343591201</v>
      </c>
      <c r="G42" s="64">
        <v>42.012259061560712</v>
      </c>
      <c r="H42" s="64">
        <v>42.188915072016989</v>
      </c>
      <c r="I42" s="64">
        <v>42.356699693850963</v>
      </c>
      <c r="J42" s="64">
        <v>42.519262842816417</v>
      </c>
      <c r="K42" s="64">
        <v>42.67854175891695</v>
      </c>
      <c r="L42" s="64">
        <v>42.83417182673616</v>
      </c>
      <c r="M42" s="64">
        <v>42.985623191131452</v>
      </c>
      <c r="N42" s="64">
        <v>43.132329185487002</v>
      </c>
      <c r="O42" s="64">
        <v>43.274025833783718</v>
      </c>
      <c r="P42" s="64">
        <v>43.410551681359827</v>
      </c>
      <c r="Q42" s="64">
        <v>43.541755931925472</v>
      </c>
      <c r="R42" s="64">
        <v>43.667537424684809</v>
      </c>
      <c r="S42" s="64">
        <v>43.787993903973359</v>
      </c>
      <c r="T42" s="64">
        <v>43.903559882190343</v>
      </c>
      <c r="U42" s="64">
        <v>44.014773610236219</v>
      </c>
      <c r="V42" s="64">
        <v>44.122188967363819</v>
      </c>
      <c r="W42" s="64">
        <v>44.226616355714988</v>
      </c>
      <c r="X42" s="64">
        <v>44.328905817056153</v>
      </c>
      <c r="Y42" s="64">
        <v>44.429653419499637</v>
      </c>
      <c r="Z42" s="64">
        <v>44.529280434334979</v>
      </c>
      <c r="AA42" s="64">
        <v>44.628021455707191</v>
      </c>
      <c r="AB42" s="64">
        <v>44.726513324183003</v>
      </c>
      <c r="AC42" s="64">
        <v>44.825407694606973</v>
      </c>
      <c r="AD42" s="64">
        <v>44.924732097083108</v>
      </c>
      <c r="AE42" s="64">
        <v>45.02448253102942</v>
      </c>
      <c r="AF42" s="64">
        <v>45.124554141190607</v>
      </c>
      <c r="AG42" s="64">
        <v>45.224966055905647</v>
      </c>
      <c r="AH42" s="64">
        <v>45.325788589703762</v>
      </c>
      <c r="AI42" s="64">
        <v>45.426955570846438</v>
      </c>
      <c r="AJ42" s="64">
        <v>45.528373756402402</v>
      </c>
      <c r="AK42" s="64">
        <v>45.630015932265799</v>
      </c>
      <c r="AL42" s="64">
        <v>45.731998663165797</v>
      </c>
      <c r="AM42" s="64">
        <v>45.834468576845993</v>
      </c>
      <c r="AN42" s="64">
        <v>45.937472348411191</v>
      </c>
      <c r="AO42" s="64">
        <v>46.041083584080333</v>
      </c>
      <c r="AP42" s="64">
        <v>46.145303052892928</v>
      </c>
      <c r="AQ42" s="64">
        <v>46.250175479423838</v>
      </c>
      <c r="AR42" s="64">
        <v>46.355734691866857</v>
      </c>
      <c r="AS42" s="64">
        <v>46.461795753383143</v>
      </c>
      <c r="AT42" s="64">
        <v>46.568144846260758</v>
      </c>
      <c r="AU42" s="64">
        <v>46.674533692885063</v>
      </c>
      <c r="AV42" s="64">
        <v>46.780676090768488</v>
      </c>
      <c r="AW42" s="64">
        <v>46.886207581870487</v>
      </c>
      <c r="AX42" s="64">
        <v>46.990689077837473</v>
      </c>
      <c r="AY42" s="64">
        <v>47.093578090695367</v>
      </c>
      <c r="AZ42" s="64">
        <v>47.194367446068469</v>
      </c>
      <c r="BA42" s="64">
        <v>47.292572849273817</v>
      </c>
      <c r="BB42" s="64">
        <v>47.387755547897058</v>
      </c>
      <c r="BC42" s="64">
        <v>47.479563982376661</v>
      </c>
      <c r="BD42" s="64">
        <v>47.567748360063383</v>
      </c>
      <c r="BE42" s="64">
        <v>47.652181884776809</v>
      </c>
      <c r="BF42" s="64">
        <v>47.732862119789289</v>
      </c>
      <c r="BG42" s="64">
        <v>47.809895132174553</v>
      </c>
      <c r="BH42" s="64">
        <v>47.883456952732502</v>
      </c>
      <c r="BI42" s="64">
        <v>47.953797946343329</v>
      </c>
      <c r="BJ42" s="64">
        <v>48.021200245989711</v>
      </c>
      <c r="BK42" s="64">
        <v>48.085944872656022</v>
      </c>
      <c r="BL42" s="64">
        <v>48.148317735030702</v>
      </c>
      <c r="BM42" s="64">
        <v>48.208617017519707</v>
      </c>
      <c r="BN42" s="64">
        <v>48.267101197265589</v>
      </c>
      <c r="BO42" s="64">
        <v>48.324008806602407</v>
      </c>
      <c r="BP42" s="64">
        <v>48.379531783177988</v>
      </c>
      <c r="BQ42" s="64">
        <v>48.433831899023232</v>
      </c>
      <c r="BR42" s="64">
        <v>48.487004368729643</v>
      </c>
      <c r="BS42" s="64">
        <v>48.539088224101327</v>
      </c>
      <c r="BT42" s="64">
        <v>48.590097103486762</v>
      </c>
      <c r="BU42" s="64">
        <v>48.639973265793103</v>
      </c>
      <c r="BV42" s="64">
        <v>48.688629461762773</v>
      </c>
      <c r="BW42" s="64">
        <v>48.735924932073281</v>
      </c>
      <c r="BX42" s="64">
        <v>48.78170719697458</v>
      </c>
      <c r="BY42" s="64">
        <v>48.825822558828293</v>
      </c>
      <c r="BZ42" s="64">
        <v>48.868088084243062</v>
      </c>
      <c r="CA42" s="64">
        <v>48.908364660517258</v>
      </c>
      <c r="CB42" s="64">
        <v>48.94648109855931</v>
      </c>
      <c r="CC42" s="64">
        <v>48.982345847335381</v>
      </c>
      <c r="CD42" s="64">
        <v>49.015912034846423</v>
      </c>
      <c r="CE42" s="64">
        <v>49.04718169241842</v>
      </c>
      <c r="CF42" s="64">
        <v>49.076272516341923</v>
      </c>
      <c r="CG42" s="64">
        <v>49.103382383857053</v>
      </c>
      <c r="CH42" s="64">
        <v>49.128799154197111</v>
      </c>
      <c r="CI42" s="64">
        <v>49.152898017000631</v>
      </c>
      <c r="CJ42" s="64">
        <v>49.176101061323841</v>
      </c>
      <c r="CK42" s="64">
        <v>49.198887065602712</v>
      </c>
      <c r="CL42" s="64">
        <v>49.221740242543952</v>
      </c>
      <c r="CM42" s="64">
        <v>49.245131843242518</v>
      </c>
      <c r="CN42" s="64">
        <v>49.269509093796117</v>
      </c>
      <c r="CO42" s="64">
        <v>49.295246414711841</v>
      </c>
      <c r="CP42" s="64">
        <v>49.322664524749833</v>
      </c>
      <c r="CQ42" s="64">
        <v>49.351985535644623</v>
      </c>
      <c r="CR42" s="64">
        <v>49.383358574011027</v>
      </c>
      <c r="CS42" s="64">
        <v>49.416832560487173</v>
      </c>
      <c r="CT42" s="64">
        <v>49.45237332816091</v>
      </c>
      <c r="CU42" s="64">
        <v>49.489888265985542</v>
      </c>
      <c r="CV42" s="64">
        <v>49.52921087699518</v>
      </c>
      <c r="CW42" s="64">
        <v>49.570103009274312</v>
      </c>
      <c r="CX42" s="64">
        <v>49.612302838881</v>
      </c>
    </row>
    <row r="43" spans="1:102" s="62" customFormat="1" ht="15" customHeight="1">
      <c r="A43" s="39" t="s">
        <v>428</v>
      </c>
      <c r="B43" s="64">
        <v>40.743447528722427</v>
      </c>
      <c r="C43" s="64">
        <v>40.618500867275152</v>
      </c>
      <c r="D43" s="64">
        <v>40.587109761148703</v>
      </c>
      <c r="E43" s="64">
        <v>40.721079199989767</v>
      </c>
      <c r="F43" s="64">
        <v>40.909446935756527</v>
      </c>
      <c r="G43" s="64">
        <v>41.104311997823068</v>
      </c>
      <c r="H43" s="64">
        <v>41.294313521122938</v>
      </c>
      <c r="I43" s="64">
        <v>41.484435203945011</v>
      </c>
      <c r="J43" s="64">
        <v>41.67329018270906</v>
      </c>
      <c r="K43" s="64">
        <v>41.857945763945402</v>
      </c>
      <c r="L43" s="64">
        <v>42.047355257497983</v>
      </c>
      <c r="M43" s="64">
        <v>42.241788977004411</v>
      </c>
      <c r="N43" s="64">
        <v>42.430470752094642</v>
      </c>
      <c r="O43" s="64">
        <v>42.607071857859438</v>
      </c>
      <c r="P43" s="64">
        <v>42.773389194247329</v>
      </c>
      <c r="Q43" s="64">
        <v>42.939149379092711</v>
      </c>
      <c r="R43" s="64">
        <v>43.090044683307809</v>
      </c>
      <c r="S43" s="64">
        <v>43.23499447655594</v>
      </c>
      <c r="T43" s="64">
        <v>43.388987192656558</v>
      </c>
      <c r="U43" s="64">
        <v>43.539410373350513</v>
      </c>
      <c r="V43" s="64">
        <v>43.683722583794179</v>
      </c>
      <c r="W43" s="64">
        <v>43.824780500837917</v>
      </c>
      <c r="X43" s="64">
        <v>43.951694137346678</v>
      </c>
      <c r="Y43" s="64">
        <v>44.066011833150959</v>
      </c>
      <c r="Z43" s="64">
        <v>44.18058216839399</v>
      </c>
      <c r="AA43" s="64">
        <v>44.305128354489618</v>
      </c>
      <c r="AB43" s="64">
        <v>44.441857953141877</v>
      </c>
      <c r="AC43" s="64">
        <v>44.583264688267413</v>
      </c>
      <c r="AD43" s="64">
        <v>44.723725861540913</v>
      </c>
      <c r="AE43" s="64">
        <v>44.865534165998241</v>
      </c>
      <c r="AF43" s="64">
        <v>45.017476672166048</v>
      </c>
      <c r="AG43" s="64">
        <v>45.195361990009673</v>
      </c>
      <c r="AH43" s="64">
        <v>45.371096488787487</v>
      </c>
      <c r="AI43" s="64">
        <v>45.549223835338758</v>
      </c>
      <c r="AJ43" s="64">
        <v>45.732851982272983</v>
      </c>
      <c r="AK43" s="64">
        <v>45.922390972108509</v>
      </c>
      <c r="AL43" s="64">
        <v>46.112327801773127</v>
      </c>
      <c r="AM43" s="64">
        <v>46.290212542397022</v>
      </c>
      <c r="AN43" s="64">
        <v>46.457725728374271</v>
      </c>
      <c r="AO43" s="64">
        <v>46.620095838768023</v>
      </c>
      <c r="AP43" s="64">
        <v>46.783472675414643</v>
      </c>
      <c r="AQ43" s="64">
        <v>46.950803267289338</v>
      </c>
      <c r="AR43" s="64">
        <v>47.103243231935593</v>
      </c>
      <c r="AS43" s="64">
        <v>47.244571351398278</v>
      </c>
      <c r="AT43" s="64">
        <v>47.380050513629662</v>
      </c>
      <c r="AU43" s="64">
        <v>47.507656184494607</v>
      </c>
      <c r="AV43" s="64">
        <v>47.622708129833953</v>
      </c>
      <c r="AW43" s="64">
        <v>47.728509730383458</v>
      </c>
      <c r="AX43" s="64">
        <v>47.831265654170757</v>
      </c>
      <c r="AY43" s="64">
        <v>47.906235558926781</v>
      </c>
      <c r="AZ43" s="64">
        <v>47.978220767628677</v>
      </c>
      <c r="BA43" s="64">
        <v>48.05013173534784</v>
      </c>
      <c r="BB43" s="64">
        <v>48.118443611545167</v>
      </c>
      <c r="BC43" s="64">
        <v>48.181984578118112</v>
      </c>
      <c r="BD43" s="64">
        <v>48.240952977708091</v>
      </c>
      <c r="BE43" s="64">
        <v>48.296186237942123</v>
      </c>
      <c r="BF43" s="64">
        <v>48.348273638283267</v>
      </c>
      <c r="BG43" s="64">
        <v>48.397659883945053</v>
      </c>
      <c r="BH43" s="64">
        <v>48.444743813486809</v>
      </c>
      <c r="BI43" s="64">
        <v>48.490191381669788</v>
      </c>
      <c r="BJ43" s="64">
        <v>48.534902517629128</v>
      </c>
      <c r="BK43" s="64">
        <v>48.579706341028</v>
      </c>
      <c r="BL43" s="64">
        <v>48.625225969338437</v>
      </c>
      <c r="BM43" s="64">
        <v>48.672128559637862</v>
      </c>
      <c r="BN43" s="64">
        <v>48.721033231607713</v>
      </c>
      <c r="BO43" s="64">
        <v>48.772472643248207</v>
      </c>
      <c r="BP43" s="64">
        <v>48.826709266330568</v>
      </c>
      <c r="BQ43" s="64">
        <v>48.883726585744441</v>
      </c>
      <c r="BR43" s="64">
        <v>48.943354497006062</v>
      </c>
      <c r="BS43" s="64">
        <v>49.005355536182037</v>
      </c>
      <c r="BT43" s="64">
        <v>49.069161647740557</v>
      </c>
      <c r="BU43" s="64">
        <v>49.133775324260888</v>
      </c>
      <c r="BV43" s="64">
        <v>49.198629844354691</v>
      </c>
      <c r="BW43" s="64">
        <v>49.263164640725883</v>
      </c>
      <c r="BX43" s="64">
        <v>49.326873275840647</v>
      </c>
      <c r="BY43" s="64">
        <v>49.388745751098263</v>
      </c>
      <c r="BZ43" s="64">
        <v>49.447498401215078</v>
      </c>
      <c r="CA43" s="64">
        <v>49.502283549316743</v>
      </c>
      <c r="CB43" s="64">
        <v>49.552582697803352</v>
      </c>
      <c r="CC43" s="64">
        <v>49.598110979809711</v>
      </c>
      <c r="CD43" s="64">
        <v>49.638657324120892</v>
      </c>
      <c r="CE43" s="64">
        <v>49.674063779032252</v>
      </c>
      <c r="CF43" s="64">
        <v>49.704428429586592</v>
      </c>
      <c r="CG43" s="64">
        <v>49.730221446481622</v>
      </c>
      <c r="CH43" s="64">
        <v>49.752171532186821</v>
      </c>
      <c r="CI43" s="64">
        <v>49.771069293182592</v>
      </c>
      <c r="CJ43" s="64">
        <v>49.787665889270372</v>
      </c>
      <c r="CK43" s="64">
        <v>49.802750383804742</v>
      </c>
      <c r="CL43" s="64">
        <v>49.817257584411358</v>
      </c>
      <c r="CM43" s="64">
        <v>49.832056096212618</v>
      </c>
      <c r="CN43" s="64">
        <v>49.847985950017367</v>
      </c>
      <c r="CO43" s="64">
        <v>49.865612697723542</v>
      </c>
      <c r="CP43" s="64">
        <v>49.885429936388803</v>
      </c>
      <c r="CQ43" s="64">
        <v>49.907982751718158</v>
      </c>
      <c r="CR43" s="64">
        <v>49.93366097588666</v>
      </c>
      <c r="CS43" s="64">
        <v>49.962645875534108</v>
      </c>
      <c r="CT43" s="64">
        <v>49.994973258253466</v>
      </c>
      <c r="CU43" s="64">
        <v>50.030605716612158</v>
      </c>
      <c r="CV43" s="64">
        <v>50.069350239559043</v>
      </c>
      <c r="CW43" s="64">
        <v>50.110998081489058</v>
      </c>
      <c r="CX43" s="64">
        <v>50.155229407346248</v>
      </c>
    </row>
    <row r="44" spans="1:102" s="62" customFormat="1" ht="15" customHeight="1">
      <c r="A44" s="39"/>
      <c r="B44" s="39"/>
      <c r="C44" s="39"/>
      <c r="D44" s="39"/>
      <c r="E44" s="39"/>
      <c r="F44" s="39"/>
      <c r="G44" s="39"/>
      <c r="H44" s="39"/>
      <c r="I44" s="39"/>
      <c r="J44" s="39"/>
      <c r="K44" s="39"/>
      <c r="L44" s="39"/>
      <c r="M44" s="39"/>
      <c r="N44" s="39"/>
      <c r="O44" s="39"/>
      <c r="P44" s="39"/>
      <c r="Q44" s="39"/>
      <c r="R44" s="39"/>
      <c r="S44" s="39"/>
      <c r="T44" s="39"/>
      <c r="U44" s="39"/>
      <c r="V44" s="39"/>
      <c r="W44" s="39"/>
      <c r="X44" s="39"/>
      <c r="Y44" s="39"/>
      <c r="Z44" s="39"/>
      <c r="AA44" s="39"/>
      <c r="AB44" s="39"/>
      <c r="AC44" s="39"/>
      <c r="AD44" s="39"/>
      <c r="AE44" s="39"/>
      <c r="AF44" s="39"/>
      <c r="AG44" s="39"/>
      <c r="AH44" s="39"/>
      <c r="AI44" s="39"/>
      <c r="AJ44" s="39"/>
      <c r="AK44" s="39"/>
      <c r="AL44" s="39"/>
      <c r="AM44" s="39"/>
      <c r="AN44" s="39"/>
      <c r="AO44" s="39"/>
      <c r="AP44" s="39"/>
      <c r="AQ44" s="39"/>
      <c r="AR44" s="39"/>
      <c r="AS44" s="39"/>
      <c r="AT44" s="39"/>
      <c r="AU44" s="39"/>
      <c r="AV44" s="39"/>
      <c r="AW44" s="39"/>
      <c r="AX44" s="39"/>
      <c r="AY44" s="39"/>
      <c r="AZ44" s="39"/>
      <c r="BA44" s="39"/>
      <c r="BB44" s="39"/>
      <c r="BC44" s="39"/>
      <c r="BD44" s="39"/>
      <c r="BE44" s="39"/>
      <c r="BF44" s="39"/>
      <c r="BG44" s="39"/>
      <c r="BH44" s="39"/>
      <c r="BI44" s="39"/>
      <c r="BJ44" s="39"/>
      <c r="BK44" s="39"/>
      <c r="BL44" s="39"/>
      <c r="BM44" s="39"/>
      <c r="BN44" s="39"/>
      <c r="BO44" s="39"/>
      <c r="BP44" s="39"/>
      <c r="BQ44" s="39"/>
      <c r="BR44" s="39"/>
      <c r="BS44" s="39"/>
      <c r="BT44" s="39"/>
      <c r="BU44" s="39"/>
      <c r="BV44" s="39"/>
      <c r="BW44" s="39"/>
      <c r="BX44" s="39"/>
      <c r="BY44" s="39"/>
      <c r="BZ44" s="39"/>
      <c r="CA44" s="39"/>
      <c r="CB44" s="39"/>
      <c r="CC44" s="39"/>
      <c r="CD44" s="39"/>
      <c r="CE44" s="39"/>
      <c r="CF44" s="39"/>
      <c r="CG44" s="39"/>
      <c r="CH44" s="39"/>
      <c r="CI44" s="39"/>
      <c r="CJ44" s="39"/>
      <c r="CK44" s="39"/>
      <c r="CL44" s="39"/>
      <c r="CM44" s="39"/>
      <c r="CN44" s="39"/>
      <c r="CO44" s="39"/>
      <c r="CP44" s="39"/>
      <c r="CQ44" s="39"/>
      <c r="CR44" s="39"/>
      <c r="CS44" s="39"/>
      <c r="CT44" s="39"/>
      <c r="CU44" s="39"/>
      <c r="CV44" s="39"/>
      <c r="CW44" s="39"/>
      <c r="CX44" s="39"/>
    </row>
    <row r="45" spans="1:102" s="39" customFormat="1" ht="28.7" customHeight="1">
      <c r="A45" s="42" t="s">
        <v>429</v>
      </c>
      <c r="B45" s="55"/>
      <c r="C45" s="55"/>
      <c r="D45" s="55"/>
      <c r="E45" s="55"/>
      <c r="F45" s="55"/>
      <c r="G45" s="55"/>
      <c r="H45" s="55"/>
      <c r="I45" s="55"/>
      <c r="J45" s="55"/>
      <c r="K45" s="55"/>
      <c r="L45" s="55"/>
      <c r="M45" s="55"/>
      <c r="N45" s="55"/>
      <c r="O45" s="55"/>
      <c r="P45" s="55"/>
      <c r="Q45" s="55"/>
      <c r="R45" s="55"/>
      <c r="S45" s="55"/>
      <c r="T45" s="55"/>
      <c r="U45" s="55"/>
      <c r="V45" s="55"/>
      <c r="W45" s="55"/>
      <c r="X45" s="55"/>
      <c r="Y45" s="55"/>
      <c r="Z45" s="55"/>
      <c r="AA45" s="55"/>
      <c r="AB45" s="55"/>
      <c r="AC45" s="55"/>
      <c r="AD45" s="55"/>
      <c r="AE45" s="55"/>
      <c r="AF45" s="55"/>
      <c r="AG45" s="55"/>
      <c r="AH45" s="55"/>
      <c r="AI45" s="55"/>
      <c r="AJ45" s="55"/>
      <c r="AK45" s="55"/>
      <c r="AL45" s="55"/>
      <c r="AM45" s="55"/>
      <c r="AN45" s="55"/>
      <c r="AO45" s="55"/>
      <c r="AP45" s="55"/>
      <c r="AQ45" s="55"/>
      <c r="AR45" s="55"/>
      <c r="AS45" s="55"/>
      <c r="AT45" s="55"/>
      <c r="AU45" s="55"/>
      <c r="AV45" s="55"/>
      <c r="AW45" s="55"/>
      <c r="AX45" s="55"/>
      <c r="AY45" s="55"/>
      <c r="AZ45" s="55"/>
      <c r="BA45" s="55"/>
      <c r="BB45" s="55"/>
      <c r="BC45" s="55"/>
      <c r="BD45" s="55"/>
      <c r="BE45" s="55"/>
      <c r="BF45" s="55"/>
      <c r="BG45" s="55"/>
      <c r="BH45" s="55"/>
      <c r="BI45" s="55"/>
      <c r="BJ45" s="55"/>
      <c r="BK45" s="55"/>
      <c r="BL45" s="55"/>
      <c r="BM45" s="55"/>
      <c r="BN45" s="55"/>
      <c r="BO45" s="55"/>
      <c r="BP45" s="55"/>
      <c r="BQ45" s="55"/>
      <c r="BR45" s="55"/>
      <c r="BS45" s="55"/>
      <c r="BT45" s="55"/>
      <c r="BU45" s="55"/>
      <c r="BV45" s="55"/>
      <c r="BW45" s="55"/>
      <c r="BX45" s="55"/>
      <c r="BY45" s="55"/>
      <c r="BZ45" s="55"/>
      <c r="CA45" s="55"/>
      <c r="CB45" s="55"/>
      <c r="CC45" s="55"/>
      <c r="CD45" s="55"/>
      <c r="CE45" s="55"/>
      <c r="CF45" s="55"/>
      <c r="CG45" s="55"/>
      <c r="CH45" s="55"/>
      <c r="CI45" s="55"/>
      <c r="CJ45" s="55"/>
      <c r="CK45" s="55"/>
      <c r="CL45" s="55"/>
      <c r="CM45" s="55"/>
      <c r="CN45" s="55"/>
      <c r="CO45" s="55"/>
      <c r="CP45" s="55"/>
      <c r="CQ45" s="55"/>
      <c r="CR45" s="55"/>
      <c r="CS45" s="55"/>
      <c r="CT45" s="55"/>
      <c r="CU45" s="55"/>
      <c r="CV45" s="55"/>
      <c r="CW45" s="55"/>
    </row>
    <row r="46" spans="1:102" s="65" customFormat="1" ht="15.6" customHeight="1">
      <c r="A46" s="58" t="s">
        <v>430</v>
      </c>
      <c r="B46" s="59" t="s">
        <v>176</v>
      </c>
      <c r="C46" s="59" t="s">
        <v>177</v>
      </c>
      <c r="D46" s="59" t="s">
        <v>178</v>
      </c>
      <c r="E46" s="59" t="s">
        <v>179</v>
      </c>
      <c r="F46" s="59" t="s">
        <v>180</v>
      </c>
      <c r="G46" s="59" t="s">
        <v>181</v>
      </c>
      <c r="H46" s="59" t="s">
        <v>182</v>
      </c>
      <c r="I46" s="59" t="s">
        <v>183</v>
      </c>
      <c r="J46" s="59" t="s">
        <v>184</v>
      </c>
      <c r="K46" s="59" t="s">
        <v>185</v>
      </c>
      <c r="L46" s="59" t="s">
        <v>186</v>
      </c>
      <c r="M46" s="59" t="s">
        <v>187</v>
      </c>
      <c r="N46" s="59" t="s">
        <v>188</v>
      </c>
      <c r="O46" s="59" t="s">
        <v>189</v>
      </c>
      <c r="P46" s="59" t="s">
        <v>190</v>
      </c>
      <c r="Q46" s="59" t="s">
        <v>191</v>
      </c>
      <c r="R46" s="59" t="s">
        <v>192</v>
      </c>
      <c r="S46" s="59" t="s">
        <v>193</v>
      </c>
      <c r="T46" s="59" t="s">
        <v>194</v>
      </c>
      <c r="U46" s="59" t="s">
        <v>195</v>
      </c>
      <c r="V46" s="59" t="s">
        <v>196</v>
      </c>
      <c r="W46" s="59" t="s">
        <v>197</v>
      </c>
      <c r="X46" s="59" t="s">
        <v>198</v>
      </c>
      <c r="Y46" s="59" t="s">
        <v>199</v>
      </c>
      <c r="Z46" s="59" t="s">
        <v>200</v>
      </c>
      <c r="AA46" s="59" t="s">
        <v>201</v>
      </c>
      <c r="AB46" s="59" t="s">
        <v>202</v>
      </c>
      <c r="AC46" s="59" t="s">
        <v>203</v>
      </c>
      <c r="AD46" s="59" t="s">
        <v>204</v>
      </c>
      <c r="AE46" s="59" t="s">
        <v>205</v>
      </c>
      <c r="AF46" s="59" t="s">
        <v>206</v>
      </c>
      <c r="AG46" s="59" t="s">
        <v>207</v>
      </c>
      <c r="AH46" s="59" t="s">
        <v>208</v>
      </c>
      <c r="AI46" s="59" t="s">
        <v>209</v>
      </c>
      <c r="AJ46" s="59" t="s">
        <v>210</v>
      </c>
      <c r="AK46" s="59" t="s">
        <v>211</v>
      </c>
      <c r="AL46" s="59" t="s">
        <v>212</v>
      </c>
      <c r="AM46" s="59" t="s">
        <v>213</v>
      </c>
      <c r="AN46" s="59" t="s">
        <v>214</v>
      </c>
      <c r="AO46" s="59" t="s">
        <v>339</v>
      </c>
      <c r="AP46" s="59" t="s">
        <v>340</v>
      </c>
      <c r="AQ46" s="59" t="s">
        <v>341</v>
      </c>
      <c r="AR46" s="59" t="s">
        <v>342</v>
      </c>
      <c r="AS46" s="59" t="s">
        <v>343</v>
      </c>
      <c r="AT46" s="59" t="s">
        <v>344</v>
      </c>
      <c r="AU46" s="59" t="s">
        <v>345</v>
      </c>
      <c r="AV46" s="59" t="s">
        <v>346</v>
      </c>
      <c r="AW46" s="59" t="s">
        <v>347</v>
      </c>
      <c r="AX46" s="59" t="s">
        <v>348</v>
      </c>
      <c r="AY46" s="59" t="s">
        <v>349</v>
      </c>
      <c r="AZ46" s="59" t="s">
        <v>350</v>
      </c>
      <c r="BA46" s="59" t="s">
        <v>351</v>
      </c>
      <c r="BB46" s="59" t="s">
        <v>352</v>
      </c>
      <c r="BC46" s="59" t="s">
        <v>353</v>
      </c>
      <c r="BD46" s="59" t="s">
        <v>354</v>
      </c>
      <c r="BE46" s="59" t="s">
        <v>355</v>
      </c>
      <c r="BF46" s="59" t="s">
        <v>356</v>
      </c>
      <c r="BG46" s="59" t="s">
        <v>357</v>
      </c>
      <c r="BH46" s="59" t="s">
        <v>358</v>
      </c>
      <c r="BI46" s="59" t="s">
        <v>359</v>
      </c>
      <c r="BJ46" s="59" t="s">
        <v>360</v>
      </c>
      <c r="BK46" s="59" t="s">
        <v>361</v>
      </c>
      <c r="BL46" s="59" t="s">
        <v>362</v>
      </c>
      <c r="BM46" s="59" t="s">
        <v>363</v>
      </c>
      <c r="BN46" s="59" t="s">
        <v>364</v>
      </c>
      <c r="BO46" s="59" t="s">
        <v>365</v>
      </c>
      <c r="BP46" s="59" t="s">
        <v>366</v>
      </c>
      <c r="BQ46" s="59" t="s">
        <v>367</v>
      </c>
      <c r="BR46" s="59" t="s">
        <v>368</v>
      </c>
      <c r="BS46" s="59" t="s">
        <v>369</v>
      </c>
      <c r="BT46" s="59" t="s">
        <v>370</v>
      </c>
      <c r="BU46" s="59" t="s">
        <v>371</v>
      </c>
      <c r="BV46" s="59" t="s">
        <v>372</v>
      </c>
      <c r="BW46" s="59" t="s">
        <v>373</v>
      </c>
      <c r="BX46" s="59" t="s">
        <v>374</v>
      </c>
      <c r="BY46" s="59" t="s">
        <v>375</v>
      </c>
      <c r="BZ46" s="59" t="s">
        <v>376</v>
      </c>
      <c r="CA46" s="59" t="s">
        <v>377</v>
      </c>
      <c r="CB46" s="59" t="s">
        <v>378</v>
      </c>
      <c r="CC46" s="59" t="s">
        <v>379</v>
      </c>
      <c r="CD46" s="59" t="s">
        <v>380</v>
      </c>
      <c r="CE46" s="59" t="s">
        <v>381</v>
      </c>
      <c r="CF46" s="59" t="s">
        <v>382</v>
      </c>
      <c r="CG46" s="59" t="s">
        <v>383</v>
      </c>
      <c r="CH46" s="59" t="s">
        <v>384</v>
      </c>
      <c r="CI46" s="59" t="s">
        <v>385</v>
      </c>
      <c r="CJ46" s="59" t="s">
        <v>386</v>
      </c>
      <c r="CK46" s="59" t="s">
        <v>387</v>
      </c>
      <c r="CL46" s="59" t="s">
        <v>388</v>
      </c>
      <c r="CM46" s="59" t="s">
        <v>389</v>
      </c>
      <c r="CN46" s="59" t="s">
        <v>390</v>
      </c>
      <c r="CO46" s="59" t="s">
        <v>391</v>
      </c>
      <c r="CP46" s="59" t="s">
        <v>392</v>
      </c>
      <c r="CQ46" s="59" t="s">
        <v>393</v>
      </c>
      <c r="CR46" s="59" t="s">
        <v>394</v>
      </c>
      <c r="CS46" s="59" t="s">
        <v>395</v>
      </c>
      <c r="CT46" s="59" t="s">
        <v>396</v>
      </c>
      <c r="CU46" s="59" t="s">
        <v>397</v>
      </c>
      <c r="CV46" s="59" t="s">
        <v>398</v>
      </c>
      <c r="CW46" s="59" t="s">
        <v>399</v>
      </c>
      <c r="CX46" s="59" t="s">
        <v>400</v>
      </c>
    </row>
    <row r="47" spans="1:102" s="62" customFormat="1" ht="15" customHeight="1">
      <c r="A47" s="49" t="s">
        <v>431</v>
      </c>
      <c r="B47" s="66">
        <v>12397.632</v>
      </c>
      <c r="C47" s="66">
        <v>12397.236000000001</v>
      </c>
      <c r="D47" s="66">
        <v>12336.986999999999</v>
      </c>
      <c r="E47" s="66">
        <v>12230.057000000001</v>
      </c>
      <c r="F47" s="66">
        <v>12102.088</v>
      </c>
      <c r="G47" s="66">
        <v>11959.548000000001</v>
      </c>
      <c r="H47" s="66">
        <v>11819.12</v>
      </c>
      <c r="I47" s="66">
        <v>11702.257</v>
      </c>
      <c r="J47" s="66">
        <v>11604.653</v>
      </c>
      <c r="K47" s="66">
        <v>11509.386</v>
      </c>
      <c r="L47" s="66">
        <v>11406.27</v>
      </c>
      <c r="M47" s="66">
        <v>11324.683000000001</v>
      </c>
      <c r="N47" s="66">
        <v>11260.486000000001</v>
      </c>
      <c r="O47" s="66">
        <v>11205.248</v>
      </c>
      <c r="P47" s="66">
        <v>11164.753000000001</v>
      </c>
      <c r="Q47" s="66">
        <v>11147.157999999999</v>
      </c>
      <c r="R47" s="66">
        <v>11126.014999999999</v>
      </c>
      <c r="S47" s="66">
        <v>11143.362999999999</v>
      </c>
      <c r="T47" s="66">
        <v>11164.960999999999</v>
      </c>
      <c r="U47" s="66">
        <v>11186.776</v>
      </c>
      <c r="V47" s="66">
        <v>11212.027</v>
      </c>
      <c r="W47" s="66">
        <v>11241.157999999999</v>
      </c>
      <c r="X47" s="66">
        <v>11272.661</v>
      </c>
      <c r="Y47" s="66">
        <v>11304.776</v>
      </c>
      <c r="Z47" s="66">
        <v>11336.49</v>
      </c>
      <c r="AA47" s="66">
        <v>11367.128000000001</v>
      </c>
      <c r="AB47" s="66">
        <v>11395.171</v>
      </c>
      <c r="AC47" s="66">
        <v>11418.548000000001</v>
      </c>
      <c r="AD47" s="66">
        <v>11436.03</v>
      </c>
      <c r="AE47" s="66">
        <v>11446.853999999999</v>
      </c>
      <c r="AF47" s="66">
        <v>11450.52</v>
      </c>
      <c r="AG47" s="66">
        <v>11446.418</v>
      </c>
      <c r="AH47" s="66">
        <v>11434.007</v>
      </c>
      <c r="AI47" s="66">
        <v>11413.422</v>
      </c>
      <c r="AJ47" s="66">
        <v>11385.351000000001</v>
      </c>
      <c r="AK47" s="66">
        <v>11350.652</v>
      </c>
      <c r="AL47" s="66">
        <v>11310.106</v>
      </c>
      <c r="AM47" s="66">
        <v>11264.933999999999</v>
      </c>
      <c r="AN47" s="66">
        <v>11216.707</v>
      </c>
      <c r="AO47" s="66">
        <v>11166.629000000001</v>
      </c>
      <c r="AP47" s="66">
        <v>11115.841</v>
      </c>
      <c r="AQ47" s="66">
        <v>11065.184999999999</v>
      </c>
      <c r="AR47" s="66">
        <v>11016.305</v>
      </c>
      <c r="AS47" s="66">
        <v>10971.163</v>
      </c>
      <c r="AT47" s="66">
        <v>10930.659</v>
      </c>
      <c r="AU47" s="66">
        <v>10895.362999999999</v>
      </c>
      <c r="AV47" s="66">
        <v>10865.605</v>
      </c>
      <c r="AW47" s="66">
        <v>10841.643</v>
      </c>
      <c r="AX47" s="66">
        <v>10823.624</v>
      </c>
      <c r="AY47" s="66">
        <v>10811.312</v>
      </c>
      <c r="AZ47" s="66">
        <v>10804.088</v>
      </c>
      <c r="BA47" s="66">
        <v>10801.251</v>
      </c>
      <c r="BB47" s="66">
        <v>10802.24</v>
      </c>
      <c r="BC47" s="66">
        <v>10806.404</v>
      </c>
      <c r="BD47" s="66">
        <v>10812.924999999999</v>
      </c>
      <c r="BE47" s="66">
        <v>10820.991</v>
      </c>
      <c r="BF47" s="66">
        <v>10829.769</v>
      </c>
      <c r="BG47" s="66">
        <v>10838.603999999999</v>
      </c>
      <c r="BH47" s="66">
        <v>10846.922</v>
      </c>
      <c r="BI47" s="66">
        <v>10853.960999999999</v>
      </c>
      <c r="BJ47" s="66">
        <v>10859.092000000001</v>
      </c>
      <c r="BK47" s="66">
        <v>10861.876</v>
      </c>
      <c r="BL47" s="66">
        <v>10861.956</v>
      </c>
      <c r="BM47" s="66">
        <v>10859.121999999999</v>
      </c>
      <c r="BN47" s="66">
        <v>10853.261</v>
      </c>
      <c r="BO47" s="66">
        <v>10844.305</v>
      </c>
      <c r="BP47" s="66">
        <v>10832.369000000001</v>
      </c>
      <c r="BQ47" s="66">
        <v>10817.637000000001</v>
      </c>
      <c r="BR47" s="66">
        <v>10800.394</v>
      </c>
      <c r="BS47" s="66">
        <v>10780.998</v>
      </c>
      <c r="BT47" s="66">
        <v>10759.873</v>
      </c>
      <c r="BU47" s="66">
        <v>10737.48</v>
      </c>
      <c r="BV47" s="66">
        <v>10714.299000000001</v>
      </c>
      <c r="BW47" s="66">
        <v>10690.85</v>
      </c>
      <c r="BX47" s="66">
        <v>10667.608</v>
      </c>
      <c r="BY47" s="66">
        <v>10645.055</v>
      </c>
      <c r="BZ47" s="66">
        <v>10623.611999999999</v>
      </c>
      <c r="CA47" s="66">
        <v>10603.643</v>
      </c>
      <c r="CB47" s="66">
        <v>10585.44</v>
      </c>
      <c r="CC47" s="66">
        <v>10569.239</v>
      </c>
      <c r="CD47" s="66">
        <v>10555.162</v>
      </c>
      <c r="CE47" s="66">
        <v>10543.278</v>
      </c>
      <c r="CF47" s="66">
        <v>10533.537</v>
      </c>
      <c r="CG47" s="66">
        <v>10525.864</v>
      </c>
      <c r="CH47" s="66">
        <v>10520.105</v>
      </c>
      <c r="CI47" s="66">
        <v>10516.039000000001</v>
      </c>
      <c r="CJ47" s="66">
        <v>10513.403</v>
      </c>
      <c r="CK47" s="66">
        <v>10511.914000000001</v>
      </c>
      <c r="CL47" s="66">
        <v>10511.255999999999</v>
      </c>
      <c r="CM47" s="66">
        <v>10511.120999999999</v>
      </c>
      <c r="CN47" s="66">
        <v>10511.199000000001</v>
      </c>
      <c r="CO47" s="66">
        <v>10511.19</v>
      </c>
      <c r="CP47" s="66">
        <v>10510.813</v>
      </c>
      <c r="CQ47" s="66">
        <v>10509.837</v>
      </c>
      <c r="CR47" s="66">
        <v>10508.058000000001</v>
      </c>
      <c r="CS47" s="66">
        <v>10505.316000000001</v>
      </c>
      <c r="CT47" s="66">
        <v>10501.494000000001</v>
      </c>
      <c r="CU47" s="66">
        <v>10496.531000000001</v>
      </c>
      <c r="CV47" s="66">
        <v>10490.407999999999</v>
      </c>
      <c r="CW47" s="66">
        <v>10483.143</v>
      </c>
      <c r="CX47" s="66">
        <v>10474.812</v>
      </c>
    </row>
    <row r="48" spans="1:102" s="62" customFormat="1" ht="15" customHeight="1">
      <c r="A48" s="49" t="s">
        <v>432</v>
      </c>
      <c r="B48" s="66">
        <v>43198.555999999997</v>
      </c>
      <c r="C48" s="66">
        <v>43917.531000000003</v>
      </c>
      <c r="D48" s="66">
        <v>44500.02</v>
      </c>
      <c r="E48" s="66">
        <v>44744.123</v>
      </c>
      <c r="F48" s="66">
        <v>45025.333825136608</v>
      </c>
      <c r="G48" s="66">
        <v>45574.864695890406</v>
      </c>
      <c r="H48" s="66">
        <v>46030.525999999998</v>
      </c>
      <c r="I48" s="66">
        <v>46188.642999999996</v>
      </c>
      <c r="J48" s="66">
        <v>46324.353999999999</v>
      </c>
      <c r="K48" s="66">
        <v>46442.635999999999</v>
      </c>
      <c r="L48" s="66">
        <v>46562.148000000001</v>
      </c>
      <c r="M48" s="66">
        <v>46670.341</v>
      </c>
      <c r="N48" s="66">
        <v>46763.610999999997</v>
      </c>
      <c r="O48" s="66">
        <v>46858.864999999998</v>
      </c>
      <c r="P48" s="66">
        <v>46943.608999999997</v>
      </c>
      <c r="Q48" s="66">
        <v>47030.79</v>
      </c>
      <c r="R48" s="66">
        <v>47107.112000000001</v>
      </c>
      <c r="S48" s="66">
        <v>47181.73</v>
      </c>
      <c r="T48" s="66">
        <v>47286.794000000002</v>
      </c>
      <c r="U48" s="66">
        <v>47425.002999999997</v>
      </c>
      <c r="V48" s="66">
        <v>47572.218000000001</v>
      </c>
      <c r="W48" s="66">
        <v>47730.565000000002</v>
      </c>
      <c r="X48" s="66">
        <v>48014.264232876711</v>
      </c>
      <c r="Y48" s="66">
        <v>48541.180347945206</v>
      </c>
      <c r="Z48" s="66">
        <v>48958.023000000001</v>
      </c>
      <c r="AA48" s="66">
        <v>49058.485999999997</v>
      </c>
      <c r="AB48" s="66">
        <v>49124.796999999999</v>
      </c>
      <c r="AC48" s="66">
        <v>49191.538</v>
      </c>
      <c r="AD48" s="66">
        <v>49265.5</v>
      </c>
      <c r="AE48" s="66">
        <v>49333.692000000003</v>
      </c>
      <c r="AF48" s="66">
        <v>49400.786999999997</v>
      </c>
      <c r="AG48" s="66">
        <v>49440.447999999997</v>
      </c>
      <c r="AH48" s="66">
        <v>49474.752999999997</v>
      </c>
      <c r="AI48" s="66">
        <v>49500.495000000003</v>
      </c>
      <c r="AJ48" s="66">
        <v>49502.940999999999</v>
      </c>
      <c r="AK48" s="66">
        <v>49511.47</v>
      </c>
      <c r="AL48" s="66">
        <v>49509.821000000004</v>
      </c>
      <c r="AM48" s="66">
        <v>49497.898000000001</v>
      </c>
      <c r="AN48" s="66">
        <v>49488.595000000001</v>
      </c>
      <c r="AO48" s="66">
        <v>49493.91</v>
      </c>
      <c r="AP48" s="66">
        <v>49490.072</v>
      </c>
      <c r="AQ48" s="66">
        <v>49495.917000000001</v>
      </c>
      <c r="AR48" s="66">
        <v>49499.783000000003</v>
      </c>
      <c r="AS48" s="66">
        <v>49478.451000000001</v>
      </c>
      <c r="AT48" s="66">
        <v>49461.381000000001</v>
      </c>
      <c r="AU48" s="66">
        <v>49434.449000000001</v>
      </c>
      <c r="AV48" s="66">
        <v>49416.900999999998</v>
      </c>
      <c r="AW48" s="66">
        <v>49405.133999999998</v>
      </c>
      <c r="AX48" s="66">
        <v>49385.368999999999</v>
      </c>
      <c r="AY48" s="66">
        <v>49345.358</v>
      </c>
      <c r="AZ48" s="66">
        <v>49283.345999999998</v>
      </c>
      <c r="BA48" s="66">
        <v>49218.226999999999</v>
      </c>
      <c r="BB48" s="66">
        <v>49150.199000000001</v>
      </c>
      <c r="BC48" s="66">
        <v>49065.372000000003</v>
      </c>
      <c r="BD48" s="66">
        <v>48946.881000000001</v>
      </c>
      <c r="BE48" s="66">
        <v>48831.146000000001</v>
      </c>
      <c r="BF48" s="66">
        <v>48707.402999999998</v>
      </c>
      <c r="BG48" s="66">
        <v>48572.341</v>
      </c>
      <c r="BH48" s="66">
        <v>48436.714999999997</v>
      </c>
      <c r="BI48" s="66">
        <v>48319.1</v>
      </c>
      <c r="BJ48" s="66">
        <v>48218.173000000003</v>
      </c>
      <c r="BK48" s="66">
        <v>48119.972000000002</v>
      </c>
      <c r="BL48" s="66">
        <v>48015.292000000001</v>
      </c>
      <c r="BM48" s="66">
        <v>47930.544000000002</v>
      </c>
      <c r="BN48" s="66">
        <v>47861.315000000002</v>
      </c>
      <c r="BO48" s="66">
        <v>47799.603000000003</v>
      </c>
      <c r="BP48" s="66">
        <v>47750.152999999998</v>
      </c>
      <c r="BQ48" s="66">
        <v>47720.004000000001</v>
      </c>
      <c r="BR48" s="66">
        <v>47684.19</v>
      </c>
      <c r="BS48" s="66">
        <v>47681.086000000003</v>
      </c>
      <c r="BT48" s="66">
        <v>47678.92</v>
      </c>
      <c r="BU48" s="66">
        <v>47673.995000000003</v>
      </c>
      <c r="BV48" s="66">
        <v>47669.334000000003</v>
      </c>
      <c r="BW48" s="66">
        <v>47665.728999999999</v>
      </c>
      <c r="BX48" s="66">
        <v>47662.442999999999</v>
      </c>
      <c r="BY48" s="66">
        <v>47658.141000000003</v>
      </c>
      <c r="BZ48" s="66">
        <v>47652.218999999997</v>
      </c>
      <c r="CA48" s="66">
        <v>47644.226999999999</v>
      </c>
      <c r="CB48" s="66">
        <v>47633.881000000001</v>
      </c>
      <c r="CC48" s="66">
        <v>47620.466999999997</v>
      </c>
      <c r="CD48" s="66">
        <v>47603.305</v>
      </c>
      <c r="CE48" s="66">
        <v>47582.002</v>
      </c>
      <c r="CF48" s="66">
        <v>47556.260999999999</v>
      </c>
      <c r="CG48" s="66">
        <v>47525.743999999999</v>
      </c>
      <c r="CH48" s="66">
        <v>47490.216999999997</v>
      </c>
      <c r="CI48" s="66">
        <v>47449.652000000002</v>
      </c>
      <c r="CJ48" s="66">
        <v>47404.413999999997</v>
      </c>
      <c r="CK48" s="66">
        <v>47354.972000000002</v>
      </c>
      <c r="CL48" s="66">
        <v>47301.877999999997</v>
      </c>
      <c r="CM48" s="66">
        <v>47246.080000000002</v>
      </c>
      <c r="CN48" s="66">
        <v>47188.718999999997</v>
      </c>
      <c r="CO48" s="66">
        <v>47130.623</v>
      </c>
      <c r="CP48" s="66">
        <v>47072.500999999997</v>
      </c>
      <c r="CQ48" s="66">
        <v>47014.997000000003</v>
      </c>
      <c r="CR48" s="66">
        <v>46959.487000000001</v>
      </c>
      <c r="CS48" s="66">
        <v>46907.470999999998</v>
      </c>
      <c r="CT48" s="66">
        <v>46859.533000000003</v>
      </c>
      <c r="CU48" s="66">
        <v>46816.008999999998</v>
      </c>
      <c r="CV48" s="66">
        <v>46777.055999999997</v>
      </c>
      <c r="CW48" s="66">
        <v>46742.807999999997</v>
      </c>
      <c r="CX48" s="66">
        <v>46713.288999999997</v>
      </c>
    </row>
    <row r="49" spans="1:102" s="62" customFormat="1" ht="15" customHeight="1">
      <c r="A49" s="39" t="s">
        <v>433</v>
      </c>
      <c r="B49" s="66">
        <v>12006.573</v>
      </c>
      <c r="C49" s="66">
        <v>12177.727999999999</v>
      </c>
      <c r="D49" s="66">
        <v>12389.224</v>
      </c>
      <c r="E49" s="66">
        <v>12610.316999999999</v>
      </c>
      <c r="F49" s="66">
        <v>12723.00417486339</v>
      </c>
      <c r="G49" s="66">
        <v>12572.13630410959</v>
      </c>
      <c r="H49" s="66">
        <v>12537.495999999999</v>
      </c>
      <c r="I49" s="66">
        <v>12805.710999999999</v>
      </c>
      <c r="J49" s="66">
        <v>13082.578</v>
      </c>
      <c r="K49" s="66">
        <v>13366.638000000001</v>
      </c>
      <c r="L49" s="66">
        <v>13649.319</v>
      </c>
      <c r="M49" s="66">
        <v>13914.223</v>
      </c>
      <c r="N49" s="66">
        <v>14169.754000000001</v>
      </c>
      <c r="O49" s="66">
        <v>14407.888000000001</v>
      </c>
      <c r="P49" s="66">
        <v>14635.912</v>
      </c>
      <c r="Q49" s="66">
        <v>14833.379000000001</v>
      </c>
      <c r="R49" s="66">
        <v>15040.77</v>
      </c>
      <c r="S49" s="66">
        <v>15207.394</v>
      </c>
      <c r="T49" s="66">
        <v>15335.743</v>
      </c>
      <c r="U49" s="66">
        <v>15427.368</v>
      </c>
      <c r="V49" s="66">
        <v>15503.313</v>
      </c>
      <c r="W49" s="66">
        <v>15560.757</v>
      </c>
      <c r="X49" s="66">
        <v>15486.411767123291</v>
      </c>
      <c r="Y49" s="66">
        <v>15163.716652054791</v>
      </c>
      <c r="Z49" s="66">
        <v>14946.584000000001</v>
      </c>
      <c r="AA49" s="66">
        <v>15041.486000000001</v>
      </c>
      <c r="AB49" s="66">
        <v>15166.210999999999</v>
      </c>
      <c r="AC49" s="66">
        <v>15286.552</v>
      </c>
      <c r="AD49" s="66">
        <v>15396.279</v>
      </c>
      <c r="AE49" s="66">
        <v>15508.665999999999</v>
      </c>
      <c r="AF49" s="66">
        <v>15619.37</v>
      </c>
      <c r="AG49" s="66">
        <v>15755.332</v>
      </c>
      <c r="AH49" s="66">
        <v>15895.153</v>
      </c>
      <c r="AI49" s="66">
        <v>16042.602000000001</v>
      </c>
      <c r="AJ49" s="66">
        <v>16212.814</v>
      </c>
      <c r="AK49" s="66">
        <v>16376.735000000001</v>
      </c>
      <c r="AL49" s="66">
        <v>16550.923999999999</v>
      </c>
      <c r="AM49" s="66">
        <v>16735.371999999999</v>
      </c>
      <c r="AN49" s="66">
        <v>16916.82</v>
      </c>
      <c r="AO49" s="66">
        <v>17083.165000000001</v>
      </c>
      <c r="AP49" s="66">
        <v>17258.036</v>
      </c>
      <c r="AQ49" s="66">
        <v>17422.400000000001</v>
      </c>
      <c r="AR49" s="66">
        <v>17586.757000000001</v>
      </c>
      <c r="AS49" s="66">
        <v>17772.842000000001</v>
      </c>
      <c r="AT49" s="66">
        <v>17950.582999999999</v>
      </c>
      <c r="AU49" s="66">
        <v>18133.445</v>
      </c>
      <c r="AV49" s="66">
        <v>18301.675999999999</v>
      </c>
      <c r="AW49" s="66">
        <v>18458.101999999999</v>
      </c>
      <c r="AX49" s="66">
        <v>18615.744999999999</v>
      </c>
      <c r="AY49" s="66">
        <v>18786.300999999999</v>
      </c>
      <c r="AZ49" s="66">
        <v>18971.232</v>
      </c>
      <c r="BA49" s="66">
        <v>19151.420999999998</v>
      </c>
      <c r="BB49" s="66">
        <v>19326.339</v>
      </c>
      <c r="BC49" s="66">
        <v>19509.786</v>
      </c>
      <c r="BD49" s="66">
        <v>19718.723000000002</v>
      </c>
      <c r="BE49" s="66">
        <v>19917.050999999999</v>
      </c>
      <c r="BF49" s="66">
        <v>20116.027999999998</v>
      </c>
      <c r="BG49" s="66">
        <v>20319.419999999998</v>
      </c>
      <c r="BH49" s="66">
        <v>20516.945</v>
      </c>
      <c r="BI49" s="66">
        <v>20690.824000000001</v>
      </c>
      <c r="BJ49" s="66">
        <v>20843.151999999998</v>
      </c>
      <c r="BK49" s="66">
        <v>20988.484</v>
      </c>
      <c r="BL49" s="66">
        <v>21136.692999999999</v>
      </c>
      <c r="BM49" s="66">
        <v>21261.940999999999</v>
      </c>
      <c r="BN49" s="66">
        <v>21369.159</v>
      </c>
      <c r="BO49" s="66">
        <v>21466.896000000001</v>
      </c>
      <c r="BP49" s="66">
        <v>21550.78</v>
      </c>
      <c r="BQ49" s="66">
        <v>21614.017</v>
      </c>
      <c r="BR49" s="66">
        <v>21681.741000000002</v>
      </c>
      <c r="BS49" s="66">
        <v>21715.644</v>
      </c>
      <c r="BT49" s="66">
        <v>21747.513999999999</v>
      </c>
      <c r="BU49" s="66">
        <v>21780.917000000001</v>
      </c>
      <c r="BV49" s="66">
        <v>21812.641</v>
      </c>
      <c r="BW49" s="66">
        <v>21841.613000000001</v>
      </c>
      <c r="BX49" s="66">
        <v>21868.287</v>
      </c>
      <c r="BY49" s="66">
        <v>21893.682000000001</v>
      </c>
      <c r="BZ49" s="66">
        <v>21918.126</v>
      </c>
      <c r="CA49" s="66">
        <v>21941.804</v>
      </c>
      <c r="CB49" s="66">
        <v>21964.752</v>
      </c>
      <c r="CC49" s="66">
        <v>21987.548999999999</v>
      </c>
      <c r="CD49" s="66">
        <v>22010.915000000001</v>
      </c>
      <c r="CE49" s="66">
        <v>22035.346000000001</v>
      </c>
      <c r="CF49" s="66">
        <v>22061.432000000001</v>
      </c>
      <c r="CG49" s="66">
        <v>22089.975999999999</v>
      </c>
      <c r="CH49" s="66">
        <v>22121.823</v>
      </c>
      <c r="CI49" s="66">
        <v>22157.683000000001</v>
      </c>
      <c r="CJ49" s="66">
        <v>22197.974999999999</v>
      </c>
      <c r="CK49" s="66">
        <v>22243.046999999999</v>
      </c>
      <c r="CL49" s="66">
        <v>22293.170999999998</v>
      </c>
      <c r="CM49" s="66">
        <v>22348.117999999999</v>
      </c>
      <c r="CN49" s="66">
        <v>22407.441999999999</v>
      </c>
      <c r="CO49" s="66">
        <v>22470.855</v>
      </c>
      <c r="CP49" s="66">
        <v>22538.065999999999</v>
      </c>
      <c r="CQ49" s="66">
        <v>22608.705999999998</v>
      </c>
      <c r="CR49" s="66">
        <v>22681.518</v>
      </c>
      <c r="CS49" s="66">
        <v>22754.956999999999</v>
      </c>
      <c r="CT49" s="66">
        <v>22828.284</v>
      </c>
      <c r="CU49" s="66">
        <v>22900.902999999998</v>
      </c>
      <c r="CV49" s="66">
        <v>22972.27</v>
      </c>
      <c r="CW49" s="66">
        <v>23041.773000000001</v>
      </c>
      <c r="CX49" s="66">
        <v>23108.853999999999</v>
      </c>
    </row>
    <row r="50" spans="1:102" s="62" customFormat="1" ht="15" customHeight="1">
      <c r="A50" s="39" t="s">
        <v>434</v>
      </c>
      <c r="B50" s="66">
        <v>42468.847999999998</v>
      </c>
      <c r="C50" s="66">
        <v>43160.303999999996</v>
      </c>
      <c r="D50" s="66">
        <v>43725.847000000002</v>
      </c>
      <c r="E50" s="66">
        <v>43953.906000000003</v>
      </c>
      <c r="F50" s="66">
        <v>44087.506000000001</v>
      </c>
      <c r="G50" s="66">
        <v>44204.273000000001</v>
      </c>
      <c r="H50" s="66">
        <v>44332.038999999997</v>
      </c>
      <c r="I50" s="66">
        <v>44455.826000000001</v>
      </c>
      <c r="J50" s="66">
        <v>44566.014999999999</v>
      </c>
      <c r="K50" s="66">
        <v>44683.409</v>
      </c>
      <c r="L50" s="66">
        <v>44809.688999999998</v>
      </c>
      <c r="M50" s="66">
        <v>44924.374000000003</v>
      </c>
      <c r="N50" s="66">
        <v>45025.125999999997</v>
      </c>
      <c r="O50" s="66">
        <v>45141.862000000001</v>
      </c>
      <c r="P50" s="66">
        <v>45228.256999999998</v>
      </c>
      <c r="Q50" s="66">
        <v>45328.561000000002</v>
      </c>
      <c r="R50" s="66">
        <v>45467.74</v>
      </c>
      <c r="S50" s="66">
        <v>45602.932999999997</v>
      </c>
      <c r="T50" s="66">
        <v>45747.332000000002</v>
      </c>
      <c r="U50" s="66">
        <v>45908.065000000002</v>
      </c>
      <c r="V50" s="66">
        <v>46083.745000000003</v>
      </c>
      <c r="W50" s="66">
        <v>46242.249000000003</v>
      </c>
      <c r="X50" s="66">
        <v>46341.667999999998</v>
      </c>
      <c r="Y50" s="66">
        <v>46405.400999999998</v>
      </c>
      <c r="Z50" s="66">
        <v>46468.822</v>
      </c>
      <c r="AA50" s="66">
        <v>46538.29</v>
      </c>
      <c r="AB50" s="66">
        <v>46600.286999999997</v>
      </c>
      <c r="AC50" s="66">
        <v>46659.792000000001</v>
      </c>
      <c r="AD50" s="66">
        <v>46690.067999999999</v>
      </c>
      <c r="AE50" s="66">
        <v>46713.665999999997</v>
      </c>
      <c r="AF50" s="66">
        <v>46727.506999999998</v>
      </c>
      <c r="AG50" s="66">
        <v>46717.042999999998</v>
      </c>
      <c r="AH50" s="66">
        <v>46713.065999999999</v>
      </c>
      <c r="AI50" s="66">
        <v>46699.464</v>
      </c>
      <c r="AJ50" s="66">
        <v>46676.764000000003</v>
      </c>
      <c r="AK50" s="66">
        <v>46658.894999999997</v>
      </c>
      <c r="AL50" s="66">
        <v>46658.457000000002</v>
      </c>
      <c r="AM50" s="66">
        <v>46650.953999999998</v>
      </c>
      <c r="AN50" s="66">
        <v>46655.146999999997</v>
      </c>
      <c r="AO50" s="66">
        <v>46659.837</v>
      </c>
      <c r="AP50" s="66">
        <v>46642.254000000001</v>
      </c>
      <c r="AQ50" s="66">
        <v>46632.527999999998</v>
      </c>
      <c r="AR50" s="66">
        <v>46615.188999999998</v>
      </c>
      <c r="AS50" s="66">
        <v>46608.569000000003</v>
      </c>
      <c r="AT50" s="66">
        <v>46608.716999999997</v>
      </c>
      <c r="AU50" s="66">
        <v>46601.271999999997</v>
      </c>
      <c r="AV50" s="66">
        <v>46573.264999999999</v>
      </c>
      <c r="AW50" s="66">
        <v>46522.203000000001</v>
      </c>
      <c r="AX50" s="66">
        <v>46466.678999999996</v>
      </c>
      <c r="AY50" s="66">
        <v>46406.764999999999</v>
      </c>
      <c r="AZ50" s="66">
        <v>46328.34</v>
      </c>
      <c r="BA50" s="66">
        <v>46214.203000000001</v>
      </c>
      <c r="BB50" s="66">
        <v>46101.283000000003</v>
      </c>
      <c r="BC50" s="66">
        <v>45978.525999999998</v>
      </c>
      <c r="BD50" s="66">
        <v>45842.709000000003</v>
      </c>
      <c r="BE50" s="66">
        <v>45705.072999999997</v>
      </c>
      <c r="BF50" s="66">
        <v>45584.606</v>
      </c>
      <c r="BG50" s="66">
        <v>45479.942999999999</v>
      </c>
      <c r="BH50" s="66">
        <v>45376.961000000003</v>
      </c>
      <c r="BI50" s="66">
        <v>45266.527000000002</v>
      </c>
      <c r="BJ50" s="66">
        <v>45175.845999999998</v>
      </c>
      <c r="BK50" s="66">
        <v>45100.580999999998</v>
      </c>
      <c r="BL50" s="66">
        <v>45032.737000000001</v>
      </c>
      <c r="BM50" s="66">
        <v>44977.315000000002</v>
      </c>
      <c r="BN50" s="66">
        <v>44941.635000000002</v>
      </c>
      <c r="BO50" s="66">
        <v>44900.552000000003</v>
      </c>
      <c r="BP50" s="66">
        <v>44893.23</v>
      </c>
      <c r="BQ50" s="66">
        <v>44887.476000000002</v>
      </c>
      <c r="BR50" s="66">
        <v>44879.648999999998</v>
      </c>
      <c r="BS50" s="66">
        <v>44872.904999999999</v>
      </c>
      <c r="BT50" s="66">
        <v>44868.142</v>
      </c>
      <c r="BU50" s="66">
        <v>44864.61</v>
      </c>
      <c r="BV50" s="66">
        <v>44860.983</v>
      </c>
      <c r="BW50" s="66">
        <v>44856.555999999997</v>
      </c>
      <c r="BX50" s="66">
        <v>44850.858999999997</v>
      </c>
      <c r="BY50" s="66">
        <v>44843.453000000001</v>
      </c>
      <c r="BZ50" s="66">
        <v>44833.559000000001</v>
      </c>
      <c r="CA50" s="66">
        <v>44820.266000000003</v>
      </c>
      <c r="CB50" s="66">
        <v>44803.055999999997</v>
      </c>
      <c r="CC50" s="66">
        <v>44781.423000000003</v>
      </c>
      <c r="CD50" s="66">
        <v>44754.915000000001</v>
      </c>
      <c r="CE50" s="66">
        <v>44723.120999999999</v>
      </c>
      <c r="CF50" s="66">
        <v>44685.917000000001</v>
      </c>
      <c r="CG50" s="66">
        <v>44643.55</v>
      </c>
      <c r="CH50" s="66">
        <v>44596.438999999998</v>
      </c>
      <c r="CI50" s="66">
        <v>44545.044999999998</v>
      </c>
      <c r="CJ50" s="66">
        <v>44490.332999999999</v>
      </c>
      <c r="CK50" s="66">
        <v>44433.436999999998</v>
      </c>
      <c r="CL50" s="66">
        <v>44375.205999999998</v>
      </c>
      <c r="CM50" s="66">
        <v>44316.383000000002</v>
      </c>
      <c r="CN50" s="66">
        <v>44257.673000000003</v>
      </c>
      <c r="CO50" s="66">
        <v>44200.546999999999</v>
      </c>
      <c r="CP50" s="66">
        <v>44146.591999999997</v>
      </c>
      <c r="CQ50" s="66">
        <v>44096.464999999997</v>
      </c>
      <c r="CR50" s="66">
        <v>44050.593999999997</v>
      </c>
      <c r="CS50" s="66">
        <v>44009.228000000003</v>
      </c>
      <c r="CT50" s="66">
        <v>43972.603999999999</v>
      </c>
      <c r="CU50" s="66">
        <v>43940.847999999998</v>
      </c>
      <c r="CV50" s="66">
        <v>43913.661</v>
      </c>
      <c r="CW50" s="66">
        <v>43890.53</v>
      </c>
      <c r="CX50" s="66">
        <v>43870.834000000003</v>
      </c>
    </row>
    <row r="51" spans="1:102" s="62" customFormat="1" ht="15" customHeight="1">
      <c r="A51" s="39" t="s">
        <v>435</v>
      </c>
      <c r="B51" s="66">
        <v>12736.281000000001</v>
      </c>
      <c r="C51" s="66">
        <v>12934.955</v>
      </c>
      <c r="D51" s="66">
        <v>13163.397000000001</v>
      </c>
      <c r="E51" s="66">
        <v>13400.534</v>
      </c>
      <c r="F51" s="66">
        <v>13660.832</v>
      </c>
      <c r="G51" s="66">
        <v>13942.727999999999</v>
      </c>
      <c r="H51" s="66">
        <v>14235.983</v>
      </c>
      <c r="I51" s="66">
        <v>14538.528</v>
      </c>
      <c r="J51" s="66">
        <v>14840.916999999999</v>
      </c>
      <c r="K51" s="66">
        <v>15125.865</v>
      </c>
      <c r="L51" s="66">
        <v>15401.778</v>
      </c>
      <c r="M51" s="66">
        <v>15660.19</v>
      </c>
      <c r="N51" s="66">
        <v>15908.239</v>
      </c>
      <c r="O51" s="66">
        <v>16124.891</v>
      </c>
      <c r="P51" s="66">
        <v>16351.263999999999</v>
      </c>
      <c r="Q51" s="66">
        <v>16535.608</v>
      </c>
      <c r="R51" s="66">
        <v>16680.142</v>
      </c>
      <c r="S51" s="66">
        <v>16786.190999999999</v>
      </c>
      <c r="T51" s="66">
        <v>16875.205000000002</v>
      </c>
      <c r="U51" s="66">
        <v>16944.306</v>
      </c>
      <c r="V51" s="66">
        <v>16991.786</v>
      </c>
      <c r="W51" s="66">
        <v>17049.073</v>
      </c>
      <c r="X51" s="66">
        <v>17159.008000000002</v>
      </c>
      <c r="Y51" s="66">
        <v>17299.495999999999</v>
      </c>
      <c r="Z51" s="66">
        <v>17435.785</v>
      </c>
      <c r="AA51" s="66">
        <v>17561.682000000001</v>
      </c>
      <c r="AB51" s="66">
        <v>17690.721000000001</v>
      </c>
      <c r="AC51" s="66">
        <v>17818.297999999999</v>
      </c>
      <c r="AD51" s="66">
        <v>17971.710999999999</v>
      </c>
      <c r="AE51" s="66">
        <v>18128.691999999999</v>
      </c>
      <c r="AF51" s="66">
        <v>18292.650000000001</v>
      </c>
      <c r="AG51" s="66">
        <v>18478.737000000001</v>
      </c>
      <c r="AH51" s="66">
        <v>18656.84</v>
      </c>
      <c r="AI51" s="66">
        <v>18843.633000000002</v>
      </c>
      <c r="AJ51" s="66">
        <v>19038.991000000002</v>
      </c>
      <c r="AK51" s="66">
        <v>19229.310000000001</v>
      </c>
      <c r="AL51" s="66">
        <v>19402.288</v>
      </c>
      <c r="AM51" s="66">
        <v>19582.315999999999</v>
      </c>
      <c r="AN51" s="66">
        <v>19750.268</v>
      </c>
      <c r="AO51" s="66">
        <v>19917.238000000001</v>
      </c>
      <c r="AP51" s="66">
        <v>20105.853999999999</v>
      </c>
      <c r="AQ51" s="66">
        <v>20285.789000000001</v>
      </c>
      <c r="AR51" s="66">
        <v>20471.350999999999</v>
      </c>
      <c r="AS51" s="66">
        <v>20642.723999999998</v>
      </c>
      <c r="AT51" s="66">
        <v>20803.246999999999</v>
      </c>
      <c r="AU51" s="66">
        <v>20966.621999999999</v>
      </c>
      <c r="AV51" s="66">
        <v>21145.312000000002</v>
      </c>
      <c r="AW51" s="66">
        <v>21341.032999999999</v>
      </c>
      <c r="AX51" s="66">
        <v>21534.435000000001</v>
      </c>
      <c r="AY51" s="66">
        <v>21724.894</v>
      </c>
      <c r="AZ51" s="66">
        <v>21926.238000000001</v>
      </c>
      <c r="BA51" s="66">
        <v>22155.445</v>
      </c>
      <c r="BB51" s="66">
        <v>22375.255000000001</v>
      </c>
      <c r="BC51" s="66">
        <v>22596.632000000001</v>
      </c>
      <c r="BD51" s="66">
        <v>22822.895</v>
      </c>
      <c r="BE51" s="66">
        <v>23043.124</v>
      </c>
      <c r="BF51" s="66">
        <v>23238.825000000001</v>
      </c>
      <c r="BG51" s="66">
        <v>23411.817999999999</v>
      </c>
      <c r="BH51" s="66">
        <v>23576.699000000001</v>
      </c>
      <c r="BI51" s="66">
        <v>23743.397000000001</v>
      </c>
      <c r="BJ51" s="66">
        <v>23885.478999999999</v>
      </c>
      <c r="BK51" s="66">
        <v>24007.875</v>
      </c>
      <c r="BL51" s="66">
        <v>24119.248</v>
      </c>
      <c r="BM51" s="66">
        <v>24215.17</v>
      </c>
      <c r="BN51" s="66">
        <v>24288.839</v>
      </c>
      <c r="BO51" s="66">
        <v>24365.947</v>
      </c>
      <c r="BP51" s="66">
        <v>24407.703000000001</v>
      </c>
      <c r="BQ51" s="66">
        <v>24446.544999999998</v>
      </c>
      <c r="BR51" s="66">
        <v>24486.281999999999</v>
      </c>
      <c r="BS51" s="66">
        <v>24523.825000000001</v>
      </c>
      <c r="BT51" s="66">
        <v>24558.292000000001</v>
      </c>
      <c r="BU51" s="66">
        <v>24590.302</v>
      </c>
      <c r="BV51" s="66">
        <v>24620.991999999998</v>
      </c>
      <c r="BW51" s="66">
        <v>24650.786</v>
      </c>
      <c r="BX51" s="66">
        <v>24679.870999999999</v>
      </c>
      <c r="BY51" s="66">
        <v>24708.37</v>
      </c>
      <c r="BZ51" s="66">
        <v>24736.786</v>
      </c>
      <c r="CA51" s="66">
        <v>24765.764999999999</v>
      </c>
      <c r="CB51" s="66">
        <v>24795.577000000001</v>
      </c>
      <c r="CC51" s="66">
        <v>24826.593000000001</v>
      </c>
      <c r="CD51" s="66">
        <v>24859.305</v>
      </c>
      <c r="CE51" s="66">
        <v>24894.226999999999</v>
      </c>
      <c r="CF51" s="66">
        <v>24931.776000000002</v>
      </c>
      <c r="CG51" s="66">
        <v>24972.17</v>
      </c>
      <c r="CH51" s="66">
        <v>25015.600999999999</v>
      </c>
      <c r="CI51" s="66">
        <v>25062.29</v>
      </c>
      <c r="CJ51" s="66">
        <v>25112.056</v>
      </c>
      <c r="CK51" s="66">
        <v>25164.581999999999</v>
      </c>
      <c r="CL51" s="66">
        <v>25219.843000000001</v>
      </c>
      <c r="CM51" s="66">
        <v>25277.814999999999</v>
      </c>
      <c r="CN51" s="66">
        <v>25338.488000000001</v>
      </c>
      <c r="CO51" s="66">
        <v>25400.931</v>
      </c>
      <c r="CP51" s="66">
        <v>25463.974999999999</v>
      </c>
      <c r="CQ51" s="66">
        <v>25527.238000000001</v>
      </c>
      <c r="CR51" s="66">
        <v>25590.411</v>
      </c>
      <c r="CS51" s="66">
        <v>25653.200000000001</v>
      </c>
      <c r="CT51" s="66">
        <v>25715.213</v>
      </c>
      <c r="CU51" s="66">
        <v>25776.063999999998</v>
      </c>
      <c r="CV51" s="66">
        <v>25835.665000000001</v>
      </c>
      <c r="CW51" s="66">
        <v>25894.050999999999</v>
      </c>
      <c r="CX51" s="66">
        <v>25951.309000000001</v>
      </c>
    </row>
    <row r="52" spans="1:102" s="62" customFormat="1" ht="15" customHeight="1">
      <c r="A52" s="39" t="s">
        <v>431</v>
      </c>
      <c r="B52" s="63">
        <v>0.18338943286650669</v>
      </c>
      <c r="C52" s="63">
        <v>0.1810013783261947</v>
      </c>
      <c r="D52" s="63">
        <v>0.17821260556565621</v>
      </c>
      <c r="E52" s="63">
        <v>0.17575835893446209</v>
      </c>
      <c r="F52" s="63">
        <v>0.17325718242577359</v>
      </c>
      <c r="G52" s="63">
        <v>0.17059102424225731</v>
      </c>
      <c r="H52" s="63">
        <v>0.16791589577539601</v>
      </c>
      <c r="I52" s="63">
        <v>0.16552783555636069</v>
      </c>
      <c r="J52" s="63">
        <v>0.16341915195950071</v>
      </c>
      <c r="K52" s="63">
        <v>0.16137972867129019</v>
      </c>
      <c r="L52" s="63">
        <v>0.15926599300393979</v>
      </c>
      <c r="M52" s="63">
        <v>0.1574857681377195</v>
      </c>
      <c r="N52" s="63">
        <v>0.15597569383021281</v>
      </c>
      <c r="O52" s="63">
        <v>0.15461485601867131</v>
      </c>
      <c r="P52" s="63">
        <v>0.15347947523677261</v>
      </c>
      <c r="Q52" s="63">
        <v>0.15267710447174859</v>
      </c>
      <c r="R52" s="63">
        <v>0.1518414531712432</v>
      </c>
      <c r="S52" s="63">
        <v>0.1515433987701246</v>
      </c>
      <c r="T52" s="63">
        <v>0.15131236730645081</v>
      </c>
      <c r="U52" s="63">
        <v>0.1510927185587376</v>
      </c>
      <c r="V52" s="63">
        <v>0.1509273867906655</v>
      </c>
      <c r="W52" s="63">
        <v>0.15082227238379831</v>
      </c>
      <c r="X52" s="63">
        <v>0.1507577627570641</v>
      </c>
      <c r="Y52" s="63">
        <v>0.150710908978366</v>
      </c>
      <c r="Z52" s="63">
        <v>0.1506688558780582</v>
      </c>
      <c r="AA52" s="63">
        <v>0.1506236227442157</v>
      </c>
      <c r="AB52" s="63">
        <v>0.15055814880019239</v>
      </c>
      <c r="AC52" s="63">
        <v>0.1504486667775719</v>
      </c>
      <c r="AD52" s="63">
        <v>0.15028067365250949</v>
      </c>
      <c r="AE52" s="63">
        <v>0.150045513643528</v>
      </c>
      <c r="AF52" s="63">
        <v>0.14973739542020789</v>
      </c>
      <c r="AG52" s="63">
        <v>0.14934876998177951</v>
      </c>
      <c r="AH52" s="63">
        <v>0.1488727143368333</v>
      </c>
      <c r="AI52" s="63">
        <v>0.14831000866866129</v>
      </c>
      <c r="AJ52" s="63">
        <v>0.14766780388338399</v>
      </c>
      <c r="AK52" s="63">
        <v>0.14695520416621391</v>
      </c>
      <c r="AL52" s="63">
        <v>0.14618045237734301</v>
      </c>
      <c r="AM52" s="63">
        <v>0.14535735563626739</v>
      </c>
      <c r="AN52" s="63">
        <v>0.14450399848641091</v>
      </c>
      <c r="AO52" s="63">
        <v>0.14363386905259881</v>
      </c>
      <c r="AP52" s="63">
        <v>0.14275978989968771</v>
      </c>
      <c r="AQ52" s="63">
        <v>0.1418913579951821</v>
      </c>
      <c r="AR52" s="63">
        <v>0.14104870315543561</v>
      </c>
      <c r="AS52" s="63">
        <v>0.14025592599649389</v>
      </c>
      <c r="AT52" s="63">
        <v>0.13952378132654561</v>
      </c>
      <c r="AU52" s="63">
        <v>0.13885942817795599</v>
      </c>
      <c r="AV52" s="63">
        <v>0.13826707517296549</v>
      </c>
      <c r="AW52" s="63">
        <v>0.13775058341681709</v>
      </c>
      <c r="AX52" s="63">
        <v>0.13731252744538139</v>
      </c>
      <c r="AY52" s="63">
        <v>0.13695091359052089</v>
      </c>
      <c r="AZ52" s="63">
        <v>0.1366591234919142</v>
      </c>
      <c r="BA52" s="63">
        <v>0.13642956106889731</v>
      </c>
      <c r="BB52" s="63">
        <v>0.13625638881568031</v>
      </c>
      <c r="BC52" s="63">
        <v>0.13613241825601771</v>
      </c>
      <c r="BD52" s="63">
        <v>0.13604837855013649</v>
      </c>
      <c r="BE52" s="63">
        <v>0.13599473957180511</v>
      </c>
      <c r="BF52" s="63">
        <v>0.1359615056268926</v>
      </c>
      <c r="BG52" s="63">
        <v>0.1359407297332704</v>
      </c>
      <c r="BH52" s="63">
        <v>0.13592534951687449</v>
      </c>
      <c r="BI52" s="63">
        <v>0.1359057476354926</v>
      </c>
      <c r="BJ52" s="63">
        <v>0.1358738155733096</v>
      </c>
      <c r="BK52" s="63">
        <v>0.13582382026374479</v>
      </c>
      <c r="BL52" s="63">
        <v>0.13575079372730811</v>
      </c>
      <c r="BM52" s="63">
        <v>0.13565151790144581</v>
      </c>
      <c r="BN52" s="63">
        <v>0.13552391131607441</v>
      </c>
      <c r="BO52" s="63">
        <v>0.1353663233738111</v>
      </c>
      <c r="BP52" s="63">
        <v>0.13517936650108339</v>
      </c>
      <c r="BQ52" s="63">
        <v>0.134964606720924</v>
      </c>
      <c r="BR52" s="63">
        <v>0.13472482367128591</v>
      </c>
      <c r="BS52" s="63">
        <v>0.13446375033226179</v>
      </c>
      <c r="BT52" s="63">
        <v>0.1341859153084578</v>
      </c>
      <c r="BU52" s="63">
        <v>0.13389649232560619</v>
      </c>
      <c r="BV52" s="63">
        <v>0.1336009575706722</v>
      </c>
      <c r="BW52" s="63">
        <v>0.13330537426579389</v>
      </c>
      <c r="BX52" s="63">
        <v>0.1330153250806769</v>
      </c>
      <c r="BY52" s="63">
        <v>0.13273652622736759</v>
      </c>
      <c r="BZ52" s="63">
        <v>0.1324739718230889</v>
      </c>
      <c r="CA52" s="63">
        <v>0.13223202528545011</v>
      </c>
      <c r="CB52" s="63">
        <v>0.1320142467694301</v>
      </c>
      <c r="CC52" s="63">
        <v>0.13182340802263681</v>
      </c>
      <c r="CD52" s="63">
        <v>0.13166076295810791</v>
      </c>
      <c r="CE52" s="63">
        <v>0.13152689201803389</v>
      </c>
      <c r="CF52" s="63">
        <v>0.13142077794688861</v>
      </c>
      <c r="CG52" s="63">
        <v>0.1313408529584342</v>
      </c>
      <c r="CH52" s="63">
        <v>0.1312844551958518</v>
      </c>
      <c r="CI52" s="63">
        <v>0.131248079992238</v>
      </c>
      <c r="CJ52" s="63">
        <v>0.1312275986736797</v>
      </c>
      <c r="CK52" s="63">
        <v>0.13121860930778709</v>
      </c>
      <c r="CL52" s="63">
        <v>0.13121633808974209</v>
      </c>
      <c r="CM52" s="63">
        <v>0.13121626792348209</v>
      </c>
      <c r="CN52" s="63">
        <v>0.13121389844828241</v>
      </c>
      <c r="CO52" s="63">
        <v>0.1312050923082477</v>
      </c>
      <c r="CP52" s="63">
        <v>0.13118612035888549</v>
      </c>
      <c r="CQ52" s="63">
        <v>0.1311540336293642</v>
      </c>
      <c r="CR52" s="63">
        <v>0.13110643601660071</v>
      </c>
      <c r="CS52" s="63">
        <v>0.13104168180159839</v>
      </c>
      <c r="CT52" s="63">
        <v>0.13095877578995541</v>
      </c>
      <c r="CU52" s="63">
        <v>0.1308575047701169</v>
      </c>
      <c r="CV52" s="63">
        <v>0.1307383197456761</v>
      </c>
      <c r="CW52" s="63">
        <v>0.13060222063852209</v>
      </c>
      <c r="CX52" s="63">
        <v>0.13045092432209909</v>
      </c>
    </row>
    <row r="53" spans="1:102" s="62" customFormat="1" ht="15" customHeight="1">
      <c r="A53" s="39" t="s">
        <v>432</v>
      </c>
      <c r="B53" s="63">
        <v>0.63900579445268513</v>
      </c>
      <c r="C53" s="63">
        <v>0.64120209082761548</v>
      </c>
      <c r="D53" s="63">
        <v>0.64282020495959113</v>
      </c>
      <c r="E53" s="63">
        <v>0.64301855914831141</v>
      </c>
      <c r="F53" s="63">
        <v>0.64459640983630662</v>
      </c>
      <c r="G53" s="63">
        <v>0.65007999032858421</v>
      </c>
      <c r="H53" s="63">
        <v>0.65396213984650775</v>
      </c>
      <c r="I53" s="63">
        <v>0.65333602766333454</v>
      </c>
      <c r="J53" s="63">
        <v>0.65234924695738028</v>
      </c>
      <c r="K53" s="63">
        <v>0.65119894288535429</v>
      </c>
      <c r="L53" s="63">
        <v>0.6501482726269332</v>
      </c>
      <c r="M53" s="63">
        <v>0.64901723974386771</v>
      </c>
      <c r="N53" s="63">
        <v>0.64775060967449982</v>
      </c>
      <c r="O53" s="63">
        <v>0.64657887671681646</v>
      </c>
      <c r="P53" s="63">
        <v>0.64532376802605795</v>
      </c>
      <c r="Q53" s="63">
        <v>0.64415744696709865</v>
      </c>
      <c r="R53" s="63">
        <v>0.64289076913706389</v>
      </c>
      <c r="S53" s="63">
        <v>0.64164469236570221</v>
      </c>
      <c r="T53" s="63">
        <v>0.64085102872033961</v>
      </c>
      <c r="U53" s="63">
        <v>0.64053956483318208</v>
      </c>
      <c r="V53" s="63">
        <v>0.6403793485848599</v>
      </c>
      <c r="W53" s="63">
        <v>0.64039952783001453</v>
      </c>
      <c r="X53" s="63">
        <v>0.6421308204136551</v>
      </c>
      <c r="Y53" s="63">
        <v>0.64713227516596705</v>
      </c>
      <c r="Z53" s="63">
        <v>0.65068194048260619</v>
      </c>
      <c r="AA53" s="63">
        <v>0.65006454468238473</v>
      </c>
      <c r="AB53" s="63">
        <v>0.64905901776333563</v>
      </c>
      <c r="AC53" s="63">
        <v>0.64813856445130025</v>
      </c>
      <c r="AD53" s="63">
        <v>0.64739708865993761</v>
      </c>
      <c r="AE53" s="63">
        <v>0.64666668728994081</v>
      </c>
      <c r="AF53" s="63">
        <v>0.64600954167046276</v>
      </c>
      <c r="AG53" s="63">
        <v>0.64508129059659802</v>
      </c>
      <c r="AH53" s="63">
        <v>0.64416969223950871</v>
      </c>
      <c r="AI53" s="63">
        <v>0.64322679408095373</v>
      </c>
      <c r="AJ53" s="63">
        <v>0.64205228132525105</v>
      </c>
      <c r="AK53" s="63">
        <v>0.64101764219530077</v>
      </c>
      <c r="AL53" s="63">
        <v>0.63990275872757296</v>
      </c>
      <c r="AM53" s="63">
        <v>0.63869735613485956</v>
      </c>
      <c r="AN53" s="63">
        <v>0.63755787299914324</v>
      </c>
      <c r="AO53" s="63">
        <v>0.63662917321253432</v>
      </c>
      <c r="AP53" s="63">
        <v>0.63559673810019579</v>
      </c>
      <c r="AQ53" s="63">
        <v>0.63469728507447642</v>
      </c>
      <c r="AR53" s="63">
        <v>0.63377695140298662</v>
      </c>
      <c r="AS53" s="63">
        <v>0.63253512520752353</v>
      </c>
      <c r="AT53" s="63">
        <v>0.63134701272383997</v>
      </c>
      <c r="AU53" s="63">
        <v>0.6300330994416915</v>
      </c>
      <c r="AV53" s="63">
        <v>0.62884030529197343</v>
      </c>
      <c r="AW53" s="63">
        <v>0.62772644628549645</v>
      </c>
      <c r="AX53" s="63">
        <v>0.62652119439965659</v>
      </c>
      <c r="AY53" s="63">
        <v>0.62507601848428029</v>
      </c>
      <c r="AZ53" s="63">
        <v>0.62337689836557575</v>
      </c>
      <c r="BA53" s="63">
        <v>0.62167068483079879</v>
      </c>
      <c r="BB53" s="63">
        <v>0.61996665740735812</v>
      </c>
      <c r="BC53" s="63">
        <v>0.61809532042214033</v>
      </c>
      <c r="BD53" s="63">
        <v>0.61585036381335145</v>
      </c>
      <c r="BE53" s="63">
        <v>0.6136941601062964</v>
      </c>
      <c r="BF53" s="63">
        <v>0.6114933612208926</v>
      </c>
      <c r="BG53" s="63">
        <v>0.60920755850045338</v>
      </c>
      <c r="BH53" s="63">
        <v>0.60697195165819717</v>
      </c>
      <c r="BI53" s="63">
        <v>0.60501815056955965</v>
      </c>
      <c r="BJ53" s="63">
        <v>0.60332734500121543</v>
      </c>
      <c r="BK53" s="63">
        <v>0.60172279889997204</v>
      </c>
      <c r="BL53" s="63">
        <v>0.60008657741280358</v>
      </c>
      <c r="BM53" s="63">
        <v>0.59874555672567575</v>
      </c>
      <c r="BN53" s="63">
        <v>0.59764089424650335</v>
      </c>
      <c r="BO53" s="63">
        <v>0.5966686216256174</v>
      </c>
      <c r="BP53" s="63">
        <v>0.59588400587810542</v>
      </c>
      <c r="BQ53" s="63">
        <v>0.59537138957250269</v>
      </c>
      <c r="BR53" s="63">
        <v>0.5948157159505566</v>
      </c>
      <c r="BS53" s="63">
        <v>0.59469240635005272</v>
      </c>
      <c r="BT53" s="63">
        <v>0.59460176910254769</v>
      </c>
      <c r="BU53" s="63">
        <v>0.59449523590716691</v>
      </c>
      <c r="BV53" s="63">
        <v>0.59440833872157206</v>
      </c>
      <c r="BW53" s="63">
        <v>0.59434917186162994</v>
      </c>
      <c r="BX53" s="63">
        <v>0.59430711643924594</v>
      </c>
      <c r="BY53" s="63">
        <v>0.59426429293170235</v>
      </c>
      <c r="BZ53" s="63">
        <v>0.59421209256453078</v>
      </c>
      <c r="CA53" s="63">
        <v>0.5941441662426511</v>
      </c>
      <c r="CB53" s="63">
        <v>0.5940566401509686</v>
      </c>
      <c r="CC53" s="63">
        <v>0.59393985239330027</v>
      </c>
      <c r="CD53" s="63">
        <v>0.59378410825220029</v>
      </c>
      <c r="CE53" s="63">
        <v>0.59358321378378454</v>
      </c>
      <c r="CF53" s="63">
        <v>0.59333164319499521</v>
      </c>
      <c r="CG53" s="63">
        <v>0.59302226918799106</v>
      </c>
      <c r="CH53" s="63">
        <v>0.59264876785714393</v>
      </c>
      <c r="CI53" s="63">
        <v>0.59220736261056606</v>
      </c>
      <c r="CJ53" s="63">
        <v>0.59169875022891871</v>
      </c>
      <c r="CK53" s="63">
        <v>0.59112484840050983</v>
      </c>
      <c r="CL53" s="63">
        <v>0.59048882606681208</v>
      </c>
      <c r="CM53" s="63">
        <v>0.58979953628297765</v>
      </c>
      <c r="CN53" s="63">
        <v>0.58906845762986071</v>
      </c>
      <c r="CO53" s="63">
        <v>0.58830424921062419</v>
      </c>
      <c r="CP53" s="63">
        <v>0.58751485558536309</v>
      </c>
      <c r="CQ53" s="63">
        <v>0.58670810000406826</v>
      </c>
      <c r="CR53" s="63">
        <v>0.58590188384360775</v>
      </c>
      <c r="CS53" s="63">
        <v>0.58511651519094765</v>
      </c>
      <c r="CT53" s="63">
        <v>0.58436133713631733</v>
      </c>
      <c r="CU53" s="63">
        <v>0.58364293127275435</v>
      </c>
      <c r="CV53" s="63">
        <v>0.58296623964381533</v>
      </c>
      <c r="CW53" s="63">
        <v>0.58233628251375358</v>
      </c>
      <c r="CX53" s="63">
        <v>0.58175666810777571</v>
      </c>
    </row>
    <row r="54" spans="1:102" s="62" customFormat="1" ht="15" customHeight="1">
      <c r="A54" s="39" t="s">
        <v>433</v>
      </c>
      <c r="B54" s="63">
        <v>0.1776047726808081</v>
      </c>
      <c r="C54" s="63">
        <v>0.17779653084618979</v>
      </c>
      <c r="D54" s="63">
        <v>0.17896718947475271</v>
      </c>
      <c r="E54" s="63">
        <v>0.1812230819172265</v>
      </c>
      <c r="F54" s="63">
        <v>0.18214640773791971</v>
      </c>
      <c r="G54" s="63">
        <v>0.17932898542915851</v>
      </c>
      <c r="H54" s="63">
        <v>0.17812196437809619</v>
      </c>
      <c r="I54" s="63">
        <v>0.1811361367803048</v>
      </c>
      <c r="J54" s="63">
        <v>0.18423160108311901</v>
      </c>
      <c r="K54" s="63">
        <v>0.18742132844335549</v>
      </c>
      <c r="L54" s="63">
        <v>0.19058573436912701</v>
      </c>
      <c r="M54" s="63">
        <v>0.19349699211841281</v>
      </c>
      <c r="N54" s="63">
        <v>0.19627369649528739</v>
      </c>
      <c r="O54" s="63">
        <v>0.19880626726451231</v>
      </c>
      <c r="P54" s="63">
        <v>0.20119675673716941</v>
      </c>
      <c r="Q54" s="63">
        <v>0.20316544856115271</v>
      </c>
      <c r="R54" s="63">
        <v>0.20526777769169291</v>
      </c>
      <c r="S54" s="63">
        <v>0.20681190886417319</v>
      </c>
      <c r="T54" s="63">
        <v>0.20783660397320969</v>
      </c>
      <c r="U54" s="63">
        <v>0.20836771660808029</v>
      </c>
      <c r="V54" s="63">
        <v>0.20869326462447449</v>
      </c>
      <c r="W54" s="63">
        <v>0.2087781997861872</v>
      </c>
      <c r="X54" s="63">
        <v>0.2071114168292808</v>
      </c>
      <c r="Y54" s="63">
        <v>0.202156815855667</v>
      </c>
      <c r="Z54" s="63">
        <v>0.19864920363933561</v>
      </c>
      <c r="AA54" s="63">
        <v>0.19931183257339949</v>
      </c>
      <c r="AB54" s="63">
        <v>0.2003828334364719</v>
      </c>
      <c r="AC54" s="63">
        <v>0.2014127687711279</v>
      </c>
      <c r="AD54" s="63">
        <v>0.20232223768755289</v>
      </c>
      <c r="AE54" s="63">
        <v>0.20328779906653119</v>
      </c>
      <c r="AF54" s="63">
        <v>0.20425306290932929</v>
      </c>
      <c r="AG54" s="63">
        <v>0.20556993942162249</v>
      </c>
      <c r="AH54" s="63">
        <v>0.20695759342365799</v>
      </c>
      <c r="AI54" s="63">
        <v>0.20846319725038501</v>
      </c>
      <c r="AJ54" s="63">
        <v>0.21027991479136501</v>
      </c>
      <c r="AK54" s="63">
        <v>0.21202715363848529</v>
      </c>
      <c r="AL54" s="63">
        <v>0.213916788895084</v>
      </c>
      <c r="AM54" s="63">
        <v>0.21594528822887299</v>
      </c>
      <c r="AN54" s="63">
        <v>0.21793812851444591</v>
      </c>
      <c r="AO54" s="63">
        <v>0.2197369577348669</v>
      </c>
      <c r="AP54" s="63">
        <v>0.2216434720001165</v>
      </c>
      <c r="AQ54" s="63">
        <v>0.2234113569303415</v>
      </c>
      <c r="AR54" s="63">
        <v>0.22517434544157769</v>
      </c>
      <c r="AS54" s="63">
        <v>0.22720894879598261</v>
      </c>
      <c r="AT54" s="63">
        <v>0.22912920594961439</v>
      </c>
      <c r="AU54" s="63">
        <v>0.23110747238035251</v>
      </c>
      <c r="AV54" s="63">
        <v>0.2328926195350611</v>
      </c>
      <c r="AW54" s="63">
        <v>0.2345229702976864</v>
      </c>
      <c r="AX54" s="63">
        <v>0.23616627815496199</v>
      </c>
      <c r="AY54" s="63">
        <v>0.23797306792519879</v>
      </c>
      <c r="AZ54" s="63">
        <v>0.23996397814251</v>
      </c>
      <c r="BA54" s="63">
        <v>0.24189975410030401</v>
      </c>
      <c r="BB54" s="63">
        <v>0.2437769537769616</v>
      </c>
      <c r="BC54" s="63">
        <v>0.24577226132184199</v>
      </c>
      <c r="BD54" s="63">
        <v>0.24810125763651211</v>
      </c>
      <c r="BE54" s="63">
        <v>0.25031110032189852</v>
      </c>
      <c r="BF54" s="63">
        <v>0.25254513315221477</v>
      </c>
      <c r="BG54" s="63">
        <v>0.25485171176627619</v>
      </c>
      <c r="BH54" s="63">
        <v>0.25710269882492842</v>
      </c>
      <c r="BI54" s="63">
        <v>0.25907610179494772</v>
      </c>
      <c r="BJ54" s="63">
        <v>0.26079883942547499</v>
      </c>
      <c r="BK54" s="63">
        <v>0.26245338083628311</v>
      </c>
      <c r="BL54" s="63">
        <v>0.26416262885988828</v>
      </c>
      <c r="BM54" s="63">
        <v>0.2656029253728785</v>
      </c>
      <c r="BN54" s="63">
        <v>0.26683519443742232</v>
      </c>
      <c r="BO54" s="63">
        <v>0.26796505500057138</v>
      </c>
      <c r="BP54" s="63">
        <v>0.26893662762081111</v>
      </c>
      <c r="BQ54" s="63">
        <v>0.26966400370657329</v>
      </c>
      <c r="BR54" s="63">
        <v>0.27045946037815749</v>
      </c>
      <c r="BS54" s="63">
        <v>0.27084384331768541</v>
      </c>
      <c r="BT54" s="63">
        <v>0.2712123155889945</v>
      </c>
      <c r="BU54" s="63">
        <v>0.27160827176722702</v>
      </c>
      <c r="BV54" s="63">
        <v>0.2719907037077558</v>
      </c>
      <c r="BW54" s="63">
        <v>0.27234545387257608</v>
      </c>
      <c r="BX54" s="63">
        <v>0.27267755848007719</v>
      </c>
      <c r="BY54" s="63">
        <v>0.27299918084093</v>
      </c>
      <c r="BZ54" s="63">
        <v>0.27331393561238038</v>
      </c>
      <c r="CA54" s="63">
        <v>0.27362380847189882</v>
      </c>
      <c r="CB54" s="63">
        <v>0.27392911307960122</v>
      </c>
      <c r="CC54" s="63">
        <v>0.27423673958406292</v>
      </c>
      <c r="CD54" s="63">
        <v>0.27455512878969179</v>
      </c>
      <c r="CE54" s="63">
        <v>0.27488989419818161</v>
      </c>
      <c r="CF54" s="63">
        <v>0.27524757885811613</v>
      </c>
      <c r="CG54" s="63">
        <v>0.27563687785357482</v>
      </c>
      <c r="CH54" s="63">
        <v>0.27606677694700421</v>
      </c>
      <c r="CI54" s="63">
        <v>0.27654455739719602</v>
      </c>
      <c r="CJ54" s="63">
        <v>0.27707365109740162</v>
      </c>
      <c r="CK54" s="63">
        <v>0.27765654229170311</v>
      </c>
      <c r="CL54" s="63">
        <v>0.27829483584344578</v>
      </c>
      <c r="CM54" s="63">
        <v>0.27898419579354028</v>
      </c>
      <c r="CN54" s="63">
        <v>0.27971764392185688</v>
      </c>
      <c r="CO54" s="63">
        <v>0.28049065848112809</v>
      </c>
      <c r="CP54" s="63">
        <v>0.28129902405575141</v>
      </c>
      <c r="CQ54" s="63">
        <v>0.28213786636656762</v>
      </c>
      <c r="CR54" s="63">
        <v>0.28299168013979148</v>
      </c>
      <c r="CS54" s="63">
        <v>0.28384180300745399</v>
      </c>
      <c r="CT54" s="63">
        <v>0.28467988707372732</v>
      </c>
      <c r="CU54" s="63">
        <v>0.28549956395712872</v>
      </c>
      <c r="CV54" s="63">
        <v>0.28629544061050849</v>
      </c>
      <c r="CW54" s="63">
        <v>0.28706149684772431</v>
      </c>
      <c r="CX54" s="63">
        <v>0.28779240757012509</v>
      </c>
    </row>
    <row r="55" spans="1:102" s="62" customFormat="1" ht="15" customHeight="1">
      <c r="A55" s="39" t="s">
        <v>436</v>
      </c>
      <c r="B55" s="67">
        <v>286.99181518937809</v>
      </c>
      <c r="C55" s="67">
        <v>282.28444809431568</v>
      </c>
      <c r="D55" s="67">
        <v>277.23553832110639</v>
      </c>
      <c r="E55" s="67">
        <v>273.33325987862139</v>
      </c>
      <c r="F55" s="67">
        <v>268.78397053091209</v>
      </c>
      <c r="G55" s="67">
        <v>262.41543622352037</v>
      </c>
      <c r="H55" s="67">
        <v>256.76699849139243</v>
      </c>
      <c r="I55" s="67">
        <v>253.35788713255769</v>
      </c>
      <c r="J55" s="67">
        <v>250.50868491333961</v>
      </c>
      <c r="K55" s="67">
        <v>247.8193959533219</v>
      </c>
      <c r="L55" s="67">
        <v>244.9687243810144</v>
      </c>
      <c r="M55" s="67">
        <v>242.65267313988559</v>
      </c>
      <c r="N55" s="67">
        <v>240.79590431970701</v>
      </c>
      <c r="O55" s="67">
        <v>239.12760157549701</v>
      </c>
      <c r="P55" s="67">
        <v>237.83329057635939</v>
      </c>
      <c r="Q55" s="67">
        <v>237.01830226538829</v>
      </c>
      <c r="R55" s="67">
        <v>236.185461762122</v>
      </c>
      <c r="S55" s="67">
        <v>236.17961867867069</v>
      </c>
      <c r="T55" s="67">
        <v>236.1116086660474</v>
      </c>
      <c r="U55" s="67">
        <v>235.88350642803329</v>
      </c>
      <c r="V55" s="67">
        <v>235.68434416911151</v>
      </c>
      <c r="W55" s="67">
        <v>235.5127788661207</v>
      </c>
      <c r="X55" s="67">
        <v>234.77733502956181</v>
      </c>
      <c r="Y55" s="67">
        <v>232.89042250243801</v>
      </c>
      <c r="Z55" s="67">
        <v>231.55530606291029</v>
      </c>
      <c r="AA55" s="67">
        <v>231.7056421186744</v>
      </c>
      <c r="AB55" s="67">
        <v>231.96372699514669</v>
      </c>
      <c r="AC55" s="67">
        <v>232.12423242387749</v>
      </c>
      <c r="AD55" s="67">
        <v>232.13059849184521</v>
      </c>
      <c r="AE55" s="67">
        <v>232.02913740978479</v>
      </c>
      <c r="AF55" s="67">
        <v>231.78821017568001</v>
      </c>
      <c r="AG55" s="67">
        <v>231.51930176684479</v>
      </c>
      <c r="AH55" s="67">
        <v>231.1079147782709</v>
      </c>
      <c r="AI55" s="67">
        <v>230.57187609942079</v>
      </c>
      <c r="AJ55" s="67">
        <v>229.99342604715139</v>
      </c>
      <c r="AK55" s="67">
        <v>229.25297915816279</v>
      </c>
      <c r="AL55" s="67">
        <v>228.44166614942921</v>
      </c>
      <c r="AM55" s="67">
        <v>227.58408852028421</v>
      </c>
      <c r="AN55" s="67">
        <v>226.65236303435171</v>
      </c>
      <c r="AO55" s="67">
        <v>225.61622227866019</v>
      </c>
      <c r="AP55" s="67">
        <v>224.60749299374629</v>
      </c>
      <c r="AQ55" s="67">
        <v>223.55753101816461</v>
      </c>
      <c r="AR55" s="67">
        <v>222.55259179621049</v>
      </c>
      <c r="AS55" s="67">
        <v>221.73618571850599</v>
      </c>
      <c r="AT55" s="67">
        <v>220.9938092913338</v>
      </c>
      <c r="AU55" s="67">
        <v>220.40021119685181</v>
      </c>
      <c r="AV55" s="67">
        <v>219.87629293063119</v>
      </c>
      <c r="AW55" s="67">
        <v>219.44365134198401</v>
      </c>
      <c r="AX55" s="67">
        <v>219.16661187648509</v>
      </c>
      <c r="AY55" s="67">
        <v>219.09481333583599</v>
      </c>
      <c r="AZ55" s="67">
        <v>219.22391389578141</v>
      </c>
      <c r="BA55" s="67">
        <v>219.45632052125731</v>
      </c>
      <c r="BB55" s="67">
        <v>219.7801884789927</v>
      </c>
      <c r="BC55" s="67">
        <v>220.2450233129793</v>
      </c>
      <c r="BD55" s="67">
        <v>220.91142028028301</v>
      </c>
      <c r="BE55" s="67">
        <v>221.60018525881</v>
      </c>
      <c r="BF55" s="67">
        <v>222.3433879240082</v>
      </c>
      <c r="BG55" s="67">
        <v>223.1435375947805</v>
      </c>
      <c r="BH55" s="67">
        <v>223.94008346767529</v>
      </c>
      <c r="BI55" s="67">
        <v>224.63086026022839</v>
      </c>
      <c r="BJ55" s="67">
        <v>225.20745445913099</v>
      </c>
      <c r="BK55" s="67">
        <v>225.72490274931999</v>
      </c>
      <c r="BL55" s="67">
        <v>226.21868049870449</v>
      </c>
      <c r="BM55" s="67">
        <v>226.5595399876955</v>
      </c>
      <c r="BN55" s="67">
        <v>226.7647890577181</v>
      </c>
      <c r="BO55" s="67">
        <v>226.870189695927</v>
      </c>
      <c r="BP55" s="67">
        <v>226.85516840124049</v>
      </c>
      <c r="BQ55" s="67">
        <v>226.68977563371541</v>
      </c>
      <c r="BR55" s="67">
        <v>226.49842641764491</v>
      </c>
      <c r="BS55" s="67">
        <v>226.10638524466489</v>
      </c>
      <c r="BT55" s="67">
        <v>225.67358908297419</v>
      </c>
      <c r="BU55" s="67">
        <v>225.2271914698988</v>
      </c>
      <c r="BV55" s="67">
        <v>224.76292620324841</v>
      </c>
      <c r="BW55" s="67">
        <v>224.28797847610809</v>
      </c>
      <c r="BX55" s="67">
        <v>223.81580398637979</v>
      </c>
      <c r="BY55" s="67">
        <v>223.36278286641519</v>
      </c>
      <c r="BZ55" s="67">
        <v>222.94055183453261</v>
      </c>
      <c r="CA55" s="67">
        <v>222.55882123976949</v>
      </c>
      <c r="CB55" s="67">
        <v>222.22501668507761</v>
      </c>
      <c r="CC55" s="67">
        <v>221.9474034137464</v>
      </c>
      <c r="CD55" s="67">
        <v>221.73170539314441</v>
      </c>
      <c r="CE55" s="67">
        <v>221.5812188818789</v>
      </c>
      <c r="CF55" s="67">
        <v>221.49632411177149</v>
      </c>
      <c r="CG55" s="67">
        <v>221.47710091608451</v>
      </c>
      <c r="CH55" s="67">
        <v>221.52151884250179</v>
      </c>
      <c r="CI55" s="67">
        <v>221.6252081258678</v>
      </c>
      <c r="CJ55" s="67">
        <v>221.7810982749412</v>
      </c>
      <c r="CK55" s="67">
        <v>221.98121033626629</v>
      </c>
      <c r="CL55" s="67">
        <v>222.21646252607559</v>
      </c>
      <c r="CM55" s="67">
        <v>222.4760445734334</v>
      </c>
      <c r="CN55" s="67">
        <v>222.74813181514841</v>
      </c>
      <c r="CO55" s="67">
        <v>223.02251340916919</v>
      </c>
      <c r="CP55" s="67">
        <v>223.28987788433</v>
      </c>
      <c r="CQ55" s="67">
        <v>223.54222419710041</v>
      </c>
      <c r="CR55" s="67">
        <v>223.768585887661</v>
      </c>
      <c r="CS55" s="67">
        <v>223.95826882246541</v>
      </c>
      <c r="CT55" s="67">
        <v>224.1058185535054</v>
      </c>
      <c r="CU55" s="67">
        <v>224.20815494973101</v>
      </c>
      <c r="CV55" s="67">
        <v>224.26396393992809</v>
      </c>
      <c r="CW55" s="67">
        <v>224.27285498124121</v>
      </c>
      <c r="CX55" s="67">
        <v>224.23623393334611</v>
      </c>
    </row>
    <row r="56" spans="1:102" s="62" customFormat="1" ht="32.450000000000003" customHeight="1">
      <c r="A56" s="68" t="s">
        <v>437</v>
      </c>
      <c r="B56" s="67">
        <v>277.93922093136632</v>
      </c>
      <c r="C56" s="67">
        <v>277.28626183471022</v>
      </c>
      <c r="D56" s="67">
        <v>278.40940296206611</v>
      </c>
      <c r="E56" s="67">
        <v>281.83180615697847</v>
      </c>
      <c r="F56" s="67">
        <v>282.57434412980251</v>
      </c>
      <c r="G56" s="67">
        <v>275.85679931252213</v>
      </c>
      <c r="H56" s="67">
        <v>272.37351143890902</v>
      </c>
      <c r="I56" s="67">
        <v>277.24804558557832</v>
      </c>
      <c r="J56" s="67">
        <v>282.41252970305862</v>
      </c>
      <c r="K56" s="67">
        <v>287.80963251095392</v>
      </c>
      <c r="L56" s="67">
        <v>293.14195298722052</v>
      </c>
      <c r="M56" s="67">
        <v>298.13844728496838</v>
      </c>
      <c r="N56" s="67">
        <v>303.00812313232183</v>
      </c>
      <c r="O56" s="67">
        <v>307.47411402303487</v>
      </c>
      <c r="P56" s="67">
        <v>311.77645502287652</v>
      </c>
      <c r="Q56" s="67">
        <v>315.3971897984278</v>
      </c>
      <c r="R56" s="67">
        <v>319.28873075471063</v>
      </c>
      <c r="S56" s="67">
        <v>322.31531145636251</v>
      </c>
      <c r="T56" s="67">
        <v>324.31344362233568</v>
      </c>
      <c r="U56" s="67">
        <v>325.30030625406602</v>
      </c>
      <c r="V56" s="67">
        <v>325.89006045503282</v>
      </c>
      <c r="W56" s="67">
        <v>326.01241992421421</v>
      </c>
      <c r="X56" s="67">
        <v>322.53772945497531</v>
      </c>
      <c r="Y56" s="67">
        <v>312.38870879036398</v>
      </c>
      <c r="Z56" s="67">
        <v>305.29386368399719</v>
      </c>
      <c r="AA56" s="67">
        <v>306.60314303217592</v>
      </c>
      <c r="AB56" s="67">
        <v>308.72821723823103</v>
      </c>
      <c r="AC56" s="67">
        <v>310.75572388080241</v>
      </c>
      <c r="AD56" s="67">
        <v>312.51644660056229</v>
      </c>
      <c r="AE56" s="67">
        <v>314.36256585053468</v>
      </c>
      <c r="AF56" s="67">
        <v>316.17654188383682</v>
      </c>
      <c r="AG56" s="67">
        <v>318.67292141042088</v>
      </c>
      <c r="AH56" s="67">
        <v>321.27806681520968</v>
      </c>
      <c r="AI56" s="67">
        <v>324.08972879968172</v>
      </c>
      <c r="AJ56" s="67">
        <v>327.51213710716701</v>
      </c>
      <c r="AK56" s="67">
        <v>330.766487038256</v>
      </c>
      <c r="AL56" s="67">
        <v>334.29577537757609</v>
      </c>
      <c r="AM56" s="67">
        <v>338.1026806431255</v>
      </c>
      <c r="AN56" s="67">
        <v>341.8326990289379</v>
      </c>
      <c r="AO56" s="67">
        <v>345.15690920357679</v>
      </c>
      <c r="AP56" s="67">
        <v>348.7171325998475</v>
      </c>
      <c r="AQ56" s="67">
        <v>351.99671116306422</v>
      </c>
      <c r="AR56" s="67">
        <v>355.28957773410849</v>
      </c>
      <c r="AS56" s="67">
        <v>359.20368646948953</v>
      </c>
      <c r="AT56" s="67">
        <v>362.92118491394331</v>
      </c>
      <c r="AU56" s="67">
        <v>366.81798557115502</v>
      </c>
      <c r="AV56" s="67">
        <v>370.35256419660948</v>
      </c>
      <c r="AW56" s="67">
        <v>373.60696157609863</v>
      </c>
      <c r="AX56" s="67">
        <v>376.94858572384061</v>
      </c>
      <c r="AY56" s="67">
        <v>380.71060301153352</v>
      </c>
      <c r="AZ56" s="67">
        <v>384.9420451281859</v>
      </c>
      <c r="BA56" s="67">
        <v>389.11237091088219</v>
      </c>
      <c r="BB56" s="67">
        <v>393.20978130729441</v>
      </c>
      <c r="BC56" s="67">
        <v>397.62841296709217</v>
      </c>
      <c r="BD56" s="67">
        <v>402.85964288511047</v>
      </c>
      <c r="BE56" s="67">
        <v>407.87596916115791</v>
      </c>
      <c r="BF56" s="67">
        <v>412.99734251895961</v>
      </c>
      <c r="BG56" s="67">
        <v>418.33314148889798</v>
      </c>
      <c r="BH56" s="67">
        <v>423.58250347902413</v>
      </c>
      <c r="BI56" s="67">
        <v>428.21211487796751</v>
      </c>
      <c r="BJ56" s="67">
        <v>432.26756019976119</v>
      </c>
      <c r="BK56" s="67">
        <v>436.16991298332431</v>
      </c>
      <c r="BL56" s="67">
        <v>440.2075280516882</v>
      </c>
      <c r="BM56" s="67">
        <v>443.5989919079575</v>
      </c>
      <c r="BN56" s="67">
        <v>446.48081650075852</v>
      </c>
      <c r="BO56" s="67">
        <v>449.10197266701152</v>
      </c>
      <c r="BP56" s="67">
        <v>451.32378947560647</v>
      </c>
      <c r="BQ56" s="67">
        <v>452.93409866436718</v>
      </c>
      <c r="BR56" s="67">
        <v>454.69454341155841</v>
      </c>
      <c r="BS56" s="67">
        <v>455.43518031447519</v>
      </c>
      <c r="BT56" s="67">
        <v>456.12429979538132</v>
      </c>
      <c r="BU56" s="67">
        <v>456.87207459748242</v>
      </c>
      <c r="BV56" s="67">
        <v>457.58224774023489</v>
      </c>
      <c r="BW56" s="67">
        <v>458.22467123077041</v>
      </c>
      <c r="BX56" s="67">
        <v>458.81590668778767</v>
      </c>
      <c r="BY56" s="67">
        <v>459.39018057796261</v>
      </c>
      <c r="BZ56" s="67">
        <v>459.96023815805933</v>
      </c>
      <c r="CA56" s="67">
        <v>460.53436862350611</v>
      </c>
      <c r="CB56" s="67">
        <v>461.1161538569574</v>
      </c>
      <c r="CC56" s="67">
        <v>461.72476636988881</v>
      </c>
      <c r="CD56" s="67">
        <v>462.38207620248221</v>
      </c>
      <c r="CE56" s="67">
        <v>463.10254032606701</v>
      </c>
      <c r="CF56" s="67">
        <v>463.90173525206279</v>
      </c>
      <c r="CG56" s="67">
        <v>464.80021438486062</v>
      </c>
      <c r="CH56" s="67">
        <v>465.81852847713878</v>
      </c>
      <c r="CI56" s="67">
        <v>466.9725080386259</v>
      </c>
      <c r="CJ56" s="67">
        <v>468.2681026285864</v>
      </c>
      <c r="CK56" s="67">
        <v>469.70879847632472</v>
      </c>
      <c r="CL56" s="67">
        <v>471.2956851311485</v>
      </c>
      <c r="CM56" s="67">
        <v>473.01528507761913</v>
      </c>
      <c r="CN56" s="67">
        <v>474.8474312260945</v>
      </c>
      <c r="CO56" s="67">
        <v>476.77822972974491</v>
      </c>
      <c r="CP56" s="67">
        <v>478.79474260354249</v>
      </c>
      <c r="CQ56" s="67">
        <v>480.88285531529442</v>
      </c>
      <c r="CR56" s="67">
        <v>483.00182665964809</v>
      </c>
      <c r="CS56" s="67">
        <v>485.10304467277717</v>
      </c>
      <c r="CT56" s="67">
        <v>487.16413797807161</v>
      </c>
      <c r="CU56" s="67">
        <v>489.16820312470458</v>
      </c>
      <c r="CV56" s="67">
        <v>491.10123561431487</v>
      </c>
      <c r="CW56" s="67">
        <v>492.94798463969039</v>
      </c>
      <c r="CX56" s="67">
        <v>494.69550302912728</v>
      </c>
    </row>
    <row r="57" spans="1:102" s="62" customFormat="1" ht="34.35" customHeight="1">
      <c r="A57" s="68" t="s">
        <v>438</v>
      </c>
      <c r="B57" s="67">
        <v>564.93103612074447</v>
      </c>
      <c r="C57" s="67">
        <v>559.57070992902584</v>
      </c>
      <c r="D57" s="67">
        <v>555.64494128317244</v>
      </c>
      <c r="E57" s="67">
        <v>555.16506603559992</v>
      </c>
      <c r="F57" s="67">
        <v>551.35831466071454</v>
      </c>
      <c r="G57" s="67">
        <v>538.27223553604244</v>
      </c>
      <c r="H57" s="67">
        <v>529.1405099303015</v>
      </c>
      <c r="I57" s="67">
        <v>530.60593271813593</v>
      </c>
      <c r="J57" s="67">
        <v>532.92121461639817</v>
      </c>
      <c r="K57" s="67">
        <v>535.62902846427573</v>
      </c>
      <c r="L57" s="67">
        <v>538.11067736823486</v>
      </c>
      <c r="M57" s="67">
        <v>540.79112042485394</v>
      </c>
      <c r="N57" s="67">
        <v>543.80402745202889</v>
      </c>
      <c r="O57" s="67">
        <v>546.60171559853188</v>
      </c>
      <c r="P57" s="67">
        <v>549.60974559923579</v>
      </c>
      <c r="Q57" s="67">
        <v>552.41549206381615</v>
      </c>
      <c r="R57" s="67">
        <v>555.47419251683266</v>
      </c>
      <c r="S57" s="67">
        <v>558.4949301350332</v>
      </c>
      <c r="T57" s="67">
        <v>560.42505228838309</v>
      </c>
      <c r="U57" s="67">
        <v>561.1838126820993</v>
      </c>
      <c r="V57" s="67">
        <v>561.57440462414434</v>
      </c>
      <c r="W57" s="67">
        <v>561.52519879033491</v>
      </c>
      <c r="X57" s="67">
        <v>557.31506448453706</v>
      </c>
      <c r="Y57" s="67">
        <v>545.27913129280205</v>
      </c>
      <c r="Z57" s="67">
        <v>536.84916974690748</v>
      </c>
      <c r="AA57" s="67">
        <v>538.30878515085033</v>
      </c>
      <c r="AB57" s="67">
        <v>540.69194423337763</v>
      </c>
      <c r="AC57" s="67">
        <v>542.87995630467981</v>
      </c>
      <c r="AD57" s="67">
        <v>544.64704509240755</v>
      </c>
      <c r="AE57" s="67">
        <v>546.39170326031956</v>
      </c>
      <c r="AF57" s="67">
        <v>547.96475205951685</v>
      </c>
      <c r="AG57" s="67">
        <v>550.19222317726576</v>
      </c>
      <c r="AH57" s="67">
        <v>552.38598159348066</v>
      </c>
      <c r="AI57" s="67">
        <v>554.66160489910249</v>
      </c>
      <c r="AJ57" s="67">
        <v>557.50556315431845</v>
      </c>
      <c r="AK57" s="67">
        <v>560.01946619641876</v>
      </c>
      <c r="AL57" s="67">
        <v>562.73744152700533</v>
      </c>
      <c r="AM57" s="67">
        <v>565.68676916340974</v>
      </c>
      <c r="AN57" s="67">
        <v>568.48506206328955</v>
      </c>
      <c r="AO57" s="67">
        <v>570.77313148223698</v>
      </c>
      <c r="AP57" s="67">
        <v>573.32462559359374</v>
      </c>
      <c r="AQ57" s="67">
        <v>575.5542421812288</v>
      </c>
      <c r="AR57" s="67">
        <v>577.84216953031898</v>
      </c>
      <c r="AS57" s="67">
        <v>580.93987218799555</v>
      </c>
      <c r="AT57" s="67">
        <v>583.91499420527703</v>
      </c>
      <c r="AU57" s="67">
        <v>587.21819676800681</v>
      </c>
      <c r="AV57" s="67">
        <v>590.22885712724064</v>
      </c>
      <c r="AW57" s="67">
        <v>593.05061291808261</v>
      </c>
      <c r="AX57" s="67">
        <v>596.1151976003257</v>
      </c>
      <c r="AY57" s="67">
        <v>599.80541634736949</v>
      </c>
      <c r="AZ57" s="67">
        <v>604.16595902396728</v>
      </c>
      <c r="BA57" s="67">
        <v>608.56869143213953</v>
      </c>
      <c r="BB57" s="67">
        <v>612.98996978628713</v>
      </c>
      <c r="BC57" s="67">
        <v>617.87343628007147</v>
      </c>
      <c r="BD57" s="67">
        <v>623.77106316539346</v>
      </c>
      <c r="BE57" s="67">
        <v>629.476154419968</v>
      </c>
      <c r="BF57" s="67">
        <v>635.34073044296781</v>
      </c>
      <c r="BG57" s="67">
        <v>641.4766790836785</v>
      </c>
      <c r="BH57" s="67">
        <v>647.52258694669933</v>
      </c>
      <c r="BI57" s="67">
        <v>652.84297513819592</v>
      </c>
      <c r="BJ57" s="67">
        <v>657.47501465889218</v>
      </c>
      <c r="BK57" s="67">
        <v>661.89481573264425</v>
      </c>
      <c r="BL57" s="67">
        <v>666.42620855039263</v>
      </c>
      <c r="BM57" s="67">
        <v>670.15853189565303</v>
      </c>
      <c r="BN57" s="67">
        <v>673.24560555847665</v>
      </c>
      <c r="BO57" s="67">
        <v>675.97216236293843</v>
      </c>
      <c r="BP57" s="67">
        <v>678.17895787684699</v>
      </c>
      <c r="BQ57" s="67">
        <v>679.62387429808257</v>
      </c>
      <c r="BR57" s="67">
        <v>681.19296982920332</v>
      </c>
      <c r="BS57" s="67">
        <v>681.54156555914017</v>
      </c>
      <c r="BT57" s="67">
        <v>681.79788887835548</v>
      </c>
      <c r="BU57" s="67">
        <v>682.09926606738122</v>
      </c>
      <c r="BV57" s="67">
        <v>682.34517394348325</v>
      </c>
      <c r="BW57" s="67">
        <v>682.51264970687851</v>
      </c>
      <c r="BX57" s="67">
        <v>682.63171067416749</v>
      </c>
      <c r="BY57" s="67">
        <v>682.75296344437777</v>
      </c>
      <c r="BZ57" s="67">
        <v>682.90078999259197</v>
      </c>
      <c r="CA57" s="67">
        <v>683.09318986327548</v>
      </c>
      <c r="CB57" s="67">
        <v>683.341170542035</v>
      </c>
      <c r="CC57" s="67">
        <v>683.67216978363524</v>
      </c>
      <c r="CD57" s="67">
        <v>684.11378159562662</v>
      </c>
      <c r="CE57" s="67">
        <v>684.68375920794597</v>
      </c>
      <c r="CF57" s="67">
        <v>685.39805936383436</v>
      </c>
      <c r="CG57" s="67">
        <v>686.27731530094513</v>
      </c>
      <c r="CH57" s="67">
        <v>687.34004731964058</v>
      </c>
      <c r="CI57" s="67">
        <v>688.5977161644937</v>
      </c>
      <c r="CJ57" s="67">
        <v>690.04920090352766</v>
      </c>
      <c r="CK57" s="67">
        <v>691.69000881259103</v>
      </c>
      <c r="CL57" s="67">
        <v>693.51214765722409</v>
      </c>
      <c r="CM57" s="67">
        <v>695.49132965105252</v>
      </c>
      <c r="CN57" s="67">
        <v>697.59556304124294</v>
      </c>
      <c r="CO57" s="67">
        <v>699.80074313891419</v>
      </c>
      <c r="CP57" s="67">
        <v>702.08462048787248</v>
      </c>
      <c r="CQ57" s="67">
        <v>704.42507951239475</v>
      </c>
      <c r="CR57" s="67">
        <v>706.77041254730921</v>
      </c>
      <c r="CS57" s="67">
        <v>709.06131349524264</v>
      </c>
      <c r="CT57" s="67">
        <v>711.26995653157701</v>
      </c>
      <c r="CU57" s="67">
        <v>713.37635807443553</v>
      </c>
      <c r="CV57" s="67">
        <v>715.36519955424296</v>
      </c>
      <c r="CW57" s="67">
        <v>717.22083962093166</v>
      </c>
      <c r="CX57" s="67">
        <v>718.93173696247345</v>
      </c>
    </row>
  </sheetData>
  <pageMargins left="0.7" right="0.7" top="0.75" bottom="0.75" header="0.3" footer="0.3"/>
  <pageSetup paperSize="9" orientation="portrait" horizontalDpi="300" verticalDpi="0"/>
  <tableParts count="3">
    <tablePart r:id="rId1"/>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C0D5B-05CC-45DA-AFC9-C1E6E7F3AB91}">
  <dimension ref="A1:K68"/>
  <sheetViews>
    <sheetView workbookViewId="0">
      <pane xSplit="2" ySplit="4" topLeftCell="C42" activePane="bottomRight" state="frozen"/>
      <selection pane="topRight" activeCell="C1" sqref="C1"/>
      <selection pane="bottomLeft" activeCell="A5" sqref="A5"/>
      <selection pane="bottomRight" activeCell="D69" sqref="D69"/>
    </sheetView>
  </sheetViews>
  <sheetFormatPr defaultColWidth="9.5703125" defaultRowHeight="15"/>
  <cols>
    <col min="1" max="1" width="11" style="72" customWidth="1"/>
    <col min="2" max="2" width="13.140625" style="72" customWidth="1"/>
    <col min="3" max="4" width="21.5703125" style="72" customWidth="1"/>
    <col min="5" max="6" width="30.140625" style="72" customWidth="1"/>
    <col min="7" max="9" width="24.7109375" style="72" customWidth="1"/>
    <col min="10" max="10" width="28.85546875" style="72" customWidth="1"/>
    <col min="11" max="11" width="24.7109375" style="72" customWidth="1"/>
    <col min="12" max="12" width="9.5703125" style="72" customWidth="1"/>
    <col min="13" max="16384" width="9.5703125" style="72"/>
  </cols>
  <sheetData>
    <row r="1" spans="1:11" ht="15.75">
      <c r="A1" s="71" t="s">
        <v>455</v>
      </c>
    </row>
    <row r="2" spans="1:11" ht="15.75">
      <c r="A2" s="73" t="str">
        <f>HYPERLINK("#'Contents'!A1", "Link to contents")</f>
        <v>Link to contents</v>
      </c>
      <c r="D2" s="72" t="s">
        <v>479</v>
      </c>
    </row>
    <row r="3" spans="1:11" ht="15.75">
      <c r="A3" s="73" t="str">
        <f>HYPERLINK("#'Notes'!A1", "Link to notes")</f>
        <v>Link to notes</v>
      </c>
    </row>
    <row r="4" spans="1:11" ht="31.5">
      <c r="A4" s="74" t="s">
        <v>456</v>
      </c>
      <c r="B4" s="75" t="s">
        <v>457</v>
      </c>
      <c r="C4" s="75" t="s">
        <v>458</v>
      </c>
      <c r="D4" s="75" t="s">
        <v>459</v>
      </c>
      <c r="E4" s="75" t="s">
        <v>460</v>
      </c>
      <c r="F4" s="75" t="s">
        <v>461</v>
      </c>
      <c r="G4" s="75" t="s">
        <v>462</v>
      </c>
      <c r="H4" s="75" t="s">
        <v>463</v>
      </c>
      <c r="I4" s="75" t="s">
        <v>464</v>
      </c>
      <c r="J4" s="75" t="s">
        <v>465</v>
      </c>
      <c r="K4" s="76" t="s">
        <v>466</v>
      </c>
    </row>
    <row r="5" spans="1:11" ht="15" customHeight="1">
      <c r="A5" s="77">
        <v>2022</v>
      </c>
      <c r="B5" s="78" t="s">
        <v>467</v>
      </c>
      <c r="C5" s="79">
        <v>4100</v>
      </c>
      <c r="D5" s="79">
        <v>2700</v>
      </c>
      <c r="E5" s="79">
        <v>3700</v>
      </c>
      <c r="F5" s="79">
        <v>4000</v>
      </c>
      <c r="G5" s="79">
        <v>31100</v>
      </c>
      <c r="H5" s="79">
        <v>11000</v>
      </c>
      <c r="I5" s="79">
        <v>1600</v>
      </c>
      <c r="J5" s="79">
        <v>800</v>
      </c>
      <c r="K5" s="80">
        <v>4300</v>
      </c>
    </row>
    <row r="6" spans="1:11" ht="15.75">
      <c r="A6" s="77">
        <v>2022</v>
      </c>
      <c r="B6" s="78" t="s">
        <v>468</v>
      </c>
      <c r="C6" s="79">
        <v>4600</v>
      </c>
      <c r="D6" s="79">
        <v>3100</v>
      </c>
      <c r="E6" s="79">
        <v>4100</v>
      </c>
      <c r="F6" s="79">
        <v>4400</v>
      </c>
      <c r="G6" s="79">
        <v>9600</v>
      </c>
      <c r="H6" s="79">
        <v>6800</v>
      </c>
      <c r="I6" s="79">
        <v>3100</v>
      </c>
      <c r="J6" s="79">
        <v>1300</v>
      </c>
      <c r="K6" s="80">
        <v>5100</v>
      </c>
    </row>
    <row r="7" spans="1:11" ht="15.75">
      <c r="A7" s="77">
        <v>2022</v>
      </c>
      <c r="B7" s="78" t="s">
        <v>469</v>
      </c>
      <c r="C7" s="79">
        <v>5300</v>
      </c>
      <c r="D7" s="79">
        <v>3600</v>
      </c>
      <c r="E7" s="79">
        <v>5300</v>
      </c>
      <c r="F7" s="79">
        <v>5200</v>
      </c>
      <c r="G7" s="79">
        <v>6200</v>
      </c>
      <c r="H7" s="79">
        <v>6000</v>
      </c>
      <c r="I7" s="79">
        <v>3400</v>
      </c>
      <c r="J7" s="79">
        <v>1900</v>
      </c>
      <c r="K7" s="80">
        <v>6300</v>
      </c>
    </row>
    <row r="8" spans="1:11" ht="15.75">
      <c r="A8" s="77">
        <v>2022</v>
      </c>
      <c r="B8" s="78" t="s">
        <v>470</v>
      </c>
      <c r="C8" s="79">
        <v>4800</v>
      </c>
      <c r="D8" s="79">
        <v>3500</v>
      </c>
      <c r="E8" s="79">
        <v>5000</v>
      </c>
      <c r="F8" s="79">
        <v>5200</v>
      </c>
      <c r="G8" s="79">
        <v>9100</v>
      </c>
      <c r="H8" s="79">
        <v>5200</v>
      </c>
      <c r="I8" s="79">
        <v>8400</v>
      </c>
      <c r="J8" s="79">
        <v>1700</v>
      </c>
      <c r="K8" s="80">
        <v>5200</v>
      </c>
    </row>
    <row r="9" spans="1:11" ht="15.75">
      <c r="A9" s="77">
        <v>2022</v>
      </c>
      <c r="B9" s="78" t="s">
        <v>471</v>
      </c>
      <c r="C9" s="79">
        <v>5700</v>
      </c>
      <c r="D9" s="79">
        <v>4100</v>
      </c>
      <c r="E9" s="79">
        <v>5600</v>
      </c>
      <c r="F9" s="79">
        <v>6000</v>
      </c>
      <c r="G9" s="79">
        <v>14100</v>
      </c>
      <c r="H9" s="79">
        <v>5300</v>
      </c>
      <c r="I9" s="79">
        <v>8600</v>
      </c>
      <c r="J9" s="79">
        <v>1900</v>
      </c>
      <c r="K9" s="80">
        <v>5400</v>
      </c>
    </row>
    <row r="10" spans="1:11" ht="15.75">
      <c r="A10" s="77">
        <v>2022</v>
      </c>
      <c r="B10" s="78" t="s">
        <v>472</v>
      </c>
      <c r="C10" s="79">
        <v>6700</v>
      </c>
      <c r="D10" s="79">
        <v>4800</v>
      </c>
      <c r="E10" s="79">
        <v>7100</v>
      </c>
      <c r="F10" s="79">
        <v>7300</v>
      </c>
      <c r="G10" s="79">
        <v>31500</v>
      </c>
      <c r="H10" s="79">
        <v>8000</v>
      </c>
      <c r="I10" s="79">
        <v>3700</v>
      </c>
      <c r="J10" s="79">
        <v>1200</v>
      </c>
      <c r="K10" s="80">
        <v>5600</v>
      </c>
    </row>
    <row r="11" spans="1:11" ht="15.75">
      <c r="A11" s="77">
        <v>2022</v>
      </c>
      <c r="B11" s="78" t="s">
        <v>473</v>
      </c>
      <c r="C11" s="79">
        <v>6600</v>
      </c>
      <c r="D11" s="79">
        <v>4800</v>
      </c>
      <c r="E11" s="79">
        <v>7300</v>
      </c>
      <c r="F11" s="79">
        <v>7500</v>
      </c>
      <c r="G11" s="79">
        <v>85000</v>
      </c>
      <c r="H11" s="79">
        <v>14800</v>
      </c>
      <c r="I11" s="79">
        <v>3200</v>
      </c>
      <c r="J11" s="79">
        <v>1100</v>
      </c>
      <c r="K11" s="80">
        <v>5800</v>
      </c>
    </row>
    <row r="12" spans="1:11" ht="15.75">
      <c r="A12" s="77">
        <v>2022</v>
      </c>
      <c r="B12" s="78" t="s">
        <v>474</v>
      </c>
      <c r="C12" s="79">
        <v>6900</v>
      </c>
      <c r="D12" s="79">
        <v>4700</v>
      </c>
      <c r="E12" s="79">
        <v>8100</v>
      </c>
      <c r="F12" s="79">
        <v>8700</v>
      </c>
      <c r="G12" s="79">
        <v>144200</v>
      </c>
      <c r="H12" s="79">
        <v>23600</v>
      </c>
      <c r="I12" s="79">
        <v>1900</v>
      </c>
      <c r="J12" s="79">
        <v>1300</v>
      </c>
      <c r="K12" s="80">
        <v>6000</v>
      </c>
    </row>
    <row r="13" spans="1:11" ht="15.75">
      <c r="A13" s="77">
        <v>2022</v>
      </c>
      <c r="B13" s="78" t="s">
        <v>475</v>
      </c>
      <c r="C13" s="79">
        <v>6100</v>
      </c>
      <c r="D13" s="79">
        <v>4100</v>
      </c>
      <c r="E13" s="79">
        <v>7900</v>
      </c>
      <c r="F13" s="79">
        <v>8700</v>
      </c>
      <c r="G13" s="79">
        <v>76600</v>
      </c>
      <c r="H13" s="79">
        <v>18300</v>
      </c>
      <c r="I13" s="79">
        <v>800</v>
      </c>
      <c r="J13" s="79">
        <v>1600</v>
      </c>
      <c r="K13" s="80">
        <v>5600</v>
      </c>
    </row>
    <row r="14" spans="1:11" ht="15.75">
      <c r="A14" s="77">
        <v>2022</v>
      </c>
      <c r="B14" s="78" t="s">
        <v>476</v>
      </c>
      <c r="C14" s="79">
        <v>5800</v>
      </c>
      <c r="D14" s="79">
        <v>3900</v>
      </c>
      <c r="E14" s="79">
        <v>8000</v>
      </c>
      <c r="F14" s="79">
        <v>8300</v>
      </c>
      <c r="G14" s="79">
        <v>11300</v>
      </c>
      <c r="H14" s="79">
        <v>10200</v>
      </c>
      <c r="I14" s="79">
        <v>1300</v>
      </c>
      <c r="J14" s="79">
        <v>1500</v>
      </c>
      <c r="K14" s="80">
        <v>5200</v>
      </c>
    </row>
    <row r="15" spans="1:11" ht="15.75">
      <c r="A15" s="77">
        <v>2022</v>
      </c>
      <c r="B15" s="78" t="s">
        <v>477</v>
      </c>
      <c r="C15" s="79">
        <v>6100</v>
      </c>
      <c r="D15" s="79">
        <v>4200</v>
      </c>
      <c r="E15" s="79">
        <v>9700</v>
      </c>
      <c r="F15" s="79">
        <v>10100</v>
      </c>
      <c r="G15" s="79">
        <v>24700</v>
      </c>
      <c r="H15" s="79">
        <v>14800</v>
      </c>
      <c r="I15" s="79">
        <v>300</v>
      </c>
      <c r="J15" s="79">
        <v>1600</v>
      </c>
      <c r="K15" s="80">
        <v>5600</v>
      </c>
    </row>
    <row r="16" spans="1:11" ht="15.75">
      <c r="A16" s="77">
        <v>2022</v>
      </c>
      <c r="B16" s="78" t="s">
        <v>478</v>
      </c>
      <c r="C16" s="79">
        <v>5600</v>
      </c>
      <c r="D16" s="79">
        <v>3900</v>
      </c>
      <c r="E16" s="79">
        <v>9900</v>
      </c>
      <c r="F16" s="79">
        <v>10600</v>
      </c>
      <c r="G16" s="79">
        <v>46200</v>
      </c>
      <c r="H16" s="79">
        <v>19800</v>
      </c>
      <c r="I16" s="79">
        <v>400</v>
      </c>
      <c r="J16" s="79">
        <v>1200</v>
      </c>
      <c r="K16" s="80">
        <v>5900</v>
      </c>
    </row>
    <row r="17" spans="1:11" ht="15.75">
      <c r="A17" s="77">
        <v>2023</v>
      </c>
      <c r="B17" s="78" t="s">
        <v>467</v>
      </c>
      <c r="C17" s="79">
        <v>5300</v>
      </c>
      <c r="D17" s="79">
        <v>3800</v>
      </c>
      <c r="E17" s="79">
        <v>11300</v>
      </c>
      <c r="F17" s="79">
        <v>12900</v>
      </c>
      <c r="G17" s="79">
        <v>26900</v>
      </c>
      <c r="H17" s="79">
        <v>17500</v>
      </c>
      <c r="I17" s="79">
        <v>2300</v>
      </c>
      <c r="J17" s="79">
        <v>1800</v>
      </c>
      <c r="K17" s="80">
        <v>5500</v>
      </c>
    </row>
    <row r="18" spans="1:11" ht="15.75">
      <c r="A18" s="77">
        <v>2023</v>
      </c>
      <c r="B18" s="78" t="s">
        <v>468</v>
      </c>
      <c r="C18" s="79">
        <v>5100</v>
      </c>
      <c r="D18" s="79">
        <v>4000</v>
      </c>
      <c r="E18" s="79">
        <v>13100</v>
      </c>
      <c r="F18" s="79">
        <v>14600</v>
      </c>
      <c r="G18" s="79">
        <v>5200</v>
      </c>
      <c r="H18" s="79">
        <v>7500</v>
      </c>
      <c r="I18" s="79">
        <v>2300</v>
      </c>
      <c r="J18" s="79">
        <v>2300</v>
      </c>
      <c r="K18" s="80">
        <v>6000</v>
      </c>
    </row>
    <row r="19" spans="1:11" ht="15.75">
      <c r="A19" s="77">
        <v>2023</v>
      </c>
      <c r="B19" s="78" t="s">
        <v>469</v>
      </c>
      <c r="C19" s="79">
        <v>5600</v>
      </c>
      <c r="D19" s="79">
        <v>4500</v>
      </c>
      <c r="E19" s="79">
        <v>14300</v>
      </c>
      <c r="F19" s="79">
        <v>16700</v>
      </c>
      <c r="G19" s="79">
        <v>7800</v>
      </c>
      <c r="H19" s="79">
        <v>7900</v>
      </c>
      <c r="I19" s="79">
        <v>3300</v>
      </c>
      <c r="J19" s="79">
        <v>2900</v>
      </c>
      <c r="K19" s="80">
        <v>7000</v>
      </c>
    </row>
    <row r="20" spans="1:11" ht="15.75">
      <c r="A20" s="77">
        <v>2023</v>
      </c>
      <c r="B20" s="78" t="s">
        <v>470</v>
      </c>
      <c r="C20" s="79">
        <v>4700</v>
      </c>
      <c r="D20" s="79">
        <v>3900</v>
      </c>
      <c r="E20" s="79">
        <v>12200</v>
      </c>
      <c r="F20" s="79">
        <v>15100</v>
      </c>
      <c r="G20" s="79">
        <v>9500</v>
      </c>
      <c r="H20" s="79">
        <v>6000</v>
      </c>
      <c r="I20" s="79">
        <v>5700</v>
      </c>
      <c r="J20" s="79">
        <v>3300</v>
      </c>
      <c r="K20" s="80">
        <v>5300</v>
      </c>
    </row>
    <row r="21" spans="1:11" ht="15.75">
      <c r="A21" s="77">
        <v>2023</v>
      </c>
      <c r="B21" s="78" t="s">
        <v>471</v>
      </c>
      <c r="C21" s="79">
        <v>5900</v>
      </c>
      <c r="D21" s="79">
        <v>4800</v>
      </c>
      <c r="E21" s="79">
        <v>14600</v>
      </c>
      <c r="F21" s="79">
        <v>19300</v>
      </c>
      <c r="G21" s="79">
        <v>16900</v>
      </c>
      <c r="H21" s="79">
        <v>7800</v>
      </c>
      <c r="I21" s="79">
        <v>8200</v>
      </c>
      <c r="J21" s="79">
        <v>2500</v>
      </c>
      <c r="K21" s="80">
        <v>6800</v>
      </c>
    </row>
    <row r="22" spans="1:11" ht="15.75">
      <c r="A22" s="77">
        <v>2023</v>
      </c>
      <c r="B22" s="78" t="s">
        <v>472</v>
      </c>
      <c r="C22" s="79">
        <v>6200</v>
      </c>
      <c r="D22" s="79">
        <v>5000</v>
      </c>
      <c r="E22" s="79">
        <v>14600</v>
      </c>
      <c r="F22" s="79">
        <v>19300</v>
      </c>
      <c r="G22" s="79">
        <v>38900</v>
      </c>
      <c r="H22" s="79">
        <v>9100</v>
      </c>
      <c r="I22" s="79">
        <v>3400</v>
      </c>
      <c r="J22" s="79">
        <v>1600</v>
      </c>
      <c r="K22" s="80">
        <v>6400</v>
      </c>
    </row>
    <row r="23" spans="1:11" ht="15.75">
      <c r="A23" s="77">
        <v>2023</v>
      </c>
      <c r="B23" s="78" t="s">
        <v>473</v>
      </c>
      <c r="C23" s="79">
        <v>6500</v>
      </c>
      <c r="D23" s="79">
        <v>4900</v>
      </c>
      <c r="E23" s="79">
        <v>16200</v>
      </c>
      <c r="F23" s="79">
        <v>21600</v>
      </c>
      <c r="G23" s="79">
        <v>81900</v>
      </c>
      <c r="H23" s="79">
        <v>12300</v>
      </c>
      <c r="I23" s="79">
        <v>1600</v>
      </c>
      <c r="J23" s="79">
        <v>1300</v>
      </c>
      <c r="K23" s="80">
        <v>5700</v>
      </c>
    </row>
    <row r="24" spans="1:11" ht="15.75">
      <c r="A24" s="77">
        <v>2023</v>
      </c>
      <c r="B24" s="78" t="s">
        <v>474</v>
      </c>
      <c r="C24" s="79">
        <v>6900</v>
      </c>
      <c r="D24" s="79">
        <v>4900</v>
      </c>
      <c r="E24" s="79">
        <v>18300</v>
      </c>
      <c r="F24" s="79">
        <v>23300</v>
      </c>
      <c r="G24" s="79">
        <v>147100</v>
      </c>
      <c r="H24" s="79">
        <v>25100</v>
      </c>
      <c r="I24" s="79">
        <v>1500</v>
      </c>
      <c r="J24" s="79">
        <v>1400</v>
      </c>
      <c r="K24" s="80">
        <v>7000</v>
      </c>
    </row>
    <row r="25" spans="1:11" ht="15.75">
      <c r="A25" s="77">
        <v>2023</v>
      </c>
      <c r="B25" s="78" t="s">
        <v>475</v>
      </c>
      <c r="C25" s="79">
        <v>5500</v>
      </c>
      <c r="D25" s="79">
        <v>4100</v>
      </c>
      <c r="E25" s="79">
        <v>12900</v>
      </c>
      <c r="F25" s="79">
        <v>18400</v>
      </c>
      <c r="G25" s="79">
        <v>83500</v>
      </c>
      <c r="H25" s="79">
        <v>22500</v>
      </c>
      <c r="I25" s="79">
        <v>1200</v>
      </c>
      <c r="J25" s="79">
        <v>2200</v>
      </c>
      <c r="K25" s="80">
        <v>6900</v>
      </c>
    </row>
    <row r="26" spans="1:11" ht="15.75">
      <c r="A26" s="77">
        <v>2023</v>
      </c>
      <c r="B26" s="78" t="s">
        <v>476</v>
      </c>
      <c r="C26" s="79">
        <v>6400</v>
      </c>
      <c r="D26" s="79">
        <v>4900</v>
      </c>
      <c r="E26" s="79">
        <v>14400</v>
      </c>
      <c r="F26" s="79">
        <v>22700</v>
      </c>
      <c r="G26" s="79">
        <v>10400</v>
      </c>
      <c r="H26" s="79">
        <v>12000</v>
      </c>
      <c r="I26" s="79">
        <v>1500</v>
      </c>
      <c r="J26" s="79">
        <v>1600</v>
      </c>
      <c r="K26" s="80">
        <v>8300</v>
      </c>
    </row>
    <row r="27" spans="1:11" ht="15.75">
      <c r="A27" s="77">
        <v>2023</v>
      </c>
      <c r="B27" s="78" t="s">
        <v>477</v>
      </c>
      <c r="C27" s="79">
        <v>6100</v>
      </c>
      <c r="D27" s="79">
        <v>4300</v>
      </c>
      <c r="E27" s="79">
        <v>9800</v>
      </c>
      <c r="F27" s="79">
        <v>19400</v>
      </c>
      <c r="G27" s="79">
        <v>14800</v>
      </c>
      <c r="H27" s="79">
        <v>9700</v>
      </c>
      <c r="I27" s="79">
        <v>1000</v>
      </c>
      <c r="J27" s="79">
        <v>1400</v>
      </c>
      <c r="K27" s="80">
        <v>7300</v>
      </c>
    </row>
    <row r="28" spans="1:11" ht="15.75">
      <c r="A28" s="77">
        <v>2023</v>
      </c>
      <c r="B28" s="78" t="s">
        <v>478</v>
      </c>
      <c r="C28" s="79">
        <v>6100</v>
      </c>
      <c r="D28" s="79">
        <v>5500</v>
      </c>
      <c r="E28" s="79">
        <v>6400</v>
      </c>
      <c r="F28" s="79">
        <v>21300</v>
      </c>
      <c r="G28" s="79">
        <v>30600</v>
      </c>
      <c r="H28" s="79">
        <v>8000</v>
      </c>
      <c r="I28" s="79">
        <v>1500</v>
      </c>
      <c r="J28" s="79">
        <v>1100</v>
      </c>
      <c r="K28" s="80">
        <v>7500</v>
      </c>
    </row>
    <row r="29" spans="1:11" ht="15.75">
      <c r="A29" s="77">
        <v>2024</v>
      </c>
      <c r="B29" s="78" t="s">
        <v>467</v>
      </c>
      <c r="C29" s="79">
        <v>6900</v>
      </c>
      <c r="D29" s="79">
        <v>8100</v>
      </c>
      <c r="E29" s="79">
        <v>4700</v>
      </c>
      <c r="F29" s="79">
        <v>19800</v>
      </c>
      <c r="G29" s="79">
        <v>25500</v>
      </c>
      <c r="H29" s="79">
        <v>3400</v>
      </c>
      <c r="I29" s="79">
        <v>2100</v>
      </c>
      <c r="J29" s="79">
        <v>2000</v>
      </c>
      <c r="K29" s="80">
        <v>10200</v>
      </c>
    </row>
    <row r="30" spans="1:11" ht="15.75">
      <c r="A30" s="77">
        <v>2024</v>
      </c>
      <c r="B30" s="78" t="s">
        <v>468</v>
      </c>
      <c r="C30" s="79">
        <v>6100</v>
      </c>
      <c r="D30" s="79">
        <v>6900</v>
      </c>
      <c r="E30" s="79">
        <v>3100</v>
      </c>
      <c r="F30" s="79">
        <v>16300</v>
      </c>
      <c r="G30" s="79">
        <v>3700</v>
      </c>
      <c r="H30" s="79">
        <v>1700</v>
      </c>
      <c r="I30" s="79">
        <v>3500</v>
      </c>
      <c r="J30" s="79">
        <v>3800</v>
      </c>
      <c r="K30" s="80">
        <v>10900</v>
      </c>
    </row>
    <row r="31" spans="1:11" ht="15.75">
      <c r="A31" s="77">
        <v>2024</v>
      </c>
      <c r="B31" s="78" t="s">
        <v>469</v>
      </c>
      <c r="C31" s="79">
        <v>6100</v>
      </c>
      <c r="D31" s="79">
        <v>4800</v>
      </c>
      <c r="E31" s="79">
        <v>2400</v>
      </c>
      <c r="F31" s="79">
        <v>13200</v>
      </c>
      <c r="G31" s="79">
        <v>4800</v>
      </c>
      <c r="H31" s="79">
        <v>1600</v>
      </c>
      <c r="I31" s="79">
        <v>5100</v>
      </c>
      <c r="J31" s="79">
        <v>2600</v>
      </c>
      <c r="K31" s="80">
        <v>10400</v>
      </c>
    </row>
    <row r="32" spans="1:11" ht="15.75">
      <c r="A32" s="77">
        <v>2024</v>
      </c>
      <c r="B32" s="78" t="s">
        <v>470</v>
      </c>
      <c r="C32" s="79">
        <v>10100</v>
      </c>
      <c r="D32" s="79">
        <v>6500</v>
      </c>
      <c r="E32" s="79">
        <v>2200</v>
      </c>
      <c r="F32" s="79">
        <v>6400</v>
      </c>
      <c r="G32" s="79">
        <v>9600</v>
      </c>
      <c r="H32" s="79">
        <v>1600</v>
      </c>
      <c r="I32" s="79">
        <v>7000</v>
      </c>
      <c r="J32" s="79">
        <v>3300</v>
      </c>
      <c r="K32" s="80">
        <v>12700</v>
      </c>
    </row>
    <row r="33" spans="1:11" ht="15.75">
      <c r="A33" s="77">
        <v>2024</v>
      </c>
      <c r="B33" s="78" t="s">
        <v>471</v>
      </c>
      <c r="C33" s="79">
        <v>6900</v>
      </c>
      <c r="D33" s="79">
        <v>5900</v>
      </c>
      <c r="E33" s="79">
        <v>2900</v>
      </c>
      <c r="F33" s="79">
        <v>5900</v>
      </c>
      <c r="G33" s="79">
        <v>15500</v>
      </c>
      <c r="H33" s="79">
        <v>1400</v>
      </c>
      <c r="I33" s="79">
        <v>6100</v>
      </c>
      <c r="J33" s="79">
        <v>2400</v>
      </c>
      <c r="K33" s="80">
        <v>6900</v>
      </c>
    </row>
    <row r="34" spans="1:11" ht="15.75">
      <c r="A34" s="77">
        <v>2024</v>
      </c>
      <c r="B34" s="78" t="s">
        <v>472</v>
      </c>
      <c r="C34" s="79">
        <v>5600</v>
      </c>
      <c r="D34" s="79">
        <v>5200</v>
      </c>
      <c r="E34" s="79">
        <v>2800</v>
      </c>
      <c r="F34" s="79">
        <v>4800</v>
      </c>
      <c r="G34" s="79">
        <v>28200</v>
      </c>
      <c r="H34" s="79">
        <v>1400</v>
      </c>
      <c r="I34" s="79">
        <v>3000</v>
      </c>
      <c r="J34" s="79">
        <v>1500</v>
      </c>
      <c r="K34" s="80">
        <v>5100</v>
      </c>
    </row>
    <row r="35" spans="1:11" ht="15.75">
      <c r="A35" s="77">
        <v>2024</v>
      </c>
      <c r="B35" s="78" t="s">
        <v>473</v>
      </c>
      <c r="C35" s="79">
        <v>6000</v>
      </c>
      <c r="D35" s="79">
        <v>5800</v>
      </c>
      <c r="E35" s="79">
        <v>2900</v>
      </c>
      <c r="F35" s="79">
        <v>5100</v>
      </c>
      <c r="G35" s="79">
        <v>69500</v>
      </c>
      <c r="H35" s="79">
        <v>2000</v>
      </c>
      <c r="I35" s="79">
        <v>1800</v>
      </c>
      <c r="J35" s="79">
        <v>1500</v>
      </c>
      <c r="K35" s="80">
        <v>5500</v>
      </c>
    </row>
    <row r="36" spans="1:11" ht="15.75">
      <c r="A36" s="77">
        <v>2024</v>
      </c>
      <c r="B36" s="78" t="s">
        <v>474</v>
      </c>
      <c r="C36" s="79">
        <v>5100</v>
      </c>
      <c r="D36" s="79">
        <v>4400</v>
      </c>
      <c r="E36" s="79">
        <v>2300</v>
      </c>
      <c r="F36" s="79">
        <v>4300</v>
      </c>
      <c r="G36" s="79">
        <v>121900</v>
      </c>
      <c r="H36" s="79">
        <v>2400</v>
      </c>
      <c r="I36" s="79">
        <v>1700</v>
      </c>
      <c r="J36" s="79">
        <v>1400</v>
      </c>
      <c r="K36" s="80">
        <v>5300</v>
      </c>
    </row>
    <row r="37" spans="1:11" ht="15.75">
      <c r="A37" s="77">
        <v>2024</v>
      </c>
      <c r="B37" s="78" t="s">
        <v>475</v>
      </c>
      <c r="C37" s="79">
        <v>4200</v>
      </c>
      <c r="D37" s="79">
        <v>3800</v>
      </c>
      <c r="E37" s="79">
        <v>2100</v>
      </c>
      <c r="F37" s="79">
        <v>4100</v>
      </c>
      <c r="G37" s="79">
        <v>72000</v>
      </c>
      <c r="H37" s="79">
        <v>2300</v>
      </c>
      <c r="I37" s="79">
        <v>1300</v>
      </c>
      <c r="J37" s="79">
        <v>2000</v>
      </c>
      <c r="K37" s="80">
        <v>5500</v>
      </c>
    </row>
    <row r="38" spans="1:11" ht="15.75">
      <c r="A38" s="77">
        <v>2024</v>
      </c>
      <c r="B38" s="78" t="s">
        <v>476</v>
      </c>
      <c r="C38" s="79">
        <v>4700</v>
      </c>
      <c r="D38" s="79">
        <v>4000</v>
      </c>
      <c r="E38" s="79">
        <v>2200</v>
      </c>
      <c r="F38" s="79">
        <v>4200</v>
      </c>
      <c r="G38" s="79">
        <v>8900</v>
      </c>
      <c r="H38" s="79">
        <v>1300</v>
      </c>
      <c r="I38" s="79">
        <v>1600</v>
      </c>
      <c r="J38" s="79">
        <v>1800</v>
      </c>
      <c r="K38" s="80">
        <v>6300</v>
      </c>
    </row>
    <row r="39" spans="1:11" ht="15.75">
      <c r="A39" s="77">
        <v>2024</v>
      </c>
      <c r="B39" s="78" t="s">
        <v>477</v>
      </c>
      <c r="C39" s="79">
        <v>4100</v>
      </c>
      <c r="D39" s="79">
        <v>3600</v>
      </c>
      <c r="E39" s="79">
        <v>1900</v>
      </c>
      <c r="F39" s="79">
        <v>3800</v>
      </c>
      <c r="G39" s="79">
        <v>13100</v>
      </c>
      <c r="H39" s="79">
        <v>1300</v>
      </c>
      <c r="I39" s="79">
        <v>1000</v>
      </c>
      <c r="J39" s="79">
        <v>1400</v>
      </c>
      <c r="K39" s="80">
        <v>6200</v>
      </c>
    </row>
    <row r="40" spans="1:11" ht="15.75">
      <c r="A40" s="77">
        <v>2024</v>
      </c>
      <c r="B40" s="78" t="s">
        <v>478</v>
      </c>
      <c r="C40" s="79">
        <v>4200</v>
      </c>
      <c r="D40" s="79">
        <v>3700</v>
      </c>
      <c r="E40" s="79">
        <v>2000</v>
      </c>
      <c r="F40" s="79">
        <v>3900</v>
      </c>
      <c r="G40" s="79">
        <v>35200</v>
      </c>
      <c r="H40" s="79">
        <v>2200</v>
      </c>
      <c r="I40" s="79">
        <v>2400</v>
      </c>
      <c r="J40" s="79">
        <v>1300</v>
      </c>
      <c r="K40" s="80">
        <v>6900</v>
      </c>
    </row>
    <row r="41" spans="1:11" ht="15.75">
      <c r="A41" s="77">
        <v>2025</v>
      </c>
      <c r="B41" s="78" t="s">
        <v>467</v>
      </c>
      <c r="C41" s="79">
        <v>4000</v>
      </c>
      <c r="D41" s="79">
        <v>3800</v>
      </c>
      <c r="E41" s="79">
        <v>1900</v>
      </c>
      <c r="F41" s="79">
        <v>4000</v>
      </c>
      <c r="G41" s="79">
        <v>28700</v>
      </c>
      <c r="H41" s="79">
        <v>2300</v>
      </c>
      <c r="I41" s="79">
        <v>2600</v>
      </c>
      <c r="J41" s="79">
        <v>1900</v>
      </c>
      <c r="K41" s="80">
        <v>6100</v>
      </c>
    </row>
    <row r="42" spans="1:11" ht="15.75">
      <c r="A42" s="77">
        <v>2025</v>
      </c>
      <c r="B42" s="78" t="s">
        <v>468</v>
      </c>
      <c r="C42" s="79">
        <v>3500</v>
      </c>
      <c r="D42" s="79">
        <v>3700</v>
      </c>
      <c r="E42" s="79">
        <v>1700</v>
      </c>
      <c r="F42" s="79">
        <v>3700</v>
      </c>
      <c r="G42" s="79">
        <v>6500</v>
      </c>
      <c r="H42" s="79">
        <v>1000</v>
      </c>
      <c r="I42" s="79">
        <v>3200</v>
      </c>
      <c r="J42" s="79">
        <v>1900</v>
      </c>
      <c r="K42" s="80">
        <v>6600</v>
      </c>
    </row>
    <row r="43" spans="1:11" ht="15.75">
      <c r="A43" s="77">
        <v>2025</v>
      </c>
      <c r="B43" s="78" t="s">
        <v>469</v>
      </c>
      <c r="C43" s="79">
        <v>3400</v>
      </c>
      <c r="D43" s="79">
        <v>3800</v>
      </c>
      <c r="E43" s="79">
        <v>1700</v>
      </c>
      <c r="F43" s="79">
        <v>3900</v>
      </c>
      <c r="G43" s="79">
        <v>7900</v>
      </c>
      <c r="H43" s="79">
        <v>900</v>
      </c>
      <c r="I43" s="79">
        <v>4100</v>
      </c>
      <c r="J43" s="79">
        <v>2200</v>
      </c>
      <c r="K43" s="80">
        <v>6900</v>
      </c>
    </row>
    <row r="44" spans="1:11" ht="15.75">
      <c r="A44" s="77">
        <v>2025</v>
      </c>
      <c r="B44" s="78" t="s">
        <v>470</v>
      </c>
      <c r="C44" s="79">
        <v>3500</v>
      </c>
      <c r="D44" s="79">
        <v>4000</v>
      </c>
      <c r="E44" s="79">
        <v>1700</v>
      </c>
      <c r="F44" s="79">
        <v>4100</v>
      </c>
      <c r="G44" s="79">
        <v>14800</v>
      </c>
      <c r="H44" s="79">
        <v>1000</v>
      </c>
      <c r="I44" s="79">
        <v>10400</v>
      </c>
      <c r="J44" s="79">
        <v>2800</v>
      </c>
      <c r="K44" s="80">
        <v>7100</v>
      </c>
    </row>
    <row r="45" spans="1:11" ht="15.75">
      <c r="A45" s="77">
        <v>2025</v>
      </c>
      <c r="B45" s="78" t="s">
        <v>471</v>
      </c>
      <c r="C45" s="79">
        <v>3600</v>
      </c>
      <c r="D45" s="79">
        <v>4300</v>
      </c>
      <c r="E45" s="79">
        <v>1900</v>
      </c>
      <c r="F45" s="79">
        <v>4500</v>
      </c>
      <c r="G45" s="79">
        <v>18500</v>
      </c>
      <c r="H45" s="79">
        <v>1100</v>
      </c>
      <c r="I45" s="79">
        <v>6000</v>
      </c>
      <c r="J45" s="79">
        <v>2500</v>
      </c>
      <c r="K45" s="80">
        <v>7400</v>
      </c>
    </row>
    <row r="46" spans="1:11" ht="15.75">
      <c r="A46" s="77">
        <v>2025</v>
      </c>
      <c r="B46" s="78" t="s">
        <v>472</v>
      </c>
      <c r="C46" s="79">
        <v>3800</v>
      </c>
      <c r="D46" s="79">
        <v>4200</v>
      </c>
      <c r="E46" s="79">
        <v>1900</v>
      </c>
      <c r="F46" s="79">
        <v>4300</v>
      </c>
      <c r="G46" s="79">
        <v>27900</v>
      </c>
      <c r="H46" s="79">
        <v>1600</v>
      </c>
      <c r="I46" s="79">
        <v>2500</v>
      </c>
      <c r="J46" s="79">
        <v>1500</v>
      </c>
      <c r="K46" s="80">
        <v>7000</v>
      </c>
    </row>
    <row r="47" spans="1:11" ht="15.75">
      <c r="A47" s="77">
        <v>2025</v>
      </c>
      <c r="B47" s="78" t="s">
        <v>473</v>
      </c>
      <c r="C47" s="79">
        <v>4900</v>
      </c>
      <c r="D47" s="79">
        <v>5300</v>
      </c>
      <c r="E47" s="79">
        <v>1500</v>
      </c>
      <c r="F47" s="79">
        <v>4900</v>
      </c>
      <c r="G47" s="79">
        <v>73500</v>
      </c>
      <c r="H47" s="79">
        <v>2800</v>
      </c>
      <c r="I47" s="79">
        <v>1800</v>
      </c>
      <c r="J47" s="79">
        <v>1500</v>
      </c>
      <c r="K47" s="80">
        <v>8100</v>
      </c>
    </row>
    <row r="48" spans="1:11" ht="15.75">
      <c r="A48" s="77">
        <v>2025</v>
      </c>
      <c r="B48" s="78" t="s">
        <v>474</v>
      </c>
      <c r="C48" s="79">
        <v>3400</v>
      </c>
      <c r="D48" s="79">
        <v>3600</v>
      </c>
      <c r="E48" s="79">
        <v>900</v>
      </c>
      <c r="F48" s="79">
        <v>3400</v>
      </c>
      <c r="G48" s="79">
        <v>120100</v>
      </c>
      <c r="H48" s="79">
        <v>4000</v>
      </c>
      <c r="I48" s="79">
        <v>1700</v>
      </c>
      <c r="J48" s="79">
        <v>1300</v>
      </c>
      <c r="K48" s="80">
        <v>6800</v>
      </c>
    </row>
    <row r="49" spans="1:11" ht="15.75">
      <c r="A49" s="77">
        <v>2025</v>
      </c>
      <c r="B49" s="78" t="s">
        <v>475</v>
      </c>
      <c r="C49" s="79">
        <v>2700</v>
      </c>
      <c r="D49" s="79">
        <v>3400</v>
      </c>
      <c r="E49" s="79">
        <v>700</v>
      </c>
      <c r="F49" s="79">
        <v>3200</v>
      </c>
      <c r="G49" s="79">
        <v>79500</v>
      </c>
      <c r="H49" s="79">
        <v>3000</v>
      </c>
      <c r="I49" s="79">
        <v>1600</v>
      </c>
      <c r="J49" s="79">
        <v>1800</v>
      </c>
      <c r="K49" s="80">
        <v>8400</v>
      </c>
    </row>
    <row r="50" spans="1:11" ht="15.75">
      <c r="A50" s="77">
        <v>2025</v>
      </c>
      <c r="B50" s="78" t="s">
        <v>476</v>
      </c>
      <c r="C50" s="79">
        <v>2400</v>
      </c>
      <c r="D50" s="79">
        <v>3000</v>
      </c>
      <c r="E50" s="79">
        <v>600</v>
      </c>
      <c r="F50" s="79">
        <v>3000</v>
      </c>
      <c r="G50" s="79">
        <v>8300</v>
      </c>
      <c r="H50" s="79">
        <v>1200</v>
      </c>
      <c r="I50" s="79">
        <v>1500</v>
      </c>
      <c r="J50" s="79">
        <v>2000</v>
      </c>
      <c r="K50" s="80">
        <v>6400</v>
      </c>
    </row>
    <row r="51" spans="1:11" ht="15.75">
      <c r="A51" s="77">
        <v>2025</v>
      </c>
      <c r="B51" s="78" t="s">
        <v>477</v>
      </c>
      <c r="C51" s="79">
        <v>2000</v>
      </c>
      <c r="D51" s="79">
        <v>3100</v>
      </c>
      <c r="E51" s="79">
        <v>600</v>
      </c>
      <c r="F51" s="79">
        <v>2900</v>
      </c>
      <c r="G51" s="79">
        <v>11300</v>
      </c>
      <c r="H51" s="79">
        <v>1100</v>
      </c>
      <c r="I51" s="79">
        <v>1300</v>
      </c>
      <c r="J51" s="79">
        <v>1300</v>
      </c>
      <c r="K51" s="80">
        <v>5100</v>
      </c>
    </row>
    <row r="52" spans="1:11" ht="15.75">
      <c r="A52" s="81">
        <v>2025</v>
      </c>
      <c r="B52" s="82" t="s">
        <v>478</v>
      </c>
      <c r="C52" s="83">
        <v>2500</v>
      </c>
      <c r="D52" s="83">
        <v>3600</v>
      </c>
      <c r="E52" s="83">
        <v>900</v>
      </c>
      <c r="F52" s="83">
        <v>3100</v>
      </c>
      <c r="G52" s="83">
        <v>29300</v>
      </c>
      <c r="H52" s="83">
        <v>1600</v>
      </c>
      <c r="I52" s="83">
        <v>2800</v>
      </c>
      <c r="J52" s="83">
        <v>1300</v>
      </c>
      <c r="K52" s="84">
        <v>5300</v>
      </c>
    </row>
    <row r="54" spans="1:11">
      <c r="A54" s="72">
        <v>2024</v>
      </c>
      <c r="B54" s="72" t="s">
        <v>488</v>
      </c>
      <c r="C54" s="85">
        <f>SUM(C29:C34)</f>
        <v>41700</v>
      </c>
      <c r="D54" s="85">
        <f t="shared" ref="D54:K54" si="0">SUM(D29:D34)</f>
        <v>37400</v>
      </c>
      <c r="E54" s="85">
        <f t="shared" si="0"/>
        <v>18100</v>
      </c>
      <c r="F54" s="85">
        <f t="shared" si="0"/>
        <v>66400</v>
      </c>
      <c r="G54" s="85">
        <f t="shared" si="0"/>
        <v>87300</v>
      </c>
      <c r="H54" s="85">
        <f t="shared" si="0"/>
        <v>11100</v>
      </c>
      <c r="I54" s="85">
        <f t="shared" si="0"/>
        <v>26800</v>
      </c>
      <c r="J54" s="85">
        <f t="shared" si="0"/>
        <v>15600</v>
      </c>
      <c r="K54" s="85">
        <f t="shared" si="0"/>
        <v>56200</v>
      </c>
    </row>
    <row r="55" spans="1:11">
      <c r="A55" s="72">
        <v>2024</v>
      </c>
      <c r="B55" s="72" t="s">
        <v>481</v>
      </c>
      <c r="C55" s="85">
        <f>SUM(C35:C40)</f>
        <v>28300</v>
      </c>
      <c r="D55" s="85">
        <f t="shared" ref="D55:K55" si="1">SUM(D35:D40)</f>
        <v>25300</v>
      </c>
      <c r="E55" s="85">
        <f t="shared" si="1"/>
        <v>13400</v>
      </c>
      <c r="F55" s="85">
        <f t="shared" si="1"/>
        <v>25400</v>
      </c>
      <c r="G55" s="85">
        <f t="shared" si="1"/>
        <v>320600</v>
      </c>
      <c r="H55" s="85">
        <f t="shared" si="1"/>
        <v>11500</v>
      </c>
      <c r="I55" s="85">
        <f t="shared" si="1"/>
        <v>9800</v>
      </c>
      <c r="J55" s="85">
        <f t="shared" si="1"/>
        <v>9400</v>
      </c>
      <c r="K55" s="85">
        <f t="shared" si="1"/>
        <v>35700</v>
      </c>
    </row>
    <row r="56" spans="1:11">
      <c r="A56" s="72">
        <v>2025</v>
      </c>
      <c r="B56" s="72" t="s">
        <v>488</v>
      </c>
      <c r="C56" s="85">
        <f>SUM(C41:C46)</f>
        <v>21800</v>
      </c>
      <c r="D56" s="85">
        <f t="shared" ref="D56:K56" si="2">SUM(D41:D46)</f>
        <v>23800</v>
      </c>
      <c r="E56" s="85">
        <f t="shared" si="2"/>
        <v>10800</v>
      </c>
      <c r="F56" s="85">
        <f t="shared" si="2"/>
        <v>24500</v>
      </c>
      <c r="G56" s="85">
        <f t="shared" si="2"/>
        <v>104300</v>
      </c>
      <c r="H56" s="85">
        <f t="shared" si="2"/>
        <v>7900</v>
      </c>
      <c r="I56" s="85">
        <f t="shared" si="2"/>
        <v>28800</v>
      </c>
      <c r="J56" s="85">
        <f t="shared" si="2"/>
        <v>12800</v>
      </c>
      <c r="K56" s="85">
        <f t="shared" si="2"/>
        <v>41100</v>
      </c>
    </row>
    <row r="57" spans="1:11">
      <c r="A57" s="72">
        <v>2025</v>
      </c>
      <c r="B57" s="72" t="s">
        <v>481</v>
      </c>
      <c r="C57" s="85">
        <f>SUM(C47:C52)</f>
        <v>17900</v>
      </c>
      <c r="D57" s="85">
        <f t="shared" ref="D57:K57" si="3">SUM(D47:D52)</f>
        <v>22000</v>
      </c>
      <c r="E57" s="85">
        <f t="shared" si="3"/>
        <v>5200</v>
      </c>
      <c r="F57" s="85">
        <f t="shared" si="3"/>
        <v>20500</v>
      </c>
      <c r="G57" s="85">
        <f t="shared" si="3"/>
        <v>322000</v>
      </c>
      <c r="H57" s="85">
        <f t="shared" si="3"/>
        <v>13700</v>
      </c>
      <c r="I57" s="85">
        <f t="shared" si="3"/>
        <v>10700</v>
      </c>
      <c r="J57" s="85">
        <f t="shared" si="3"/>
        <v>9200</v>
      </c>
      <c r="K57" s="85">
        <f t="shared" si="3"/>
        <v>40100</v>
      </c>
    </row>
    <row r="58" spans="1:11">
      <c r="B58" s="72" t="s">
        <v>490</v>
      </c>
      <c r="C58" s="86">
        <f>100*((C56/C54)-1)</f>
        <v>-47.721822541966432</v>
      </c>
      <c r="D58" s="86">
        <f t="shared" ref="D58:K58" si="4">100*((D56/D54)-1)</f>
        <v>-36.363636363636367</v>
      </c>
      <c r="E58" s="86">
        <f t="shared" si="4"/>
        <v>-40.331491712707177</v>
      </c>
      <c r="F58" s="86">
        <f t="shared" si="4"/>
        <v>-63.102409638554221</v>
      </c>
      <c r="G58" s="86">
        <f t="shared" si="4"/>
        <v>19.47308132875143</v>
      </c>
      <c r="H58" s="86">
        <f t="shared" si="4"/>
        <v>-28.828828828828833</v>
      </c>
      <c r="I58" s="86">
        <f t="shared" si="4"/>
        <v>7.4626865671641784</v>
      </c>
      <c r="J58" s="86">
        <f t="shared" si="4"/>
        <v>-17.948717948717952</v>
      </c>
      <c r="K58" s="86">
        <f t="shared" si="4"/>
        <v>-26.868327402135229</v>
      </c>
    </row>
    <row r="59" spans="1:11">
      <c r="B59" s="72" t="s">
        <v>489</v>
      </c>
      <c r="C59" s="86">
        <f>100*((C57/C55)-1)</f>
        <v>-36.749116607773843</v>
      </c>
      <c r="D59" s="86">
        <f t="shared" ref="D59:K59" si="5">100*((D57/D55)-1)</f>
        <v>-13.043478260869568</v>
      </c>
      <c r="E59" s="86">
        <f t="shared" si="5"/>
        <v>-61.194029850746269</v>
      </c>
      <c r="F59" s="86">
        <f t="shared" si="5"/>
        <v>-19.291338582677163</v>
      </c>
      <c r="G59" s="86">
        <f t="shared" si="5"/>
        <v>0.4366812227074135</v>
      </c>
      <c r="H59" s="86">
        <f t="shared" si="5"/>
        <v>19.130434782608695</v>
      </c>
      <c r="I59" s="86">
        <f t="shared" si="5"/>
        <v>9.1836734693877542</v>
      </c>
      <c r="J59" s="86">
        <f t="shared" si="5"/>
        <v>-2.1276595744680882</v>
      </c>
      <c r="K59" s="86">
        <f t="shared" si="5"/>
        <v>12.324929971988796</v>
      </c>
    </row>
    <row r="61" spans="1:11">
      <c r="A61" s="72">
        <v>2025</v>
      </c>
      <c r="B61" s="72" t="s">
        <v>482</v>
      </c>
      <c r="C61" s="85">
        <f>SUM(C44:C46)</f>
        <v>10900</v>
      </c>
      <c r="D61" s="85">
        <f t="shared" ref="D61:K61" si="6">SUM(D44:D46)</f>
        <v>12500</v>
      </c>
      <c r="E61" s="85">
        <f t="shared" si="6"/>
        <v>5500</v>
      </c>
      <c r="F61" s="85">
        <f t="shared" si="6"/>
        <v>12900</v>
      </c>
      <c r="G61" s="85">
        <f t="shared" si="6"/>
        <v>61200</v>
      </c>
      <c r="H61" s="85">
        <f t="shared" si="6"/>
        <v>3700</v>
      </c>
      <c r="I61" s="85">
        <f t="shared" si="6"/>
        <v>18900</v>
      </c>
      <c r="J61" s="85">
        <f t="shared" si="6"/>
        <v>6800</v>
      </c>
      <c r="K61" s="85">
        <f t="shared" si="6"/>
        <v>21500</v>
      </c>
    </row>
    <row r="62" spans="1:11">
      <c r="A62" s="72">
        <v>2025</v>
      </c>
      <c r="B62" s="72" t="s">
        <v>480</v>
      </c>
      <c r="C62" s="85">
        <f>SUM(C50:C52)</f>
        <v>6900</v>
      </c>
      <c r="D62" s="85">
        <f t="shared" ref="D62:K62" si="7">SUM(D50:D52)</f>
        <v>9700</v>
      </c>
      <c r="E62" s="85">
        <f t="shared" si="7"/>
        <v>2100</v>
      </c>
      <c r="F62" s="85">
        <f t="shared" si="7"/>
        <v>9000</v>
      </c>
      <c r="G62" s="85">
        <f t="shared" si="7"/>
        <v>48900</v>
      </c>
      <c r="H62" s="85">
        <f t="shared" si="7"/>
        <v>3900</v>
      </c>
      <c r="I62" s="85">
        <f t="shared" si="7"/>
        <v>5600</v>
      </c>
      <c r="J62" s="85">
        <f t="shared" si="7"/>
        <v>4600</v>
      </c>
      <c r="K62" s="85">
        <f t="shared" si="7"/>
        <v>16800</v>
      </c>
    </row>
    <row r="63" spans="1:11">
      <c r="C63" s="86">
        <f>100*((C62/C61)-1)</f>
        <v>-36.697247706422019</v>
      </c>
      <c r="D63" s="86">
        <f t="shared" ref="D63" si="8">100*((D62/D61)-1)</f>
        <v>-22.4</v>
      </c>
      <c r="E63" s="86">
        <f t="shared" ref="E63" si="9">100*((E62/E61)-1)</f>
        <v>-61.818181818181813</v>
      </c>
      <c r="F63" s="86">
        <f t="shared" ref="F63" si="10">100*((F62/F61)-1)</f>
        <v>-30.232558139534881</v>
      </c>
      <c r="G63" s="86">
        <f t="shared" ref="G63" si="11">100*((G62/G61)-1)</f>
        <v>-20.098039215686271</v>
      </c>
      <c r="H63" s="86">
        <f t="shared" ref="H63" si="12">100*((H62/H61)-1)</f>
        <v>5.4054054054053946</v>
      </c>
      <c r="I63" s="86">
        <f t="shared" ref="I63" si="13">100*((I62/I61)-1)</f>
        <v>-70.370370370370367</v>
      </c>
      <c r="J63" s="86">
        <f t="shared" ref="J63" si="14">100*((J62/J61)-1)</f>
        <v>-32.352941176470587</v>
      </c>
      <c r="K63" s="86">
        <f t="shared" ref="K63" si="15">100*((K62/K61)-1)</f>
        <v>-21.86046511627907</v>
      </c>
    </row>
    <row r="65" spans="1:4">
      <c r="C65" s="72" t="s">
        <v>483</v>
      </c>
      <c r="D65" s="72" t="s">
        <v>484</v>
      </c>
    </row>
    <row r="66" spans="1:4">
      <c r="A66" s="72">
        <v>2025</v>
      </c>
      <c r="B66" s="72" t="s">
        <v>482</v>
      </c>
      <c r="C66" s="85">
        <f>C61+E61</f>
        <v>16400</v>
      </c>
      <c r="D66" s="85">
        <f>D61+F61</f>
        <v>25400</v>
      </c>
    </row>
    <row r="67" spans="1:4">
      <c r="A67" s="72">
        <v>2025</v>
      </c>
      <c r="B67" s="72" t="s">
        <v>480</v>
      </c>
      <c r="C67" s="85">
        <f>C62+E62</f>
        <v>9000</v>
      </c>
      <c r="D67" s="85">
        <f>D62+F62</f>
        <v>18700</v>
      </c>
    </row>
    <row r="68" spans="1:4">
      <c r="C68" s="86">
        <f>100*((C67/C66)-1)</f>
        <v>-45.121951219512191</v>
      </c>
      <c r="D68" s="86">
        <f>100*((D67/D66)-1)</f>
        <v>-26.377952755905511</v>
      </c>
    </row>
  </sheetData>
  <pageMargins left="0.70000000000000007" right="0.70000000000000007" top="0.75" bottom="0.75" header="0.30000000000000004" footer="0.30000000000000004"/>
  <pageSetup paperSize="0" fitToWidth="0" fitToHeight="0" orientation="portrait" horizontalDpi="0" verticalDpi="0" copies="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4BDB3-060D-4573-BC3E-B2EBDF3965B5}">
  <sheetPr>
    <pageSetUpPr fitToPage="1"/>
  </sheetPr>
  <dimension ref="A1:N166"/>
  <sheetViews>
    <sheetView zoomScaleNormal="100" workbookViewId="0">
      <pane xSplit="2" ySplit="6" topLeftCell="D100" activePane="bottomRight" state="frozen"/>
      <selection pane="topRight" activeCell="C1" sqref="C1"/>
      <selection pane="bottomLeft" activeCell="A7" sqref="A7"/>
      <selection pane="bottomRight" activeCell="D113" sqref="D113"/>
    </sheetView>
  </sheetViews>
  <sheetFormatPr defaultColWidth="8.7109375" defaultRowHeight="15"/>
  <cols>
    <col min="1" max="4" width="25.7109375" style="3" customWidth="1"/>
    <col min="5" max="5" width="25.7109375" style="4" customWidth="1"/>
    <col min="6" max="6" width="25.7109375" style="3" customWidth="1"/>
    <col min="7" max="7" width="8.7109375" style="3"/>
    <col min="8" max="9" width="9.85546875" style="3" customWidth="1"/>
    <col min="10" max="16384" width="8.7109375" style="3"/>
  </cols>
  <sheetData>
    <row r="1" spans="1:14" ht="18" customHeight="1">
      <c r="A1" s="1" t="s">
        <v>0</v>
      </c>
      <c r="B1" s="2"/>
    </row>
    <row r="2" spans="1:14" ht="36" customHeight="1">
      <c r="A2" s="1" t="s">
        <v>1</v>
      </c>
      <c r="B2" s="2"/>
    </row>
    <row r="3" spans="1:14" ht="15.75">
      <c r="A3" s="5" t="s">
        <v>2</v>
      </c>
      <c r="B3" s="2"/>
    </row>
    <row r="4" spans="1:14" ht="15.75">
      <c r="A4" s="5" t="s">
        <v>3</v>
      </c>
      <c r="B4" s="2"/>
    </row>
    <row r="5" spans="1:14" ht="30" customHeight="1">
      <c r="A5" s="5" t="s">
        <v>4</v>
      </c>
      <c r="B5" s="2"/>
    </row>
    <row r="6" spans="1:14" ht="30" customHeight="1">
      <c r="A6" s="6" t="s">
        <v>5</v>
      </c>
      <c r="B6" s="6" t="s">
        <v>6</v>
      </c>
      <c r="C6" s="7" t="s">
        <v>7</v>
      </c>
      <c r="D6" s="7" t="s">
        <v>8</v>
      </c>
      <c r="E6" s="7" t="s">
        <v>9</v>
      </c>
      <c r="F6" s="7" t="s">
        <v>10</v>
      </c>
      <c r="L6" s="3" t="s">
        <v>446</v>
      </c>
      <c r="M6" s="3" t="s">
        <v>447</v>
      </c>
      <c r="N6" s="3" t="s">
        <v>492</v>
      </c>
    </row>
    <row r="7" spans="1:14" ht="15" customHeight="1">
      <c r="A7" s="8" t="s">
        <v>11</v>
      </c>
      <c r="B7" s="9" t="s">
        <v>12</v>
      </c>
      <c r="C7" s="10">
        <v>639000</v>
      </c>
      <c r="D7" s="10">
        <v>74000</v>
      </c>
      <c r="E7" s="10">
        <v>327000</v>
      </c>
      <c r="F7" s="10">
        <v>238000</v>
      </c>
      <c r="L7" s="3">
        <v>2012</v>
      </c>
    </row>
    <row r="8" spans="1:14" ht="15" customHeight="1">
      <c r="A8" s="8" t="s">
        <v>11</v>
      </c>
      <c r="B8" s="9" t="s">
        <v>13</v>
      </c>
      <c r="C8" s="10">
        <v>630000</v>
      </c>
      <c r="D8" s="10">
        <v>76000</v>
      </c>
      <c r="E8" s="10">
        <v>322000</v>
      </c>
      <c r="F8" s="10">
        <v>232000</v>
      </c>
    </row>
    <row r="9" spans="1:14" ht="15" customHeight="1">
      <c r="A9" s="8" t="s">
        <v>11</v>
      </c>
      <c r="B9" s="9" t="s">
        <v>14</v>
      </c>
      <c r="C9" s="10">
        <v>643000</v>
      </c>
      <c r="D9" s="10">
        <v>79000</v>
      </c>
      <c r="E9" s="10">
        <v>334000</v>
      </c>
      <c r="F9" s="10">
        <v>230000</v>
      </c>
    </row>
    <row r="10" spans="1:14" ht="15" customHeight="1">
      <c r="A10" s="8" t="s">
        <v>11</v>
      </c>
      <c r="B10" s="9" t="s">
        <v>15</v>
      </c>
      <c r="C10" s="10">
        <v>649000</v>
      </c>
      <c r="D10" s="10">
        <v>75000</v>
      </c>
      <c r="E10" s="10">
        <v>350000</v>
      </c>
      <c r="F10" s="10">
        <v>224000</v>
      </c>
    </row>
    <row r="11" spans="1:14" ht="15" customHeight="1">
      <c r="A11" s="8" t="s">
        <v>11</v>
      </c>
      <c r="B11" s="9" t="s">
        <v>16</v>
      </c>
      <c r="C11" s="10">
        <v>669000</v>
      </c>
      <c r="D11" s="10">
        <v>75000</v>
      </c>
      <c r="E11" s="10">
        <v>373000</v>
      </c>
      <c r="F11" s="10">
        <v>222000</v>
      </c>
      <c r="L11" s="3">
        <v>2013</v>
      </c>
    </row>
    <row r="12" spans="1:14" ht="15" customHeight="1">
      <c r="A12" s="8" t="s">
        <v>11</v>
      </c>
      <c r="B12" s="9" t="s">
        <v>17</v>
      </c>
      <c r="C12" s="10">
        <v>720000</v>
      </c>
      <c r="D12" s="10">
        <v>78000</v>
      </c>
      <c r="E12" s="10">
        <v>410000</v>
      </c>
      <c r="F12" s="10">
        <v>233000</v>
      </c>
    </row>
    <row r="13" spans="1:14" ht="15" customHeight="1">
      <c r="A13" s="8" t="s">
        <v>11</v>
      </c>
      <c r="B13" s="9" t="s">
        <v>18</v>
      </c>
      <c r="C13" s="10">
        <v>713000</v>
      </c>
      <c r="D13" s="10">
        <v>76000</v>
      </c>
      <c r="E13" s="10">
        <v>402000</v>
      </c>
      <c r="F13" s="10">
        <v>234000</v>
      </c>
    </row>
    <row r="14" spans="1:14" ht="15" customHeight="1">
      <c r="A14" s="8" t="s">
        <v>11</v>
      </c>
      <c r="B14" s="9" t="s">
        <v>19</v>
      </c>
      <c r="C14" s="10">
        <v>731000</v>
      </c>
      <c r="D14" s="10">
        <v>80000</v>
      </c>
      <c r="E14" s="10">
        <v>414000</v>
      </c>
      <c r="F14" s="10">
        <v>236000</v>
      </c>
    </row>
    <row r="15" spans="1:14" ht="15" customHeight="1">
      <c r="A15" s="8" t="s">
        <v>11</v>
      </c>
      <c r="B15" s="9" t="s">
        <v>20</v>
      </c>
      <c r="C15" s="10">
        <v>737000</v>
      </c>
      <c r="D15" s="10">
        <v>82000</v>
      </c>
      <c r="E15" s="10">
        <v>420000</v>
      </c>
      <c r="F15" s="10">
        <v>236000</v>
      </c>
      <c r="L15" s="3">
        <v>2014</v>
      </c>
    </row>
    <row r="16" spans="1:14" ht="15" customHeight="1">
      <c r="A16" s="8" t="s">
        <v>11</v>
      </c>
      <c r="B16" s="9" t="s">
        <v>21</v>
      </c>
      <c r="C16" s="10">
        <v>761000</v>
      </c>
      <c r="D16" s="10">
        <v>81000</v>
      </c>
      <c r="E16" s="10">
        <v>441000</v>
      </c>
      <c r="F16" s="10">
        <v>239000</v>
      </c>
    </row>
    <row r="17" spans="1:12" ht="15" customHeight="1">
      <c r="A17" s="8" t="s">
        <v>11</v>
      </c>
      <c r="B17" s="9" t="s">
        <v>22</v>
      </c>
      <c r="C17" s="10">
        <v>778000</v>
      </c>
      <c r="D17" s="10">
        <v>81000</v>
      </c>
      <c r="E17" s="10">
        <v>457000</v>
      </c>
      <c r="F17" s="10">
        <v>241000</v>
      </c>
    </row>
    <row r="18" spans="1:12" ht="15" customHeight="1">
      <c r="A18" s="8" t="s">
        <v>11</v>
      </c>
      <c r="B18" s="9" t="s">
        <v>23</v>
      </c>
      <c r="C18" s="10">
        <v>780000</v>
      </c>
      <c r="D18" s="10">
        <v>83000</v>
      </c>
      <c r="E18" s="10">
        <v>457000</v>
      </c>
      <c r="F18" s="10">
        <v>240000</v>
      </c>
    </row>
    <row r="19" spans="1:12" ht="15" customHeight="1">
      <c r="A19" s="8" t="s">
        <v>11</v>
      </c>
      <c r="B19" s="9" t="s">
        <v>24</v>
      </c>
      <c r="C19" s="10">
        <v>778000</v>
      </c>
      <c r="D19" s="10">
        <v>83000</v>
      </c>
      <c r="E19" s="10">
        <v>454000</v>
      </c>
      <c r="F19" s="10">
        <v>241000</v>
      </c>
      <c r="L19" s="3">
        <v>2015</v>
      </c>
    </row>
    <row r="20" spans="1:12" ht="15" customHeight="1">
      <c r="A20" s="8" t="s">
        <v>11</v>
      </c>
      <c r="B20" s="9" t="s">
        <v>25</v>
      </c>
      <c r="C20" s="10">
        <v>774000</v>
      </c>
      <c r="D20" s="10">
        <v>81000</v>
      </c>
      <c r="E20" s="10">
        <v>453000</v>
      </c>
      <c r="F20" s="10">
        <v>240000</v>
      </c>
    </row>
    <row r="21" spans="1:12" ht="15" customHeight="1">
      <c r="A21" s="8" t="s">
        <v>11</v>
      </c>
      <c r="B21" s="9" t="s">
        <v>26</v>
      </c>
      <c r="C21" s="10">
        <v>797000</v>
      </c>
      <c r="D21" s="10">
        <v>78000</v>
      </c>
      <c r="E21" s="10">
        <v>481000</v>
      </c>
      <c r="F21" s="10">
        <v>238000</v>
      </c>
    </row>
    <row r="22" spans="1:12" ht="15" customHeight="1">
      <c r="A22" s="8" t="s">
        <v>11</v>
      </c>
      <c r="B22" s="9" t="s">
        <v>27</v>
      </c>
      <c r="C22" s="10">
        <v>803000</v>
      </c>
      <c r="D22" s="10">
        <v>78000</v>
      </c>
      <c r="E22" s="10">
        <v>490000</v>
      </c>
      <c r="F22" s="10">
        <v>235000</v>
      </c>
    </row>
    <row r="23" spans="1:12" ht="15" customHeight="1">
      <c r="A23" s="8" t="s">
        <v>11</v>
      </c>
      <c r="B23" s="9" t="s">
        <v>28</v>
      </c>
      <c r="C23" s="10">
        <v>832000</v>
      </c>
      <c r="D23" s="10">
        <v>74000</v>
      </c>
      <c r="E23" s="10">
        <v>521000</v>
      </c>
      <c r="F23" s="10">
        <v>237000</v>
      </c>
      <c r="L23" s="3">
        <v>2016</v>
      </c>
    </row>
    <row r="24" spans="1:12" ht="15" customHeight="1">
      <c r="A24" s="8" t="s">
        <v>11</v>
      </c>
      <c r="B24" s="9" t="s">
        <v>29</v>
      </c>
      <c r="C24" s="10">
        <v>804000</v>
      </c>
      <c r="D24" s="10">
        <v>70000</v>
      </c>
      <c r="E24" s="10">
        <v>496000</v>
      </c>
      <c r="F24" s="10">
        <v>238000</v>
      </c>
    </row>
    <row r="25" spans="1:12" ht="15" customHeight="1">
      <c r="A25" s="8" t="s">
        <v>11</v>
      </c>
      <c r="B25" s="9" t="s">
        <v>30</v>
      </c>
      <c r="C25" s="10">
        <v>772000</v>
      </c>
      <c r="D25" s="10">
        <v>70000</v>
      </c>
      <c r="E25" s="10">
        <v>465000</v>
      </c>
      <c r="F25" s="10">
        <v>237000</v>
      </c>
    </row>
    <row r="26" spans="1:12" ht="15" customHeight="1">
      <c r="A26" s="8" t="s">
        <v>11</v>
      </c>
      <c r="B26" s="9" t="s">
        <v>31</v>
      </c>
      <c r="C26" s="10">
        <v>759000</v>
      </c>
      <c r="D26" s="10">
        <v>72000</v>
      </c>
      <c r="E26" s="10">
        <v>447000</v>
      </c>
      <c r="F26" s="10">
        <v>239000</v>
      </c>
    </row>
    <row r="27" spans="1:12" ht="15" customHeight="1">
      <c r="A27" s="8" t="s">
        <v>11</v>
      </c>
      <c r="B27" s="9" t="s">
        <v>32</v>
      </c>
      <c r="C27" s="10">
        <v>718000</v>
      </c>
      <c r="D27" s="10">
        <v>78000</v>
      </c>
      <c r="E27" s="10">
        <v>399000</v>
      </c>
      <c r="F27" s="10">
        <v>241000</v>
      </c>
      <c r="L27" s="3">
        <v>2017</v>
      </c>
    </row>
    <row r="28" spans="1:12" ht="15" customHeight="1">
      <c r="A28" s="8" t="s">
        <v>11</v>
      </c>
      <c r="B28" s="9" t="s">
        <v>33</v>
      </c>
      <c r="C28" s="10">
        <v>754000</v>
      </c>
      <c r="D28" s="10">
        <v>78000</v>
      </c>
      <c r="E28" s="10">
        <v>425000</v>
      </c>
      <c r="F28" s="10">
        <v>251000</v>
      </c>
    </row>
    <row r="29" spans="1:12" ht="15" customHeight="1">
      <c r="A29" s="8" t="s">
        <v>11</v>
      </c>
      <c r="B29" s="9" t="s">
        <v>34</v>
      </c>
      <c r="C29" s="10">
        <v>752000</v>
      </c>
      <c r="D29" s="10">
        <v>84000</v>
      </c>
      <c r="E29" s="10">
        <v>411000</v>
      </c>
      <c r="F29" s="10">
        <v>257000</v>
      </c>
    </row>
    <row r="30" spans="1:12" ht="15" customHeight="1">
      <c r="A30" s="8" t="s">
        <v>11</v>
      </c>
      <c r="B30" s="9" t="s">
        <v>35</v>
      </c>
      <c r="C30" s="10">
        <v>736000</v>
      </c>
      <c r="D30" s="10">
        <v>76000</v>
      </c>
      <c r="E30" s="10">
        <v>399000</v>
      </c>
      <c r="F30" s="10">
        <v>261000</v>
      </c>
    </row>
    <row r="31" spans="1:12" ht="15" customHeight="1">
      <c r="A31" s="8" t="s">
        <v>11</v>
      </c>
      <c r="B31" s="9" t="s">
        <v>36</v>
      </c>
      <c r="C31" s="10">
        <v>757000</v>
      </c>
      <c r="D31" s="10">
        <v>81000</v>
      </c>
      <c r="E31" s="10">
        <v>407000</v>
      </c>
      <c r="F31" s="10">
        <v>269000</v>
      </c>
      <c r="L31" s="3">
        <v>2018</v>
      </c>
    </row>
    <row r="32" spans="1:12" ht="15" customHeight="1">
      <c r="A32" s="8" t="s">
        <v>11</v>
      </c>
      <c r="B32" s="9" t="s">
        <v>37</v>
      </c>
      <c r="C32" s="10">
        <v>766000</v>
      </c>
      <c r="D32" s="10">
        <v>85000</v>
      </c>
      <c r="E32" s="10">
        <v>397000</v>
      </c>
      <c r="F32" s="10">
        <v>284000</v>
      </c>
    </row>
    <row r="33" spans="1:12" ht="15" customHeight="1">
      <c r="A33" s="8" t="s">
        <v>11</v>
      </c>
      <c r="B33" s="9" t="s">
        <v>38</v>
      </c>
      <c r="C33" s="10">
        <v>825000</v>
      </c>
      <c r="D33" s="10">
        <v>74000</v>
      </c>
      <c r="E33" s="10">
        <v>421000</v>
      </c>
      <c r="F33" s="10">
        <v>330000</v>
      </c>
    </row>
    <row r="34" spans="1:12" ht="15" customHeight="1">
      <c r="A34" s="8" t="s">
        <v>11</v>
      </c>
      <c r="B34" s="9" t="s">
        <v>39</v>
      </c>
      <c r="C34" s="10">
        <v>849000</v>
      </c>
      <c r="D34" s="10">
        <v>74000</v>
      </c>
      <c r="E34" s="10">
        <v>429000</v>
      </c>
      <c r="F34" s="10">
        <v>346000</v>
      </c>
    </row>
    <row r="35" spans="1:12" ht="15" customHeight="1">
      <c r="A35" s="8" t="s">
        <v>11</v>
      </c>
      <c r="B35" s="9" t="s">
        <v>40</v>
      </c>
      <c r="C35" s="10">
        <v>821000</v>
      </c>
      <c r="D35" s="10">
        <v>61000</v>
      </c>
      <c r="E35" s="10">
        <v>413000</v>
      </c>
      <c r="F35" s="10">
        <v>347000</v>
      </c>
      <c r="L35" s="3">
        <v>2019</v>
      </c>
    </row>
    <row r="36" spans="1:12" ht="15" customHeight="1">
      <c r="A36" s="8" t="s">
        <v>11</v>
      </c>
      <c r="B36" s="9" t="s">
        <v>41</v>
      </c>
      <c r="C36" s="10">
        <v>793000</v>
      </c>
      <c r="D36" s="10">
        <v>66000</v>
      </c>
      <c r="E36" s="10">
        <v>376000</v>
      </c>
      <c r="F36" s="10">
        <v>351000</v>
      </c>
    </row>
    <row r="37" spans="1:12" ht="15" customHeight="1">
      <c r="A37" s="8" t="s">
        <v>11</v>
      </c>
      <c r="B37" s="9" t="s">
        <v>42</v>
      </c>
      <c r="C37" s="10">
        <v>788000</v>
      </c>
      <c r="D37" s="10">
        <v>71000</v>
      </c>
      <c r="E37" s="10">
        <v>349000</v>
      </c>
      <c r="F37" s="10">
        <v>368000</v>
      </c>
    </row>
    <row r="38" spans="1:12" ht="15" customHeight="1">
      <c r="A38" s="8" t="s">
        <v>11</v>
      </c>
      <c r="B38" s="9" t="s">
        <v>43</v>
      </c>
      <c r="C38" s="10">
        <v>815000</v>
      </c>
      <c r="D38" s="10">
        <v>80000</v>
      </c>
      <c r="E38" s="10">
        <v>347000</v>
      </c>
      <c r="F38" s="10">
        <v>388000</v>
      </c>
    </row>
    <row r="39" spans="1:12" ht="15" customHeight="1">
      <c r="A39" s="8" t="s">
        <v>11</v>
      </c>
      <c r="B39" s="9" t="s">
        <v>44</v>
      </c>
      <c r="C39" s="10">
        <v>736000</v>
      </c>
      <c r="D39" s="10">
        <v>72000</v>
      </c>
      <c r="E39" s="10">
        <v>333000</v>
      </c>
      <c r="F39" s="10">
        <v>331000</v>
      </c>
      <c r="L39" s="3">
        <v>2020</v>
      </c>
    </row>
    <row r="40" spans="1:12" ht="15" customHeight="1">
      <c r="A40" s="8" t="s">
        <v>11</v>
      </c>
      <c r="B40" s="9" t="s">
        <v>45</v>
      </c>
      <c r="C40" s="10">
        <v>606000</v>
      </c>
      <c r="D40" s="10">
        <v>53000</v>
      </c>
      <c r="E40" s="10">
        <v>293000</v>
      </c>
      <c r="F40" s="10">
        <v>260000</v>
      </c>
    </row>
    <row r="41" spans="1:12" ht="15" customHeight="1">
      <c r="A41" s="8" t="s">
        <v>11</v>
      </c>
      <c r="B41" s="9" t="s">
        <v>46</v>
      </c>
      <c r="C41" s="10">
        <v>662000</v>
      </c>
      <c r="D41" s="10">
        <v>52000</v>
      </c>
      <c r="E41" s="10">
        <v>316000</v>
      </c>
      <c r="F41" s="10">
        <v>294000</v>
      </c>
    </row>
    <row r="42" spans="1:12" ht="15" customHeight="1">
      <c r="A42" s="8" t="s">
        <v>11</v>
      </c>
      <c r="B42" s="9" t="s">
        <v>47</v>
      </c>
      <c r="C42" s="10">
        <v>629000</v>
      </c>
      <c r="D42" s="10">
        <v>44000</v>
      </c>
      <c r="E42" s="10">
        <v>287000</v>
      </c>
      <c r="F42" s="10">
        <v>297000</v>
      </c>
    </row>
    <row r="43" spans="1:12" ht="15" customHeight="1">
      <c r="A43" s="8" t="s">
        <v>11</v>
      </c>
      <c r="B43" s="9" t="s">
        <v>48</v>
      </c>
      <c r="C43" s="10">
        <v>818000</v>
      </c>
      <c r="D43" s="10">
        <v>176000</v>
      </c>
      <c r="E43" s="10">
        <v>280000</v>
      </c>
      <c r="F43" s="10">
        <v>363000</v>
      </c>
      <c r="L43" s="3">
        <v>2021</v>
      </c>
    </row>
    <row r="44" spans="1:12" ht="15" customHeight="1">
      <c r="A44" s="8" t="s">
        <v>11</v>
      </c>
      <c r="B44" s="9" t="s">
        <v>49</v>
      </c>
      <c r="C44" s="10">
        <v>937000</v>
      </c>
      <c r="D44" s="10">
        <v>170000</v>
      </c>
      <c r="E44" s="10">
        <v>236000</v>
      </c>
      <c r="F44" s="10">
        <v>531000</v>
      </c>
    </row>
    <row r="45" spans="1:12" ht="15" customHeight="1">
      <c r="A45" s="8" t="s">
        <v>11</v>
      </c>
      <c r="B45" s="9" t="s">
        <v>50</v>
      </c>
      <c r="C45" s="10">
        <v>947000</v>
      </c>
      <c r="D45" s="10">
        <v>164000</v>
      </c>
      <c r="E45" s="10">
        <v>173000</v>
      </c>
      <c r="F45" s="10">
        <v>610000</v>
      </c>
    </row>
    <row r="46" spans="1:12" ht="15" customHeight="1">
      <c r="A46" s="8" t="s">
        <v>11</v>
      </c>
      <c r="B46" s="9" t="s">
        <v>51</v>
      </c>
      <c r="C46" s="10">
        <v>1069000</v>
      </c>
      <c r="D46" s="10">
        <v>167000</v>
      </c>
      <c r="E46" s="10">
        <v>184000</v>
      </c>
      <c r="F46" s="10">
        <v>719000</v>
      </c>
    </row>
    <row r="47" spans="1:12" ht="15" customHeight="1">
      <c r="A47" s="8" t="s">
        <v>11</v>
      </c>
      <c r="B47" s="9" t="s">
        <v>52</v>
      </c>
      <c r="C47" s="10">
        <v>1167000</v>
      </c>
      <c r="D47" s="10">
        <v>172000</v>
      </c>
      <c r="E47" s="10">
        <v>157000</v>
      </c>
      <c r="F47" s="10">
        <v>838000</v>
      </c>
      <c r="L47" s="3">
        <v>2022</v>
      </c>
    </row>
    <row r="48" spans="1:12" ht="15" customHeight="1">
      <c r="A48" s="8" t="s">
        <v>11</v>
      </c>
      <c r="B48" s="9" t="s">
        <v>53</v>
      </c>
      <c r="C48" s="10">
        <v>1317000</v>
      </c>
      <c r="D48" s="10">
        <v>169000</v>
      </c>
      <c r="E48" s="10">
        <v>150000</v>
      </c>
      <c r="F48" s="10">
        <v>999000</v>
      </c>
    </row>
    <row r="49" spans="1:13" ht="15" customHeight="1">
      <c r="A49" s="8" t="s">
        <v>11</v>
      </c>
      <c r="B49" s="9" t="s">
        <v>54</v>
      </c>
      <c r="C49" s="10">
        <v>1398000</v>
      </c>
      <c r="D49" s="10">
        <v>166000</v>
      </c>
      <c r="E49" s="10">
        <v>141000</v>
      </c>
      <c r="F49" s="10">
        <v>1091000</v>
      </c>
    </row>
    <row r="50" spans="1:13" ht="15" customHeight="1">
      <c r="A50" s="8" t="s">
        <v>11</v>
      </c>
      <c r="B50" s="9" t="s">
        <v>55</v>
      </c>
      <c r="C50" s="10">
        <v>1469000</v>
      </c>
      <c r="D50" s="10">
        <v>166000</v>
      </c>
      <c r="E50" s="10">
        <v>133000</v>
      </c>
      <c r="F50" s="10">
        <v>1170000</v>
      </c>
    </row>
    <row r="51" spans="1:13">
      <c r="A51" s="8" t="s">
        <v>11</v>
      </c>
      <c r="B51" s="9" t="s">
        <v>56</v>
      </c>
      <c r="C51" s="10">
        <v>1466000</v>
      </c>
      <c r="D51" s="10">
        <v>161000</v>
      </c>
      <c r="E51" s="10">
        <v>124000</v>
      </c>
      <c r="F51" s="10">
        <v>1182000</v>
      </c>
      <c r="L51" s="3">
        <v>2023</v>
      </c>
    </row>
    <row r="52" spans="1:13">
      <c r="A52" s="8" t="s">
        <v>11</v>
      </c>
      <c r="B52" s="9" t="s">
        <v>57</v>
      </c>
      <c r="C52" s="10">
        <v>1461000</v>
      </c>
      <c r="D52" s="10">
        <v>156000</v>
      </c>
      <c r="E52" s="10">
        <v>112000</v>
      </c>
      <c r="F52" s="10">
        <v>1193000</v>
      </c>
    </row>
    <row r="53" spans="1:13" ht="18" customHeight="1">
      <c r="A53" s="8" t="s">
        <v>11</v>
      </c>
      <c r="B53" s="9" t="s">
        <v>58</v>
      </c>
      <c r="C53" s="10">
        <v>1441000</v>
      </c>
      <c r="D53" s="10">
        <v>150000</v>
      </c>
      <c r="E53" s="10">
        <v>103000</v>
      </c>
      <c r="F53" s="10">
        <v>1188000</v>
      </c>
    </row>
    <row r="54" spans="1:13" ht="18" customHeight="1">
      <c r="A54" s="8" t="s">
        <v>11</v>
      </c>
      <c r="B54" s="9" t="s">
        <v>59</v>
      </c>
      <c r="C54" s="10">
        <v>1359000</v>
      </c>
      <c r="D54" s="10">
        <v>146000</v>
      </c>
      <c r="E54" s="10">
        <v>99000</v>
      </c>
      <c r="F54" s="10">
        <v>1115000</v>
      </c>
    </row>
    <row r="55" spans="1:13" ht="18" customHeight="1">
      <c r="A55" s="8" t="s">
        <v>11</v>
      </c>
      <c r="B55" s="9" t="s">
        <v>60</v>
      </c>
      <c r="C55" s="10">
        <v>1299000</v>
      </c>
      <c r="D55" s="10">
        <v>142000</v>
      </c>
      <c r="E55" s="10">
        <v>94000</v>
      </c>
      <c r="F55" s="10">
        <v>1063000</v>
      </c>
      <c r="L55" s="3">
        <v>2024</v>
      </c>
    </row>
    <row r="56" spans="1:13" ht="18" customHeight="1">
      <c r="A56" s="8" t="s">
        <v>11</v>
      </c>
      <c r="B56" s="9" t="s">
        <v>61</v>
      </c>
      <c r="C56" s="10">
        <v>1168000</v>
      </c>
      <c r="D56" s="10">
        <v>143000</v>
      </c>
      <c r="E56" s="10">
        <v>89000</v>
      </c>
      <c r="F56" s="10">
        <v>937000</v>
      </c>
    </row>
    <row r="57" spans="1:13" ht="18" customHeight="1">
      <c r="A57" s="8" t="s">
        <v>11</v>
      </c>
      <c r="B57" s="9" t="s">
        <v>62</v>
      </c>
      <c r="C57" s="10">
        <v>1015000</v>
      </c>
      <c r="D57" s="10">
        <v>143000</v>
      </c>
      <c r="E57" s="10">
        <v>82000</v>
      </c>
      <c r="F57" s="10">
        <v>790000</v>
      </c>
    </row>
    <row r="58" spans="1:13" ht="18" customHeight="1">
      <c r="A58" s="8" t="s">
        <v>11</v>
      </c>
      <c r="B58" s="9" t="s">
        <v>63</v>
      </c>
      <c r="C58" s="10">
        <v>942000</v>
      </c>
      <c r="D58" s="10">
        <v>143000</v>
      </c>
      <c r="E58" s="10">
        <v>80000</v>
      </c>
      <c r="F58" s="10">
        <v>719000</v>
      </c>
    </row>
    <row r="59" spans="1:13" ht="30" customHeight="1">
      <c r="A59" s="8" t="s">
        <v>11</v>
      </c>
      <c r="B59" s="9" t="s">
        <v>64</v>
      </c>
      <c r="C59" s="10">
        <v>898000</v>
      </c>
      <c r="D59" s="10">
        <v>143000</v>
      </c>
      <c r="E59" s="10">
        <v>85000</v>
      </c>
      <c r="F59" s="10">
        <v>670000</v>
      </c>
      <c r="L59" s="3">
        <v>2025</v>
      </c>
    </row>
    <row r="60" spans="1:13" ht="15" customHeight="1">
      <c r="A60" s="8" t="s">
        <v>65</v>
      </c>
      <c r="B60" s="9" t="s">
        <v>12</v>
      </c>
      <c r="C60" s="10">
        <v>477000</v>
      </c>
      <c r="D60" s="10">
        <v>156000</v>
      </c>
      <c r="E60" s="10">
        <v>140000</v>
      </c>
      <c r="F60" s="10">
        <v>181000</v>
      </c>
      <c r="M60" s="3">
        <v>2012</v>
      </c>
    </row>
    <row r="61" spans="1:13" ht="15" customHeight="1">
      <c r="A61" s="8" t="s">
        <v>65</v>
      </c>
      <c r="B61" s="9" t="s">
        <v>13</v>
      </c>
      <c r="C61" s="10">
        <v>473000</v>
      </c>
      <c r="D61" s="10">
        <v>156000</v>
      </c>
      <c r="E61" s="10">
        <v>139000</v>
      </c>
      <c r="F61" s="10">
        <v>178000</v>
      </c>
    </row>
    <row r="62" spans="1:13" ht="15" customHeight="1">
      <c r="A62" s="8" t="s">
        <v>65</v>
      </c>
      <c r="B62" s="9" t="s">
        <v>14</v>
      </c>
      <c r="C62" s="10">
        <v>448000</v>
      </c>
      <c r="D62" s="10">
        <v>151000</v>
      </c>
      <c r="E62" s="10">
        <v>128000</v>
      </c>
      <c r="F62" s="10">
        <v>169000</v>
      </c>
    </row>
    <row r="63" spans="1:13" ht="15" customHeight="1">
      <c r="A63" s="8" t="s">
        <v>65</v>
      </c>
      <c r="B63" s="9" t="s">
        <v>15</v>
      </c>
      <c r="C63" s="10">
        <v>446000</v>
      </c>
      <c r="D63" s="10">
        <v>154000</v>
      </c>
      <c r="E63" s="10">
        <v>127000</v>
      </c>
      <c r="F63" s="10">
        <v>164000</v>
      </c>
    </row>
    <row r="64" spans="1:13" ht="15" customHeight="1">
      <c r="A64" s="8" t="s">
        <v>65</v>
      </c>
      <c r="B64" s="9" t="s">
        <v>16</v>
      </c>
      <c r="C64" s="10">
        <v>454000</v>
      </c>
      <c r="D64" s="10">
        <v>157000</v>
      </c>
      <c r="E64" s="10">
        <v>131000</v>
      </c>
      <c r="F64" s="10">
        <v>166000</v>
      </c>
      <c r="M64" s="3">
        <v>2013</v>
      </c>
    </row>
    <row r="65" spans="1:13" ht="15" customHeight="1">
      <c r="A65" s="8" t="s">
        <v>65</v>
      </c>
      <c r="B65" s="9" t="s">
        <v>17</v>
      </c>
      <c r="C65" s="10">
        <v>461000</v>
      </c>
      <c r="D65" s="10">
        <v>158000</v>
      </c>
      <c r="E65" s="10">
        <v>135000</v>
      </c>
      <c r="F65" s="10">
        <v>169000</v>
      </c>
    </row>
    <row r="66" spans="1:13" ht="15" customHeight="1">
      <c r="A66" s="8" t="s">
        <v>65</v>
      </c>
      <c r="B66" s="9" t="s">
        <v>18</v>
      </c>
      <c r="C66" s="10">
        <v>469000</v>
      </c>
      <c r="D66" s="10">
        <v>157000</v>
      </c>
      <c r="E66" s="10">
        <v>141000</v>
      </c>
      <c r="F66" s="10">
        <v>171000</v>
      </c>
    </row>
    <row r="67" spans="1:13" ht="15" customHeight="1">
      <c r="A67" s="8" t="s">
        <v>65</v>
      </c>
      <c r="B67" s="9" t="s">
        <v>19</v>
      </c>
      <c r="C67" s="10">
        <v>475000</v>
      </c>
      <c r="D67" s="10">
        <v>154000</v>
      </c>
      <c r="E67" s="10">
        <v>151000</v>
      </c>
      <c r="F67" s="10">
        <v>170000</v>
      </c>
    </row>
    <row r="68" spans="1:13" ht="15" customHeight="1">
      <c r="A68" s="8" t="s">
        <v>65</v>
      </c>
      <c r="B68" s="9" t="s">
        <v>20</v>
      </c>
      <c r="C68" s="10">
        <v>489000</v>
      </c>
      <c r="D68" s="10">
        <v>157000</v>
      </c>
      <c r="E68" s="10">
        <v>161000</v>
      </c>
      <c r="F68" s="10">
        <v>171000</v>
      </c>
      <c r="M68" s="3">
        <v>2014</v>
      </c>
    </row>
    <row r="69" spans="1:13" ht="15" customHeight="1">
      <c r="A69" s="8" t="s">
        <v>65</v>
      </c>
      <c r="B69" s="9" t="s">
        <v>21</v>
      </c>
      <c r="C69" s="10">
        <v>497000</v>
      </c>
      <c r="D69" s="10">
        <v>160000</v>
      </c>
      <c r="E69" s="10">
        <v>171000</v>
      </c>
      <c r="F69" s="10">
        <v>166000</v>
      </c>
    </row>
    <row r="70" spans="1:13" ht="15" customHeight="1">
      <c r="A70" s="8" t="s">
        <v>65</v>
      </c>
      <c r="B70" s="9" t="s">
        <v>22</v>
      </c>
      <c r="C70" s="10">
        <v>494000</v>
      </c>
      <c r="D70" s="10">
        <v>161000</v>
      </c>
      <c r="E70" s="10">
        <v>180000</v>
      </c>
      <c r="F70" s="10">
        <v>154000</v>
      </c>
    </row>
    <row r="71" spans="1:13" ht="15" customHeight="1">
      <c r="A71" s="8" t="s">
        <v>65</v>
      </c>
      <c r="B71" s="9" t="s">
        <v>23</v>
      </c>
      <c r="C71" s="10">
        <v>484000</v>
      </c>
      <c r="D71" s="10">
        <v>156000</v>
      </c>
      <c r="E71" s="10">
        <v>182000</v>
      </c>
      <c r="F71" s="10">
        <v>146000</v>
      </c>
    </row>
    <row r="72" spans="1:13" ht="15" customHeight="1">
      <c r="A72" s="8" t="s">
        <v>65</v>
      </c>
      <c r="B72" s="9" t="s">
        <v>24</v>
      </c>
      <c r="C72" s="10">
        <v>482000</v>
      </c>
      <c r="D72" s="10">
        <v>154000</v>
      </c>
      <c r="E72" s="10">
        <v>187000</v>
      </c>
      <c r="F72" s="10">
        <v>141000</v>
      </c>
      <c r="M72" s="3">
        <v>2015</v>
      </c>
    </row>
    <row r="73" spans="1:13" ht="15" customHeight="1">
      <c r="A73" s="8" t="s">
        <v>65</v>
      </c>
      <c r="B73" s="9" t="s">
        <v>25</v>
      </c>
      <c r="C73" s="10">
        <v>481000</v>
      </c>
      <c r="D73" s="10">
        <v>153000</v>
      </c>
      <c r="E73" s="10">
        <v>191000</v>
      </c>
      <c r="F73" s="10">
        <v>137000</v>
      </c>
    </row>
    <row r="74" spans="1:13" ht="15" customHeight="1">
      <c r="A74" s="8" t="s">
        <v>65</v>
      </c>
      <c r="B74" s="9" t="s">
        <v>26</v>
      </c>
      <c r="C74" s="10">
        <v>494000</v>
      </c>
      <c r="D74" s="10">
        <v>151000</v>
      </c>
      <c r="E74" s="10">
        <v>193000</v>
      </c>
      <c r="F74" s="10">
        <v>150000</v>
      </c>
    </row>
    <row r="75" spans="1:13" ht="15" customHeight="1">
      <c r="A75" s="8" t="s">
        <v>65</v>
      </c>
      <c r="B75" s="9" t="s">
        <v>27</v>
      </c>
      <c r="C75" s="10">
        <v>506000</v>
      </c>
      <c r="D75" s="10">
        <v>155000</v>
      </c>
      <c r="E75" s="10">
        <v>196000</v>
      </c>
      <c r="F75" s="10">
        <v>155000</v>
      </c>
    </row>
    <row r="76" spans="1:13" ht="15" customHeight="1">
      <c r="A76" s="8" t="s">
        <v>65</v>
      </c>
      <c r="B76" s="9" t="s">
        <v>28</v>
      </c>
      <c r="C76" s="10">
        <v>511000</v>
      </c>
      <c r="D76" s="10">
        <v>157000</v>
      </c>
      <c r="E76" s="10">
        <v>199000</v>
      </c>
      <c r="F76" s="10">
        <v>155000</v>
      </c>
      <c r="M76" s="3">
        <v>2016</v>
      </c>
    </row>
    <row r="77" spans="1:13" ht="15" customHeight="1">
      <c r="A77" s="8" t="s">
        <v>65</v>
      </c>
      <c r="B77" s="9" t="s">
        <v>29</v>
      </c>
      <c r="C77" s="10">
        <v>514000</v>
      </c>
      <c r="D77" s="10">
        <v>157000</v>
      </c>
      <c r="E77" s="10">
        <v>202000</v>
      </c>
      <c r="F77" s="10">
        <v>155000</v>
      </c>
    </row>
    <row r="78" spans="1:13" ht="15" customHeight="1">
      <c r="A78" s="8" t="s">
        <v>65</v>
      </c>
      <c r="B78" s="9" t="s">
        <v>30</v>
      </c>
      <c r="C78" s="10">
        <v>523000</v>
      </c>
      <c r="D78" s="10">
        <v>163000</v>
      </c>
      <c r="E78" s="10">
        <v>213000</v>
      </c>
      <c r="F78" s="10">
        <v>147000</v>
      </c>
    </row>
    <row r="79" spans="1:13" ht="15" customHeight="1">
      <c r="A79" s="8" t="s">
        <v>65</v>
      </c>
      <c r="B79" s="9" t="s">
        <v>31</v>
      </c>
      <c r="C79" s="10">
        <v>519000</v>
      </c>
      <c r="D79" s="10">
        <v>163000</v>
      </c>
      <c r="E79" s="10">
        <v>213000</v>
      </c>
      <c r="F79" s="10">
        <v>143000</v>
      </c>
    </row>
    <row r="80" spans="1:13" ht="15" customHeight="1">
      <c r="A80" s="8" t="s">
        <v>65</v>
      </c>
      <c r="B80" s="9" t="s">
        <v>32</v>
      </c>
      <c r="C80" s="10">
        <v>518000</v>
      </c>
      <c r="D80" s="10">
        <v>157000</v>
      </c>
      <c r="E80" s="10">
        <v>212000</v>
      </c>
      <c r="F80" s="10">
        <v>149000</v>
      </c>
      <c r="M80" s="3">
        <v>2017</v>
      </c>
    </row>
    <row r="81" spans="1:13" ht="15" customHeight="1">
      <c r="A81" s="8" t="s">
        <v>65</v>
      </c>
      <c r="B81" s="9" t="s">
        <v>33</v>
      </c>
      <c r="C81" s="10">
        <v>549000</v>
      </c>
      <c r="D81" s="10">
        <v>163000</v>
      </c>
      <c r="E81" s="10">
        <v>233000</v>
      </c>
      <c r="F81" s="10">
        <v>152000</v>
      </c>
    </row>
    <row r="82" spans="1:13" ht="15" customHeight="1">
      <c r="A82" s="8" t="s">
        <v>65</v>
      </c>
      <c r="B82" s="9" t="s">
        <v>34</v>
      </c>
      <c r="C82" s="10">
        <v>544000</v>
      </c>
      <c r="D82" s="10">
        <v>164000</v>
      </c>
      <c r="E82" s="10">
        <v>235000</v>
      </c>
      <c r="F82" s="10">
        <v>144000</v>
      </c>
    </row>
    <row r="83" spans="1:13" ht="15" customHeight="1">
      <c r="A83" s="8" t="s">
        <v>65</v>
      </c>
      <c r="B83" s="9" t="s">
        <v>35</v>
      </c>
      <c r="C83" s="10">
        <v>543000</v>
      </c>
      <c r="D83" s="10">
        <v>165000</v>
      </c>
      <c r="E83" s="10">
        <v>240000</v>
      </c>
      <c r="F83" s="10">
        <v>139000</v>
      </c>
    </row>
    <row r="84" spans="1:13" ht="15" customHeight="1">
      <c r="A84" s="8" t="s">
        <v>65</v>
      </c>
      <c r="B84" s="9" t="s">
        <v>36</v>
      </c>
      <c r="C84" s="10">
        <v>541000</v>
      </c>
      <c r="D84" s="10">
        <v>165000</v>
      </c>
      <c r="E84" s="10">
        <v>249000</v>
      </c>
      <c r="F84" s="10">
        <v>127000</v>
      </c>
      <c r="M84" s="3">
        <v>2018</v>
      </c>
    </row>
    <row r="85" spans="1:13" ht="15" customHeight="1">
      <c r="A85" s="8" t="s">
        <v>65</v>
      </c>
      <c r="B85" s="9" t="s">
        <v>37</v>
      </c>
      <c r="C85" s="10">
        <v>539000</v>
      </c>
      <c r="D85" s="10">
        <v>152000</v>
      </c>
      <c r="E85" s="10">
        <v>259000</v>
      </c>
      <c r="F85" s="10">
        <v>129000</v>
      </c>
    </row>
    <row r="86" spans="1:13" ht="15" customHeight="1">
      <c r="A86" s="8" t="s">
        <v>65</v>
      </c>
      <c r="B86" s="9" t="s">
        <v>38</v>
      </c>
      <c r="C86" s="10">
        <v>549000</v>
      </c>
      <c r="D86" s="10">
        <v>147000</v>
      </c>
      <c r="E86" s="10">
        <v>250000</v>
      </c>
      <c r="F86" s="10">
        <v>152000</v>
      </c>
    </row>
    <row r="87" spans="1:13" ht="15" customHeight="1">
      <c r="A87" s="8" t="s">
        <v>65</v>
      </c>
      <c r="B87" s="9" t="s">
        <v>39</v>
      </c>
      <c r="C87" s="10">
        <v>575000</v>
      </c>
      <c r="D87" s="10">
        <v>146000</v>
      </c>
      <c r="E87" s="10">
        <v>274000</v>
      </c>
      <c r="F87" s="10">
        <v>155000</v>
      </c>
    </row>
    <row r="88" spans="1:13" ht="15" customHeight="1">
      <c r="A88" s="8" t="s">
        <v>65</v>
      </c>
      <c r="B88" s="9" t="s">
        <v>40</v>
      </c>
      <c r="C88" s="10">
        <v>597000</v>
      </c>
      <c r="D88" s="10">
        <v>143000</v>
      </c>
      <c r="E88" s="10">
        <v>287000</v>
      </c>
      <c r="F88" s="10">
        <v>167000</v>
      </c>
      <c r="M88" s="3">
        <v>2019</v>
      </c>
    </row>
    <row r="89" spans="1:13" ht="15" customHeight="1">
      <c r="A89" s="8" t="s">
        <v>65</v>
      </c>
      <c r="B89" s="9" t="s">
        <v>41</v>
      </c>
      <c r="C89" s="10">
        <v>591000</v>
      </c>
      <c r="D89" s="10">
        <v>150000</v>
      </c>
      <c r="E89" s="10">
        <v>262000</v>
      </c>
      <c r="F89" s="10">
        <v>180000</v>
      </c>
    </row>
    <row r="90" spans="1:13" ht="15" customHeight="1">
      <c r="A90" s="8" t="s">
        <v>65</v>
      </c>
      <c r="B90" s="9" t="s">
        <v>42</v>
      </c>
      <c r="C90" s="10">
        <v>605000</v>
      </c>
      <c r="D90" s="10">
        <v>153000</v>
      </c>
      <c r="E90" s="10">
        <v>269000</v>
      </c>
      <c r="F90" s="10">
        <v>182000</v>
      </c>
    </row>
    <row r="91" spans="1:13" ht="15" customHeight="1">
      <c r="A91" s="8" t="s">
        <v>65</v>
      </c>
      <c r="B91" s="9" t="s">
        <v>43</v>
      </c>
      <c r="C91" s="10">
        <v>645000</v>
      </c>
      <c r="D91" s="10">
        <v>157000</v>
      </c>
      <c r="E91" s="10">
        <v>266000</v>
      </c>
      <c r="F91" s="10">
        <v>222000</v>
      </c>
    </row>
    <row r="92" spans="1:13" ht="15" customHeight="1">
      <c r="A92" s="8" t="s">
        <v>65</v>
      </c>
      <c r="B92" s="9" t="s">
        <v>44</v>
      </c>
      <c r="C92" s="10">
        <v>625000</v>
      </c>
      <c r="D92" s="10">
        <v>146000</v>
      </c>
      <c r="E92" s="10">
        <v>263000</v>
      </c>
      <c r="F92" s="10">
        <v>216000</v>
      </c>
      <c r="M92" s="3">
        <v>2020</v>
      </c>
    </row>
    <row r="93" spans="1:13" ht="15" customHeight="1">
      <c r="A93" s="8" t="s">
        <v>65</v>
      </c>
      <c r="B93" s="9" t="s">
        <v>45</v>
      </c>
      <c r="C93" s="10">
        <v>571000</v>
      </c>
      <c r="D93" s="10">
        <v>123000</v>
      </c>
      <c r="E93" s="10">
        <v>249000</v>
      </c>
      <c r="F93" s="10">
        <v>199000</v>
      </c>
    </row>
    <row r="94" spans="1:13" ht="15" customHeight="1">
      <c r="A94" s="8" t="s">
        <v>65</v>
      </c>
      <c r="B94" s="9" t="s">
        <v>46</v>
      </c>
      <c r="C94" s="10">
        <v>569000</v>
      </c>
      <c r="D94" s="10">
        <v>130000</v>
      </c>
      <c r="E94" s="10">
        <v>247000</v>
      </c>
      <c r="F94" s="10">
        <v>192000</v>
      </c>
    </row>
    <row r="95" spans="1:13" ht="15" customHeight="1">
      <c r="A95" s="8" t="s">
        <v>65</v>
      </c>
      <c r="B95" s="9" t="s">
        <v>47</v>
      </c>
      <c r="C95" s="10">
        <v>496000</v>
      </c>
      <c r="D95" s="10">
        <v>123000</v>
      </c>
      <c r="E95" s="10">
        <v>226000</v>
      </c>
      <c r="F95" s="10">
        <v>147000</v>
      </c>
    </row>
    <row r="96" spans="1:13" ht="15" customHeight="1">
      <c r="A96" s="8" t="s">
        <v>65</v>
      </c>
      <c r="B96" s="9" t="s">
        <v>48</v>
      </c>
      <c r="C96" s="10">
        <v>567000</v>
      </c>
      <c r="D96" s="10">
        <v>262000</v>
      </c>
      <c r="E96" s="10">
        <v>184000</v>
      </c>
      <c r="F96" s="10">
        <v>120000</v>
      </c>
      <c r="M96" s="3">
        <v>2021</v>
      </c>
    </row>
    <row r="97" spans="1:13" ht="15" customHeight="1">
      <c r="A97" s="8" t="s">
        <v>65</v>
      </c>
      <c r="B97" s="9" t="s">
        <v>49</v>
      </c>
      <c r="C97" s="10">
        <v>552000</v>
      </c>
      <c r="D97" s="10">
        <v>283000</v>
      </c>
      <c r="E97" s="10">
        <v>172000</v>
      </c>
      <c r="F97" s="10">
        <v>98000</v>
      </c>
    </row>
    <row r="98" spans="1:13" ht="15" customHeight="1">
      <c r="A98" s="8" t="s">
        <v>65</v>
      </c>
      <c r="B98" s="9" t="s">
        <v>50</v>
      </c>
      <c r="C98" s="10">
        <v>480000</v>
      </c>
      <c r="D98" s="10">
        <v>233000</v>
      </c>
      <c r="E98" s="10">
        <v>159000</v>
      </c>
      <c r="F98" s="10">
        <v>88000</v>
      </c>
    </row>
    <row r="99" spans="1:13" ht="15" customHeight="1">
      <c r="A99" s="8" t="s">
        <v>65</v>
      </c>
      <c r="B99" s="9" t="s">
        <v>51</v>
      </c>
      <c r="C99" s="10">
        <v>495000</v>
      </c>
      <c r="D99" s="10">
        <v>254000</v>
      </c>
      <c r="E99" s="10">
        <v>156000</v>
      </c>
      <c r="F99" s="10">
        <v>85000</v>
      </c>
    </row>
    <row r="100" spans="1:13" ht="15" customHeight="1">
      <c r="A100" s="8" t="s">
        <v>65</v>
      </c>
      <c r="B100" s="9" t="s">
        <v>52</v>
      </c>
      <c r="C100" s="10">
        <v>486000</v>
      </c>
      <c r="D100" s="10">
        <v>240000</v>
      </c>
      <c r="E100" s="10">
        <v>159000</v>
      </c>
      <c r="F100" s="10">
        <v>88000</v>
      </c>
      <c r="M100" s="3">
        <v>2022</v>
      </c>
    </row>
    <row r="101" spans="1:13" ht="15" customHeight="1">
      <c r="A101" s="8" t="s">
        <v>65</v>
      </c>
      <c r="B101" s="9" t="s">
        <v>53</v>
      </c>
      <c r="C101" s="10">
        <v>496000</v>
      </c>
      <c r="D101" s="10">
        <v>244000</v>
      </c>
      <c r="E101" s="10">
        <v>153000</v>
      </c>
      <c r="F101" s="10">
        <v>98000</v>
      </c>
    </row>
    <row r="102" spans="1:13">
      <c r="A102" s="8" t="s">
        <v>65</v>
      </c>
      <c r="B102" s="9" t="s">
        <v>54</v>
      </c>
      <c r="C102" s="10">
        <v>508000</v>
      </c>
      <c r="D102" s="10">
        <v>247000</v>
      </c>
      <c r="E102" s="10">
        <v>151000</v>
      </c>
      <c r="F102" s="10">
        <v>110000</v>
      </c>
    </row>
    <row r="103" spans="1:13">
      <c r="A103" s="8" t="s">
        <v>65</v>
      </c>
      <c r="B103" s="9" t="s">
        <v>55</v>
      </c>
      <c r="C103" s="10">
        <v>525000</v>
      </c>
      <c r="D103" s="10">
        <v>249000</v>
      </c>
      <c r="E103" s="10">
        <v>154000</v>
      </c>
      <c r="F103" s="10">
        <v>122000</v>
      </c>
    </row>
    <row r="104" spans="1:13">
      <c r="A104" s="8" t="s">
        <v>65</v>
      </c>
      <c r="B104" s="9" t="s">
        <v>56</v>
      </c>
      <c r="C104" s="10">
        <v>543000</v>
      </c>
      <c r="D104" s="10">
        <v>252000</v>
      </c>
      <c r="E104" s="10">
        <v>153000</v>
      </c>
      <c r="F104" s="10">
        <v>137000</v>
      </c>
      <c r="M104" s="3">
        <v>2023</v>
      </c>
    </row>
    <row r="105" spans="1:13">
      <c r="A105" s="8" t="s">
        <v>65</v>
      </c>
      <c r="B105" s="9" t="s">
        <v>57</v>
      </c>
      <c r="C105" s="10">
        <v>570000</v>
      </c>
      <c r="D105" s="10">
        <v>253000</v>
      </c>
      <c r="E105" s="10">
        <v>155000</v>
      </c>
      <c r="F105" s="10">
        <v>163000</v>
      </c>
    </row>
    <row r="106" spans="1:13" ht="18" customHeight="1">
      <c r="A106" s="8" t="s">
        <v>65</v>
      </c>
      <c r="B106" s="9" t="s">
        <v>58</v>
      </c>
      <c r="C106" s="10">
        <v>593000</v>
      </c>
      <c r="D106" s="10">
        <v>255000</v>
      </c>
      <c r="E106" s="10">
        <v>156000</v>
      </c>
      <c r="F106" s="10">
        <v>182000</v>
      </c>
    </row>
    <row r="107" spans="1:13" ht="18" customHeight="1">
      <c r="A107" s="8" t="s">
        <v>65</v>
      </c>
      <c r="B107" s="9" t="s">
        <v>59</v>
      </c>
      <c r="C107" s="10">
        <v>625000</v>
      </c>
      <c r="D107" s="10">
        <v>257000</v>
      </c>
      <c r="E107" s="10">
        <v>156000</v>
      </c>
      <c r="F107" s="10">
        <v>212000</v>
      </c>
    </row>
    <row r="108" spans="1:13" ht="18" customHeight="1">
      <c r="A108" s="8" t="s">
        <v>65</v>
      </c>
      <c r="B108" s="9" t="s">
        <v>60</v>
      </c>
      <c r="C108" s="10">
        <v>650000</v>
      </c>
      <c r="D108" s="10">
        <v>257000</v>
      </c>
      <c r="E108" s="10">
        <v>155000</v>
      </c>
      <c r="F108" s="10">
        <v>238000</v>
      </c>
      <c r="M108" s="3">
        <v>2024</v>
      </c>
    </row>
    <row r="109" spans="1:13" ht="18" customHeight="1">
      <c r="A109" s="8" t="s">
        <v>65</v>
      </c>
      <c r="B109" s="9" t="s">
        <v>61</v>
      </c>
      <c r="C109" s="10">
        <v>661000</v>
      </c>
      <c r="D109" s="10">
        <v>259000</v>
      </c>
      <c r="E109" s="10">
        <v>153000</v>
      </c>
      <c r="F109" s="10">
        <v>249000</v>
      </c>
    </row>
    <row r="110" spans="1:13" ht="18" customHeight="1">
      <c r="A110" s="8" t="s">
        <v>65</v>
      </c>
      <c r="B110" s="9" t="s">
        <v>62</v>
      </c>
      <c r="C110" s="10">
        <v>669000</v>
      </c>
      <c r="D110" s="10">
        <v>257000</v>
      </c>
      <c r="E110" s="10">
        <v>150000</v>
      </c>
      <c r="F110" s="10">
        <v>261000</v>
      </c>
    </row>
    <row r="111" spans="1:13" ht="18" customHeight="1">
      <c r="A111" s="8" t="s">
        <v>65</v>
      </c>
      <c r="B111" s="9" t="s">
        <v>63</v>
      </c>
      <c r="C111" s="10">
        <v>685000</v>
      </c>
      <c r="D111" s="10">
        <v>255000</v>
      </c>
      <c r="E111" s="10">
        <v>150000</v>
      </c>
      <c r="F111" s="10">
        <v>280000</v>
      </c>
    </row>
    <row r="112" spans="1:13" ht="30" customHeight="1">
      <c r="A112" s="8" t="s">
        <v>65</v>
      </c>
      <c r="B112" s="9" t="s">
        <v>64</v>
      </c>
      <c r="C112" s="10">
        <v>693000</v>
      </c>
      <c r="D112" s="10">
        <v>252000</v>
      </c>
      <c r="E112" s="10">
        <v>155000</v>
      </c>
      <c r="F112" s="10">
        <v>286000</v>
      </c>
      <c r="M112" s="3">
        <v>2025</v>
      </c>
    </row>
    <row r="113" spans="1:14" ht="15" customHeight="1">
      <c r="A113" s="8" t="s">
        <v>66</v>
      </c>
      <c r="B113" s="9" t="s">
        <v>12</v>
      </c>
      <c r="C113" s="10">
        <v>162000</v>
      </c>
      <c r="D113" s="10">
        <v>-83000</v>
      </c>
      <c r="E113" s="10">
        <v>187000</v>
      </c>
      <c r="F113" s="10">
        <v>57000</v>
      </c>
      <c r="N113" s="3">
        <v>2012</v>
      </c>
    </row>
    <row r="114" spans="1:14" ht="15" customHeight="1">
      <c r="A114" s="8" t="s">
        <v>66</v>
      </c>
      <c r="B114" s="9" t="s">
        <v>13</v>
      </c>
      <c r="C114" s="10">
        <v>157000</v>
      </c>
      <c r="D114" s="10">
        <v>-80000</v>
      </c>
      <c r="E114" s="10">
        <v>183000</v>
      </c>
      <c r="F114" s="10">
        <v>54000</v>
      </c>
    </row>
    <row r="115" spans="1:14" ht="15" customHeight="1">
      <c r="A115" s="8" t="s">
        <v>66</v>
      </c>
      <c r="B115" s="9" t="s">
        <v>14</v>
      </c>
      <c r="C115" s="10">
        <v>195000</v>
      </c>
      <c r="D115" s="10">
        <v>-72000</v>
      </c>
      <c r="E115" s="10">
        <v>206000</v>
      </c>
      <c r="F115" s="10">
        <v>61000</v>
      </c>
    </row>
    <row r="116" spans="1:14" ht="15" customHeight="1">
      <c r="A116" s="8" t="s">
        <v>66</v>
      </c>
      <c r="B116" s="9" t="s">
        <v>15</v>
      </c>
      <c r="C116" s="10">
        <v>204000</v>
      </c>
      <c r="D116" s="10">
        <v>-79000</v>
      </c>
      <c r="E116" s="10">
        <v>223000</v>
      </c>
      <c r="F116" s="10">
        <v>60000</v>
      </c>
    </row>
    <row r="117" spans="1:14" ht="15" customHeight="1">
      <c r="A117" s="8" t="s">
        <v>66</v>
      </c>
      <c r="B117" s="9" t="s">
        <v>16</v>
      </c>
      <c r="C117" s="10">
        <v>215000</v>
      </c>
      <c r="D117" s="10">
        <v>-83000</v>
      </c>
      <c r="E117" s="10">
        <v>242000</v>
      </c>
      <c r="F117" s="10">
        <v>56000</v>
      </c>
      <c r="N117" s="3">
        <v>2013</v>
      </c>
    </row>
    <row r="118" spans="1:14" ht="15" customHeight="1">
      <c r="A118" s="8" t="s">
        <v>66</v>
      </c>
      <c r="B118" s="9" t="s">
        <v>17</v>
      </c>
      <c r="C118" s="10">
        <v>259000</v>
      </c>
      <c r="D118" s="10">
        <v>-80000</v>
      </c>
      <c r="E118" s="10">
        <v>275000</v>
      </c>
      <c r="F118" s="10">
        <v>64000</v>
      </c>
    </row>
    <row r="119" spans="1:14" ht="15" customHeight="1">
      <c r="A119" s="8" t="s">
        <v>66</v>
      </c>
      <c r="B119" s="9" t="s">
        <v>18</v>
      </c>
      <c r="C119" s="10">
        <v>244000</v>
      </c>
      <c r="D119" s="10">
        <v>-81000</v>
      </c>
      <c r="E119" s="10">
        <v>262000</v>
      </c>
      <c r="F119" s="10">
        <v>63000</v>
      </c>
    </row>
    <row r="120" spans="1:14" ht="15" customHeight="1">
      <c r="A120" s="8" t="s">
        <v>66</v>
      </c>
      <c r="B120" s="9" t="s">
        <v>19</v>
      </c>
      <c r="C120" s="10">
        <v>256000</v>
      </c>
      <c r="D120" s="10">
        <v>-74000</v>
      </c>
      <c r="E120" s="10">
        <v>263000</v>
      </c>
      <c r="F120" s="10">
        <v>67000</v>
      </c>
    </row>
    <row r="121" spans="1:14" ht="15" customHeight="1">
      <c r="A121" s="8" t="s">
        <v>66</v>
      </c>
      <c r="B121" s="9" t="s">
        <v>20</v>
      </c>
      <c r="C121" s="10">
        <v>248000</v>
      </c>
      <c r="D121" s="10">
        <v>-75000</v>
      </c>
      <c r="E121" s="10">
        <v>258000</v>
      </c>
      <c r="F121" s="10">
        <v>65000</v>
      </c>
      <c r="N121" s="3">
        <v>2014</v>
      </c>
    </row>
    <row r="122" spans="1:14" ht="15" customHeight="1">
      <c r="A122" s="8" t="s">
        <v>66</v>
      </c>
      <c r="B122" s="9" t="s">
        <v>21</v>
      </c>
      <c r="C122" s="10">
        <v>264000</v>
      </c>
      <c r="D122" s="10">
        <v>-79000</v>
      </c>
      <c r="E122" s="10">
        <v>270000</v>
      </c>
      <c r="F122" s="10">
        <v>73000</v>
      </c>
    </row>
    <row r="123" spans="1:14" ht="15" customHeight="1">
      <c r="A123" s="8" t="s">
        <v>66</v>
      </c>
      <c r="B123" s="9" t="s">
        <v>22</v>
      </c>
      <c r="C123" s="10">
        <v>284000</v>
      </c>
      <c r="D123" s="10">
        <v>-80000</v>
      </c>
      <c r="E123" s="10">
        <v>277000</v>
      </c>
      <c r="F123" s="10">
        <v>87000</v>
      </c>
    </row>
    <row r="124" spans="1:14" ht="15" customHeight="1">
      <c r="A124" s="8" t="s">
        <v>66</v>
      </c>
      <c r="B124" s="9" t="s">
        <v>23</v>
      </c>
      <c r="C124" s="10">
        <v>296000</v>
      </c>
      <c r="D124" s="10">
        <v>-73000</v>
      </c>
      <c r="E124" s="10">
        <v>275000</v>
      </c>
      <c r="F124" s="10">
        <v>94000</v>
      </c>
    </row>
    <row r="125" spans="1:14" ht="15" customHeight="1">
      <c r="A125" s="8" t="s">
        <v>66</v>
      </c>
      <c r="B125" s="9" t="s">
        <v>24</v>
      </c>
      <c r="C125" s="10">
        <v>296000</v>
      </c>
      <c r="D125" s="10">
        <v>-72000</v>
      </c>
      <c r="E125" s="10">
        <v>267000</v>
      </c>
      <c r="F125" s="10">
        <v>101000</v>
      </c>
      <c r="N125" s="3">
        <v>2015</v>
      </c>
    </row>
    <row r="126" spans="1:14" ht="15" customHeight="1">
      <c r="A126" s="8" t="s">
        <v>66</v>
      </c>
      <c r="B126" s="9" t="s">
        <v>25</v>
      </c>
      <c r="C126" s="10">
        <v>293000</v>
      </c>
      <c r="D126" s="10">
        <v>-72000</v>
      </c>
      <c r="E126" s="10">
        <v>262000</v>
      </c>
      <c r="F126" s="10">
        <v>103000</v>
      </c>
    </row>
    <row r="127" spans="1:14" ht="15" customHeight="1">
      <c r="A127" s="8" t="s">
        <v>66</v>
      </c>
      <c r="B127" s="9" t="s">
        <v>26</v>
      </c>
      <c r="C127" s="10">
        <v>303000</v>
      </c>
      <c r="D127" s="10">
        <v>-73000</v>
      </c>
      <c r="E127" s="10">
        <v>287000</v>
      </c>
      <c r="F127" s="10">
        <v>88000</v>
      </c>
    </row>
    <row r="128" spans="1:14" ht="15" customHeight="1">
      <c r="A128" s="8" t="s">
        <v>66</v>
      </c>
      <c r="B128" s="9" t="s">
        <v>27</v>
      </c>
      <c r="C128" s="10">
        <v>298000</v>
      </c>
      <c r="D128" s="10">
        <v>-77000</v>
      </c>
      <c r="E128" s="10">
        <v>294000</v>
      </c>
      <c r="F128" s="10">
        <v>80000</v>
      </c>
    </row>
    <row r="129" spans="1:14" ht="15" customHeight="1">
      <c r="A129" s="8" t="s">
        <v>66</v>
      </c>
      <c r="B129" s="9" t="s">
        <v>28</v>
      </c>
      <c r="C129" s="10">
        <v>321000</v>
      </c>
      <c r="D129" s="10">
        <v>-83000</v>
      </c>
      <c r="E129" s="10">
        <v>322000</v>
      </c>
      <c r="F129" s="10">
        <v>82000</v>
      </c>
      <c r="N129" s="3">
        <v>2016</v>
      </c>
    </row>
    <row r="130" spans="1:14" ht="15" customHeight="1">
      <c r="A130" s="8" t="s">
        <v>66</v>
      </c>
      <c r="B130" s="9" t="s">
        <v>29</v>
      </c>
      <c r="C130" s="10">
        <v>290000</v>
      </c>
      <c r="D130" s="10">
        <v>-87000</v>
      </c>
      <c r="E130" s="10">
        <v>294000</v>
      </c>
      <c r="F130" s="10">
        <v>83000</v>
      </c>
    </row>
    <row r="131" spans="1:14" ht="15" customHeight="1">
      <c r="A131" s="8" t="s">
        <v>66</v>
      </c>
      <c r="B131" s="9" t="s">
        <v>30</v>
      </c>
      <c r="C131" s="10">
        <v>249000</v>
      </c>
      <c r="D131" s="10">
        <v>-94000</v>
      </c>
      <c r="E131" s="10">
        <v>253000</v>
      </c>
      <c r="F131" s="10">
        <v>90000</v>
      </c>
    </row>
    <row r="132" spans="1:14" ht="15" customHeight="1">
      <c r="A132" s="8" t="s">
        <v>66</v>
      </c>
      <c r="B132" s="9" t="s">
        <v>31</v>
      </c>
      <c r="C132" s="10">
        <v>240000</v>
      </c>
      <c r="D132" s="10">
        <v>-91000</v>
      </c>
      <c r="E132" s="10">
        <v>235000</v>
      </c>
      <c r="F132" s="10">
        <v>97000</v>
      </c>
    </row>
    <row r="133" spans="1:14" ht="15" customHeight="1">
      <c r="A133" s="8" t="s">
        <v>66</v>
      </c>
      <c r="B133" s="9" t="s">
        <v>32</v>
      </c>
      <c r="C133" s="10">
        <v>200000</v>
      </c>
      <c r="D133" s="10">
        <v>-79000</v>
      </c>
      <c r="E133" s="10">
        <v>188000</v>
      </c>
      <c r="F133" s="10">
        <v>91000</v>
      </c>
      <c r="N133" s="3">
        <v>2017</v>
      </c>
    </row>
    <row r="134" spans="1:14" ht="15" customHeight="1">
      <c r="A134" s="8" t="s">
        <v>66</v>
      </c>
      <c r="B134" s="9" t="s">
        <v>33</v>
      </c>
      <c r="C134" s="10">
        <v>205000</v>
      </c>
      <c r="D134" s="10">
        <v>-85000</v>
      </c>
      <c r="E134" s="10">
        <v>192000</v>
      </c>
      <c r="F134" s="10">
        <v>98000</v>
      </c>
    </row>
    <row r="135" spans="1:14" ht="15" customHeight="1">
      <c r="A135" s="8" t="s">
        <v>66</v>
      </c>
      <c r="B135" s="9" t="s">
        <v>34</v>
      </c>
      <c r="C135" s="10">
        <v>208000</v>
      </c>
      <c r="D135" s="10">
        <v>-81000</v>
      </c>
      <c r="E135" s="10">
        <v>176000</v>
      </c>
      <c r="F135" s="10">
        <v>114000</v>
      </c>
    </row>
    <row r="136" spans="1:14">
      <c r="A136" s="8" t="s">
        <v>66</v>
      </c>
      <c r="B136" s="9" t="s">
        <v>35</v>
      </c>
      <c r="C136" s="10">
        <v>193000</v>
      </c>
      <c r="D136" s="10">
        <v>-89000</v>
      </c>
      <c r="E136" s="10">
        <v>160000</v>
      </c>
      <c r="F136" s="10">
        <v>122000</v>
      </c>
    </row>
    <row r="137" spans="1:14">
      <c r="A137" s="8" t="s">
        <v>66</v>
      </c>
      <c r="B137" s="9" t="s">
        <v>36</v>
      </c>
      <c r="C137" s="10">
        <v>216000</v>
      </c>
      <c r="D137" s="10">
        <v>-84000</v>
      </c>
      <c r="E137" s="10">
        <v>158000</v>
      </c>
      <c r="F137" s="10">
        <v>143000</v>
      </c>
      <c r="N137" s="3">
        <v>2018</v>
      </c>
    </row>
    <row r="138" spans="1:14">
      <c r="A138" s="8" t="s">
        <v>66</v>
      </c>
      <c r="B138" s="9" t="s">
        <v>37</v>
      </c>
      <c r="C138" s="10">
        <v>226000</v>
      </c>
      <c r="D138" s="10">
        <v>-67000</v>
      </c>
      <c r="E138" s="10">
        <v>138000</v>
      </c>
      <c r="F138" s="10">
        <v>155000</v>
      </c>
    </row>
    <row r="139" spans="1:14">
      <c r="A139" s="8" t="s">
        <v>66</v>
      </c>
      <c r="B139" s="9" t="s">
        <v>38</v>
      </c>
      <c r="C139" s="10">
        <v>276000</v>
      </c>
      <c r="D139" s="10">
        <v>-72000</v>
      </c>
      <c r="E139" s="10">
        <v>170000</v>
      </c>
      <c r="F139" s="10">
        <v>178000</v>
      </c>
    </row>
    <row r="140" spans="1:14">
      <c r="A140" s="8" t="s">
        <v>66</v>
      </c>
      <c r="B140" s="9" t="s">
        <v>39</v>
      </c>
      <c r="C140" s="10">
        <v>274000</v>
      </c>
      <c r="D140" s="10">
        <v>-72000</v>
      </c>
      <c r="E140" s="10">
        <v>155000</v>
      </c>
      <c r="F140" s="10">
        <v>190000</v>
      </c>
    </row>
    <row r="141" spans="1:14">
      <c r="A141" s="8" t="s">
        <v>66</v>
      </c>
      <c r="B141" s="9" t="s">
        <v>40</v>
      </c>
      <c r="C141" s="10">
        <v>224000</v>
      </c>
      <c r="D141" s="10">
        <v>-82000</v>
      </c>
      <c r="E141" s="10">
        <v>126000</v>
      </c>
      <c r="F141" s="10">
        <v>179000</v>
      </c>
      <c r="N141" s="3">
        <v>2019</v>
      </c>
    </row>
    <row r="142" spans="1:14">
      <c r="A142" s="8" t="s">
        <v>66</v>
      </c>
      <c r="B142" s="9" t="s">
        <v>41</v>
      </c>
      <c r="C142" s="10">
        <v>202000</v>
      </c>
      <c r="D142" s="10">
        <v>-83000</v>
      </c>
      <c r="E142" s="10">
        <v>114000</v>
      </c>
      <c r="F142" s="10">
        <v>171000</v>
      </c>
    </row>
    <row r="143" spans="1:14">
      <c r="A143" s="8" t="s">
        <v>66</v>
      </c>
      <c r="B143" s="9" t="s">
        <v>42</v>
      </c>
      <c r="C143" s="10">
        <v>184000</v>
      </c>
      <c r="D143" s="10">
        <v>-82000</v>
      </c>
      <c r="E143" s="10">
        <v>80000</v>
      </c>
      <c r="F143" s="10">
        <v>186000</v>
      </c>
    </row>
    <row r="144" spans="1:14">
      <c r="A144" s="8" t="s">
        <v>66</v>
      </c>
      <c r="B144" s="9" t="s">
        <v>43</v>
      </c>
      <c r="C144" s="10">
        <v>170000</v>
      </c>
      <c r="D144" s="10">
        <v>-77000</v>
      </c>
      <c r="E144" s="10">
        <v>81000</v>
      </c>
      <c r="F144" s="10">
        <v>166000</v>
      </c>
    </row>
    <row r="145" spans="1:14">
      <c r="A145" s="8" t="s">
        <v>66</v>
      </c>
      <c r="B145" s="9" t="s">
        <v>44</v>
      </c>
      <c r="C145" s="10">
        <v>111000</v>
      </c>
      <c r="D145" s="10">
        <v>-74000</v>
      </c>
      <c r="E145" s="10">
        <v>70000</v>
      </c>
      <c r="F145" s="10">
        <v>115000</v>
      </c>
      <c r="N145" s="3">
        <v>2020</v>
      </c>
    </row>
    <row r="146" spans="1:14">
      <c r="A146" s="8" t="s">
        <v>66</v>
      </c>
      <c r="B146" s="9" t="s">
        <v>45</v>
      </c>
      <c r="C146" s="10">
        <v>35000</v>
      </c>
      <c r="D146" s="10">
        <v>-70000</v>
      </c>
      <c r="E146" s="10">
        <v>45000</v>
      </c>
      <c r="F146" s="10">
        <v>60000</v>
      </c>
    </row>
    <row r="147" spans="1:14">
      <c r="A147" s="8" t="s">
        <v>66</v>
      </c>
      <c r="B147" s="9" t="s">
        <v>46</v>
      </c>
      <c r="C147" s="10">
        <v>93000</v>
      </c>
      <c r="D147" s="10">
        <v>-78000</v>
      </c>
      <c r="E147" s="10">
        <v>70000</v>
      </c>
      <c r="F147" s="10">
        <v>101000</v>
      </c>
    </row>
    <row r="148" spans="1:14">
      <c r="A148" s="8" t="s">
        <v>66</v>
      </c>
      <c r="B148" s="9" t="s">
        <v>47</v>
      </c>
      <c r="C148" s="10">
        <v>132000</v>
      </c>
      <c r="D148" s="10">
        <v>-79000</v>
      </c>
      <c r="E148" s="10">
        <v>61000</v>
      </c>
      <c r="F148" s="10">
        <v>150000</v>
      </c>
    </row>
    <row r="149" spans="1:14">
      <c r="A149" s="8" t="s">
        <v>66</v>
      </c>
      <c r="B149" s="9" t="s">
        <v>48</v>
      </c>
      <c r="C149" s="10">
        <v>251000</v>
      </c>
      <c r="D149" s="10">
        <v>-87000</v>
      </c>
      <c r="E149" s="10">
        <v>95000</v>
      </c>
      <c r="F149" s="10">
        <v>242000</v>
      </c>
      <c r="N149" s="3">
        <v>2021</v>
      </c>
    </row>
    <row r="150" spans="1:14">
      <c r="A150" s="8" t="s">
        <v>66</v>
      </c>
      <c r="B150" s="9" t="s">
        <v>49</v>
      </c>
      <c r="C150" s="10">
        <v>384000</v>
      </c>
      <c r="D150" s="10">
        <v>-113000</v>
      </c>
      <c r="E150" s="10">
        <v>64000</v>
      </c>
      <c r="F150" s="10">
        <v>433000</v>
      </c>
    </row>
    <row r="151" spans="1:14">
      <c r="A151" s="8" t="s">
        <v>66</v>
      </c>
      <c r="B151" s="9" t="s">
        <v>50</v>
      </c>
      <c r="C151" s="10">
        <v>467000</v>
      </c>
      <c r="D151" s="10">
        <v>-69000</v>
      </c>
      <c r="E151" s="10">
        <v>15000</v>
      </c>
      <c r="F151" s="10">
        <v>522000</v>
      </c>
    </row>
    <row r="152" spans="1:14">
      <c r="A152" s="8" t="s">
        <v>66</v>
      </c>
      <c r="B152" s="9" t="s">
        <v>51</v>
      </c>
      <c r="C152" s="10">
        <v>575000</v>
      </c>
      <c r="D152" s="10">
        <v>-87000</v>
      </c>
      <c r="E152" s="10">
        <v>28000</v>
      </c>
      <c r="F152" s="10">
        <v>634000</v>
      </c>
    </row>
    <row r="153" spans="1:14">
      <c r="A153" s="8" t="s">
        <v>66</v>
      </c>
      <c r="B153" s="9" t="s">
        <v>52</v>
      </c>
      <c r="C153" s="10">
        <v>681000</v>
      </c>
      <c r="D153" s="10">
        <v>-67000</v>
      </c>
      <c r="E153" s="10">
        <v>-1000</v>
      </c>
      <c r="F153" s="10">
        <v>750000</v>
      </c>
      <c r="N153" s="3">
        <v>2022</v>
      </c>
    </row>
    <row r="154" spans="1:14">
      <c r="A154" s="8" t="s">
        <v>66</v>
      </c>
      <c r="B154" s="9" t="s">
        <v>53</v>
      </c>
      <c r="C154" s="10">
        <v>822000</v>
      </c>
      <c r="D154" s="10">
        <v>-75000</v>
      </c>
      <c r="E154" s="10">
        <v>-3000</v>
      </c>
      <c r="F154" s="10">
        <v>901000</v>
      </c>
    </row>
    <row r="155" spans="1:14">
      <c r="A155" s="8" t="s">
        <v>66</v>
      </c>
      <c r="B155" s="9" t="s">
        <v>54</v>
      </c>
      <c r="C155" s="10">
        <v>891000</v>
      </c>
      <c r="D155" s="10">
        <v>-81000</v>
      </c>
      <c r="E155" s="10">
        <v>-9000</v>
      </c>
      <c r="F155" s="10">
        <v>981000</v>
      </c>
    </row>
    <row r="156" spans="1:14">
      <c r="A156" s="8" t="s">
        <v>66</v>
      </c>
      <c r="B156" s="9" t="s">
        <v>55</v>
      </c>
      <c r="C156" s="10">
        <v>944000</v>
      </c>
      <c r="D156" s="10">
        <v>-83000</v>
      </c>
      <c r="E156" s="10">
        <v>-21000</v>
      </c>
      <c r="F156" s="10">
        <v>1047000</v>
      </c>
    </row>
    <row r="157" spans="1:14">
      <c r="A157" s="8" t="s">
        <v>66</v>
      </c>
      <c r="B157" s="9" t="s">
        <v>56</v>
      </c>
      <c r="C157" s="10">
        <v>924000</v>
      </c>
      <c r="D157" s="10">
        <v>-91000</v>
      </c>
      <c r="E157" s="10">
        <v>-30000</v>
      </c>
      <c r="F157" s="10">
        <v>1045000</v>
      </c>
      <c r="N157" s="3">
        <v>2023</v>
      </c>
    </row>
    <row r="158" spans="1:14">
      <c r="A158" s="8" t="s">
        <v>66</v>
      </c>
      <c r="B158" s="9" t="s">
        <v>57</v>
      </c>
      <c r="C158" s="10">
        <v>891000</v>
      </c>
      <c r="D158" s="10">
        <v>-97000</v>
      </c>
      <c r="E158" s="10">
        <v>-43000</v>
      </c>
      <c r="F158" s="10">
        <v>1031000</v>
      </c>
    </row>
    <row r="159" spans="1:14">
      <c r="A159" s="8" t="s">
        <v>66</v>
      </c>
      <c r="B159" s="9" t="s">
        <v>58</v>
      </c>
      <c r="C159" s="10">
        <v>848000</v>
      </c>
      <c r="D159" s="10">
        <v>-104000</v>
      </c>
      <c r="E159" s="10">
        <v>-53000</v>
      </c>
      <c r="F159" s="10">
        <v>1005000</v>
      </c>
    </row>
    <row r="160" spans="1:14">
      <c r="A160" s="8" t="s">
        <v>66</v>
      </c>
      <c r="B160" s="9" t="s">
        <v>59</v>
      </c>
      <c r="C160" s="10">
        <v>734000</v>
      </c>
      <c r="D160" s="10">
        <v>-112000</v>
      </c>
      <c r="E160" s="10">
        <v>-57000</v>
      </c>
      <c r="F160" s="10">
        <v>903000</v>
      </c>
    </row>
    <row r="161" spans="1:14">
      <c r="A161" s="8" t="s">
        <v>66</v>
      </c>
      <c r="B161" s="9" t="s">
        <v>60</v>
      </c>
      <c r="C161" s="10">
        <v>649000</v>
      </c>
      <c r="D161" s="10">
        <v>-115000</v>
      </c>
      <c r="E161" s="10">
        <v>-61000</v>
      </c>
      <c r="F161" s="10">
        <v>825000</v>
      </c>
      <c r="N161" s="3">
        <v>2024</v>
      </c>
    </row>
    <row r="162" spans="1:14">
      <c r="A162" s="8" t="s">
        <v>66</v>
      </c>
      <c r="B162" s="9" t="s">
        <v>61</v>
      </c>
      <c r="C162" s="10">
        <v>508000</v>
      </c>
      <c r="D162" s="10">
        <v>-116000</v>
      </c>
      <c r="E162" s="10">
        <v>-65000</v>
      </c>
      <c r="F162" s="10">
        <v>688000</v>
      </c>
    </row>
    <row r="163" spans="1:14">
      <c r="A163" s="8" t="s">
        <v>66</v>
      </c>
      <c r="B163" s="9" t="s">
        <v>62</v>
      </c>
      <c r="C163" s="10">
        <v>345000</v>
      </c>
      <c r="D163" s="10">
        <v>-114000</v>
      </c>
      <c r="E163" s="10">
        <v>-69000</v>
      </c>
      <c r="F163" s="10">
        <v>528000</v>
      </c>
    </row>
    <row r="164" spans="1:14">
      <c r="A164" s="8" t="s">
        <v>66</v>
      </c>
      <c r="B164" s="9" t="s">
        <v>63</v>
      </c>
      <c r="C164" s="10">
        <v>256000</v>
      </c>
      <c r="D164" s="10">
        <v>-112000</v>
      </c>
      <c r="E164" s="10">
        <v>-71000</v>
      </c>
      <c r="F164" s="10">
        <v>439000</v>
      </c>
    </row>
    <row r="165" spans="1:14">
      <c r="A165" s="8" t="s">
        <v>66</v>
      </c>
      <c r="B165" s="9" t="s">
        <v>64</v>
      </c>
      <c r="C165" s="10">
        <v>204000</v>
      </c>
      <c r="D165" s="10">
        <v>-109000</v>
      </c>
      <c r="E165" s="10">
        <v>-70000</v>
      </c>
      <c r="F165" s="10">
        <v>383000</v>
      </c>
      <c r="N165" s="3">
        <v>2025</v>
      </c>
    </row>
    <row r="166" spans="1:14">
      <c r="A166" s="8"/>
    </row>
  </sheetData>
  <pageMargins left="0.70866141732283472" right="0.70866141732283472" top="0.74803149606299213" bottom="0.74803149606299213" header="0.31496062992125984" footer="0.31496062992125984"/>
  <pageSetup paperSize="9" scale="56" fitToHeight="0" orientation="portrait" r:id="rId1"/>
  <rowBreaks count="2" manualBreakCount="2">
    <brk id="59" max="16383" man="1"/>
    <brk id="112" max="16383" man="1"/>
  </rowBreaks>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5B0DA-9C31-49C7-B2C0-03CD0606CF2B}">
  <sheetPr>
    <pageSetUpPr fitToPage="1"/>
  </sheetPr>
  <dimension ref="A1:Q58"/>
  <sheetViews>
    <sheetView zoomScaleNormal="100" workbookViewId="0">
      <pane xSplit="2" ySplit="6" topLeftCell="C24" activePane="bottomRight" state="frozen"/>
      <selection pane="topRight" activeCell="C1" sqref="C1"/>
      <selection pane="bottomLeft" activeCell="A7" sqref="A7"/>
      <selection pane="bottomRight" activeCell="C23" sqref="C23"/>
    </sheetView>
  </sheetViews>
  <sheetFormatPr defaultColWidth="8.7109375" defaultRowHeight="15"/>
  <cols>
    <col min="1" max="2" width="15.7109375" style="3" customWidth="1"/>
    <col min="3" max="3" width="16.7109375" style="3" customWidth="1"/>
    <col min="4" max="4" width="20.28515625" style="3" customWidth="1"/>
    <col min="5" max="5" width="25.140625" style="3" customWidth="1"/>
    <col min="6" max="6" width="21.28515625" style="4" customWidth="1"/>
    <col min="7" max="7" width="20.7109375" style="4" customWidth="1"/>
    <col min="8" max="8" width="25.7109375" style="3" customWidth="1"/>
    <col min="9" max="9" width="21.7109375" style="3" customWidth="1"/>
    <col min="10" max="13" width="16.7109375" style="3" customWidth="1"/>
    <col min="14" max="16384" width="8.7109375" style="3"/>
  </cols>
  <sheetData>
    <row r="1" spans="1:17" ht="18" customHeight="1">
      <c r="A1" s="1" t="s">
        <v>67</v>
      </c>
      <c r="B1" s="11"/>
      <c r="C1" s="11"/>
      <c r="D1" s="11"/>
      <c r="E1" s="11"/>
      <c r="F1" s="11"/>
      <c r="G1" s="11"/>
      <c r="H1" s="11"/>
      <c r="I1" s="11"/>
      <c r="J1" s="11"/>
      <c r="K1" s="11"/>
      <c r="L1" s="11"/>
    </row>
    <row r="2" spans="1:17" ht="36" customHeight="1">
      <c r="A2" s="330" t="s">
        <v>68</v>
      </c>
      <c r="B2" s="331"/>
      <c r="C2" s="331"/>
      <c r="D2" s="331"/>
      <c r="E2" s="331"/>
      <c r="F2" s="331"/>
      <c r="G2" s="331"/>
      <c r="H2" s="331"/>
      <c r="I2" s="331"/>
      <c r="J2" s="331"/>
      <c r="K2" s="331"/>
      <c r="L2" s="331"/>
    </row>
    <row r="3" spans="1:17" ht="15" customHeight="1">
      <c r="A3" s="5" t="s">
        <v>69</v>
      </c>
      <c r="B3" s="12"/>
      <c r="C3" s="11"/>
      <c r="D3" s="11"/>
      <c r="E3" s="11"/>
      <c r="F3" s="13"/>
      <c r="G3" s="13"/>
      <c r="H3" s="11"/>
      <c r="I3" s="11"/>
      <c r="J3" s="11"/>
      <c r="K3" s="11"/>
      <c r="L3" s="11"/>
      <c r="M3" s="11"/>
    </row>
    <row r="4" spans="1:17" ht="15" customHeight="1">
      <c r="A4" s="5" t="s">
        <v>3</v>
      </c>
      <c r="B4" s="14"/>
      <c r="C4" s="11"/>
      <c r="D4" s="11"/>
      <c r="E4" s="11"/>
      <c r="F4" s="11"/>
      <c r="G4" s="11"/>
      <c r="H4" s="11"/>
      <c r="I4" s="11"/>
      <c r="J4" s="11"/>
      <c r="K4" s="11"/>
      <c r="L4" s="11"/>
      <c r="M4" s="11"/>
    </row>
    <row r="5" spans="1:17" ht="30" customHeight="1">
      <c r="A5" s="5" t="s">
        <v>70</v>
      </c>
      <c r="B5" s="14"/>
      <c r="C5" s="11"/>
      <c r="D5" s="11"/>
      <c r="E5" s="11"/>
      <c r="F5" s="11"/>
      <c r="G5" s="11"/>
      <c r="H5" s="11"/>
      <c r="I5" s="11"/>
      <c r="J5" s="11"/>
      <c r="K5" s="11"/>
      <c r="L5" s="11"/>
      <c r="M5" s="11"/>
    </row>
    <row r="6" spans="1:17" ht="43.5" customHeight="1">
      <c r="A6" s="15" t="s">
        <v>5</v>
      </c>
      <c r="B6" s="15" t="s">
        <v>6</v>
      </c>
      <c r="C6" s="16" t="s">
        <v>71</v>
      </c>
      <c r="D6" s="16" t="s">
        <v>72</v>
      </c>
      <c r="E6" s="16" t="s">
        <v>73</v>
      </c>
      <c r="F6" s="16" t="s">
        <v>74</v>
      </c>
      <c r="G6" s="16" t="s">
        <v>75</v>
      </c>
      <c r="H6" s="16" t="s">
        <v>76</v>
      </c>
      <c r="I6" s="16" t="s">
        <v>77</v>
      </c>
      <c r="J6" s="16" t="s">
        <v>78</v>
      </c>
      <c r="K6" s="16" t="s">
        <v>79</v>
      </c>
      <c r="L6" s="16" t="s">
        <v>80</v>
      </c>
      <c r="M6" s="11"/>
      <c r="P6" s="3" t="s">
        <v>446</v>
      </c>
      <c r="Q6" s="3" t="s">
        <v>447</v>
      </c>
    </row>
    <row r="7" spans="1:17" ht="15" customHeight="1">
      <c r="A7" s="8" t="s">
        <v>11</v>
      </c>
      <c r="B7" s="9" t="s">
        <v>81</v>
      </c>
      <c r="C7" s="17">
        <v>5000</v>
      </c>
      <c r="D7" s="17">
        <v>5000</v>
      </c>
      <c r="E7" s="17">
        <v>4000</v>
      </c>
      <c r="F7" s="17">
        <v>0</v>
      </c>
      <c r="G7" s="17">
        <v>0</v>
      </c>
      <c r="H7" s="17">
        <v>0</v>
      </c>
      <c r="I7" s="17">
        <v>0</v>
      </c>
      <c r="J7" s="17">
        <v>0</v>
      </c>
      <c r="K7" s="17">
        <v>0</v>
      </c>
      <c r="L7" s="17">
        <v>0</v>
      </c>
      <c r="M7" s="11"/>
      <c r="P7" s="3">
        <v>2021</v>
      </c>
    </row>
    <row r="8" spans="1:17" ht="15" customHeight="1">
      <c r="A8" s="8" t="s">
        <v>11</v>
      </c>
      <c r="B8" s="9" t="s">
        <v>82</v>
      </c>
      <c r="C8" s="17">
        <v>20000</v>
      </c>
      <c r="D8" s="17">
        <v>10000</v>
      </c>
      <c r="E8" s="17">
        <v>9000</v>
      </c>
      <c r="F8" s="17">
        <v>2000</v>
      </c>
      <c r="G8" s="17">
        <v>9000</v>
      </c>
      <c r="H8" s="17">
        <v>9000</v>
      </c>
      <c r="I8" s="17">
        <v>0</v>
      </c>
      <c r="J8" s="17">
        <v>0</v>
      </c>
      <c r="K8" s="17">
        <v>0</v>
      </c>
      <c r="L8" s="17">
        <v>0</v>
      </c>
      <c r="M8" s="11"/>
    </row>
    <row r="9" spans="1:17" ht="15" customHeight="1">
      <c r="A9" s="8" t="s">
        <v>11</v>
      </c>
      <c r="B9" s="9" t="s">
        <v>83</v>
      </c>
      <c r="C9" s="17">
        <v>25000</v>
      </c>
      <c r="D9" s="17">
        <v>14000</v>
      </c>
      <c r="E9" s="17">
        <v>12000</v>
      </c>
      <c r="F9" s="17">
        <v>2000</v>
      </c>
      <c r="G9" s="17">
        <v>10000</v>
      </c>
      <c r="H9" s="17">
        <v>10000</v>
      </c>
      <c r="I9" s="17">
        <v>0</v>
      </c>
      <c r="J9" s="17">
        <v>0</v>
      </c>
      <c r="K9" s="17">
        <v>0</v>
      </c>
      <c r="L9" s="17">
        <v>0</v>
      </c>
      <c r="M9" s="11"/>
    </row>
    <row r="10" spans="1:17" ht="15" customHeight="1">
      <c r="A10" s="8" t="s">
        <v>11</v>
      </c>
      <c r="B10" s="9" t="s">
        <v>84</v>
      </c>
      <c r="C10" s="17">
        <v>30000</v>
      </c>
      <c r="D10" s="17">
        <v>18000</v>
      </c>
      <c r="E10" s="17">
        <v>15000</v>
      </c>
      <c r="F10" s="17">
        <v>3000</v>
      </c>
      <c r="G10" s="17">
        <v>11000</v>
      </c>
      <c r="H10" s="17">
        <v>11000</v>
      </c>
      <c r="I10" s="17">
        <v>0</v>
      </c>
      <c r="J10" s="17">
        <v>1000</v>
      </c>
      <c r="K10" s="17">
        <v>0</v>
      </c>
      <c r="L10" s="17">
        <v>0</v>
      </c>
      <c r="M10" s="11"/>
    </row>
    <row r="11" spans="1:17" ht="15" customHeight="1">
      <c r="A11" s="8" t="s">
        <v>11</v>
      </c>
      <c r="B11" s="9" t="s">
        <v>85</v>
      </c>
      <c r="C11" s="17">
        <v>30000</v>
      </c>
      <c r="D11" s="17">
        <v>18000</v>
      </c>
      <c r="E11" s="17">
        <v>15000</v>
      </c>
      <c r="F11" s="17">
        <v>3000</v>
      </c>
      <c r="G11" s="17">
        <v>11000</v>
      </c>
      <c r="H11" s="17">
        <v>11000</v>
      </c>
      <c r="I11" s="17">
        <v>0</v>
      </c>
      <c r="J11" s="17">
        <v>1000</v>
      </c>
      <c r="K11" s="17">
        <v>0</v>
      </c>
      <c r="L11" s="17">
        <v>0</v>
      </c>
      <c r="M11" s="11"/>
      <c r="P11" s="3">
        <v>2022</v>
      </c>
    </row>
    <row r="12" spans="1:17" ht="15" customHeight="1">
      <c r="A12" s="8" t="s">
        <v>11</v>
      </c>
      <c r="B12" s="9" t="s">
        <v>86</v>
      </c>
      <c r="C12" s="17">
        <v>32000</v>
      </c>
      <c r="D12" s="17">
        <v>19000</v>
      </c>
      <c r="E12" s="17">
        <v>15000</v>
      </c>
      <c r="F12" s="17">
        <v>4000</v>
      </c>
      <c r="G12" s="17">
        <v>12000</v>
      </c>
      <c r="H12" s="17">
        <v>12000</v>
      </c>
      <c r="I12" s="17">
        <v>0</v>
      </c>
      <c r="J12" s="17">
        <v>1000</v>
      </c>
      <c r="K12" s="17">
        <v>0</v>
      </c>
      <c r="L12" s="17">
        <v>0</v>
      </c>
      <c r="M12" s="11"/>
    </row>
    <row r="13" spans="1:17" ht="15" customHeight="1">
      <c r="A13" s="8" t="s">
        <v>11</v>
      </c>
      <c r="B13" s="9" t="s">
        <v>87</v>
      </c>
      <c r="C13" s="17">
        <v>32000</v>
      </c>
      <c r="D13" s="17">
        <v>19000</v>
      </c>
      <c r="E13" s="17">
        <v>15000</v>
      </c>
      <c r="F13" s="17">
        <v>4000</v>
      </c>
      <c r="G13" s="17">
        <v>11000</v>
      </c>
      <c r="H13" s="17">
        <v>11000</v>
      </c>
      <c r="I13" s="17">
        <v>0</v>
      </c>
      <c r="J13" s="17">
        <v>1000</v>
      </c>
      <c r="K13" s="17">
        <v>0</v>
      </c>
      <c r="L13" s="17">
        <v>0</v>
      </c>
      <c r="M13" s="11"/>
    </row>
    <row r="14" spans="1:17" ht="15" customHeight="1">
      <c r="A14" s="8" t="s">
        <v>11</v>
      </c>
      <c r="B14" s="9" t="s">
        <v>88</v>
      </c>
      <c r="C14" s="17">
        <v>32000</v>
      </c>
      <c r="D14" s="17">
        <v>19000</v>
      </c>
      <c r="E14" s="17">
        <v>15000</v>
      </c>
      <c r="F14" s="17">
        <v>4000</v>
      </c>
      <c r="G14" s="17">
        <v>11000</v>
      </c>
      <c r="H14" s="17">
        <v>11000</v>
      </c>
      <c r="I14" s="17">
        <v>0</v>
      </c>
      <c r="J14" s="17">
        <v>1000</v>
      </c>
      <c r="K14" s="17">
        <v>0</v>
      </c>
      <c r="L14" s="17">
        <v>0</v>
      </c>
      <c r="M14" s="11"/>
    </row>
    <row r="15" spans="1:17" ht="15" customHeight="1">
      <c r="A15" s="8" t="s">
        <v>11</v>
      </c>
      <c r="B15" s="9" t="s">
        <v>89</v>
      </c>
      <c r="C15" s="17">
        <v>32000</v>
      </c>
      <c r="D15" s="17">
        <v>18000</v>
      </c>
      <c r="E15" s="17">
        <v>14000</v>
      </c>
      <c r="F15" s="17">
        <v>4000</v>
      </c>
      <c r="G15" s="17">
        <v>11000</v>
      </c>
      <c r="H15" s="17">
        <v>11000</v>
      </c>
      <c r="I15" s="17">
        <v>0</v>
      </c>
      <c r="J15" s="17">
        <v>2000</v>
      </c>
      <c r="K15" s="17">
        <v>0</v>
      </c>
      <c r="L15" s="17">
        <v>0</v>
      </c>
      <c r="M15" s="11"/>
      <c r="P15" s="3">
        <v>2023</v>
      </c>
    </row>
    <row r="16" spans="1:17" ht="15" customHeight="1">
      <c r="A16" s="8" t="s">
        <v>11</v>
      </c>
      <c r="B16" s="9" t="s">
        <v>90</v>
      </c>
      <c r="C16" s="17">
        <v>32000</v>
      </c>
      <c r="D16" s="17">
        <v>17000</v>
      </c>
      <c r="E16" s="17">
        <v>13000</v>
      </c>
      <c r="F16" s="17">
        <v>4000</v>
      </c>
      <c r="G16" s="17">
        <v>12000</v>
      </c>
      <c r="H16" s="17">
        <v>12000</v>
      </c>
      <c r="I16" s="17">
        <v>0</v>
      </c>
      <c r="J16" s="17">
        <v>2000</v>
      </c>
      <c r="K16" s="17">
        <v>0</v>
      </c>
      <c r="L16" s="17">
        <v>0</v>
      </c>
      <c r="M16" s="11"/>
    </row>
    <row r="17" spans="1:17" ht="15" customHeight="1">
      <c r="A17" s="8" t="s">
        <v>11</v>
      </c>
      <c r="B17" s="9" t="s">
        <v>91</v>
      </c>
      <c r="C17" s="17">
        <v>31000</v>
      </c>
      <c r="D17" s="17">
        <v>17000</v>
      </c>
      <c r="E17" s="17">
        <v>13000</v>
      </c>
      <c r="F17" s="17">
        <v>4000</v>
      </c>
      <c r="G17" s="17">
        <v>12000</v>
      </c>
      <c r="H17" s="17">
        <v>11000</v>
      </c>
      <c r="I17" s="17">
        <v>0</v>
      </c>
      <c r="J17" s="17">
        <v>2000</v>
      </c>
      <c r="K17" s="17">
        <v>0</v>
      </c>
      <c r="L17" s="17">
        <v>0</v>
      </c>
      <c r="M17" s="11"/>
    </row>
    <row r="18" spans="1:17" ht="15" customHeight="1">
      <c r="A18" s="8" t="s">
        <v>11</v>
      </c>
      <c r="B18" s="9" t="s">
        <v>92</v>
      </c>
      <c r="C18" s="17">
        <v>31000</v>
      </c>
      <c r="D18" s="17">
        <v>16000</v>
      </c>
      <c r="E18" s="17">
        <v>12000</v>
      </c>
      <c r="F18" s="17">
        <v>4000</v>
      </c>
      <c r="G18" s="17">
        <v>11000</v>
      </c>
      <c r="H18" s="17">
        <v>11000</v>
      </c>
      <c r="I18" s="17">
        <v>0</v>
      </c>
      <c r="J18" s="17">
        <v>3000</v>
      </c>
      <c r="K18" s="17">
        <v>0</v>
      </c>
      <c r="L18" s="17">
        <v>0</v>
      </c>
      <c r="M18" s="11"/>
    </row>
    <row r="19" spans="1:17" ht="15" customHeight="1">
      <c r="A19" s="8" t="s">
        <v>11</v>
      </c>
      <c r="B19" s="9" t="s">
        <v>93</v>
      </c>
      <c r="C19" s="17">
        <v>31000</v>
      </c>
      <c r="D19" s="17">
        <v>16000</v>
      </c>
      <c r="E19" s="17">
        <v>12000</v>
      </c>
      <c r="F19" s="17">
        <v>4000</v>
      </c>
      <c r="G19" s="17">
        <v>12000</v>
      </c>
      <c r="H19" s="17">
        <v>11000</v>
      </c>
      <c r="I19" s="17">
        <v>0</v>
      </c>
      <c r="J19" s="17">
        <v>3000</v>
      </c>
      <c r="K19" s="17">
        <v>0</v>
      </c>
      <c r="L19" s="17">
        <v>0</v>
      </c>
      <c r="M19" s="11"/>
      <c r="P19" s="3">
        <v>2024</v>
      </c>
    </row>
    <row r="20" spans="1:17" ht="15" customHeight="1">
      <c r="A20" s="8" t="s">
        <v>11</v>
      </c>
      <c r="B20" s="9" t="s">
        <v>94</v>
      </c>
      <c r="C20" s="17">
        <v>33000</v>
      </c>
      <c r="D20" s="17">
        <v>16000</v>
      </c>
      <c r="E20" s="17">
        <v>12000</v>
      </c>
      <c r="F20" s="17">
        <v>4000</v>
      </c>
      <c r="G20" s="17">
        <v>13000</v>
      </c>
      <c r="H20" s="17">
        <v>13000</v>
      </c>
      <c r="I20" s="17">
        <v>0</v>
      </c>
      <c r="J20" s="17">
        <v>3000</v>
      </c>
      <c r="K20" s="17">
        <v>0</v>
      </c>
      <c r="L20" s="17">
        <v>0</v>
      </c>
      <c r="M20" s="11"/>
    </row>
    <row r="21" spans="1:17" ht="15" customHeight="1">
      <c r="A21" s="8" t="s">
        <v>11</v>
      </c>
      <c r="B21" s="9" t="s">
        <v>95</v>
      </c>
      <c r="C21" s="17">
        <v>33000</v>
      </c>
      <c r="D21" s="17">
        <v>16000</v>
      </c>
      <c r="E21" s="17">
        <v>12000</v>
      </c>
      <c r="F21" s="17">
        <v>4000</v>
      </c>
      <c r="G21" s="17">
        <v>13000</v>
      </c>
      <c r="H21" s="17">
        <v>13000</v>
      </c>
      <c r="I21" s="17">
        <v>0</v>
      </c>
      <c r="J21" s="17">
        <v>3000</v>
      </c>
      <c r="K21" s="17">
        <v>0</v>
      </c>
      <c r="L21" s="17">
        <v>0</v>
      </c>
      <c r="M21" s="11"/>
    </row>
    <row r="22" spans="1:17" ht="15" customHeight="1">
      <c r="A22" s="8" t="s">
        <v>11</v>
      </c>
      <c r="B22" s="9" t="s">
        <v>63</v>
      </c>
      <c r="C22" s="17">
        <v>33000</v>
      </c>
      <c r="D22" s="17">
        <v>16000</v>
      </c>
      <c r="E22" s="17">
        <v>12000</v>
      </c>
      <c r="F22" s="17">
        <v>4000</v>
      </c>
      <c r="G22" s="17">
        <v>13000</v>
      </c>
      <c r="H22" s="17">
        <v>13000</v>
      </c>
      <c r="I22" s="17">
        <v>0</v>
      </c>
      <c r="J22" s="17">
        <v>3000</v>
      </c>
      <c r="K22" s="17">
        <v>0</v>
      </c>
      <c r="L22" s="17">
        <v>0</v>
      </c>
      <c r="M22" s="11"/>
    </row>
    <row r="23" spans="1:17" ht="30" customHeight="1">
      <c r="A23" s="8" t="s">
        <v>11</v>
      </c>
      <c r="B23" s="9" t="s">
        <v>64</v>
      </c>
      <c r="C23" s="17">
        <v>32000</v>
      </c>
      <c r="D23" s="17">
        <v>16000</v>
      </c>
      <c r="E23" s="17">
        <v>12000</v>
      </c>
      <c r="F23" s="17">
        <v>4000</v>
      </c>
      <c r="G23" s="17">
        <v>13000</v>
      </c>
      <c r="H23" s="17">
        <v>13000</v>
      </c>
      <c r="I23" s="17">
        <v>0</v>
      </c>
      <c r="J23" s="17">
        <v>3000</v>
      </c>
      <c r="K23" s="17">
        <v>0</v>
      </c>
      <c r="L23" s="17">
        <v>0</v>
      </c>
      <c r="M23" s="11"/>
      <c r="P23" s="3">
        <v>2025</v>
      </c>
    </row>
    <row r="24" spans="1:17" ht="15" customHeight="1">
      <c r="A24" s="8" t="s">
        <v>65</v>
      </c>
      <c r="B24" s="9" t="s">
        <v>81</v>
      </c>
      <c r="C24" s="17">
        <v>0</v>
      </c>
      <c r="D24" s="17">
        <v>0</v>
      </c>
      <c r="E24" s="17">
        <v>0</v>
      </c>
      <c r="F24" s="17">
        <v>0</v>
      </c>
      <c r="G24" s="17">
        <v>0</v>
      </c>
      <c r="H24" s="17">
        <v>0</v>
      </c>
      <c r="I24" s="17">
        <v>0</v>
      </c>
      <c r="J24" s="17">
        <v>0</v>
      </c>
      <c r="K24" s="17">
        <v>0</v>
      </c>
      <c r="L24" s="17">
        <v>0</v>
      </c>
      <c r="M24" s="11"/>
      <c r="Q24" s="3">
        <v>2021</v>
      </c>
    </row>
    <row r="25" spans="1:17" ht="15" customHeight="1">
      <c r="A25" s="8" t="s">
        <v>65</v>
      </c>
      <c r="B25" s="9" t="s">
        <v>82</v>
      </c>
      <c r="C25" s="17">
        <v>0</v>
      </c>
      <c r="D25" s="17">
        <v>0</v>
      </c>
      <c r="E25" s="17">
        <v>0</v>
      </c>
      <c r="F25" s="17">
        <v>0</v>
      </c>
      <c r="G25" s="17">
        <v>0</v>
      </c>
      <c r="H25" s="17">
        <v>0</v>
      </c>
      <c r="I25" s="17">
        <v>0</v>
      </c>
      <c r="J25" s="17">
        <v>0</v>
      </c>
      <c r="K25" s="17">
        <v>0</v>
      </c>
      <c r="L25" s="17">
        <v>0</v>
      </c>
      <c r="M25" s="11"/>
    </row>
    <row r="26" spans="1:17" ht="15" customHeight="1">
      <c r="A26" s="8" t="s">
        <v>65</v>
      </c>
      <c r="B26" s="9" t="s">
        <v>83</v>
      </c>
      <c r="C26" s="17">
        <v>0</v>
      </c>
      <c r="D26" s="17">
        <v>0</v>
      </c>
      <c r="E26" s="17">
        <v>0</v>
      </c>
      <c r="F26" s="17">
        <v>0</v>
      </c>
      <c r="G26" s="17">
        <v>0</v>
      </c>
      <c r="H26" s="17">
        <v>0</v>
      </c>
      <c r="I26" s="17">
        <v>0</v>
      </c>
      <c r="J26" s="17">
        <v>0</v>
      </c>
      <c r="K26" s="17">
        <v>0</v>
      </c>
      <c r="L26" s="17">
        <v>0</v>
      </c>
      <c r="M26" s="11"/>
    </row>
    <row r="27" spans="1:17" ht="15" customHeight="1">
      <c r="A27" s="8" t="s">
        <v>65</v>
      </c>
      <c r="B27" s="9" t="s">
        <v>84</v>
      </c>
      <c r="C27" s="17">
        <v>0</v>
      </c>
      <c r="D27" s="17">
        <v>0</v>
      </c>
      <c r="E27" s="17">
        <v>0</v>
      </c>
      <c r="F27" s="17">
        <v>0</v>
      </c>
      <c r="G27" s="17">
        <v>0</v>
      </c>
      <c r="H27" s="17">
        <v>0</v>
      </c>
      <c r="I27" s="17">
        <v>0</v>
      </c>
      <c r="J27" s="17">
        <v>0</v>
      </c>
      <c r="K27" s="17">
        <v>0</v>
      </c>
      <c r="L27" s="17">
        <v>0</v>
      </c>
      <c r="M27" s="11"/>
    </row>
    <row r="28" spans="1:17" ht="15" customHeight="1">
      <c r="A28" s="8" t="s">
        <v>65</v>
      </c>
      <c r="B28" s="9" t="s">
        <v>85</v>
      </c>
      <c r="C28" s="17">
        <v>0</v>
      </c>
      <c r="D28" s="17">
        <v>0</v>
      </c>
      <c r="E28" s="17">
        <v>0</v>
      </c>
      <c r="F28" s="17">
        <v>0</v>
      </c>
      <c r="G28" s="17">
        <v>0</v>
      </c>
      <c r="H28" s="17">
        <v>0</v>
      </c>
      <c r="I28" s="17">
        <v>0</v>
      </c>
      <c r="J28" s="17">
        <v>0</v>
      </c>
      <c r="K28" s="17">
        <v>0</v>
      </c>
      <c r="L28" s="17">
        <v>0</v>
      </c>
      <c r="M28" s="11"/>
      <c r="Q28" s="3">
        <v>2022</v>
      </c>
    </row>
    <row r="29" spans="1:17" ht="15" customHeight="1">
      <c r="A29" s="8" t="s">
        <v>65</v>
      </c>
      <c r="B29" s="9" t="s">
        <v>86</v>
      </c>
      <c r="C29" s="17">
        <v>1000</v>
      </c>
      <c r="D29" s="17">
        <v>0</v>
      </c>
      <c r="E29" s="17">
        <v>0</v>
      </c>
      <c r="F29" s="17">
        <v>0</v>
      </c>
      <c r="G29" s="17">
        <v>0</v>
      </c>
      <c r="H29" s="17">
        <v>0</v>
      </c>
      <c r="I29" s="17">
        <v>0</v>
      </c>
      <c r="J29" s="17">
        <v>0</v>
      </c>
      <c r="K29" s="17">
        <v>0</v>
      </c>
      <c r="L29" s="17">
        <v>0</v>
      </c>
      <c r="M29" s="11"/>
    </row>
    <row r="30" spans="1:17" ht="15" customHeight="1">
      <c r="A30" s="8" t="s">
        <v>65</v>
      </c>
      <c r="B30" s="9" t="s">
        <v>87</v>
      </c>
      <c r="C30" s="17">
        <v>2000</v>
      </c>
      <c r="D30" s="17">
        <v>1000</v>
      </c>
      <c r="E30" s="17">
        <v>1000</v>
      </c>
      <c r="F30" s="17">
        <v>0</v>
      </c>
      <c r="G30" s="17">
        <v>1000</v>
      </c>
      <c r="H30" s="17">
        <v>1000</v>
      </c>
      <c r="I30" s="17">
        <v>0</v>
      </c>
      <c r="J30" s="17">
        <v>0</v>
      </c>
      <c r="K30" s="17">
        <v>0</v>
      </c>
      <c r="L30" s="17">
        <v>0</v>
      </c>
      <c r="M30" s="11"/>
    </row>
    <row r="31" spans="1:17" ht="15" customHeight="1">
      <c r="A31" s="8" t="s">
        <v>65</v>
      </c>
      <c r="B31" s="9" t="s">
        <v>88</v>
      </c>
      <c r="C31" s="17">
        <v>3000</v>
      </c>
      <c r="D31" s="17">
        <v>1000</v>
      </c>
      <c r="E31" s="17">
        <v>1000</v>
      </c>
      <c r="F31" s="17">
        <v>0</v>
      </c>
      <c r="G31" s="17">
        <v>2000</v>
      </c>
      <c r="H31" s="17">
        <v>2000</v>
      </c>
      <c r="I31" s="17">
        <v>0</v>
      </c>
      <c r="J31" s="17">
        <v>0</v>
      </c>
      <c r="K31" s="17">
        <v>0</v>
      </c>
      <c r="L31" s="17">
        <v>0</v>
      </c>
      <c r="M31" s="11"/>
    </row>
    <row r="32" spans="1:17" ht="15" customHeight="1">
      <c r="A32" s="8" t="s">
        <v>65</v>
      </c>
      <c r="B32" s="9" t="s">
        <v>89</v>
      </c>
      <c r="C32" s="17">
        <v>5000</v>
      </c>
      <c r="D32" s="17">
        <v>2000</v>
      </c>
      <c r="E32" s="17">
        <v>2000</v>
      </c>
      <c r="F32" s="17">
        <v>0</v>
      </c>
      <c r="G32" s="17">
        <v>2000</v>
      </c>
      <c r="H32" s="17">
        <v>2000</v>
      </c>
      <c r="I32" s="17">
        <v>0</v>
      </c>
      <c r="J32" s="17">
        <v>0</v>
      </c>
      <c r="K32" s="17">
        <v>0</v>
      </c>
      <c r="L32" s="17">
        <v>0</v>
      </c>
      <c r="M32" s="11"/>
      <c r="Q32" s="3">
        <v>2023</v>
      </c>
    </row>
    <row r="33" spans="1:17" ht="15" customHeight="1">
      <c r="A33" s="8" t="s">
        <v>65</v>
      </c>
      <c r="B33" s="9" t="s">
        <v>90</v>
      </c>
      <c r="C33" s="17">
        <v>6000</v>
      </c>
      <c r="D33" s="17">
        <v>3000</v>
      </c>
      <c r="E33" s="17">
        <v>2000</v>
      </c>
      <c r="F33" s="17">
        <v>0</v>
      </c>
      <c r="G33" s="17">
        <v>3000</v>
      </c>
      <c r="H33" s="17">
        <v>3000</v>
      </c>
      <c r="I33" s="17">
        <v>0</v>
      </c>
      <c r="J33" s="17">
        <v>0</v>
      </c>
      <c r="K33" s="17">
        <v>0</v>
      </c>
      <c r="L33" s="17">
        <v>0</v>
      </c>
      <c r="M33" s="11"/>
    </row>
    <row r="34" spans="1:17" ht="15" customHeight="1">
      <c r="A34" s="8" t="s">
        <v>65</v>
      </c>
      <c r="B34" s="9" t="s">
        <v>91</v>
      </c>
      <c r="C34" s="17">
        <v>7000</v>
      </c>
      <c r="D34" s="17">
        <v>4000</v>
      </c>
      <c r="E34" s="17">
        <v>3000</v>
      </c>
      <c r="F34" s="17">
        <v>1000</v>
      </c>
      <c r="G34" s="17">
        <v>4000</v>
      </c>
      <c r="H34" s="17">
        <v>4000</v>
      </c>
      <c r="I34" s="17">
        <v>0</v>
      </c>
      <c r="J34" s="17">
        <v>0</v>
      </c>
      <c r="K34" s="17">
        <v>0</v>
      </c>
      <c r="L34" s="17">
        <v>0</v>
      </c>
      <c r="M34" s="11"/>
    </row>
    <row r="35" spans="1:17" ht="15" customHeight="1">
      <c r="A35" s="8" t="s">
        <v>65</v>
      </c>
      <c r="B35" s="9" t="s">
        <v>92</v>
      </c>
      <c r="C35" s="17">
        <v>8000</v>
      </c>
      <c r="D35" s="17">
        <v>4000</v>
      </c>
      <c r="E35" s="17">
        <v>4000</v>
      </c>
      <c r="F35" s="17">
        <v>1000</v>
      </c>
      <c r="G35" s="17">
        <v>4000</v>
      </c>
      <c r="H35" s="17">
        <v>4000</v>
      </c>
      <c r="I35" s="17">
        <v>0</v>
      </c>
      <c r="J35" s="17">
        <v>0</v>
      </c>
      <c r="K35" s="17">
        <v>0</v>
      </c>
      <c r="L35" s="17">
        <v>0</v>
      </c>
      <c r="M35" s="11"/>
    </row>
    <row r="36" spans="1:17" ht="15" customHeight="1">
      <c r="A36" s="8" t="s">
        <v>65</v>
      </c>
      <c r="B36" s="9" t="s">
        <v>93</v>
      </c>
      <c r="C36" s="17">
        <v>10000</v>
      </c>
      <c r="D36" s="17">
        <v>5000</v>
      </c>
      <c r="E36" s="17">
        <v>4000</v>
      </c>
      <c r="F36" s="17">
        <v>1000</v>
      </c>
      <c r="G36" s="17">
        <v>5000</v>
      </c>
      <c r="H36" s="17">
        <v>4000</v>
      </c>
      <c r="I36" s="17">
        <v>0</v>
      </c>
      <c r="J36" s="17">
        <v>0</v>
      </c>
      <c r="K36" s="17">
        <v>0</v>
      </c>
      <c r="L36" s="17">
        <v>0</v>
      </c>
      <c r="M36" s="11"/>
      <c r="Q36" s="3">
        <v>2024</v>
      </c>
    </row>
    <row r="37" spans="1:17" ht="15" customHeight="1">
      <c r="A37" s="8" t="s">
        <v>65</v>
      </c>
      <c r="B37" s="9" t="s">
        <v>94</v>
      </c>
      <c r="C37" s="17">
        <v>11000</v>
      </c>
      <c r="D37" s="17">
        <v>5000</v>
      </c>
      <c r="E37" s="17">
        <v>4000</v>
      </c>
      <c r="F37" s="17">
        <v>1000</v>
      </c>
      <c r="G37" s="17">
        <v>5000</v>
      </c>
      <c r="H37" s="17">
        <v>5000</v>
      </c>
      <c r="I37" s="17">
        <v>0</v>
      </c>
      <c r="J37" s="17">
        <v>0</v>
      </c>
      <c r="K37" s="17">
        <v>0</v>
      </c>
      <c r="L37" s="17">
        <v>0</v>
      </c>
      <c r="M37" s="11"/>
    </row>
    <row r="38" spans="1:17" ht="15" customHeight="1">
      <c r="A38" s="8" t="s">
        <v>65</v>
      </c>
      <c r="B38" s="9" t="s">
        <v>95</v>
      </c>
      <c r="C38" s="17">
        <v>11000</v>
      </c>
      <c r="D38" s="17">
        <v>5000</v>
      </c>
      <c r="E38" s="17">
        <v>4000</v>
      </c>
      <c r="F38" s="17">
        <v>1000</v>
      </c>
      <c r="G38" s="17">
        <v>5000</v>
      </c>
      <c r="H38" s="17">
        <v>5000</v>
      </c>
      <c r="I38" s="17">
        <v>0</v>
      </c>
      <c r="J38" s="17">
        <v>0</v>
      </c>
      <c r="K38" s="17">
        <v>0</v>
      </c>
      <c r="L38" s="17">
        <v>0</v>
      </c>
      <c r="M38" s="11"/>
    </row>
    <row r="39" spans="1:17" ht="15" customHeight="1">
      <c r="A39" s="8" t="s">
        <v>65</v>
      </c>
      <c r="B39" s="9" t="s">
        <v>63</v>
      </c>
      <c r="C39" s="17">
        <v>11000</v>
      </c>
      <c r="D39" s="17">
        <v>5000</v>
      </c>
      <c r="E39" s="17">
        <v>4000</v>
      </c>
      <c r="F39" s="17">
        <v>1000</v>
      </c>
      <c r="G39" s="17">
        <v>5000</v>
      </c>
      <c r="H39" s="17">
        <v>5000</v>
      </c>
      <c r="I39" s="17">
        <v>0</v>
      </c>
      <c r="J39" s="17">
        <v>0</v>
      </c>
      <c r="K39" s="17">
        <v>0</v>
      </c>
      <c r="L39" s="17">
        <v>0</v>
      </c>
      <c r="M39" s="11"/>
    </row>
    <row r="40" spans="1:17" ht="30" customHeight="1">
      <c r="A40" s="8" t="s">
        <v>65</v>
      </c>
      <c r="B40" s="9" t="s">
        <v>64</v>
      </c>
      <c r="C40" s="17">
        <v>10000</v>
      </c>
      <c r="D40" s="17">
        <v>5000</v>
      </c>
      <c r="E40" s="17">
        <v>4000</v>
      </c>
      <c r="F40" s="17">
        <v>1000</v>
      </c>
      <c r="G40" s="17">
        <v>4000</v>
      </c>
      <c r="H40" s="17">
        <v>4000</v>
      </c>
      <c r="I40" s="17">
        <v>0</v>
      </c>
      <c r="J40" s="17">
        <v>1000</v>
      </c>
      <c r="K40" s="17">
        <v>0</v>
      </c>
      <c r="L40" s="17">
        <v>0</v>
      </c>
      <c r="M40" s="11"/>
      <c r="Q40" s="3">
        <v>2025</v>
      </c>
    </row>
    <row r="41" spans="1:17" ht="15" customHeight="1">
      <c r="A41" s="8" t="s">
        <v>66</v>
      </c>
      <c r="B41" s="9" t="s">
        <v>81</v>
      </c>
      <c r="C41" s="17">
        <v>5000</v>
      </c>
      <c r="D41" s="17">
        <v>5000</v>
      </c>
      <c r="E41" s="17">
        <v>4000</v>
      </c>
      <c r="F41" s="17">
        <v>0</v>
      </c>
      <c r="G41" s="17">
        <v>0</v>
      </c>
      <c r="H41" s="17">
        <v>0</v>
      </c>
      <c r="I41" s="17">
        <v>0</v>
      </c>
      <c r="J41" s="17">
        <v>0</v>
      </c>
      <c r="K41" s="17">
        <v>0</v>
      </c>
      <c r="L41" s="17">
        <v>0</v>
      </c>
      <c r="M41" s="11"/>
    </row>
    <row r="42" spans="1:17" ht="15" customHeight="1">
      <c r="A42" s="8" t="s">
        <v>66</v>
      </c>
      <c r="B42" s="9" t="s">
        <v>82</v>
      </c>
      <c r="C42" s="17">
        <v>19000</v>
      </c>
      <c r="D42" s="17">
        <v>10000</v>
      </c>
      <c r="E42" s="17">
        <v>9000</v>
      </c>
      <c r="F42" s="17">
        <v>2000</v>
      </c>
      <c r="G42" s="17">
        <v>9000</v>
      </c>
      <c r="H42" s="17">
        <v>9000</v>
      </c>
      <c r="I42" s="17">
        <v>0</v>
      </c>
      <c r="J42" s="17">
        <v>0</v>
      </c>
      <c r="K42" s="17">
        <v>0</v>
      </c>
      <c r="L42" s="17">
        <v>0</v>
      </c>
      <c r="M42" s="11"/>
    </row>
    <row r="43" spans="1:17" ht="15" customHeight="1">
      <c r="A43" s="8" t="s">
        <v>66</v>
      </c>
      <c r="B43" s="9" t="s">
        <v>83</v>
      </c>
      <c r="C43" s="17">
        <v>25000</v>
      </c>
      <c r="D43" s="17">
        <v>14000</v>
      </c>
      <c r="E43" s="17">
        <v>12000</v>
      </c>
      <c r="F43" s="17">
        <v>2000</v>
      </c>
      <c r="G43" s="17">
        <v>10000</v>
      </c>
      <c r="H43" s="17">
        <v>10000</v>
      </c>
      <c r="I43" s="17">
        <v>0</v>
      </c>
      <c r="J43" s="17">
        <v>0</v>
      </c>
      <c r="K43" s="17">
        <v>0</v>
      </c>
      <c r="L43" s="17">
        <v>0</v>
      </c>
      <c r="M43" s="11"/>
    </row>
    <row r="44" spans="1:17" ht="15" customHeight="1">
      <c r="A44" s="8" t="s">
        <v>66</v>
      </c>
      <c r="B44" s="9" t="s">
        <v>84</v>
      </c>
      <c r="C44" s="17">
        <v>29000</v>
      </c>
      <c r="D44" s="17">
        <v>18000</v>
      </c>
      <c r="E44" s="17">
        <v>15000</v>
      </c>
      <c r="F44" s="17">
        <v>3000</v>
      </c>
      <c r="G44" s="17">
        <v>11000</v>
      </c>
      <c r="H44" s="17">
        <v>11000</v>
      </c>
      <c r="I44" s="17">
        <v>0</v>
      </c>
      <c r="J44" s="17">
        <v>0</v>
      </c>
      <c r="K44" s="17">
        <v>0</v>
      </c>
      <c r="L44" s="17">
        <v>0</v>
      </c>
      <c r="M44" s="11"/>
    </row>
    <row r="45" spans="1:17" ht="15" customHeight="1">
      <c r="A45" s="8" t="s">
        <v>66</v>
      </c>
      <c r="B45" s="9" t="s">
        <v>85</v>
      </c>
      <c r="C45" s="17">
        <v>30000</v>
      </c>
      <c r="D45" s="17">
        <v>18000</v>
      </c>
      <c r="E45" s="17">
        <v>15000</v>
      </c>
      <c r="F45" s="17">
        <v>3000</v>
      </c>
      <c r="G45" s="17">
        <v>11000</v>
      </c>
      <c r="H45" s="17">
        <v>11000</v>
      </c>
      <c r="I45" s="17">
        <v>0</v>
      </c>
      <c r="J45" s="17">
        <v>1000</v>
      </c>
      <c r="K45" s="17">
        <v>0</v>
      </c>
      <c r="L45" s="17">
        <v>0</v>
      </c>
      <c r="M45" s="11"/>
    </row>
    <row r="46" spans="1:17" ht="15" customHeight="1">
      <c r="A46" s="8" t="s">
        <v>66</v>
      </c>
      <c r="B46" s="9" t="s">
        <v>86</v>
      </c>
      <c r="C46" s="17">
        <v>31000</v>
      </c>
      <c r="D46" s="17">
        <v>19000</v>
      </c>
      <c r="E46" s="17">
        <v>15000</v>
      </c>
      <c r="F46" s="17">
        <v>4000</v>
      </c>
      <c r="G46" s="17">
        <v>12000</v>
      </c>
      <c r="H46" s="17">
        <v>12000</v>
      </c>
      <c r="I46" s="17">
        <v>0</v>
      </c>
      <c r="J46" s="17">
        <v>1000</v>
      </c>
      <c r="K46" s="17">
        <v>0</v>
      </c>
      <c r="L46" s="17">
        <v>0</v>
      </c>
      <c r="M46" s="11"/>
    </row>
    <row r="47" spans="1:17" ht="15" customHeight="1">
      <c r="A47" s="8" t="s">
        <v>66</v>
      </c>
      <c r="B47" s="9" t="s">
        <v>87</v>
      </c>
      <c r="C47" s="17">
        <v>30000</v>
      </c>
      <c r="D47" s="17">
        <v>18000</v>
      </c>
      <c r="E47" s="17">
        <v>14000</v>
      </c>
      <c r="F47" s="17">
        <v>4000</v>
      </c>
      <c r="G47" s="17">
        <v>10000</v>
      </c>
      <c r="H47" s="17">
        <v>10000</v>
      </c>
      <c r="I47" s="17">
        <v>0</v>
      </c>
      <c r="J47" s="17">
        <v>1000</v>
      </c>
      <c r="K47" s="17">
        <v>0</v>
      </c>
      <c r="L47" s="17">
        <v>0</v>
      </c>
      <c r="M47" s="11"/>
    </row>
    <row r="48" spans="1:17" ht="15" customHeight="1">
      <c r="A48" s="8" t="s">
        <v>66</v>
      </c>
      <c r="B48" s="9" t="s">
        <v>88</v>
      </c>
      <c r="C48" s="17">
        <v>29000</v>
      </c>
      <c r="D48" s="17">
        <v>17000</v>
      </c>
      <c r="E48" s="17">
        <v>13000</v>
      </c>
      <c r="F48" s="17">
        <v>4000</v>
      </c>
      <c r="G48" s="17">
        <v>9000</v>
      </c>
      <c r="H48" s="17">
        <v>9000</v>
      </c>
      <c r="I48" s="17">
        <v>0</v>
      </c>
      <c r="J48" s="17">
        <v>1000</v>
      </c>
      <c r="K48" s="17">
        <v>0</v>
      </c>
      <c r="L48" s="17">
        <v>0</v>
      </c>
      <c r="M48" s="11"/>
    </row>
    <row r="49" spans="1:13" ht="15" customHeight="1">
      <c r="A49" s="8" t="s">
        <v>66</v>
      </c>
      <c r="B49" s="9" t="s">
        <v>89</v>
      </c>
      <c r="C49" s="17">
        <v>27000</v>
      </c>
      <c r="D49" s="17">
        <v>16000</v>
      </c>
      <c r="E49" s="17">
        <v>13000</v>
      </c>
      <c r="F49" s="17">
        <v>4000</v>
      </c>
      <c r="G49" s="17">
        <v>9000</v>
      </c>
      <c r="H49" s="17">
        <v>9000</v>
      </c>
      <c r="I49" s="17">
        <v>0</v>
      </c>
      <c r="J49" s="17">
        <v>2000</v>
      </c>
      <c r="K49" s="17">
        <v>0</v>
      </c>
      <c r="L49" s="17">
        <v>0</v>
      </c>
      <c r="M49" s="11"/>
    </row>
    <row r="50" spans="1:13" ht="15" customHeight="1">
      <c r="A50" s="8" t="s">
        <v>66</v>
      </c>
      <c r="B50" s="9" t="s">
        <v>90</v>
      </c>
      <c r="C50" s="17">
        <v>26000</v>
      </c>
      <c r="D50" s="17">
        <v>14000</v>
      </c>
      <c r="E50" s="17">
        <v>11000</v>
      </c>
      <c r="F50" s="17">
        <v>3000</v>
      </c>
      <c r="G50" s="17">
        <v>9000</v>
      </c>
      <c r="H50" s="17">
        <v>9000</v>
      </c>
      <c r="I50" s="17">
        <v>0</v>
      </c>
      <c r="J50" s="17">
        <v>2000</v>
      </c>
      <c r="K50" s="17">
        <v>0</v>
      </c>
      <c r="L50" s="17">
        <v>0</v>
      </c>
      <c r="M50" s="11"/>
    </row>
    <row r="51" spans="1:13" ht="15" customHeight="1">
      <c r="A51" s="8" t="s">
        <v>66</v>
      </c>
      <c r="B51" s="9" t="s">
        <v>91</v>
      </c>
      <c r="C51" s="17">
        <v>24000</v>
      </c>
      <c r="D51" s="17">
        <v>13000</v>
      </c>
      <c r="E51" s="17">
        <v>10000</v>
      </c>
      <c r="F51" s="17">
        <v>3000</v>
      </c>
      <c r="G51" s="17">
        <v>8000</v>
      </c>
      <c r="H51" s="17">
        <v>8000</v>
      </c>
      <c r="I51" s="17">
        <v>0</v>
      </c>
      <c r="J51" s="17">
        <v>2000</v>
      </c>
      <c r="K51" s="17">
        <v>0</v>
      </c>
      <c r="L51" s="17">
        <v>0</v>
      </c>
      <c r="M51" s="11"/>
    </row>
    <row r="52" spans="1:13" ht="15" customHeight="1">
      <c r="A52" s="8" t="s">
        <v>66</v>
      </c>
      <c r="B52" s="9" t="s">
        <v>92</v>
      </c>
      <c r="C52" s="17">
        <v>23000</v>
      </c>
      <c r="D52" s="17">
        <v>12000</v>
      </c>
      <c r="E52" s="17">
        <v>9000</v>
      </c>
      <c r="F52" s="17">
        <v>3000</v>
      </c>
      <c r="G52" s="17">
        <v>8000</v>
      </c>
      <c r="H52" s="17">
        <v>7000</v>
      </c>
      <c r="I52" s="17">
        <v>0</v>
      </c>
      <c r="J52" s="17">
        <v>2000</v>
      </c>
      <c r="K52" s="17">
        <v>0</v>
      </c>
      <c r="L52" s="17">
        <v>0</v>
      </c>
      <c r="M52" s="11"/>
    </row>
    <row r="53" spans="1:13" ht="15" customHeight="1">
      <c r="A53" s="8" t="s">
        <v>66</v>
      </c>
      <c r="B53" s="9" t="s">
        <v>93</v>
      </c>
      <c r="C53" s="17">
        <v>21000</v>
      </c>
      <c r="D53" s="17">
        <v>11000</v>
      </c>
      <c r="E53" s="17">
        <v>8000</v>
      </c>
      <c r="F53" s="17">
        <v>3000</v>
      </c>
      <c r="G53" s="17">
        <v>7000</v>
      </c>
      <c r="H53" s="17">
        <v>7000</v>
      </c>
      <c r="I53" s="17">
        <v>0</v>
      </c>
      <c r="J53" s="17">
        <v>3000</v>
      </c>
      <c r="K53" s="17">
        <v>0</v>
      </c>
      <c r="L53" s="17">
        <v>0</v>
      </c>
      <c r="M53" s="11"/>
    </row>
    <row r="54" spans="1:13" ht="15" customHeight="1">
      <c r="A54" s="8" t="s">
        <v>66</v>
      </c>
      <c r="B54" s="9" t="s">
        <v>94</v>
      </c>
      <c r="C54" s="17">
        <v>22000</v>
      </c>
      <c r="D54" s="17">
        <v>11000</v>
      </c>
      <c r="E54" s="17">
        <v>8000</v>
      </c>
      <c r="F54" s="17">
        <v>3000</v>
      </c>
      <c r="G54" s="17">
        <v>8000</v>
      </c>
      <c r="H54" s="17">
        <v>8000</v>
      </c>
      <c r="I54" s="17">
        <v>0</v>
      </c>
      <c r="J54" s="17">
        <v>3000</v>
      </c>
      <c r="K54" s="17">
        <v>0</v>
      </c>
      <c r="L54" s="17">
        <v>0</v>
      </c>
      <c r="M54" s="11"/>
    </row>
    <row r="55" spans="1:13" ht="15" customHeight="1">
      <c r="A55" s="8" t="s">
        <v>66</v>
      </c>
      <c r="B55" s="9" t="s">
        <v>95</v>
      </c>
      <c r="C55" s="17">
        <v>22000</v>
      </c>
      <c r="D55" s="17">
        <v>11000</v>
      </c>
      <c r="E55" s="17">
        <v>8000</v>
      </c>
      <c r="F55" s="17">
        <v>3000</v>
      </c>
      <c r="G55" s="17">
        <v>8000</v>
      </c>
      <c r="H55" s="17">
        <v>8000</v>
      </c>
      <c r="I55" s="17">
        <v>0</v>
      </c>
      <c r="J55" s="17">
        <v>3000</v>
      </c>
      <c r="K55" s="17">
        <v>0</v>
      </c>
      <c r="L55" s="17">
        <v>0</v>
      </c>
      <c r="M55" s="11"/>
    </row>
    <row r="56" spans="1:13" ht="15" customHeight="1">
      <c r="A56" s="8" t="s">
        <v>66</v>
      </c>
      <c r="B56" s="9" t="s">
        <v>63</v>
      </c>
      <c r="C56" s="17">
        <v>22000</v>
      </c>
      <c r="D56" s="17">
        <v>11000</v>
      </c>
      <c r="E56" s="17">
        <v>8000</v>
      </c>
      <c r="F56" s="17">
        <v>3000</v>
      </c>
      <c r="G56" s="17">
        <v>8000</v>
      </c>
      <c r="H56" s="17">
        <v>8000</v>
      </c>
      <c r="I56" s="17">
        <v>0</v>
      </c>
      <c r="J56" s="17">
        <v>3000</v>
      </c>
      <c r="K56" s="17">
        <v>0</v>
      </c>
      <c r="L56" s="17">
        <v>0</v>
      </c>
      <c r="M56" s="11"/>
    </row>
    <row r="57" spans="1:13" ht="15" customHeight="1">
      <c r="A57" s="8" t="s">
        <v>66</v>
      </c>
      <c r="B57" s="9" t="s">
        <v>64</v>
      </c>
      <c r="C57" s="17">
        <v>23000</v>
      </c>
      <c r="D57" s="17">
        <v>11000</v>
      </c>
      <c r="E57" s="17">
        <v>8000</v>
      </c>
      <c r="F57" s="17">
        <v>3000</v>
      </c>
      <c r="G57" s="17">
        <v>8000</v>
      </c>
      <c r="H57" s="17">
        <v>8000</v>
      </c>
      <c r="I57" s="17">
        <v>0</v>
      </c>
      <c r="J57" s="17">
        <v>3000</v>
      </c>
      <c r="K57" s="17">
        <v>0</v>
      </c>
      <c r="L57" s="17">
        <v>0</v>
      </c>
      <c r="M57" s="11"/>
    </row>
    <row r="58" spans="1:13" ht="15" customHeight="1">
      <c r="L58" s="11"/>
      <c r="M58" s="11"/>
    </row>
  </sheetData>
  <mergeCells count="1">
    <mergeCell ref="A2:L2"/>
  </mergeCells>
  <pageMargins left="0.70866141732283472" right="0.70866141732283472" top="0.74803149606299213" bottom="0.74803149606299213" header="0.31496062992125984" footer="0.31496062992125984"/>
  <pageSetup paperSize="9" scale="44" fitToHeight="0"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22A97-C450-4710-A299-CE5DA29D08C8}">
  <sheetPr>
    <pageSetUpPr fitToPage="1"/>
  </sheetPr>
  <dimension ref="A1:T81"/>
  <sheetViews>
    <sheetView zoomScaleNormal="100" workbookViewId="0">
      <pane xSplit="2" ySplit="6" topLeftCell="C22" activePane="bottomRight" state="frozen"/>
      <selection pane="topRight" activeCell="C1" sqref="C1"/>
      <selection pane="bottomLeft" activeCell="A7" sqref="A7"/>
      <selection pane="bottomRight" activeCell="F4" sqref="F4"/>
    </sheetView>
  </sheetViews>
  <sheetFormatPr defaultColWidth="8.7109375" defaultRowHeight="15"/>
  <cols>
    <col min="1" max="2" width="15.7109375" style="3" customWidth="1"/>
    <col min="3" max="3" width="16.7109375" style="3" customWidth="1"/>
    <col min="4" max="4" width="20.28515625" style="3" customWidth="1"/>
    <col min="5" max="5" width="25.140625" style="3" customWidth="1"/>
    <col min="6" max="6" width="21.28515625" style="4" customWidth="1"/>
    <col min="7" max="7" width="20.7109375" style="4" customWidth="1"/>
    <col min="8" max="8" width="25.7109375" style="3" customWidth="1"/>
    <col min="9" max="9" width="21.7109375" style="3" customWidth="1"/>
    <col min="10" max="10" width="16.7109375" style="3" customWidth="1"/>
    <col min="11" max="11" width="20" style="3" customWidth="1"/>
    <col min="12" max="16" width="16.7109375" style="3" customWidth="1"/>
    <col min="17" max="16384" width="8.7109375" style="3"/>
  </cols>
  <sheetData>
    <row r="1" spans="1:20" ht="18" customHeight="1">
      <c r="A1" s="1" t="s">
        <v>96</v>
      </c>
      <c r="B1" s="11"/>
      <c r="C1" s="11"/>
      <c r="D1" s="11"/>
      <c r="E1" s="11"/>
      <c r="F1" s="11"/>
      <c r="G1" s="11"/>
      <c r="H1" s="11"/>
      <c r="I1" s="11"/>
      <c r="J1" s="11"/>
      <c r="K1" s="11"/>
      <c r="L1" s="11"/>
      <c r="M1" s="11"/>
      <c r="N1" s="11"/>
      <c r="O1" s="11"/>
      <c r="P1" s="11"/>
    </row>
    <row r="2" spans="1:20" ht="36" customHeight="1">
      <c r="A2" s="330" t="s">
        <v>97</v>
      </c>
      <c r="B2" s="331"/>
      <c r="C2" s="331"/>
      <c r="D2" s="331"/>
      <c r="E2" s="331"/>
      <c r="F2" s="331"/>
      <c r="G2" s="331"/>
      <c r="H2" s="331"/>
      <c r="I2" s="331"/>
      <c r="J2" s="331"/>
      <c r="K2" s="331"/>
      <c r="L2" s="11"/>
      <c r="M2" s="11"/>
      <c r="N2" s="11"/>
      <c r="O2" s="11"/>
      <c r="P2" s="11"/>
    </row>
    <row r="3" spans="1:20" ht="15.75">
      <c r="A3" s="5" t="s">
        <v>69</v>
      </c>
      <c r="B3" s="12"/>
      <c r="C3" s="11"/>
      <c r="D3" s="11"/>
      <c r="E3" s="11"/>
      <c r="F3" s="13"/>
      <c r="G3" s="13"/>
      <c r="H3" s="11"/>
      <c r="I3" s="11"/>
      <c r="J3" s="11"/>
      <c r="K3" s="11"/>
      <c r="L3" s="11"/>
      <c r="M3" s="11"/>
      <c r="N3" s="11"/>
      <c r="O3" s="11"/>
      <c r="P3" s="11"/>
    </row>
    <row r="4" spans="1:20">
      <c r="A4" s="5" t="s">
        <v>3</v>
      </c>
      <c r="B4" s="14"/>
      <c r="C4" s="11"/>
      <c r="D4" s="11"/>
      <c r="E4" s="11"/>
      <c r="F4" s="11"/>
      <c r="G4" s="11"/>
      <c r="H4" s="11"/>
      <c r="I4" s="11"/>
      <c r="J4" s="11"/>
      <c r="K4" s="11"/>
      <c r="L4" s="11"/>
      <c r="M4" s="11"/>
      <c r="N4" s="11"/>
      <c r="O4" s="11"/>
      <c r="P4" s="11"/>
    </row>
    <row r="5" spans="1:20" ht="30" customHeight="1">
      <c r="A5" s="5" t="s">
        <v>98</v>
      </c>
      <c r="B5" s="14"/>
      <c r="C5" s="11"/>
      <c r="D5" s="11"/>
      <c r="E5" s="11"/>
      <c r="F5" s="11"/>
      <c r="G5" s="11"/>
      <c r="H5" s="11"/>
      <c r="I5" s="11"/>
      <c r="J5" s="11"/>
      <c r="K5" s="11"/>
      <c r="L5" s="11"/>
      <c r="M5" s="11"/>
      <c r="N5" s="11"/>
      <c r="O5" s="11"/>
      <c r="P5" s="11"/>
    </row>
    <row r="6" spans="1:20" ht="45" customHeight="1">
      <c r="A6" s="15" t="s">
        <v>5</v>
      </c>
      <c r="B6" s="15" t="s">
        <v>6</v>
      </c>
      <c r="C6" s="16" t="s">
        <v>71</v>
      </c>
      <c r="D6" s="16" t="s">
        <v>72</v>
      </c>
      <c r="E6" s="16" t="s">
        <v>73</v>
      </c>
      <c r="F6" s="16" t="s">
        <v>74</v>
      </c>
      <c r="G6" s="16" t="s">
        <v>75</v>
      </c>
      <c r="H6" s="16" t="s">
        <v>76</v>
      </c>
      <c r="I6" s="16" t="s">
        <v>77</v>
      </c>
      <c r="J6" s="16" t="s">
        <v>78</v>
      </c>
      <c r="K6" s="16" t="s">
        <v>99</v>
      </c>
      <c r="L6" s="16" t="s">
        <v>100</v>
      </c>
      <c r="M6" s="16" t="s">
        <v>101</v>
      </c>
      <c r="N6" s="16" t="s">
        <v>102</v>
      </c>
      <c r="O6" s="16" t="s">
        <v>103</v>
      </c>
      <c r="P6" s="16" t="s">
        <v>104</v>
      </c>
      <c r="S6" s="3" t="s">
        <v>446</v>
      </c>
      <c r="T6" s="3" t="s">
        <v>447</v>
      </c>
    </row>
    <row r="7" spans="1:20" ht="15" customHeight="1">
      <c r="A7" s="8" t="s">
        <v>11</v>
      </c>
      <c r="B7" s="9" t="s">
        <v>40</v>
      </c>
      <c r="C7" s="17">
        <v>347000</v>
      </c>
      <c r="D7" s="17">
        <v>89000</v>
      </c>
      <c r="E7" s="17">
        <v>56000</v>
      </c>
      <c r="F7" s="17">
        <v>33000</v>
      </c>
      <c r="G7" s="17">
        <v>126000</v>
      </c>
      <c r="H7" s="17">
        <v>119000</v>
      </c>
      <c r="I7" s="17">
        <v>7000</v>
      </c>
      <c r="J7" s="17">
        <v>65000</v>
      </c>
      <c r="K7" s="17">
        <v>6000</v>
      </c>
      <c r="L7" s="17">
        <v>0</v>
      </c>
      <c r="M7" s="17">
        <v>6000</v>
      </c>
      <c r="N7" s="17">
        <v>0</v>
      </c>
      <c r="O7" s="17">
        <v>39000</v>
      </c>
      <c r="P7" s="17">
        <v>22000</v>
      </c>
      <c r="S7" s="3">
        <v>2019</v>
      </c>
    </row>
    <row r="8" spans="1:20" ht="15" customHeight="1">
      <c r="A8" s="8" t="s">
        <v>11</v>
      </c>
      <c r="B8" s="9" t="s">
        <v>41</v>
      </c>
      <c r="C8" s="17">
        <v>351000</v>
      </c>
      <c r="D8" s="17">
        <v>95000</v>
      </c>
      <c r="E8" s="17">
        <v>59000</v>
      </c>
      <c r="F8" s="17">
        <v>35000</v>
      </c>
      <c r="G8" s="17">
        <v>116000</v>
      </c>
      <c r="H8" s="17">
        <v>109000</v>
      </c>
      <c r="I8" s="17">
        <v>8000</v>
      </c>
      <c r="J8" s="17">
        <v>71000</v>
      </c>
      <c r="K8" s="17">
        <v>6000</v>
      </c>
      <c r="L8" s="17">
        <v>0</v>
      </c>
      <c r="M8" s="17">
        <v>6000</v>
      </c>
      <c r="N8" s="17">
        <v>0</v>
      </c>
      <c r="O8" s="17">
        <v>41000</v>
      </c>
      <c r="P8" s="17">
        <v>22000</v>
      </c>
    </row>
    <row r="9" spans="1:20" ht="15" customHeight="1">
      <c r="A9" s="8" t="s">
        <v>11</v>
      </c>
      <c r="B9" s="9" t="s">
        <v>42</v>
      </c>
      <c r="C9" s="17">
        <v>368000</v>
      </c>
      <c r="D9" s="17">
        <v>99000</v>
      </c>
      <c r="E9" s="17">
        <v>62000</v>
      </c>
      <c r="F9" s="17">
        <v>37000</v>
      </c>
      <c r="G9" s="17">
        <v>120000</v>
      </c>
      <c r="H9" s="17">
        <v>112000</v>
      </c>
      <c r="I9" s="17">
        <v>9000</v>
      </c>
      <c r="J9" s="17">
        <v>78000</v>
      </c>
      <c r="K9" s="17">
        <v>6000</v>
      </c>
      <c r="L9" s="17">
        <v>0</v>
      </c>
      <c r="M9" s="17">
        <v>6000</v>
      </c>
      <c r="N9" s="17">
        <v>0</v>
      </c>
      <c r="O9" s="17">
        <v>42000</v>
      </c>
      <c r="P9" s="17">
        <v>23000</v>
      </c>
    </row>
    <row r="10" spans="1:20" ht="15" customHeight="1">
      <c r="A10" s="8" t="s">
        <v>11</v>
      </c>
      <c r="B10" s="9" t="s">
        <v>43</v>
      </c>
      <c r="C10" s="17">
        <v>388000</v>
      </c>
      <c r="D10" s="17">
        <v>102000</v>
      </c>
      <c r="E10" s="17">
        <v>63000</v>
      </c>
      <c r="F10" s="17">
        <v>39000</v>
      </c>
      <c r="G10" s="17">
        <v>135000</v>
      </c>
      <c r="H10" s="17">
        <v>124000</v>
      </c>
      <c r="I10" s="17">
        <v>11000</v>
      </c>
      <c r="J10" s="17">
        <v>82000</v>
      </c>
      <c r="K10" s="17">
        <v>5000</v>
      </c>
      <c r="L10" s="17">
        <v>0</v>
      </c>
      <c r="M10" s="17">
        <v>5000</v>
      </c>
      <c r="N10" s="17">
        <v>0</v>
      </c>
      <c r="O10" s="17">
        <v>42000</v>
      </c>
      <c r="P10" s="17">
        <v>23000</v>
      </c>
    </row>
    <row r="11" spans="1:20" ht="15" customHeight="1">
      <c r="A11" s="8" t="s">
        <v>11</v>
      </c>
      <c r="B11" s="9" t="s">
        <v>44</v>
      </c>
      <c r="C11" s="17">
        <v>331000</v>
      </c>
      <c r="D11" s="17">
        <v>80000</v>
      </c>
      <c r="E11" s="17">
        <v>49000</v>
      </c>
      <c r="F11" s="17">
        <v>30000</v>
      </c>
      <c r="G11" s="17">
        <v>124000</v>
      </c>
      <c r="H11" s="17">
        <v>114000</v>
      </c>
      <c r="I11" s="17">
        <v>10000</v>
      </c>
      <c r="J11" s="17">
        <v>68000</v>
      </c>
      <c r="K11" s="17">
        <v>4000</v>
      </c>
      <c r="L11" s="17">
        <v>0</v>
      </c>
      <c r="M11" s="17">
        <v>4000</v>
      </c>
      <c r="N11" s="17">
        <v>0</v>
      </c>
      <c r="O11" s="17">
        <v>38000</v>
      </c>
      <c r="P11" s="17">
        <v>17000</v>
      </c>
      <c r="S11" s="3">
        <v>2020</v>
      </c>
    </row>
    <row r="12" spans="1:20" ht="15" customHeight="1">
      <c r="A12" s="8" t="s">
        <v>11</v>
      </c>
      <c r="B12" s="9" t="s">
        <v>45</v>
      </c>
      <c r="C12" s="17">
        <v>260000</v>
      </c>
      <c r="D12" s="17">
        <v>68000</v>
      </c>
      <c r="E12" s="17">
        <v>42000</v>
      </c>
      <c r="F12" s="17">
        <v>26000</v>
      </c>
      <c r="G12" s="17">
        <v>77000</v>
      </c>
      <c r="H12" s="17">
        <v>69000</v>
      </c>
      <c r="I12" s="17">
        <v>8000</v>
      </c>
      <c r="J12" s="17">
        <v>59000</v>
      </c>
      <c r="K12" s="17">
        <v>2000</v>
      </c>
      <c r="L12" s="17">
        <v>0</v>
      </c>
      <c r="M12" s="17">
        <v>2000</v>
      </c>
      <c r="N12" s="17">
        <v>0</v>
      </c>
      <c r="O12" s="17">
        <v>37000</v>
      </c>
      <c r="P12" s="17">
        <v>16000</v>
      </c>
    </row>
    <row r="13" spans="1:20" ht="15" customHeight="1">
      <c r="A13" s="8" t="s">
        <v>11</v>
      </c>
      <c r="B13" s="9" t="s">
        <v>46</v>
      </c>
      <c r="C13" s="17">
        <v>294000</v>
      </c>
      <c r="D13" s="17">
        <v>71000</v>
      </c>
      <c r="E13" s="17">
        <v>42000</v>
      </c>
      <c r="F13" s="17">
        <v>29000</v>
      </c>
      <c r="G13" s="17">
        <v>112000</v>
      </c>
      <c r="H13" s="17">
        <v>100000</v>
      </c>
      <c r="I13" s="17">
        <v>12000</v>
      </c>
      <c r="J13" s="17">
        <v>56000</v>
      </c>
      <c r="K13" s="17">
        <v>1000</v>
      </c>
      <c r="L13" s="17">
        <v>0</v>
      </c>
      <c r="M13" s="17">
        <v>1000</v>
      </c>
      <c r="N13" s="17">
        <v>0</v>
      </c>
      <c r="O13" s="17">
        <v>35000</v>
      </c>
      <c r="P13" s="17">
        <v>20000</v>
      </c>
    </row>
    <row r="14" spans="1:20" ht="15" customHeight="1">
      <c r="A14" s="8" t="s">
        <v>11</v>
      </c>
      <c r="B14" s="9" t="s">
        <v>47</v>
      </c>
      <c r="C14" s="17">
        <v>297000</v>
      </c>
      <c r="D14" s="17">
        <v>70000</v>
      </c>
      <c r="E14" s="17">
        <v>40000</v>
      </c>
      <c r="F14" s="17">
        <v>30000</v>
      </c>
      <c r="G14" s="17">
        <v>124000</v>
      </c>
      <c r="H14" s="17">
        <v>109000</v>
      </c>
      <c r="I14" s="17">
        <v>15000</v>
      </c>
      <c r="J14" s="17">
        <v>51000</v>
      </c>
      <c r="K14" s="17">
        <v>1000</v>
      </c>
      <c r="L14" s="17">
        <v>0</v>
      </c>
      <c r="M14" s="17">
        <v>0</v>
      </c>
      <c r="N14" s="17">
        <v>0</v>
      </c>
      <c r="O14" s="17">
        <v>31000</v>
      </c>
      <c r="P14" s="17">
        <v>21000</v>
      </c>
    </row>
    <row r="15" spans="1:20">
      <c r="A15" s="8" t="s">
        <v>11</v>
      </c>
      <c r="B15" s="9" t="s">
        <v>48</v>
      </c>
      <c r="C15" s="17">
        <v>363000</v>
      </c>
      <c r="D15" s="17">
        <v>95000</v>
      </c>
      <c r="E15" s="17">
        <v>55000</v>
      </c>
      <c r="F15" s="17">
        <v>41000</v>
      </c>
      <c r="G15" s="17">
        <v>133000</v>
      </c>
      <c r="H15" s="17">
        <v>115000</v>
      </c>
      <c r="I15" s="17">
        <v>18000</v>
      </c>
      <c r="J15" s="17">
        <v>64000</v>
      </c>
      <c r="K15" s="17">
        <v>10000</v>
      </c>
      <c r="L15" s="17">
        <v>9000</v>
      </c>
      <c r="M15" s="17">
        <v>1000</v>
      </c>
      <c r="N15" s="17">
        <v>0</v>
      </c>
      <c r="O15" s="17">
        <v>36000</v>
      </c>
      <c r="P15" s="17">
        <v>25000</v>
      </c>
      <c r="S15" s="3">
        <v>2021</v>
      </c>
    </row>
    <row r="16" spans="1:20">
      <c r="A16" s="8" t="s">
        <v>11</v>
      </c>
      <c r="B16" s="9" t="s">
        <v>49</v>
      </c>
      <c r="C16" s="17">
        <v>531000</v>
      </c>
      <c r="D16" s="17">
        <v>121000</v>
      </c>
      <c r="E16" s="17">
        <v>68000</v>
      </c>
      <c r="F16" s="17">
        <v>53000</v>
      </c>
      <c r="G16" s="17">
        <v>225000</v>
      </c>
      <c r="H16" s="17">
        <v>199000</v>
      </c>
      <c r="I16" s="17">
        <v>26000</v>
      </c>
      <c r="J16" s="17">
        <v>69000</v>
      </c>
      <c r="K16" s="17">
        <v>44000</v>
      </c>
      <c r="L16" s="17">
        <v>28000</v>
      </c>
      <c r="M16" s="17">
        <v>16000</v>
      </c>
      <c r="N16" s="17">
        <v>0</v>
      </c>
      <c r="O16" s="17">
        <v>43000</v>
      </c>
      <c r="P16" s="17">
        <v>28000</v>
      </c>
    </row>
    <row r="17" spans="1:20">
      <c r="A17" s="8" t="s">
        <v>11</v>
      </c>
      <c r="B17" s="9" t="s">
        <v>50</v>
      </c>
      <c r="C17" s="17">
        <v>610000</v>
      </c>
      <c r="D17" s="17">
        <v>145000</v>
      </c>
      <c r="E17" s="17">
        <v>82000</v>
      </c>
      <c r="F17" s="17">
        <v>64000</v>
      </c>
      <c r="G17" s="17">
        <v>259000</v>
      </c>
      <c r="H17" s="17">
        <v>223000</v>
      </c>
      <c r="I17" s="17">
        <v>36000</v>
      </c>
      <c r="J17" s="17">
        <v>68000</v>
      </c>
      <c r="K17" s="17">
        <v>57000</v>
      </c>
      <c r="L17" s="17">
        <v>39000</v>
      </c>
      <c r="M17" s="17">
        <v>18000</v>
      </c>
      <c r="N17" s="17">
        <v>0</v>
      </c>
      <c r="O17" s="17">
        <v>55000</v>
      </c>
      <c r="P17" s="17">
        <v>26000</v>
      </c>
    </row>
    <row r="18" spans="1:20">
      <c r="A18" s="8" t="s">
        <v>11</v>
      </c>
      <c r="B18" s="9" t="s">
        <v>51</v>
      </c>
      <c r="C18" s="17">
        <v>719000</v>
      </c>
      <c r="D18" s="17">
        <v>179000</v>
      </c>
      <c r="E18" s="17">
        <v>102000</v>
      </c>
      <c r="F18" s="17">
        <v>77000</v>
      </c>
      <c r="G18" s="17">
        <v>304000</v>
      </c>
      <c r="H18" s="17">
        <v>252000</v>
      </c>
      <c r="I18" s="17">
        <v>52000</v>
      </c>
      <c r="J18" s="17">
        <v>71000</v>
      </c>
      <c r="K18" s="17">
        <v>77000</v>
      </c>
      <c r="L18" s="17">
        <v>50000</v>
      </c>
      <c r="M18" s="17">
        <v>19000</v>
      </c>
      <c r="N18" s="17">
        <v>7000</v>
      </c>
      <c r="O18" s="17">
        <v>63000</v>
      </c>
      <c r="P18" s="17">
        <v>26000</v>
      </c>
    </row>
    <row r="19" spans="1:20">
      <c r="A19" s="8" t="s">
        <v>11</v>
      </c>
      <c r="B19" s="9" t="s">
        <v>52</v>
      </c>
      <c r="C19" s="17">
        <v>838000</v>
      </c>
      <c r="D19" s="17">
        <v>209000</v>
      </c>
      <c r="E19" s="17">
        <v>119000</v>
      </c>
      <c r="F19" s="17">
        <v>90000</v>
      </c>
      <c r="G19" s="17">
        <v>315000</v>
      </c>
      <c r="H19" s="17">
        <v>258000</v>
      </c>
      <c r="I19" s="17">
        <v>57000</v>
      </c>
      <c r="J19" s="17">
        <v>64000</v>
      </c>
      <c r="K19" s="17">
        <v>151000</v>
      </c>
      <c r="L19" s="17">
        <v>57000</v>
      </c>
      <c r="M19" s="17">
        <v>20000</v>
      </c>
      <c r="N19" s="17">
        <v>74000</v>
      </c>
      <c r="O19" s="17">
        <v>70000</v>
      </c>
      <c r="P19" s="17">
        <v>28000</v>
      </c>
      <c r="S19" s="3">
        <v>2022</v>
      </c>
    </row>
    <row r="20" spans="1:20">
      <c r="A20" s="8" t="s">
        <v>11</v>
      </c>
      <c r="B20" s="9" t="s">
        <v>53</v>
      </c>
      <c r="C20" s="17">
        <v>999000</v>
      </c>
      <c r="D20" s="17">
        <v>253000</v>
      </c>
      <c r="E20" s="17">
        <v>143000</v>
      </c>
      <c r="F20" s="17">
        <v>109000</v>
      </c>
      <c r="G20" s="17">
        <v>401000</v>
      </c>
      <c r="H20" s="17">
        <v>325000</v>
      </c>
      <c r="I20" s="17">
        <v>76000</v>
      </c>
      <c r="J20" s="17">
        <v>62000</v>
      </c>
      <c r="K20" s="17">
        <v>174000</v>
      </c>
      <c r="L20" s="17">
        <v>56000</v>
      </c>
      <c r="M20" s="17">
        <v>7000</v>
      </c>
      <c r="N20" s="17">
        <v>112000</v>
      </c>
      <c r="O20" s="17">
        <v>80000</v>
      </c>
      <c r="P20" s="17">
        <v>28000</v>
      </c>
    </row>
    <row r="21" spans="1:20">
      <c r="A21" s="8" t="s">
        <v>11</v>
      </c>
      <c r="B21" s="9" t="s">
        <v>54</v>
      </c>
      <c r="C21" s="17">
        <v>1091000</v>
      </c>
      <c r="D21" s="17">
        <v>291000</v>
      </c>
      <c r="E21" s="17">
        <v>162000</v>
      </c>
      <c r="F21" s="17">
        <v>130000</v>
      </c>
      <c r="G21" s="17">
        <v>430000</v>
      </c>
      <c r="H21" s="17">
        <v>326000</v>
      </c>
      <c r="I21" s="17">
        <v>104000</v>
      </c>
      <c r="J21" s="17">
        <v>67000</v>
      </c>
      <c r="K21" s="17">
        <v>190000</v>
      </c>
      <c r="L21" s="17">
        <v>56000</v>
      </c>
      <c r="M21" s="17">
        <v>6000</v>
      </c>
      <c r="N21" s="17">
        <v>129000</v>
      </c>
      <c r="O21" s="17">
        <v>85000</v>
      </c>
      <c r="P21" s="17">
        <v>27000</v>
      </c>
    </row>
    <row r="22" spans="1:20">
      <c r="A22" s="8" t="s">
        <v>11</v>
      </c>
      <c r="B22" s="9" t="s">
        <v>55</v>
      </c>
      <c r="C22" s="17">
        <v>1170000</v>
      </c>
      <c r="D22" s="17">
        <v>333000</v>
      </c>
      <c r="E22" s="17">
        <v>181000</v>
      </c>
      <c r="F22" s="17">
        <v>151000</v>
      </c>
      <c r="G22" s="17">
        <v>461000</v>
      </c>
      <c r="H22" s="17">
        <v>337000</v>
      </c>
      <c r="I22" s="17">
        <v>124000</v>
      </c>
      <c r="J22" s="17">
        <v>76000</v>
      </c>
      <c r="K22" s="17">
        <v>190000</v>
      </c>
      <c r="L22" s="17">
        <v>53000</v>
      </c>
      <c r="M22" s="17">
        <v>4000</v>
      </c>
      <c r="N22" s="17">
        <v>133000</v>
      </c>
      <c r="O22" s="17">
        <v>86000</v>
      </c>
      <c r="P22" s="17">
        <v>25000</v>
      </c>
    </row>
    <row r="23" spans="1:20" ht="15" customHeight="1">
      <c r="A23" s="8" t="s">
        <v>11</v>
      </c>
      <c r="B23" s="9" t="s">
        <v>56</v>
      </c>
      <c r="C23" s="17">
        <v>1182000</v>
      </c>
      <c r="D23" s="17">
        <v>389000</v>
      </c>
      <c r="E23" s="17">
        <v>206000</v>
      </c>
      <c r="F23" s="17">
        <v>183000</v>
      </c>
      <c r="G23" s="17">
        <v>473000</v>
      </c>
      <c r="H23" s="17">
        <v>341000</v>
      </c>
      <c r="I23" s="17">
        <v>131000</v>
      </c>
      <c r="J23" s="17">
        <v>88000</v>
      </c>
      <c r="K23" s="17">
        <v>126000</v>
      </c>
      <c r="L23" s="17">
        <v>48000</v>
      </c>
      <c r="M23" s="17">
        <v>3000</v>
      </c>
      <c r="N23" s="17">
        <v>75000</v>
      </c>
      <c r="O23" s="17">
        <v>85000</v>
      </c>
      <c r="P23" s="17">
        <v>21000</v>
      </c>
      <c r="S23" s="3">
        <v>2023</v>
      </c>
    </row>
    <row r="24" spans="1:20" ht="15" customHeight="1">
      <c r="A24" s="8" t="s">
        <v>11</v>
      </c>
      <c r="B24" s="9" t="s">
        <v>57</v>
      </c>
      <c r="C24" s="17">
        <v>1193000</v>
      </c>
      <c r="D24" s="17">
        <v>426000</v>
      </c>
      <c r="E24" s="17">
        <v>218000</v>
      </c>
      <c r="F24" s="17">
        <v>208000</v>
      </c>
      <c r="G24" s="17">
        <v>486000</v>
      </c>
      <c r="H24" s="17">
        <v>349000</v>
      </c>
      <c r="I24" s="17">
        <v>137000</v>
      </c>
      <c r="J24" s="17">
        <v>93000</v>
      </c>
      <c r="K24" s="17">
        <v>88000</v>
      </c>
      <c r="L24" s="17">
        <v>41000</v>
      </c>
      <c r="M24" s="17">
        <v>2000</v>
      </c>
      <c r="N24" s="17">
        <v>45000</v>
      </c>
      <c r="O24" s="17">
        <v>82000</v>
      </c>
      <c r="P24" s="17">
        <v>18000</v>
      </c>
    </row>
    <row r="25" spans="1:20" ht="15" customHeight="1">
      <c r="A25" s="8" t="s">
        <v>11</v>
      </c>
      <c r="B25" s="9" t="s">
        <v>58</v>
      </c>
      <c r="C25" s="17">
        <v>1188000</v>
      </c>
      <c r="D25" s="17">
        <v>471000</v>
      </c>
      <c r="E25" s="17">
        <v>231000</v>
      </c>
      <c r="F25" s="17">
        <v>240000</v>
      </c>
      <c r="G25" s="17">
        <v>461000</v>
      </c>
      <c r="H25" s="17">
        <v>328000</v>
      </c>
      <c r="I25" s="17">
        <v>133000</v>
      </c>
      <c r="J25" s="17">
        <v>89000</v>
      </c>
      <c r="K25" s="17">
        <v>75000</v>
      </c>
      <c r="L25" s="17">
        <v>35000</v>
      </c>
      <c r="M25" s="17">
        <v>4000</v>
      </c>
      <c r="N25" s="17">
        <v>36000</v>
      </c>
      <c r="O25" s="17">
        <v>75000</v>
      </c>
      <c r="P25" s="17">
        <v>16000</v>
      </c>
    </row>
    <row r="26" spans="1:20" ht="15" customHeight="1">
      <c r="A26" s="8" t="s">
        <v>11</v>
      </c>
      <c r="B26" s="9" t="s">
        <v>59</v>
      </c>
      <c r="C26" s="17">
        <v>1115000</v>
      </c>
      <c r="D26" s="17">
        <v>468000</v>
      </c>
      <c r="E26" s="17">
        <v>213000</v>
      </c>
      <c r="F26" s="17">
        <v>255000</v>
      </c>
      <c r="G26" s="17">
        <v>402000</v>
      </c>
      <c r="H26" s="17">
        <v>301000</v>
      </c>
      <c r="I26" s="17">
        <v>101000</v>
      </c>
      <c r="J26" s="17">
        <v>84000</v>
      </c>
      <c r="K26" s="17">
        <v>67000</v>
      </c>
      <c r="L26" s="17">
        <v>31000</v>
      </c>
      <c r="M26" s="17">
        <v>7000</v>
      </c>
      <c r="N26" s="17">
        <v>30000</v>
      </c>
      <c r="O26" s="17">
        <v>78000</v>
      </c>
      <c r="P26" s="17">
        <v>15000</v>
      </c>
    </row>
    <row r="27" spans="1:20" ht="15" customHeight="1">
      <c r="A27" s="8" t="s">
        <v>11</v>
      </c>
      <c r="B27" s="9" t="s">
        <v>60</v>
      </c>
      <c r="C27" s="17">
        <v>1063000</v>
      </c>
      <c r="D27" s="17">
        <v>435000</v>
      </c>
      <c r="E27" s="17">
        <v>190000</v>
      </c>
      <c r="F27" s="17">
        <v>245000</v>
      </c>
      <c r="G27" s="17">
        <v>386000</v>
      </c>
      <c r="H27" s="17">
        <v>299000</v>
      </c>
      <c r="I27" s="17">
        <v>87000</v>
      </c>
      <c r="J27" s="17">
        <v>84000</v>
      </c>
      <c r="K27" s="17">
        <v>62000</v>
      </c>
      <c r="L27" s="17">
        <v>27000</v>
      </c>
      <c r="M27" s="17">
        <v>8000</v>
      </c>
      <c r="N27" s="17">
        <v>27000</v>
      </c>
      <c r="O27" s="17">
        <v>81000</v>
      </c>
      <c r="P27" s="17">
        <v>15000</v>
      </c>
      <c r="S27" s="3">
        <v>2024</v>
      </c>
    </row>
    <row r="28" spans="1:20" ht="15" customHeight="1">
      <c r="A28" s="8" t="s">
        <v>11</v>
      </c>
      <c r="B28" s="9" t="s">
        <v>61</v>
      </c>
      <c r="C28" s="17">
        <v>937000</v>
      </c>
      <c r="D28" s="17">
        <v>371000</v>
      </c>
      <c r="E28" s="17">
        <v>158000</v>
      </c>
      <c r="F28" s="17">
        <v>212000</v>
      </c>
      <c r="G28" s="17">
        <v>326000</v>
      </c>
      <c r="H28" s="17">
        <v>270000</v>
      </c>
      <c r="I28" s="17">
        <v>57000</v>
      </c>
      <c r="J28" s="17">
        <v>87000</v>
      </c>
      <c r="K28" s="17">
        <v>57000</v>
      </c>
      <c r="L28" s="17">
        <v>23000</v>
      </c>
      <c r="M28" s="17">
        <v>10000</v>
      </c>
      <c r="N28" s="17">
        <v>24000</v>
      </c>
      <c r="O28" s="17">
        <v>82000</v>
      </c>
      <c r="P28" s="17">
        <v>15000</v>
      </c>
    </row>
    <row r="29" spans="1:20" ht="15" customHeight="1">
      <c r="A29" s="8" t="s">
        <v>11</v>
      </c>
      <c r="B29" s="9" t="s">
        <v>62</v>
      </c>
      <c r="C29" s="17">
        <v>790000</v>
      </c>
      <c r="D29" s="17">
        <v>275000</v>
      </c>
      <c r="E29" s="17">
        <v>118000</v>
      </c>
      <c r="F29" s="17">
        <v>157000</v>
      </c>
      <c r="G29" s="17">
        <v>277000</v>
      </c>
      <c r="H29" s="17">
        <v>257000</v>
      </c>
      <c r="I29" s="17">
        <v>20000</v>
      </c>
      <c r="J29" s="17">
        <v>84000</v>
      </c>
      <c r="K29" s="17">
        <v>51000</v>
      </c>
      <c r="L29" s="17">
        <v>21000</v>
      </c>
      <c r="M29" s="17">
        <v>8000</v>
      </c>
      <c r="N29" s="17">
        <v>22000</v>
      </c>
      <c r="O29" s="17">
        <v>89000</v>
      </c>
      <c r="P29" s="17">
        <v>15000</v>
      </c>
    </row>
    <row r="30" spans="1:20" ht="15" customHeight="1">
      <c r="A30" s="8" t="s">
        <v>11</v>
      </c>
      <c r="B30" s="9" t="s">
        <v>63</v>
      </c>
      <c r="C30" s="17">
        <v>719000</v>
      </c>
      <c r="D30" s="17">
        <v>214000</v>
      </c>
      <c r="E30" s="17">
        <v>100000</v>
      </c>
      <c r="F30" s="17">
        <v>113000</v>
      </c>
      <c r="G30" s="17">
        <v>281000</v>
      </c>
      <c r="H30" s="17">
        <v>266000</v>
      </c>
      <c r="I30" s="17">
        <v>15000</v>
      </c>
      <c r="J30" s="17">
        <v>73000</v>
      </c>
      <c r="K30" s="17">
        <v>47000</v>
      </c>
      <c r="L30" s="17">
        <v>20000</v>
      </c>
      <c r="M30" s="17">
        <v>8000</v>
      </c>
      <c r="N30" s="17">
        <v>20000</v>
      </c>
      <c r="O30" s="17">
        <v>91000</v>
      </c>
      <c r="P30" s="17">
        <v>13000</v>
      </c>
    </row>
    <row r="31" spans="1:20" ht="30" customHeight="1">
      <c r="A31" s="8" t="s">
        <v>11</v>
      </c>
      <c r="B31" s="9" t="s">
        <v>64</v>
      </c>
      <c r="C31" s="17">
        <v>670000</v>
      </c>
      <c r="D31" s="17">
        <v>171000</v>
      </c>
      <c r="E31" s="17">
        <v>86000</v>
      </c>
      <c r="F31" s="17">
        <v>85000</v>
      </c>
      <c r="G31" s="17">
        <v>288000</v>
      </c>
      <c r="H31" s="17">
        <v>275000</v>
      </c>
      <c r="I31" s="17">
        <v>13000</v>
      </c>
      <c r="J31" s="17">
        <v>60000</v>
      </c>
      <c r="K31" s="17">
        <v>41000</v>
      </c>
      <c r="L31" s="17">
        <v>17000</v>
      </c>
      <c r="M31" s="17">
        <v>7000</v>
      </c>
      <c r="N31" s="17">
        <v>17000</v>
      </c>
      <c r="O31" s="17">
        <v>96000</v>
      </c>
      <c r="P31" s="17">
        <v>13000</v>
      </c>
      <c r="S31" s="3">
        <v>2025</v>
      </c>
    </row>
    <row r="32" spans="1:20" ht="15" customHeight="1">
      <c r="A32" s="8" t="s">
        <v>65</v>
      </c>
      <c r="B32" s="9" t="s">
        <v>40</v>
      </c>
      <c r="C32" s="17">
        <v>167000</v>
      </c>
      <c r="D32" s="17">
        <v>44000</v>
      </c>
      <c r="E32" s="17">
        <v>30000</v>
      </c>
      <c r="F32" s="17">
        <v>14000</v>
      </c>
      <c r="G32" s="17">
        <v>103000</v>
      </c>
      <c r="H32" s="17">
        <v>96000</v>
      </c>
      <c r="I32" s="17">
        <v>7000</v>
      </c>
      <c r="J32" s="17">
        <v>10000</v>
      </c>
      <c r="K32" s="17">
        <v>0</v>
      </c>
      <c r="L32" s="17">
        <v>0</v>
      </c>
      <c r="M32" s="17">
        <v>0</v>
      </c>
      <c r="N32" s="17">
        <v>0</v>
      </c>
      <c r="O32" s="17">
        <v>2000</v>
      </c>
      <c r="P32" s="17">
        <v>8000</v>
      </c>
      <c r="T32" s="3">
        <v>2019</v>
      </c>
    </row>
    <row r="33" spans="1:20" ht="15" customHeight="1">
      <c r="A33" s="8" t="s">
        <v>65</v>
      </c>
      <c r="B33" s="9" t="s">
        <v>41</v>
      </c>
      <c r="C33" s="17">
        <v>180000</v>
      </c>
      <c r="D33" s="17">
        <v>52000</v>
      </c>
      <c r="E33" s="17">
        <v>36000</v>
      </c>
      <c r="F33" s="17">
        <v>16000</v>
      </c>
      <c r="G33" s="17">
        <v>106000</v>
      </c>
      <c r="H33" s="17">
        <v>100000</v>
      </c>
      <c r="I33" s="17">
        <v>7000</v>
      </c>
      <c r="J33" s="17">
        <v>11000</v>
      </c>
      <c r="K33" s="17">
        <v>0</v>
      </c>
      <c r="L33" s="17">
        <v>0</v>
      </c>
      <c r="M33" s="17">
        <v>0</v>
      </c>
      <c r="N33" s="17">
        <v>0</v>
      </c>
      <c r="O33" s="17">
        <v>2000</v>
      </c>
      <c r="P33" s="17">
        <v>8000</v>
      </c>
    </row>
    <row r="34" spans="1:20" ht="15" customHeight="1">
      <c r="A34" s="8" t="s">
        <v>65</v>
      </c>
      <c r="B34" s="9" t="s">
        <v>42</v>
      </c>
      <c r="C34" s="17">
        <v>182000</v>
      </c>
      <c r="D34" s="17">
        <v>52000</v>
      </c>
      <c r="E34" s="17">
        <v>35000</v>
      </c>
      <c r="F34" s="17">
        <v>17000</v>
      </c>
      <c r="G34" s="17">
        <v>108000</v>
      </c>
      <c r="H34" s="17">
        <v>101000</v>
      </c>
      <c r="I34" s="17">
        <v>7000</v>
      </c>
      <c r="J34" s="17">
        <v>11000</v>
      </c>
      <c r="K34" s="17">
        <v>0</v>
      </c>
      <c r="L34" s="17">
        <v>0</v>
      </c>
      <c r="M34" s="17">
        <v>0</v>
      </c>
      <c r="N34" s="17">
        <v>0</v>
      </c>
      <c r="O34" s="17">
        <v>2000</v>
      </c>
      <c r="P34" s="17">
        <v>9000</v>
      </c>
    </row>
    <row r="35" spans="1:20" ht="15" customHeight="1">
      <c r="A35" s="8" t="s">
        <v>65</v>
      </c>
      <c r="B35" s="9" t="s">
        <v>43</v>
      </c>
      <c r="C35" s="17">
        <v>222000</v>
      </c>
      <c r="D35" s="17">
        <v>54000</v>
      </c>
      <c r="E35" s="17">
        <v>36000</v>
      </c>
      <c r="F35" s="17">
        <v>18000</v>
      </c>
      <c r="G35" s="17">
        <v>142000</v>
      </c>
      <c r="H35" s="17">
        <v>134000</v>
      </c>
      <c r="I35" s="17">
        <v>8000</v>
      </c>
      <c r="J35" s="17">
        <v>13000</v>
      </c>
      <c r="K35" s="17">
        <v>0</v>
      </c>
      <c r="L35" s="17">
        <v>0</v>
      </c>
      <c r="M35" s="17">
        <v>0</v>
      </c>
      <c r="N35" s="17">
        <v>0</v>
      </c>
      <c r="O35" s="17">
        <v>2000</v>
      </c>
      <c r="P35" s="17">
        <v>11000</v>
      </c>
    </row>
    <row r="36" spans="1:20" ht="15" customHeight="1">
      <c r="A36" s="8" t="s">
        <v>65</v>
      </c>
      <c r="B36" s="9" t="s">
        <v>44</v>
      </c>
      <c r="C36" s="17">
        <v>216000</v>
      </c>
      <c r="D36" s="17">
        <v>48000</v>
      </c>
      <c r="E36" s="17">
        <v>33000</v>
      </c>
      <c r="F36" s="17">
        <v>15000</v>
      </c>
      <c r="G36" s="17">
        <v>142000</v>
      </c>
      <c r="H36" s="17">
        <v>134000</v>
      </c>
      <c r="I36" s="17">
        <v>8000</v>
      </c>
      <c r="J36" s="17">
        <v>14000</v>
      </c>
      <c r="K36" s="17">
        <v>0</v>
      </c>
      <c r="L36" s="17">
        <v>0</v>
      </c>
      <c r="M36" s="17">
        <v>0</v>
      </c>
      <c r="N36" s="17">
        <v>0</v>
      </c>
      <c r="O36" s="17">
        <v>1000</v>
      </c>
      <c r="P36" s="17">
        <v>11000</v>
      </c>
      <c r="T36" s="3">
        <v>2020</v>
      </c>
    </row>
    <row r="37" spans="1:20" ht="15" customHeight="1">
      <c r="A37" s="8" t="s">
        <v>65</v>
      </c>
      <c r="B37" s="9" t="s">
        <v>45</v>
      </c>
      <c r="C37" s="17">
        <v>199000</v>
      </c>
      <c r="D37" s="17">
        <v>42000</v>
      </c>
      <c r="E37" s="17">
        <v>28000</v>
      </c>
      <c r="F37" s="17">
        <v>14000</v>
      </c>
      <c r="G37" s="17">
        <v>131000</v>
      </c>
      <c r="H37" s="17">
        <v>124000</v>
      </c>
      <c r="I37" s="17">
        <v>7000</v>
      </c>
      <c r="J37" s="17">
        <v>16000</v>
      </c>
      <c r="K37" s="17">
        <v>0</v>
      </c>
      <c r="L37" s="17">
        <v>0</v>
      </c>
      <c r="M37" s="17">
        <v>0</v>
      </c>
      <c r="N37" s="17">
        <v>0</v>
      </c>
      <c r="O37" s="17">
        <v>1000</v>
      </c>
      <c r="P37" s="17">
        <v>10000</v>
      </c>
    </row>
    <row r="38" spans="1:20" ht="15" customHeight="1">
      <c r="A38" s="8" t="s">
        <v>65</v>
      </c>
      <c r="B38" s="9" t="s">
        <v>46</v>
      </c>
      <c r="C38" s="17">
        <v>192000</v>
      </c>
      <c r="D38" s="17">
        <v>42000</v>
      </c>
      <c r="E38" s="17">
        <v>28000</v>
      </c>
      <c r="F38" s="17">
        <v>15000</v>
      </c>
      <c r="G38" s="17">
        <v>122000</v>
      </c>
      <c r="H38" s="17">
        <v>116000</v>
      </c>
      <c r="I38" s="17">
        <v>6000</v>
      </c>
      <c r="J38" s="17">
        <v>18000</v>
      </c>
      <c r="K38" s="17">
        <v>0</v>
      </c>
      <c r="L38" s="17">
        <v>0</v>
      </c>
      <c r="M38" s="17">
        <v>0</v>
      </c>
      <c r="N38" s="17">
        <v>0</v>
      </c>
      <c r="O38" s="17">
        <v>1000</v>
      </c>
      <c r="P38" s="17">
        <v>9000</v>
      </c>
    </row>
    <row r="39" spans="1:20" ht="15" customHeight="1">
      <c r="A39" s="8" t="s">
        <v>65</v>
      </c>
      <c r="B39" s="9" t="s">
        <v>47</v>
      </c>
      <c r="C39" s="17">
        <v>147000</v>
      </c>
      <c r="D39" s="17">
        <v>38000</v>
      </c>
      <c r="E39" s="17">
        <v>24000</v>
      </c>
      <c r="F39" s="17">
        <v>14000</v>
      </c>
      <c r="G39" s="17">
        <v>83000</v>
      </c>
      <c r="H39" s="17">
        <v>77000</v>
      </c>
      <c r="I39" s="17">
        <v>6000</v>
      </c>
      <c r="J39" s="17">
        <v>18000</v>
      </c>
      <c r="K39" s="17">
        <v>0</v>
      </c>
      <c r="L39" s="17">
        <v>0</v>
      </c>
      <c r="M39" s="17">
        <v>0</v>
      </c>
      <c r="N39" s="17">
        <v>0</v>
      </c>
      <c r="O39" s="17">
        <v>1000</v>
      </c>
      <c r="P39" s="17">
        <v>6000</v>
      </c>
    </row>
    <row r="40" spans="1:20" ht="15" customHeight="1">
      <c r="A40" s="8" t="s">
        <v>65</v>
      </c>
      <c r="B40" s="9" t="s">
        <v>48</v>
      </c>
      <c r="C40" s="17">
        <v>120000</v>
      </c>
      <c r="D40" s="17">
        <v>36000</v>
      </c>
      <c r="E40" s="17">
        <v>24000</v>
      </c>
      <c r="F40" s="17">
        <v>12000</v>
      </c>
      <c r="G40" s="17">
        <v>73000</v>
      </c>
      <c r="H40" s="17">
        <v>69000</v>
      </c>
      <c r="I40" s="17">
        <v>4000</v>
      </c>
      <c r="J40" s="17">
        <v>9000</v>
      </c>
      <c r="K40" s="17">
        <v>0</v>
      </c>
      <c r="L40" s="17">
        <v>0</v>
      </c>
      <c r="M40" s="17">
        <v>0</v>
      </c>
      <c r="N40" s="17">
        <v>0</v>
      </c>
      <c r="O40" s="17">
        <v>0</v>
      </c>
      <c r="P40" s="17">
        <v>2000</v>
      </c>
      <c r="T40" s="3">
        <v>2021</v>
      </c>
    </row>
    <row r="41" spans="1:20" ht="15" customHeight="1">
      <c r="A41" s="8" t="s">
        <v>65</v>
      </c>
      <c r="B41" s="9" t="s">
        <v>49</v>
      </c>
      <c r="C41" s="17">
        <v>98000</v>
      </c>
      <c r="D41" s="17">
        <v>32000</v>
      </c>
      <c r="E41" s="17">
        <v>21000</v>
      </c>
      <c r="F41" s="17">
        <v>11000</v>
      </c>
      <c r="G41" s="17">
        <v>55000</v>
      </c>
      <c r="H41" s="17">
        <v>50000</v>
      </c>
      <c r="I41" s="17">
        <v>5000</v>
      </c>
      <c r="J41" s="17">
        <v>9000</v>
      </c>
      <c r="K41" s="17">
        <v>0</v>
      </c>
      <c r="L41" s="17">
        <v>0</v>
      </c>
      <c r="M41" s="17">
        <v>0</v>
      </c>
      <c r="N41" s="17">
        <v>0</v>
      </c>
      <c r="O41" s="17">
        <v>0</v>
      </c>
      <c r="P41" s="17">
        <v>2000</v>
      </c>
    </row>
    <row r="42" spans="1:20" ht="15" customHeight="1">
      <c r="A42" s="8" t="s">
        <v>65</v>
      </c>
      <c r="B42" s="9" t="s">
        <v>50</v>
      </c>
      <c r="C42" s="17">
        <v>88000</v>
      </c>
      <c r="D42" s="17">
        <v>28000</v>
      </c>
      <c r="E42" s="17">
        <v>19000</v>
      </c>
      <c r="F42" s="17">
        <v>10000</v>
      </c>
      <c r="G42" s="17">
        <v>49000</v>
      </c>
      <c r="H42" s="17">
        <v>44000</v>
      </c>
      <c r="I42" s="17">
        <v>4000</v>
      </c>
      <c r="J42" s="17">
        <v>9000</v>
      </c>
      <c r="K42" s="17">
        <v>0</v>
      </c>
      <c r="L42" s="17">
        <v>0</v>
      </c>
      <c r="M42" s="17">
        <v>0</v>
      </c>
      <c r="N42" s="17">
        <v>0</v>
      </c>
      <c r="O42" s="17">
        <v>0</v>
      </c>
      <c r="P42" s="17">
        <v>2000</v>
      </c>
    </row>
    <row r="43" spans="1:20" ht="15" customHeight="1">
      <c r="A43" s="8" t="s">
        <v>65</v>
      </c>
      <c r="B43" s="9" t="s">
        <v>51</v>
      </c>
      <c r="C43" s="17">
        <v>85000</v>
      </c>
      <c r="D43" s="17">
        <v>26000</v>
      </c>
      <c r="E43" s="17">
        <v>17000</v>
      </c>
      <c r="F43" s="17">
        <v>9000</v>
      </c>
      <c r="G43" s="17">
        <v>47000</v>
      </c>
      <c r="H43" s="17">
        <v>42000</v>
      </c>
      <c r="I43" s="17">
        <v>4000</v>
      </c>
      <c r="J43" s="17">
        <v>10000</v>
      </c>
      <c r="K43" s="17">
        <v>0</v>
      </c>
      <c r="L43" s="17">
        <v>0</v>
      </c>
      <c r="M43" s="17">
        <v>0</v>
      </c>
      <c r="N43" s="17">
        <v>0</v>
      </c>
      <c r="O43" s="17">
        <v>0</v>
      </c>
      <c r="P43" s="17">
        <v>2000</v>
      </c>
    </row>
    <row r="44" spans="1:20" ht="15" customHeight="1">
      <c r="A44" s="8" t="s">
        <v>65</v>
      </c>
      <c r="B44" s="9" t="s">
        <v>52</v>
      </c>
      <c r="C44" s="17">
        <v>88000</v>
      </c>
      <c r="D44" s="17">
        <v>26000</v>
      </c>
      <c r="E44" s="17">
        <v>17000</v>
      </c>
      <c r="F44" s="17">
        <v>9000</v>
      </c>
      <c r="G44" s="17">
        <v>50000</v>
      </c>
      <c r="H44" s="17">
        <v>45000</v>
      </c>
      <c r="I44" s="17">
        <v>5000</v>
      </c>
      <c r="J44" s="17">
        <v>10000</v>
      </c>
      <c r="K44" s="17">
        <v>0</v>
      </c>
      <c r="L44" s="17">
        <v>0</v>
      </c>
      <c r="M44" s="17">
        <v>0</v>
      </c>
      <c r="N44" s="17">
        <v>0</v>
      </c>
      <c r="O44" s="17">
        <v>0</v>
      </c>
      <c r="P44" s="17">
        <v>2000</v>
      </c>
      <c r="T44" s="3">
        <v>2022</v>
      </c>
    </row>
    <row r="45" spans="1:20" ht="15" customHeight="1">
      <c r="A45" s="8" t="s">
        <v>65</v>
      </c>
      <c r="B45" s="9" t="s">
        <v>53</v>
      </c>
      <c r="C45" s="17">
        <v>98000</v>
      </c>
      <c r="D45" s="17">
        <v>25000</v>
      </c>
      <c r="E45" s="17">
        <v>16000</v>
      </c>
      <c r="F45" s="17">
        <v>9000</v>
      </c>
      <c r="G45" s="17">
        <v>61000</v>
      </c>
      <c r="H45" s="17">
        <v>55000</v>
      </c>
      <c r="I45" s="17">
        <v>5000</v>
      </c>
      <c r="J45" s="17">
        <v>11000</v>
      </c>
      <c r="K45" s="17">
        <v>0</v>
      </c>
      <c r="L45" s="17">
        <v>0</v>
      </c>
      <c r="M45" s="17">
        <v>0</v>
      </c>
      <c r="N45" s="17">
        <v>0</v>
      </c>
      <c r="O45" s="17">
        <v>0</v>
      </c>
      <c r="P45" s="17">
        <v>2000</v>
      </c>
    </row>
    <row r="46" spans="1:20" ht="15" customHeight="1">
      <c r="A46" s="8" t="s">
        <v>65</v>
      </c>
      <c r="B46" s="9" t="s">
        <v>54</v>
      </c>
      <c r="C46" s="17">
        <v>110000</v>
      </c>
      <c r="D46" s="17">
        <v>26000</v>
      </c>
      <c r="E46" s="17">
        <v>16000</v>
      </c>
      <c r="F46" s="17">
        <v>9000</v>
      </c>
      <c r="G46" s="17">
        <v>71000</v>
      </c>
      <c r="H46" s="17">
        <v>66000</v>
      </c>
      <c r="I46" s="17">
        <v>6000</v>
      </c>
      <c r="J46" s="17">
        <v>10000</v>
      </c>
      <c r="K46" s="17">
        <v>0</v>
      </c>
      <c r="L46" s="17">
        <v>0</v>
      </c>
      <c r="M46" s="17">
        <v>0</v>
      </c>
      <c r="N46" s="17">
        <v>0</v>
      </c>
      <c r="O46" s="17">
        <v>0</v>
      </c>
      <c r="P46" s="17">
        <v>2000</v>
      </c>
    </row>
    <row r="47" spans="1:20" ht="15" customHeight="1">
      <c r="A47" s="8" t="s">
        <v>65</v>
      </c>
      <c r="B47" s="9" t="s">
        <v>55</v>
      </c>
      <c r="C47" s="17">
        <v>122000</v>
      </c>
      <c r="D47" s="17">
        <v>28000</v>
      </c>
      <c r="E47" s="17">
        <v>18000</v>
      </c>
      <c r="F47" s="17">
        <v>10000</v>
      </c>
      <c r="G47" s="17">
        <v>81000</v>
      </c>
      <c r="H47" s="17">
        <v>75000</v>
      </c>
      <c r="I47" s="17">
        <v>7000</v>
      </c>
      <c r="J47" s="17">
        <v>10000</v>
      </c>
      <c r="K47" s="17">
        <v>0</v>
      </c>
      <c r="L47" s="17">
        <v>0</v>
      </c>
      <c r="M47" s="17">
        <v>0</v>
      </c>
      <c r="N47" s="17">
        <v>0</v>
      </c>
      <c r="O47" s="17">
        <v>1000</v>
      </c>
      <c r="P47" s="17">
        <v>2000</v>
      </c>
    </row>
    <row r="48" spans="1:20" ht="15" customHeight="1">
      <c r="A48" s="8" t="s">
        <v>65</v>
      </c>
      <c r="B48" s="9" t="s">
        <v>56</v>
      </c>
      <c r="C48" s="17">
        <v>137000</v>
      </c>
      <c r="D48" s="17">
        <v>31000</v>
      </c>
      <c r="E48" s="17">
        <v>19000</v>
      </c>
      <c r="F48" s="17">
        <v>11000</v>
      </c>
      <c r="G48" s="17">
        <v>91000</v>
      </c>
      <c r="H48" s="17">
        <v>83000</v>
      </c>
      <c r="I48" s="17">
        <v>8000</v>
      </c>
      <c r="J48" s="17">
        <v>11000</v>
      </c>
      <c r="K48" s="17">
        <v>1000</v>
      </c>
      <c r="L48" s="17">
        <v>0</v>
      </c>
      <c r="M48" s="17">
        <v>0</v>
      </c>
      <c r="N48" s="17">
        <v>1000</v>
      </c>
      <c r="O48" s="17">
        <v>1000</v>
      </c>
      <c r="P48" s="17">
        <v>2000</v>
      </c>
      <c r="T48" s="3">
        <v>2023</v>
      </c>
    </row>
    <row r="49" spans="1:20" ht="15" customHeight="1">
      <c r="A49" s="8" t="s">
        <v>65</v>
      </c>
      <c r="B49" s="9" t="s">
        <v>57</v>
      </c>
      <c r="C49" s="17">
        <v>163000</v>
      </c>
      <c r="D49" s="17">
        <v>36000</v>
      </c>
      <c r="E49" s="17">
        <v>22000</v>
      </c>
      <c r="F49" s="17">
        <v>13000</v>
      </c>
      <c r="G49" s="17">
        <v>106000</v>
      </c>
      <c r="H49" s="17">
        <v>97000</v>
      </c>
      <c r="I49" s="17">
        <v>9000</v>
      </c>
      <c r="J49" s="17">
        <v>13000</v>
      </c>
      <c r="K49" s="17">
        <v>4000</v>
      </c>
      <c r="L49" s="17">
        <v>0</v>
      </c>
      <c r="M49" s="17">
        <v>0</v>
      </c>
      <c r="N49" s="17">
        <v>3000</v>
      </c>
      <c r="O49" s="17">
        <v>2000</v>
      </c>
      <c r="P49" s="17">
        <v>3000</v>
      </c>
    </row>
    <row r="50" spans="1:20" ht="15" customHeight="1">
      <c r="A50" s="8" t="s">
        <v>65</v>
      </c>
      <c r="B50" s="9" t="s">
        <v>58</v>
      </c>
      <c r="C50" s="17">
        <v>182000</v>
      </c>
      <c r="D50" s="17">
        <v>41000</v>
      </c>
      <c r="E50" s="17">
        <v>26000</v>
      </c>
      <c r="F50" s="17">
        <v>15000</v>
      </c>
      <c r="G50" s="17">
        <v>114000</v>
      </c>
      <c r="H50" s="17">
        <v>103000</v>
      </c>
      <c r="I50" s="17">
        <v>10000</v>
      </c>
      <c r="J50" s="17">
        <v>16000</v>
      </c>
      <c r="K50" s="17">
        <v>6000</v>
      </c>
      <c r="L50" s="17">
        <v>1000</v>
      </c>
      <c r="M50" s="17">
        <v>0</v>
      </c>
      <c r="N50" s="17">
        <v>5000</v>
      </c>
      <c r="O50" s="17">
        <v>2000</v>
      </c>
      <c r="P50" s="17">
        <v>3000</v>
      </c>
    </row>
    <row r="51" spans="1:20" ht="15" customHeight="1">
      <c r="A51" s="8" t="s">
        <v>65</v>
      </c>
      <c r="B51" s="9" t="s">
        <v>59</v>
      </c>
      <c r="C51" s="17">
        <v>212000</v>
      </c>
      <c r="D51" s="17">
        <v>47000</v>
      </c>
      <c r="E51" s="17">
        <v>30000</v>
      </c>
      <c r="F51" s="17">
        <v>18000</v>
      </c>
      <c r="G51" s="17">
        <v>130000</v>
      </c>
      <c r="H51" s="17">
        <v>116000</v>
      </c>
      <c r="I51" s="17">
        <v>14000</v>
      </c>
      <c r="J51" s="17">
        <v>19000</v>
      </c>
      <c r="K51" s="17">
        <v>8000</v>
      </c>
      <c r="L51" s="17">
        <v>1000</v>
      </c>
      <c r="M51" s="17">
        <v>0</v>
      </c>
      <c r="N51" s="17">
        <v>7000</v>
      </c>
      <c r="O51" s="17">
        <v>3000</v>
      </c>
      <c r="P51" s="17">
        <v>4000</v>
      </c>
    </row>
    <row r="52" spans="1:20" ht="15" customHeight="1">
      <c r="A52" s="8" t="s">
        <v>65</v>
      </c>
      <c r="B52" s="9" t="s">
        <v>60</v>
      </c>
      <c r="C52" s="17">
        <v>238000</v>
      </c>
      <c r="D52" s="17">
        <v>55000</v>
      </c>
      <c r="E52" s="17">
        <v>34000</v>
      </c>
      <c r="F52" s="17">
        <v>21000</v>
      </c>
      <c r="G52" s="17">
        <v>142000</v>
      </c>
      <c r="H52" s="17">
        <v>124000</v>
      </c>
      <c r="I52" s="17">
        <v>18000</v>
      </c>
      <c r="J52" s="17">
        <v>23000</v>
      </c>
      <c r="K52" s="17">
        <v>10000</v>
      </c>
      <c r="L52" s="17">
        <v>1000</v>
      </c>
      <c r="M52" s="17">
        <v>0</v>
      </c>
      <c r="N52" s="17">
        <v>8000</v>
      </c>
      <c r="O52" s="17">
        <v>4000</v>
      </c>
      <c r="P52" s="17">
        <v>5000</v>
      </c>
      <c r="T52" s="3">
        <v>2024</v>
      </c>
    </row>
    <row r="53" spans="1:20">
      <c r="A53" s="8" t="s">
        <v>65</v>
      </c>
      <c r="B53" s="9" t="s">
        <v>61</v>
      </c>
      <c r="C53" s="17">
        <v>249000</v>
      </c>
      <c r="D53" s="17">
        <v>58000</v>
      </c>
      <c r="E53" s="17">
        <v>36000</v>
      </c>
      <c r="F53" s="17">
        <v>22000</v>
      </c>
      <c r="G53" s="17">
        <v>147000</v>
      </c>
      <c r="H53" s="17">
        <v>127000</v>
      </c>
      <c r="I53" s="17">
        <v>21000</v>
      </c>
      <c r="J53" s="17">
        <v>25000</v>
      </c>
      <c r="K53" s="17">
        <v>10000</v>
      </c>
      <c r="L53" s="17">
        <v>1000</v>
      </c>
      <c r="M53" s="17">
        <v>0</v>
      </c>
      <c r="N53" s="17">
        <v>8000</v>
      </c>
      <c r="O53" s="17">
        <v>5000</v>
      </c>
      <c r="P53" s="17">
        <v>5000</v>
      </c>
    </row>
    <row r="54" spans="1:20">
      <c r="A54" s="8" t="s">
        <v>65</v>
      </c>
      <c r="B54" s="9" t="s">
        <v>62</v>
      </c>
      <c r="C54" s="17">
        <v>261000</v>
      </c>
      <c r="D54" s="17">
        <v>61000</v>
      </c>
      <c r="E54" s="17">
        <v>39000</v>
      </c>
      <c r="F54" s="17">
        <v>23000</v>
      </c>
      <c r="G54" s="17">
        <v>150000</v>
      </c>
      <c r="H54" s="17">
        <v>128000</v>
      </c>
      <c r="I54" s="17">
        <v>22000</v>
      </c>
      <c r="J54" s="17">
        <v>29000</v>
      </c>
      <c r="K54" s="17">
        <v>10000</v>
      </c>
      <c r="L54" s="17">
        <v>1000</v>
      </c>
      <c r="M54" s="17">
        <v>0</v>
      </c>
      <c r="N54" s="17">
        <v>9000</v>
      </c>
      <c r="O54" s="17">
        <v>5000</v>
      </c>
      <c r="P54" s="17">
        <v>6000</v>
      </c>
    </row>
    <row r="55" spans="1:20">
      <c r="A55" s="8" t="s">
        <v>65</v>
      </c>
      <c r="B55" s="9" t="s">
        <v>63</v>
      </c>
      <c r="C55" s="17">
        <v>280000</v>
      </c>
      <c r="D55" s="17">
        <v>64000</v>
      </c>
      <c r="E55" s="17">
        <v>41000</v>
      </c>
      <c r="F55" s="17">
        <v>23000</v>
      </c>
      <c r="G55" s="17">
        <v>158000</v>
      </c>
      <c r="H55" s="17">
        <v>130000</v>
      </c>
      <c r="I55" s="17">
        <v>28000</v>
      </c>
      <c r="J55" s="17">
        <v>35000</v>
      </c>
      <c r="K55" s="17">
        <v>12000</v>
      </c>
      <c r="L55" s="17">
        <v>1000</v>
      </c>
      <c r="M55" s="17">
        <v>0</v>
      </c>
      <c r="N55" s="17">
        <v>11000</v>
      </c>
      <c r="O55" s="17">
        <v>5000</v>
      </c>
      <c r="P55" s="17">
        <v>7000</v>
      </c>
    </row>
    <row r="56" spans="1:20" ht="30" customHeight="1">
      <c r="A56" s="8" t="s">
        <v>65</v>
      </c>
      <c r="B56" s="9" t="s">
        <v>64</v>
      </c>
      <c r="C56" s="17">
        <v>286000</v>
      </c>
      <c r="D56" s="17">
        <v>64000</v>
      </c>
      <c r="E56" s="17">
        <v>41000</v>
      </c>
      <c r="F56" s="17">
        <v>23000</v>
      </c>
      <c r="G56" s="17">
        <v>144000</v>
      </c>
      <c r="H56" s="17">
        <v>118000</v>
      </c>
      <c r="I56" s="17">
        <v>27000</v>
      </c>
      <c r="J56" s="17">
        <v>46000</v>
      </c>
      <c r="K56" s="17">
        <v>20000</v>
      </c>
      <c r="L56" s="17">
        <v>1000</v>
      </c>
      <c r="M56" s="17">
        <v>0</v>
      </c>
      <c r="N56" s="17">
        <v>19000</v>
      </c>
      <c r="O56" s="17">
        <v>6000</v>
      </c>
      <c r="P56" s="17">
        <v>7000</v>
      </c>
      <c r="T56" s="3">
        <v>2025</v>
      </c>
    </row>
    <row r="57" spans="1:20" ht="18" customHeight="1">
      <c r="A57" s="8" t="s">
        <v>66</v>
      </c>
      <c r="B57" s="9" t="s">
        <v>40</v>
      </c>
      <c r="C57" s="17">
        <v>179000</v>
      </c>
      <c r="D57" s="17">
        <v>45000</v>
      </c>
      <c r="E57" s="17">
        <v>26000</v>
      </c>
      <c r="F57" s="17">
        <v>19000</v>
      </c>
      <c r="G57" s="17">
        <v>24000</v>
      </c>
      <c r="H57" s="17">
        <v>23000</v>
      </c>
      <c r="I57" s="17">
        <v>0</v>
      </c>
      <c r="J57" s="17">
        <v>55000</v>
      </c>
      <c r="K57" s="17">
        <v>6000</v>
      </c>
      <c r="L57" s="17">
        <v>0</v>
      </c>
      <c r="M57" s="17">
        <v>6000</v>
      </c>
      <c r="N57" s="17">
        <v>0</v>
      </c>
      <c r="O57" s="17">
        <v>36000</v>
      </c>
      <c r="P57" s="17">
        <v>14000</v>
      </c>
    </row>
    <row r="58" spans="1:20" ht="18" customHeight="1">
      <c r="A58" s="8" t="s">
        <v>66</v>
      </c>
      <c r="B58" s="9" t="s">
        <v>41</v>
      </c>
      <c r="C58" s="17">
        <v>171000</v>
      </c>
      <c r="D58" s="17">
        <v>43000</v>
      </c>
      <c r="E58" s="17">
        <v>24000</v>
      </c>
      <c r="F58" s="17">
        <v>19000</v>
      </c>
      <c r="G58" s="17">
        <v>10000</v>
      </c>
      <c r="H58" s="17">
        <v>9000</v>
      </c>
      <c r="I58" s="17">
        <v>1000</v>
      </c>
      <c r="J58" s="17">
        <v>60000</v>
      </c>
      <c r="K58" s="17">
        <v>6000</v>
      </c>
      <c r="L58" s="17">
        <v>0</v>
      </c>
      <c r="M58" s="17">
        <v>6000</v>
      </c>
      <c r="N58" s="17">
        <v>0</v>
      </c>
      <c r="O58" s="17">
        <v>39000</v>
      </c>
      <c r="P58" s="17">
        <v>14000</v>
      </c>
    </row>
    <row r="59" spans="1:20" ht="18" customHeight="1">
      <c r="A59" s="8" t="s">
        <v>66</v>
      </c>
      <c r="B59" s="9" t="s">
        <v>42</v>
      </c>
      <c r="C59" s="17">
        <v>186000</v>
      </c>
      <c r="D59" s="17">
        <v>47000</v>
      </c>
      <c r="E59" s="17">
        <v>27000</v>
      </c>
      <c r="F59" s="17">
        <v>21000</v>
      </c>
      <c r="G59" s="17">
        <v>12000</v>
      </c>
      <c r="H59" s="17">
        <v>10000</v>
      </c>
      <c r="I59" s="17">
        <v>2000</v>
      </c>
      <c r="J59" s="17">
        <v>66000</v>
      </c>
      <c r="K59" s="17">
        <v>6000</v>
      </c>
      <c r="L59" s="17">
        <v>0</v>
      </c>
      <c r="M59" s="17">
        <v>6000</v>
      </c>
      <c r="N59" s="17">
        <v>0</v>
      </c>
      <c r="O59" s="17">
        <v>40000</v>
      </c>
      <c r="P59" s="17">
        <v>14000</v>
      </c>
    </row>
    <row r="60" spans="1:20" ht="18" customHeight="1">
      <c r="A60" s="8" t="s">
        <v>66</v>
      </c>
      <c r="B60" s="9" t="s">
        <v>43</v>
      </c>
      <c r="C60" s="17">
        <v>166000</v>
      </c>
      <c r="D60" s="17">
        <v>48000</v>
      </c>
      <c r="E60" s="17">
        <v>27000</v>
      </c>
      <c r="F60" s="17">
        <v>21000</v>
      </c>
      <c r="G60" s="17">
        <v>-7000</v>
      </c>
      <c r="H60" s="17">
        <v>-10000</v>
      </c>
      <c r="I60" s="17">
        <v>3000</v>
      </c>
      <c r="J60" s="17">
        <v>69000</v>
      </c>
      <c r="K60" s="17">
        <v>5000</v>
      </c>
      <c r="L60" s="17">
        <v>0</v>
      </c>
      <c r="M60" s="17">
        <v>5000</v>
      </c>
      <c r="N60" s="17">
        <v>0</v>
      </c>
      <c r="O60" s="17">
        <v>40000</v>
      </c>
      <c r="P60" s="17">
        <v>11000</v>
      </c>
    </row>
    <row r="61" spans="1:20" ht="15" customHeight="1">
      <c r="A61" s="8" t="s">
        <v>66</v>
      </c>
      <c r="B61" s="9" t="s">
        <v>44</v>
      </c>
      <c r="C61" s="17">
        <v>115000</v>
      </c>
      <c r="D61" s="17">
        <v>32000</v>
      </c>
      <c r="E61" s="17">
        <v>17000</v>
      </c>
      <c r="F61" s="17">
        <v>15000</v>
      </c>
      <c r="G61" s="17">
        <v>-18000</v>
      </c>
      <c r="H61" s="17">
        <v>-20000</v>
      </c>
      <c r="I61" s="17">
        <v>2000</v>
      </c>
      <c r="J61" s="17">
        <v>54000</v>
      </c>
      <c r="K61" s="17">
        <v>4000</v>
      </c>
      <c r="L61" s="17">
        <v>0</v>
      </c>
      <c r="M61" s="17">
        <v>4000</v>
      </c>
      <c r="N61" s="17">
        <v>0</v>
      </c>
      <c r="O61" s="17">
        <v>37000</v>
      </c>
      <c r="P61" s="17">
        <v>6000</v>
      </c>
    </row>
    <row r="62" spans="1:20">
      <c r="A62" s="8" t="s">
        <v>66</v>
      </c>
      <c r="B62" s="9" t="s">
        <v>45</v>
      </c>
      <c r="C62" s="17">
        <v>60000</v>
      </c>
      <c r="D62" s="17">
        <v>26000</v>
      </c>
      <c r="E62" s="17">
        <v>14000</v>
      </c>
      <c r="F62" s="17">
        <v>12000</v>
      </c>
      <c r="G62" s="17">
        <v>-53000</v>
      </c>
      <c r="H62" s="17">
        <v>-55000</v>
      </c>
      <c r="I62" s="17">
        <v>2000</v>
      </c>
      <c r="J62" s="17">
        <v>43000</v>
      </c>
      <c r="K62" s="17">
        <v>2000</v>
      </c>
      <c r="L62" s="17">
        <v>0</v>
      </c>
      <c r="M62" s="17">
        <v>2000</v>
      </c>
      <c r="N62" s="17">
        <v>0</v>
      </c>
      <c r="O62" s="17">
        <v>36000</v>
      </c>
      <c r="P62" s="17">
        <v>6000</v>
      </c>
    </row>
    <row r="63" spans="1:20">
      <c r="A63" s="8" t="s">
        <v>66</v>
      </c>
      <c r="B63" s="9" t="s">
        <v>46</v>
      </c>
      <c r="C63" s="17">
        <v>101000</v>
      </c>
      <c r="D63" s="17">
        <v>29000</v>
      </c>
      <c r="E63" s="17">
        <v>15000</v>
      </c>
      <c r="F63" s="17">
        <v>14000</v>
      </c>
      <c r="G63" s="17">
        <v>-11000</v>
      </c>
      <c r="H63" s="17">
        <v>-16000</v>
      </c>
      <c r="I63" s="17">
        <v>6000</v>
      </c>
      <c r="J63" s="17">
        <v>38000</v>
      </c>
      <c r="K63" s="17">
        <v>1000</v>
      </c>
      <c r="L63" s="17">
        <v>0</v>
      </c>
      <c r="M63" s="17">
        <v>1000</v>
      </c>
      <c r="N63" s="17">
        <v>0</v>
      </c>
      <c r="O63" s="17">
        <v>34000</v>
      </c>
      <c r="P63" s="17">
        <v>11000</v>
      </c>
    </row>
    <row r="64" spans="1:20">
      <c r="A64" s="8" t="s">
        <v>66</v>
      </c>
      <c r="B64" s="9" t="s">
        <v>47</v>
      </c>
      <c r="C64" s="17">
        <v>150000</v>
      </c>
      <c r="D64" s="17">
        <v>32000</v>
      </c>
      <c r="E64" s="17">
        <v>16000</v>
      </c>
      <c r="F64" s="17">
        <v>16000</v>
      </c>
      <c r="G64" s="17">
        <v>41000</v>
      </c>
      <c r="H64" s="17">
        <v>32000</v>
      </c>
      <c r="I64" s="17">
        <v>9000</v>
      </c>
      <c r="J64" s="17">
        <v>32000</v>
      </c>
      <c r="K64" s="17">
        <v>1000</v>
      </c>
      <c r="L64" s="17">
        <v>0</v>
      </c>
      <c r="M64" s="17">
        <v>0</v>
      </c>
      <c r="N64" s="17">
        <v>0</v>
      </c>
      <c r="O64" s="17">
        <v>30000</v>
      </c>
      <c r="P64" s="17">
        <v>15000</v>
      </c>
    </row>
    <row r="65" spans="1:16">
      <c r="A65" s="8" t="s">
        <v>66</v>
      </c>
      <c r="B65" s="9" t="s">
        <v>48</v>
      </c>
      <c r="C65" s="17">
        <v>242000</v>
      </c>
      <c r="D65" s="17">
        <v>59000</v>
      </c>
      <c r="E65" s="17">
        <v>31000</v>
      </c>
      <c r="F65" s="17">
        <v>28000</v>
      </c>
      <c r="G65" s="17">
        <v>59000</v>
      </c>
      <c r="H65" s="17">
        <v>46000</v>
      </c>
      <c r="I65" s="17">
        <v>14000</v>
      </c>
      <c r="J65" s="17">
        <v>54000</v>
      </c>
      <c r="K65" s="17">
        <v>10000</v>
      </c>
      <c r="L65" s="17">
        <v>9000</v>
      </c>
      <c r="M65" s="17">
        <v>1000</v>
      </c>
      <c r="N65" s="17">
        <v>0</v>
      </c>
      <c r="O65" s="17">
        <v>36000</v>
      </c>
      <c r="P65" s="17">
        <v>24000</v>
      </c>
    </row>
    <row r="66" spans="1:16">
      <c r="A66" s="8" t="s">
        <v>66</v>
      </c>
      <c r="B66" s="9" t="s">
        <v>49</v>
      </c>
      <c r="C66" s="17">
        <v>433000</v>
      </c>
      <c r="D66" s="17">
        <v>89000</v>
      </c>
      <c r="E66" s="17">
        <v>47000</v>
      </c>
      <c r="F66" s="17">
        <v>42000</v>
      </c>
      <c r="G66" s="17">
        <v>171000</v>
      </c>
      <c r="H66" s="17">
        <v>149000</v>
      </c>
      <c r="I66" s="17">
        <v>22000</v>
      </c>
      <c r="J66" s="17">
        <v>60000</v>
      </c>
      <c r="K66" s="17">
        <v>44000</v>
      </c>
      <c r="L66" s="17">
        <v>28000</v>
      </c>
      <c r="M66" s="17">
        <v>16000</v>
      </c>
      <c r="N66" s="17">
        <v>0</v>
      </c>
      <c r="O66" s="17">
        <v>43000</v>
      </c>
      <c r="P66" s="17">
        <v>26000</v>
      </c>
    </row>
    <row r="67" spans="1:16">
      <c r="A67" s="8" t="s">
        <v>66</v>
      </c>
      <c r="B67" s="9" t="s">
        <v>50</v>
      </c>
      <c r="C67" s="17">
        <v>522000</v>
      </c>
      <c r="D67" s="17">
        <v>117000</v>
      </c>
      <c r="E67" s="17">
        <v>63000</v>
      </c>
      <c r="F67" s="17">
        <v>54000</v>
      </c>
      <c r="G67" s="17">
        <v>211000</v>
      </c>
      <c r="H67" s="17">
        <v>179000</v>
      </c>
      <c r="I67" s="17">
        <v>32000</v>
      </c>
      <c r="J67" s="17">
        <v>59000</v>
      </c>
      <c r="K67" s="17">
        <v>57000</v>
      </c>
      <c r="L67" s="17">
        <v>39000</v>
      </c>
      <c r="M67" s="17">
        <v>18000</v>
      </c>
      <c r="N67" s="17">
        <v>0</v>
      </c>
      <c r="O67" s="17">
        <v>55000</v>
      </c>
      <c r="P67" s="17">
        <v>24000</v>
      </c>
    </row>
    <row r="68" spans="1:16">
      <c r="A68" s="8" t="s">
        <v>66</v>
      </c>
      <c r="B68" s="9" t="s">
        <v>51</v>
      </c>
      <c r="C68" s="17">
        <v>634000</v>
      </c>
      <c r="D68" s="17">
        <v>153000</v>
      </c>
      <c r="E68" s="17">
        <v>84000</v>
      </c>
      <c r="F68" s="17">
        <v>68000</v>
      </c>
      <c r="G68" s="17">
        <v>257000</v>
      </c>
      <c r="H68" s="17">
        <v>210000</v>
      </c>
      <c r="I68" s="17">
        <v>48000</v>
      </c>
      <c r="J68" s="17">
        <v>61000</v>
      </c>
      <c r="K68" s="17">
        <v>77000</v>
      </c>
      <c r="L68" s="17">
        <v>50000</v>
      </c>
      <c r="M68" s="17">
        <v>19000</v>
      </c>
      <c r="N68" s="17">
        <v>7000</v>
      </c>
      <c r="O68" s="17">
        <v>63000</v>
      </c>
      <c r="P68" s="17">
        <v>24000</v>
      </c>
    </row>
    <row r="69" spans="1:16">
      <c r="A69" s="8" t="s">
        <v>66</v>
      </c>
      <c r="B69" s="9" t="s">
        <v>52</v>
      </c>
      <c r="C69" s="17">
        <v>750000</v>
      </c>
      <c r="D69" s="17">
        <v>184000</v>
      </c>
      <c r="E69" s="17">
        <v>102000</v>
      </c>
      <c r="F69" s="17">
        <v>81000</v>
      </c>
      <c r="G69" s="17">
        <v>265000</v>
      </c>
      <c r="H69" s="17">
        <v>213000</v>
      </c>
      <c r="I69" s="17">
        <v>53000</v>
      </c>
      <c r="J69" s="17">
        <v>54000</v>
      </c>
      <c r="K69" s="17">
        <v>151000</v>
      </c>
      <c r="L69" s="17">
        <v>57000</v>
      </c>
      <c r="M69" s="17">
        <v>20000</v>
      </c>
      <c r="N69" s="17">
        <v>74000</v>
      </c>
      <c r="O69" s="17">
        <v>70000</v>
      </c>
      <c r="P69" s="17">
        <v>26000</v>
      </c>
    </row>
    <row r="70" spans="1:16">
      <c r="A70" s="8" t="s">
        <v>66</v>
      </c>
      <c r="B70" s="9" t="s">
        <v>53</v>
      </c>
      <c r="C70" s="17">
        <v>901000</v>
      </c>
      <c r="D70" s="17">
        <v>228000</v>
      </c>
      <c r="E70" s="17">
        <v>128000</v>
      </c>
      <c r="F70" s="17">
        <v>100000</v>
      </c>
      <c r="G70" s="17">
        <v>341000</v>
      </c>
      <c r="H70" s="17">
        <v>270000</v>
      </c>
      <c r="I70" s="17">
        <v>71000</v>
      </c>
      <c r="J70" s="17">
        <v>51000</v>
      </c>
      <c r="K70" s="17">
        <v>174000</v>
      </c>
      <c r="L70" s="17">
        <v>56000</v>
      </c>
      <c r="M70" s="17">
        <v>7000</v>
      </c>
      <c r="N70" s="17">
        <v>112000</v>
      </c>
      <c r="O70" s="17">
        <v>80000</v>
      </c>
      <c r="P70" s="17">
        <v>27000</v>
      </c>
    </row>
    <row r="71" spans="1:16">
      <c r="A71" s="8" t="s">
        <v>66</v>
      </c>
      <c r="B71" s="9" t="s">
        <v>54</v>
      </c>
      <c r="C71" s="17">
        <v>981000</v>
      </c>
      <c r="D71" s="17">
        <v>266000</v>
      </c>
      <c r="E71" s="17">
        <v>146000</v>
      </c>
      <c r="F71" s="17">
        <v>120000</v>
      </c>
      <c r="G71" s="17">
        <v>359000</v>
      </c>
      <c r="H71" s="17">
        <v>260000</v>
      </c>
      <c r="I71" s="17">
        <v>98000</v>
      </c>
      <c r="J71" s="17">
        <v>57000</v>
      </c>
      <c r="K71" s="17">
        <v>190000</v>
      </c>
      <c r="L71" s="17">
        <v>55000</v>
      </c>
      <c r="M71" s="17">
        <v>6000</v>
      </c>
      <c r="N71" s="17">
        <v>129000</v>
      </c>
      <c r="O71" s="17">
        <v>84000</v>
      </c>
      <c r="P71" s="17">
        <v>25000</v>
      </c>
    </row>
    <row r="72" spans="1:16">
      <c r="A72" s="8" t="s">
        <v>66</v>
      </c>
      <c r="B72" s="9" t="s">
        <v>55</v>
      </c>
      <c r="C72" s="17">
        <v>1047000</v>
      </c>
      <c r="D72" s="17">
        <v>305000</v>
      </c>
      <c r="E72" s="17">
        <v>164000</v>
      </c>
      <c r="F72" s="17">
        <v>141000</v>
      </c>
      <c r="G72" s="17">
        <v>379000</v>
      </c>
      <c r="H72" s="17">
        <v>263000</v>
      </c>
      <c r="I72" s="17">
        <v>117000</v>
      </c>
      <c r="J72" s="17">
        <v>66000</v>
      </c>
      <c r="K72" s="17">
        <v>190000</v>
      </c>
      <c r="L72" s="17">
        <v>52000</v>
      </c>
      <c r="M72" s="17">
        <v>4000</v>
      </c>
      <c r="N72" s="17">
        <v>133000</v>
      </c>
      <c r="O72" s="17">
        <v>85000</v>
      </c>
      <c r="P72" s="17">
        <v>23000</v>
      </c>
    </row>
    <row r="73" spans="1:16">
      <c r="A73" s="8" t="s">
        <v>66</v>
      </c>
      <c r="B73" s="9" t="s">
        <v>56</v>
      </c>
      <c r="C73" s="17">
        <v>1045000</v>
      </c>
      <c r="D73" s="17">
        <v>359000</v>
      </c>
      <c r="E73" s="17">
        <v>187000</v>
      </c>
      <c r="F73" s="17">
        <v>172000</v>
      </c>
      <c r="G73" s="17">
        <v>382000</v>
      </c>
      <c r="H73" s="17">
        <v>259000</v>
      </c>
      <c r="I73" s="17">
        <v>123000</v>
      </c>
      <c r="J73" s="17">
        <v>77000</v>
      </c>
      <c r="K73" s="17">
        <v>125000</v>
      </c>
      <c r="L73" s="17">
        <v>48000</v>
      </c>
      <c r="M73" s="17">
        <v>3000</v>
      </c>
      <c r="N73" s="17">
        <v>74000</v>
      </c>
      <c r="O73" s="17">
        <v>84000</v>
      </c>
      <c r="P73" s="17">
        <v>19000</v>
      </c>
    </row>
    <row r="74" spans="1:16">
      <c r="A74" s="8" t="s">
        <v>66</v>
      </c>
      <c r="B74" s="9" t="s">
        <v>57</v>
      </c>
      <c r="C74" s="17">
        <v>1031000</v>
      </c>
      <c r="D74" s="17">
        <v>391000</v>
      </c>
      <c r="E74" s="17">
        <v>196000</v>
      </c>
      <c r="F74" s="17">
        <v>195000</v>
      </c>
      <c r="G74" s="17">
        <v>381000</v>
      </c>
      <c r="H74" s="17">
        <v>252000</v>
      </c>
      <c r="I74" s="17">
        <v>128000</v>
      </c>
      <c r="J74" s="17">
        <v>79000</v>
      </c>
      <c r="K74" s="17">
        <v>84000</v>
      </c>
      <c r="L74" s="17">
        <v>40000</v>
      </c>
      <c r="M74" s="17">
        <v>2000</v>
      </c>
      <c r="N74" s="17">
        <v>42000</v>
      </c>
      <c r="O74" s="17">
        <v>80000</v>
      </c>
      <c r="P74" s="17">
        <v>15000</v>
      </c>
    </row>
    <row r="75" spans="1:16">
      <c r="A75" s="8" t="s">
        <v>66</v>
      </c>
      <c r="B75" s="9" t="s">
        <v>58</v>
      </c>
      <c r="C75" s="17">
        <v>1005000</v>
      </c>
      <c r="D75" s="17">
        <v>430000</v>
      </c>
      <c r="E75" s="17">
        <v>205000</v>
      </c>
      <c r="F75" s="17">
        <v>225000</v>
      </c>
      <c r="G75" s="17">
        <v>348000</v>
      </c>
      <c r="H75" s="17">
        <v>225000</v>
      </c>
      <c r="I75" s="17">
        <v>123000</v>
      </c>
      <c r="J75" s="17">
        <v>73000</v>
      </c>
      <c r="K75" s="17">
        <v>70000</v>
      </c>
      <c r="L75" s="17">
        <v>35000</v>
      </c>
      <c r="M75" s="17">
        <v>4000</v>
      </c>
      <c r="N75" s="17">
        <v>31000</v>
      </c>
      <c r="O75" s="17">
        <v>73000</v>
      </c>
      <c r="P75" s="17">
        <v>12000</v>
      </c>
    </row>
    <row r="76" spans="1:16" ht="15" customHeight="1">
      <c r="A76" s="8" t="s">
        <v>66</v>
      </c>
      <c r="B76" s="9" t="s">
        <v>59</v>
      </c>
      <c r="C76" s="17">
        <v>903000</v>
      </c>
      <c r="D76" s="17">
        <v>421000</v>
      </c>
      <c r="E76" s="17">
        <v>184000</v>
      </c>
      <c r="F76" s="17">
        <v>238000</v>
      </c>
      <c r="G76" s="17">
        <v>272000</v>
      </c>
      <c r="H76" s="17">
        <v>186000</v>
      </c>
      <c r="I76" s="17">
        <v>86000</v>
      </c>
      <c r="J76" s="17">
        <v>65000</v>
      </c>
      <c r="K76" s="17">
        <v>60000</v>
      </c>
      <c r="L76" s="17">
        <v>30000</v>
      </c>
      <c r="M76" s="17">
        <v>7000</v>
      </c>
      <c r="N76" s="17">
        <v>23000</v>
      </c>
      <c r="O76" s="17">
        <v>75000</v>
      </c>
      <c r="P76" s="17">
        <v>11000</v>
      </c>
    </row>
    <row r="77" spans="1:16" ht="15" customHeight="1">
      <c r="A77" s="8" t="s">
        <v>66</v>
      </c>
      <c r="B77" s="9" t="s">
        <v>60</v>
      </c>
      <c r="C77" s="17">
        <v>825000</v>
      </c>
      <c r="D77" s="17">
        <v>381000</v>
      </c>
      <c r="E77" s="17">
        <v>156000</v>
      </c>
      <c r="F77" s="17">
        <v>225000</v>
      </c>
      <c r="G77" s="17">
        <v>244000</v>
      </c>
      <c r="H77" s="17">
        <v>175000</v>
      </c>
      <c r="I77" s="17">
        <v>69000</v>
      </c>
      <c r="J77" s="17">
        <v>61000</v>
      </c>
      <c r="K77" s="17">
        <v>52000</v>
      </c>
      <c r="L77" s="17">
        <v>25000</v>
      </c>
      <c r="M77" s="17">
        <v>8000</v>
      </c>
      <c r="N77" s="17">
        <v>19000</v>
      </c>
      <c r="O77" s="17">
        <v>77000</v>
      </c>
      <c r="P77" s="17">
        <v>10000</v>
      </c>
    </row>
    <row r="78" spans="1:16" ht="15" customHeight="1">
      <c r="A78" s="8" t="s">
        <v>66</v>
      </c>
      <c r="B78" s="9" t="s">
        <v>61</v>
      </c>
      <c r="C78" s="17">
        <v>688000</v>
      </c>
      <c r="D78" s="17">
        <v>313000</v>
      </c>
      <c r="E78" s="17">
        <v>122000</v>
      </c>
      <c r="F78" s="17">
        <v>190000</v>
      </c>
      <c r="G78" s="17">
        <v>179000</v>
      </c>
      <c r="H78" s="17">
        <v>143000</v>
      </c>
      <c r="I78" s="17">
        <v>36000</v>
      </c>
      <c r="J78" s="17">
        <v>62000</v>
      </c>
      <c r="K78" s="17">
        <v>47000</v>
      </c>
      <c r="L78" s="17">
        <v>22000</v>
      </c>
      <c r="M78" s="17">
        <v>10000</v>
      </c>
      <c r="N78" s="17">
        <v>16000</v>
      </c>
      <c r="O78" s="17">
        <v>77000</v>
      </c>
      <c r="P78" s="17">
        <v>10000</v>
      </c>
    </row>
    <row r="79" spans="1:16" ht="15" customHeight="1">
      <c r="A79" s="8" t="s">
        <v>66</v>
      </c>
      <c r="B79" s="9" t="s">
        <v>62</v>
      </c>
      <c r="C79" s="17">
        <v>528000</v>
      </c>
      <c r="D79" s="17">
        <v>213000</v>
      </c>
      <c r="E79" s="17">
        <v>80000</v>
      </c>
      <c r="F79" s="17">
        <v>134000</v>
      </c>
      <c r="G79" s="17">
        <v>127000</v>
      </c>
      <c r="H79" s="17">
        <v>129000</v>
      </c>
      <c r="I79" s="17">
        <v>-2000</v>
      </c>
      <c r="J79" s="17">
        <v>55000</v>
      </c>
      <c r="K79" s="17">
        <v>41000</v>
      </c>
      <c r="L79" s="17">
        <v>20000</v>
      </c>
      <c r="M79" s="17">
        <v>8000</v>
      </c>
      <c r="N79" s="17">
        <v>13000</v>
      </c>
      <c r="O79" s="17">
        <v>84000</v>
      </c>
      <c r="P79" s="17">
        <v>9000</v>
      </c>
    </row>
    <row r="80" spans="1:16" ht="15" customHeight="1">
      <c r="A80" s="8" t="s">
        <v>66</v>
      </c>
      <c r="B80" s="9" t="s">
        <v>63</v>
      </c>
      <c r="C80" s="17">
        <v>439000</v>
      </c>
      <c r="D80" s="17">
        <v>150000</v>
      </c>
      <c r="E80" s="17">
        <v>59000</v>
      </c>
      <c r="F80" s="17">
        <v>90000</v>
      </c>
      <c r="G80" s="17">
        <v>123000</v>
      </c>
      <c r="H80" s="17">
        <v>136000</v>
      </c>
      <c r="I80" s="17">
        <v>-13000</v>
      </c>
      <c r="J80" s="17">
        <v>38000</v>
      </c>
      <c r="K80" s="17">
        <v>35000</v>
      </c>
      <c r="L80" s="17">
        <v>19000</v>
      </c>
      <c r="M80" s="17">
        <v>8000</v>
      </c>
      <c r="N80" s="17">
        <v>9000</v>
      </c>
      <c r="O80" s="17">
        <v>86000</v>
      </c>
      <c r="P80" s="17">
        <v>7000</v>
      </c>
    </row>
    <row r="81" spans="1:16" ht="15" customHeight="1">
      <c r="A81" s="8" t="s">
        <v>66</v>
      </c>
      <c r="B81" s="9" t="s">
        <v>64</v>
      </c>
      <c r="C81" s="17">
        <v>383000</v>
      </c>
      <c r="D81" s="17">
        <v>107000</v>
      </c>
      <c r="E81" s="17">
        <v>45000</v>
      </c>
      <c r="F81" s="17">
        <v>62000</v>
      </c>
      <c r="G81" s="17">
        <v>144000</v>
      </c>
      <c r="H81" s="17">
        <v>157000</v>
      </c>
      <c r="I81" s="17">
        <v>-13000</v>
      </c>
      <c r="J81" s="17">
        <v>14000</v>
      </c>
      <c r="K81" s="17">
        <v>21000</v>
      </c>
      <c r="L81" s="17">
        <v>16000</v>
      </c>
      <c r="M81" s="17">
        <v>7000</v>
      </c>
      <c r="N81" s="17">
        <v>-2000</v>
      </c>
      <c r="O81" s="17">
        <v>90000</v>
      </c>
      <c r="P81" s="17">
        <v>6000</v>
      </c>
    </row>
  </sheetData>
  <mergeCells count="1">
    <mergeCell ref="A2:K2"/>
  </mergeCells>
  <pageMargins left="0.70866141732283472" right="0.70866141732283472" top="0.74803149606299213" bottom="0.74803149606299213" header="0.31496062992125984" footer="0.31496062992125984"/>
  <pageSetup paperSize="9" scale="33" fitToHeight="0"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376DF-A20E-41C2-8B0B-89EF03A1BFBB}">
  <sheetPr>
    <pageSetUpPr fitToPage="1"/>
  </sheetPr>
  <dimension ref="A1:F25"/>
  <sheetViews>
    <sheetView zoomScaleNormal="100" workbookViewId="0">
      <pane xSplit="1" ySplit="5" topLeftCell="B6" activePane="bottomRight" state="frozen"/>
      <selection pane="topRight" activeCell="B1" sqref="B1"/>
      <selection pane="bottomLeft" activeCell="A6" sqref="A6"/>
      <selection pane="bottomRight" activeCell="B6" sqref="B6"/>
    </sheetView>
  </sheetViews>
  <sheetFormatPr defaultColWidth="9.140625" defaultRowHeight="15"/>
  <cols>
    <col min="1" max="1" width="16.85546875" style="11" customWidth="1"/>
    <col min="2" max="3" width="31.7109375" style="11" customWidth="1"/>
    <col min="4" max="4" width="57.140625" style="11" customWidth="1"/>
    <col min="5" max="6" width="31.7109375" style="11" customWidth="1"/>
    <col min="7" max="16384" width="9.140625" style="11"/>
  </cols>
  <sheetData>
    <row r="1" spans="1:6" ht="36" customHeight="1">
      <c r="A1" s="18" t="s">
        <v>105</v>
      </c>
    </row>
    <row r="2" spans="1:6">
      <c r="A2" s="3" t="s">
        <v>2</v>
      </c>
    </row>
    <row r="3" spans="1:6">
      <c r="A3" s="5" t="s">
        <v>3</v>
      </c>
    </row>
    <row r="4" spans="1:6" ht="28.15" customHeight="1">
      <c r="A4" s="5" t="s">
        <v>106</v>
      </c>
    </row>
    <row r="5" spans="1:6" customFormat="1" ht="45" customHeight="1">
      <c r="A5" s="19" t="s">
        <v>107</v>
      </c>
      <c r="B5" s="20" t="s">
        <v>108</v>
      </c>
      <c r="C5" s="20" t="s">
        <v>109</v>
      </c>
      <c r="D5" s="20" t="s">
        <v>110</v>
      </c>
      <c r="E5" s="20" t="s">
        <v>111</v>
      </c>
      <c r="F5" s="20" t="s">
        <v>112</v>
      </c>
    </row>
    <row r="6" spans="1:6">
      <c r="A6" s="9" t="s">
        <v>113</v>
      </c>
      <c r="B6" s="10">
        <v>5000</v>
      </c>
      <c r="C6" s="10">
        <v>7000</v>
      </c>
      <c r="D6" s="10" t="s">
        <v>114</v>
      </c>
      <c r="E6" s="10">
        <v>79000</v>
      </c>
      <c r="F6" s="10">
        <v>280000</v>
      </c>
    </row>
    <row r="7" spans="1:6">
      <c r="A7" s="9" t="s">
        <v>49</v>
      </c>
      <c r="B7" s="10">
        <v>20000</v>
      </c>
      <c r="C7" s="10">
        <v>29000</v>
      </c>
      <c r="D7" s="10" t="s">
        <v>114</v>
      </c>
      <c r="E7" s="10">
        <v>141000</v>
      </c>
      <c r="F7" s="10">
        <v>236000</v>
      </c>
    </row>
    <row r="8" spans="1:6">
      <c r="A8" s="9" t="s">
        <v>50</v>
      </c>
      <c r="B8" s="10">
        <v>25000</v>
      </c>
      <c r="C8" s="10">
        <v>37000</v>
      </c>
      <c r="D8" s="10" t="s">
        <v>114</v>
      </c>
      <c r="E8" s="10">
        <v>188000</v>
      </c>
      <c r="F8" s="10">
        <v>173000</v>
      </c>
    </row>
    <row r="9" spans="1:6">
      <c r="A9" s="9" t="s">
        <v>51</v>
      </c>
      <c r="B9" s="10">
        <v>29000</v>
      </c>
      <c r="C9" s="10">
        <v>41000</v>
      </c>
      <c r="D9" s="10">
        <v>144000</v>
      </c>
      <c r="E9" s="10">
        <v>187000</v>
      </c>
      <c r="F9" s="10">
        <v>183000</v>
      </c>
    </row>
    <row r="10" spans="1:6">
      <c r="A10" s="9" t="s">
        <v>52</v>
      </c>
      <c r="B10" s="10">
        <v>30000</v>
      </c>
      <c r="C10" s="10">
        <v>43000</v>
      </c>
      <c r="D10" s="10" t="s">
        <v>114</v>
      </c>
      <c r="E10" s="10">
        <v>184000</v>
      </c>
      <c r="F10" s="10">
        <v>157000</v>
      </c>
    </row>
    <row r="11" spans="1:6">
      <c r="A11" s="9" t="s">
        <v>53</v>
      </c>
      <c r="B11" s="10">
        <v>32000</v>
      </c>
      <c r="C11" s="10">
        <v>45000</v>
      </c>
      <c r="D11" s="10" t="s">
        <v>114</v>
      </c>
      <c r="E11" s="10">
        <v>160000</v>
      </c>
      <c r="F11" s="10">
        <v>150000</v>
      </c>
    </row>
    <row r="12" spans="1:6">
      <c r="A12" s="9" t="s">
        <v>54</v>
      </c>
      <c r="B12" s="10">
        <v>32000</v>
      </c>
      <c r="C12" s="10">
        <v>45000</v>
      </c>
      <c r="D12" s="10" t="s">
        <v>114</v>
      </c>
      <c r="E12" s="10">
        <v>150000</v>
      </c>
      <c r="F12" s="10">
        <v>141000</v>
      </c>
    </row>
    <row r="13" spans="1:6">
      <c r="A13" s="9" t="s">
        <v>55</v>
      </c>
      <c r="B13" s="10">
        <v>32000</v>
      </c>
      <c r="C13" s="10">
        <v>46000</v>
      </c>
      <c r="D13" s="10">
        <v>116000</v>
      </c>
      <c r="E13" s="10">
        <v>143000</v>
      </c>
      <c r="F13" s="10">
        <v>133000</v>
      </c>
    </row>
    <row r="14" spans="1:6">
      <c r="A14" s="9" t="s">
        <v>56</v>
      </c>
      <c r="B14" s="10">
        <v>32000</v>
      </c>
      <c r="C14" s="10">
        <v>49000</v>
      </c>
      <c r="D14" s="10" t="s">
        <v>114</v>
      </c>
      <c r="E14" s="10">
        <v>136000</v>
      </c>
      <c r="F14" s="10">
        <v>124000</v>
      </c>
    </row>
    <row r="15" spans="1:6">
      <c r="A15" s="9" t="s">
        <v>57</v>
      </c>
      <c r="B15" s="10">
        <v>32000</v>
      </c>
      <c r="C15" s="10">
        <v>46000</v>
      </c>
      <c r="D15" s="10" t="s">
        <v>114</v>
      </c>
      <c r="E15" s="10">
        <v>118000</v>
      </c>
      <c r="F15" s="10">
        <v>111000</v>
      </c>
    </row>
    <row r="16" spans="1:6">
      <c r="A16" s="9" t="s">
        <v>58</v>
      </c>
      <c r="B16" s="10">
        <v>31000</v>
      </c>
      <c r="C16" s="10">
        <v>45000</v>
      </c>
      <c r="D16" s="10" t="s">
        <v>114</v>
      </c>
      <c r="E16" s="10">
        <v>98000</v>
      </c>
      <c r="F16" s="10">
        <v>103000</v>
      </c>
    </row>
    <row r="17" spans="1:6">
      <c r="A17" s="9" t="s">
        <v>59</v>
      </c>
      <c r="B17" s="10">
        <v>31000</v>
      </c>
      <c r="C17" s="10">
        <v>44000</v>
      </c>
      <c r="D17" s="10">
        <v>101000</v>
      </c>
      <c r="E17" s="10">
        <v>80000</v>
      </c>
      <c r="F17" s="10">
        <v>98000</v>
      </c>
    </row>
    <row r="18" spans="1:6">
      <c r="A18" s="9" t="s">
        <v>60</v>
      </c>
      <c r="B18" s="10">
        <v>31000</v>
      </c>
      <c r="C18" s="10">
        <v>44000</v>
      </c>
      <c r="D18" s="10" t="s">
        <v>114</v>
      </c>
      <c r="E18" s="10">
        <v>72000</v>
      </c>
      <c r="F18" s="10">
        <v>93000</v>
      </c>
    </row>
    <row r="19" spans="1:6">
      <c r="A19" s="9" t="s">
        <v>61</v>
      </c>
      <c r="B19" s="10">
        <v>32000</v>
      </c>
      <c r="C19" s="10">
        <v>45000</v>
      </c>
      <c r="D19" s="10" t="s">
        <v>114</v>
      </c>
      <c r="E19" s="10">
        <v>66000</v>
      </c>
      <c r="F19" s="10">
        <v>88000</v>
      </c>
    </row>
    <row r="20" spans="1:6">
      <c r="A20" s="9" t="s">
        <v>62</v>
      </c>
      <c r="B20" s="10">
        <v>33000</v>
      </c>
      <c r="C20" s="10">
        <v>45000</v>
      </c>
      <c r="D20" s="10" t="s">
        <v>114</v>
      </c>
      <c r="E20" s="10">
        <v>64000</v>
      </c>
      <c r="F20" s="10">
        <v>81000</v>
      </c>
    </row>
    <row r="21" spans="1:6">
      <c r="A21" s="9" t="s">
        <v>63</v>
      </c>
      <c r="B21" s="10">
        <v>32000</v>
      </c>
      <c r="C21" s="10">
        <v>45000</v>
      </c>
      <c r="D21" s="10">
        <v>96000</v>
      </c>
      <c r="E21" s="10">
        <v>61000</v>
      </c>
      <c r="F21" s="10">
        <v>79000</v>
      </c>
    </row>
    <row r="22" spans="1:6">
      <c r="A22" s="9" t="s">
        <v>64</v>
      </c>
      <c r="B22" s="10">
        <v>32000</v>
      </c>
      <c r="C22" s="10">
        <v>45000</v>
      </c>
      <c r="D22" s="10" t="s">
        <v>114</v>
      </c>
      <c r="E22" s="10">
        <v>60000</v>
      </c>
      <c r="F22" s="10">
        <v>84000</v>
      </c>
    </row>
    <row r="23" spans="1:6" ht="15.75">
      <c r="F23" s="20"/>
    </row>
    <row r="24" spans="1:6" ht="15.75">
      <c r="F24" s="20"/>
    </row>
    <row r="25" spans="1:6">
      <c r="B25" s="21"/>
    </row>
  </sheetData>
  <pageMargins left="0.70866141732283472" right="0.70866141732283472" top="0.74803149606299213" bottom="0.74803149606299213" header="0.31496062992125984" footer="0.31496062992125984"/>
  <pageSetup paperSize="9" scale="43" fitToHeight="0" orientation="portrait" horizontalDpi="300"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34635-3D6A-492B-A2F5-925F01D0F726}">
  <sheetPr>
    <pageSetUpPr fitToPage="1"/>
  </sheetPr>
  <dimension ref="A1:F133"/>
  <sheetViews>
    <sheetView zoomScaleNormal="100" workbookViewId="0">
      <pane xSplit="1" ySplit="5" topLeftCell="B15" activePane="bottomRight" state="frozen"/>
      <selection pane="topRight" activeCell="B1" sqref="B1"/>
      <selection pane="bottomLeft" activeCell="A6" sqref="A6"/>
      <selection pane="bottomRight" activeCell="B30" sqref="B30"/>
    </sheetView>
  </sheetViews>
  <sheetFormatPr defaultColWidth="9.140625" defaultRowHeight="15"/>
  <cols>
    <col min="1" max="1" width="16.85546875" style="11" customWidth="1"/>
    <col min="2" max="2" width="29.5703125" style="11" customWidth="1"/>
    <col min="3" max="3" width="30.7109375" style="11" customWidth="1"/>
    <col min="4" max="4" width="28.5703125" style="11" customWidth="1"/>
    <col min="5" max="5" width="57.140625" style="11" customWidth="1"/>
    <col min="6" max="6" width="31" style="11" customWidth="1"/>
    <col min="7" max="16384" width="9.140625" style="11"/>
  </cols>
  <sheetData>
    <row r="1" spans="1:6" ht="36" customHeight="1">
      <c r="A1" s="18" t="s">
        <v>115</v>
      </c>
    </row>
    <row r="2" spans="1:6">
      <c r="A2" s="3" t="s">
        <v>2</v>
      </c>
    </row>
    <row r="3" spans="1:6">
      <c r="A3" s="5" t="s">
        <v>3</v>
      </c>
    </row>
    <row r="4" spans="1:6" ht="28.15" customHeight="1">
      <c r="A4" s="5" t="s">
        <v>106</v>
      </c>
    </row>
    <row r="5" spans="1:6" customFormat="1" ht="60" customHeight="1">
      <c r="A5" s="19" t="s">
        <v>6</v>
      </c>
      <c r="B5" s="20" t="s">
        <v>116</v>
      </c>
      <c r="C5" s="20" t="s">
        <v>117</v>
      </c>
      <c r="D5" s="20" t="s">
        <v>118</v>
      </c>
      <c r="E5" s="20" t="s">
        <v>119</v>
      </c>
      <c r="F5" s="20" t="s">
        <v>120</v>
      </c>
    </row>
    <row r="6" spans="1:6">
      <c r="A6" s="9" t="s">
        <v>40</v>
      </c>
      <c r="B6" s="10">
        <v>302000</v>
      </c>
      <c r="C6" s="10">
        <v>499000</v>
      </c>
      <c r="D6" s="10" t="s">
        <v>114</v>
      </c>
      <c r="E6" s="10" t="s">
        <v>114</v>
      </c>
      <c r="F6" s="10">
        <v>256000</v>
      </c>
    </row>
    <row r="7" spans="1:6">
      <c r="A7" s="9" t="s">
        <v>41</v>
      </c>
      <c r="B7" s="10">
        <v>305000</v>
      </c>
      <c r="C7" s="10">
        <v>533000</v>
      </c>
      <c r="D7" s="10" t="s">
        <v>114</v>
      </c>
      <c r="E7" s="10" t="s">
        <v>114</v>
      </c>
      <c r="F7" s="10">
        <v>293000</v>
      </c>
    </row>
    <row r="8" spans="1:6">
      <c r="A8" s="9" t="s">
        <v>42</v>
      </c>
      <c r="B8" s="10">
        <v>320000</v>
      </c>
      <c r="C8" s="10">
        <v>553000</v>
      </c>
      <c r="D8" s="10" t="s">
        <v>114</v>
      </c>
      <c r="E8" s="10" t="s">
        <v>114</v>
      </c>
      <c r="F8" s="10">
        <v>308000</v>
      </c>
    </row>
    <row r="9" spans="1:6">
      <c r="A9" s="9" t="s">
        <v>43</v>
      </c>
      <c r="B9" s="10">
        <v>341000</v>
      </c>
      <c r="C9" s="10">
        <v>554000</v>
      </c>
      <c r="D9" s="10" t="s">
        <v>114</v>
      </c>
      <c r="E9" s="10">
        <v>490000</v>
      </c>
      <c r="F9" s="10">
        <v>326000</v>
      </c>
    </row>
    <row r="10" spans="1:6">
      <c r="A10" s="9" t="s">
        <v>44</v>
      </c>
      <c r="B10" s="10">
        <v>289000</v>
      </c>
      <c r="C10" s="10">
        <v>451000</v>
      </c>
      <c r="D10" s="10" t="s">
        <v>114</v>
      </c>
      <c r="E10" s="10" t="s">
        <v>114</v>
      </c>
      <c r="F10" s="10">
        <v>276000</v>
      </c>
    </row>
    <row r="11" spans="1:6">
      <c r="A11" s="9" t="s">
        <v>45</v>
      </c>
      <c r="B11" s="10">
        <v>221000</v>
      </c>
      <c r="C11" s="10">
        <v>356000</v>
      </c>
      <c r="D11" s="10" t="s">
        <v>114</v>
      </c>
      <c r="E11" s="10" t="s">
        <v>114</v>
      </c>
      <c r="F11" s="10">
        <v>224000</v>
      </c>
    </row>
    <row r="12" spans="1:6">
      <c r="A12" s="9" t="s">
        <v>46</v>
      </c>
      <c r="B12" s="10">
        <v>258000</v>
      </c>
      <c r="C12" s="10">
        <v>402000</v>
      </c>
      <c r="D12" s="10" t="s">
        <v>114</v>
      </c>
      <c r="E12" s="10" t="s">
        <v>114</v>
      </c>
      <c r="F12" s="10">
        <v>206000</v>
      </c>
    </row>
    <row r="13" spans="1:6">
      <c r="A13" s="9" t="s">
        <v>47</v>
      </c>
      <c r="B13" s="10">
        <v>266000</v>
      </c>
      <c r="C13" s="10">
        <v>440000</v>
      </c>
      <c r="D13" s="10">
        <v>264000</v>
      </c>
      <c r="E13" s="10">
        <v>431000</v>
      </c>
      <c r="F13" s="10">
        <v>160000</v>
      </c>
    </row>
    <row r="14" spans="1:6">
      <c r="A14" s="9" t="s">
        <v>113</v>
      </c>
      <c r="B14" s="10">
        <v>325000</v>
      </c>
      <c r="C14" s="10">
        <v>555000</v>
      </c>
      <c r="D14" s="10" t="s">
        <v>114</v>
      </c>
      <c r="E14" s="10" t="s">
        <v>114</v>
      </c>
      <c r="F14" s="10">
        <v>191000</v>
      </c>
    </row>
    <row r="15" spans="1:6">
      <c r="A15" s="9" t="s">
        <v>49</v>
      </c>
      <c r="B15" s="10">
        <v>472000</v>
      </c>
      <c r="C15" s="10">
        <v>721000</v>
      </c>
      <c r="D15" s="10" t="s">
        <v>114</v>
      </c>
      <c r="E15" s="10" t="s">
        <v>114</v>
      </c>
      <c r="F15" s="10">
        <v>277000</v>
      </c>
    </row>
    <row r="16" spans="1:6">
      <c r="A16" s="9" t="s">
        <v>50</v>
      </c>
      <c r="B16" s="10">
        <v>537000</v>
      </c>
      <c r="C16" s="10">
        <v>756000</v>
      </c>
      <c r="D16" s="10" t="s">
        <v>114</v>
      </c>
      <c r="E16" s="10" t="s">
        <v>114</v>
      </c>
      <c r="F16" s="10">
        <v>388000</v>
      </c>
    </row>
    <row r="17" spans="1:6">
      <c r="A17" s="9" t="s">
        <v>51</v>
      </c>
      <c r="B17" s="10">
        <v>637000</v>
      </c>
      <c r="C17" s="10">
        <v>842000</v>
      </c>
      <c r="D17" s="10" t="s">
        <v>114</v>
      </c>
      <c r="E17" s="10">
        <v>710000</v>
      </c>
      <c r="F17" s="10">
        <v>558000</v>
      </c>
    </row>
    <row r="18" spans="1:6">
      <c r="A18" s="9" t="s">
        <v>52</v>
      </c>
      <c r="B18" s="10">
        <v>748000</v>
      </c>
      <c r="C18" s="10">
        <v>991000</v>
      </c>
      <c r="D18" s="10" t="s">
        <v>114</v>
      </c>
      <c r="E18" s="10" t="s">
        <v>114</v>
      </c>
      <c r="F18" s="10">
        <v>662000</v>
      </c>
    </row>
    <row r="19" spans="1:6">
      <c r="A19" s="9" t="s">
        <v>53</v>
      </c>
      <c r="B19" s="10">
        <v>912000</v>
      </c>
      <c r="C19" s="10">
        <v>1176000</v>
      </c>
      <c r="D19" s="10" t="s">
        <v>114</v>
      </c>
      <c r="E19" s="10" t="s">
        <v>114</v>
      </c>
      <c r="F19" s="10">
        <v>778000</v>
      </c>
    </row>
    <row r="20" spans="1:6">
      <c r="A20" s="9" t="s">
        <v>54</v>
      </c>
      <c r="B20" s="10">
        <v>1000000</v>
      </c>
      <c r="C20" s="10">
        <v>1267000</v>
      </c>
      <c r="D20" s="10" t="s">
        <v>114</v>
      </c>
      <c r="E20" s="10" t="s">
        <v>114</v>
      </c>
      <c r="F20" s="10">
        <v>892000</v>
      </c>
    </row>
    <row r="21" spans="1:6">
      <c r="A21" s="9" t="s">
        <v>55</v>
      </c>
      <c r="B21" s="10">
        <v>1080000</v>
      </c>
      <c r="C21" s="10">
        <v>1331000</v>
      </c>
      <c r="D21" s="10" t="s">
        <v>114</v>
      </c>
      <c r="E21" s="10">
        <v>919000</v>
      </c>
      <c r="F21" s="10">
        <v>955000</v>
      </c>
    </row>
    <row r="22" spans="1:6">
      <c r="A22" s="9" t="s">
        <v>56</v>
      </c>
      <c r="B22" s="10">
        <v>1093000</v>
      </c>
      <c r="C22" s="10">
        <v>1302000</v>
      </c>
      <c r="D22" s="10" t="s">
        <v>114</v>
      </c>
      <c r="E22" s="10" t="s">
        <v>114</v>
      </c>
      <c r="F22" s="10">
        <v>961000</v>
      </c>
    </row>
    <row r="23" spans="1:6">
      <c r="A23" s="9" t="s">
        <v>57</v>
      </c>
      <c r="B23" s="10">
        <v>1110000</v>
      </c>
      <c r="C23" s="10">
        <v>1298000</v>
      </c>
      <c r="D23" s="10" t="s">
        <v>114</v>
      </c>
      <c r="E23" s="10" t="s">
        <v>114</v>
      </c>
      <c r="F23" s="10">
        <v>974000</v>
      </c>
    </row>
    <row r="24" spans="1:6">
      <c r="A24" s="9" t="s">
        <v>58</v>
      </c>
      <c r="B24" s="10">
        <v>1108000</v>
      </c>
      <c r="C24" s="10">
        <v>1265000</v>
      </c>
      <c r="D24" s="10" t="s">
        <v>114</v>
      </c>
      <c r="E24" s="10" t="s">
        <v>114</v>
      </c>
      <c r="F24" s="10">
        <v>997000</v>
      </c>
    </row>
    <row r="25" spans="1:6">
      <c r="A25" s="9" t="s">
        <v>59</v>
      </c>
      <c r="B25" s="10">
        <v>1030000</v>
      </c>
      <c r="C25" s="10">
        <v>1193000</v>
      </c>
      <c r="D25" s="10" t="s">
        <v>114</v>
      </c>
      <c r="E25" s="10">
        <v>938000</v>
      </c>
      <c r="F25" s="10">
        <v>906000</v>
      </c>
    </row>
    <row r="26" spans="1:6">
      <c r="A26" s="9" t="s">
        <v>60</v>
      </c>
      <c r="B26" s="10">
        <v>974000</v>
      </c>
      <c r="C26" s="10">
        <v>1104000</v>
      </c>
      <c r="D26" s="10" t="s">
        <v>114</v>
      </c>
      <c r="E26" s="10" t="s">
        <v>114</v>
      </c>
      <c r="F26" s="10">
        <v>855000</v>
      </c>
    </row>
    <row r="27" spans="1:6">
      <c r="A27" s="9" t="s">
        <v>61</v>
      </c>
      <c r="B27" s="10">
        <v>845000</v>
      </c>
      <c r="C27" s="10">
        <v>917000</v>
      </c>
      <c r="D27" s="10" t="s">
        <v>114</v>
      </c>
      <c r="E27" s="10" t="s">
        <v>114</v>
      </c>
      <c r="F27" s="10">
        <v>739000</v>
      </c>
    </row>
    <row r="28" spans="1:6">
      <c r="A28" s="9" t="s">
        <v>62</v>
      </c>
      <c r="B28" s="10">
        <v>693000</v>
      </c>
      <c r="C28" s="10">
        <v>799000</v>
      </c>
      <c r="D28" s="10" t="s">
        <v>114</v>
      </c>
      <c r="E28" s="10" t="s">
        <v>114</v>
      </c>
      <c r="F28" s="10">
        <v>605000</v>
      </c>
    </row>
    <row r="29" spans="1:6">
      <c r="A29" s="9" t="s">
        <v>63</v>
      </c>
      <c r="B29" s="10">
        <v>620000</v>
      </c>
      <c r="C29" s="10">
        <v>725000</v>
      </c>
      <c r="D29" s="10" t="s">
        <v>114</v>
      </c>
      <c r="E29" s="10">
        <v>765000</v>
      </c>
      <c r="F29" s="10">
        <v>572000</v>
      </c>
    </row>
    <row r="30" spans="1:6">
      <c r="A30" s="9" t="s">
        <v>64</v>
      </c>
      <c r="B30" s="10">
        <v>566000</v>
      </c>
      <c r="C30" s="10">
        <v>702000</v>
      </c>
      <c r="D30" s="10" t="s">
        <v>114</v>
      </c>
      <c r="E30" s="10" t="s">
        <v>114</v>
      </c>
      <c r="F30" s="10">
        <v>562000</v>
      </c>
    </row>
    <row r="33" spans="2:2">
      <c r="B33" s="21"/>
    </row>
    <row r="49" s="11" customFormat="1"/>
    <row r="50" s="11" customFormat="1"/>
    <row r="51" s="11" customFormat="1"/>
    <row r="52" s="11" customFormat="1"/>
    <row r="53" s="11" customFormat="1"/>
    <row r="54" s="11" customFormat="1"/>
    <row r="55" s="11" customFormat="1"/>
    <row r="56" s="11" customFormat="1"/>
    <row r="57" s="11" customFormat="1"/>
    <row r="58" s="11" customFormat="1"/>
    <row r="59" s="11" customFormat="1"/>
    <row r="60" s="11" customFormat="1"/>
    <row r="61" s="11" customFormat="1"/>
    <row r="62" s="11" customFormat="1"/>
    <row r="63" s="11" customFormat="1"/>
    <row r="64" s="11" customFormat="1"/>
    <row r="65" s="11" customFormat="1"/>
    <row r="66" s="11" customFormat="1"/>
    <row r="67" s="11" customFormat="1"/>
    <row r="68" s="11" customFormat="1"/>
    <row r="69" s="11" customFormat="1"/>
    <row r="70" s="11" customFormat="1"/>
    <row r="71" s="11" customFormat="1"/>
    <row r="72" s="11" customFormat="1"/>
    <row r="73" s="11" customFormat="1"/>
    <row r="74" s="11" customFormat="1"/>
    <row r="75" s="11" customFormat="1"/>
    <row r="76" s="11" customFormat="1"/>
    <row r="77" s="11" customFormat="1"/>
    <row r="78" s="11" customFormat="1"/>
    <row r="79" s="11" customFormat="1"/>
    <row r="80" s="11" customFormat="1"/>
    <row r="81" s="11" customFormat="1"/>
    <row r="82" s="11" customFormat="1"/>
    <row r="83" s="11" customFormat="1"/>
    <row r="84" s="11" customFormat="1"/>
    <row r="85" s="11" customFormat="1"/>
    <row r="86" s="11" customFormat="1"/>
    <row r="87" s="11" customFormat="1"/>
    <row r="88" s="11" customFormat="1"/>
    <row r="89" s="11" customFormat="1"/>
    <row r="90" s="11" customFormat="1"/>
    <row r="91" s="11" customFormat="1"/>
    <row r="92" s="11" customFormat="1"/>
    <row r="93" s="11" customFormat="1"/>
    <row r="94" s="11" customFormat="1"/>
    <row r="95" s="11" customFormat="1"/>
    <row r="96" s="11" customFormat="1"/>
    <row r="97" s="11" customFormat="1"/>
    <row r="98" s="11" customFormat="1"/>
    <row r="99" s="11" customFormat="1"/>
    <row r="100" s="11" customFormat="1"/>
    <row r="101" s="11" customFormat="1"/>
    <row r="102" s="11" customFormat="1"/>
    <row r="103" s="11" customFormat="1"/>
    <row r="104" s="11" customFormat="1"/>
    <row r="105" s="11" customFormat="1"/>
    <row r="106" s="11" customFormat="1"/>
    <row r="107" s="11" customFormat="1"/>
    <row r="108" s="11" customFormat="1"/>
    <row r="109" s="11" customFormat="1"/>
    <row r="110" s="11" customFormat="1"/>
    <row r="111" s="11" customFormat="1"/>
    <row r="112" s="11" customFormat="1"/>
    <row r="113" s="11" customFormat="1"/>
    <row r="114" s="11" customFormat="1"/>
    <row r="115" s="11" customFormat="1"/>
    <row r="116" s="11" customFormat="1"/>
    <row r="117" s="11" customFormat="1"/>
    <row r="118" s="11" customFormat="1"/>
    <row r="119" s="11" customFormat="1"/>
    <row r="120" s="11" customFormat="1"/>
    <row r="121" s="11" customFormat="1"/>
    <row r="122" s="11" customFormat="1"/>
    <row r="123" s="11" customFormat="1"/>
    <row r="124" s="11" customFormat="1"/>
    <row r="125" s="11" customFormat="1"/>
    <row r="126" s="11" customFormat="1"/>
    <row r="127" s="11" customFormat="1"/>
    <row r="128" s="11" customFormat="1"/>
    <row r="129" s="11" customFormat="1"/>
    <row r="130" s="11" customFormat="1"/>
    <row r="131" s="11" customFormat="1"/>
    <row r="132" s="11" customFormat="1"/>
    <row r="133" s="11" customFormat="1"/>
  </sheetData>
  <pageMargins left="0.70866141732283472" right="0.70866141732283472" top="0.74803149606299213" bottom="0.74803149606299213" header="0.31496062992125984" footer="0.31496062992125984"/>
  <pageSetup paperSize="9" scale="52" fitToHeight="0"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14196-DB6B-4FE7-A11E-CFF658209FB2}">
  <sheetPr>
    <tabColor theme="7" tint="0.79998168889431442"/>
    <pageSetUpPr fitToPage="1"/>
  </sheetPr>
  <dimension ref="A1:BB57"/>
  <sheetViews>
    <sheetView zoomScaleNormal="100" workbookViewId="0">
      <selection activeCell="K34" sqref="K34"/>
    </sheetView>
  </sheetViews>
  <sheetFormatPr defaultColWidth="10.42578125" defaultRowHeight="12.75"/>
  <cols>
    <col min="1" max="1" width="8.42578125" style="167" customWidth="1"/>
    <col min="2" max="3" width="0.85546875" style="167" customWidth="1"/>
    <col min="4" max="4" width="53.42578125" style="167" customWidth="1"/>
    <col min="5" max="11" width="12.28515625" style="167" customWidth="1"/>
    <col min="12" max="12" width="8.42578125" style="167" customWidth="1"/>
    <col min="13" max="17" width="12.28515625" style="167" customWidth="1"/>
    <col min="18" max="18" width="10.42578125" style="167"/>
    <col min="19" max="19" width="11.140625" style="167" customWidth="1"/>
    <col min="20" max="25" width="10.42578125" style="167"/>
    <col min="26" max="27" width="10.42578125" style="167" customWidth="1"/>
    <col min="28" max="33" width="11.140625" style="167" customWidth="1"/>
    <col min="34" max="42" width="10.5703125" style="167" bestFit="1" customWidth="1"/>
    <col min="43" max="44" width="11.140625" style="167" bestFit="1" customWidth="1"/>
    <col min="45" max="46" width="12.28515625" style="167" bestFit="1" customWidth="1"/>
    <col min="47" max="47" width="11.5703125" style="167" bestFit="1" customWidth="1"/>
    <col min="48" max="52" width="12.28515625" style="167" bestFit="1" customWidth="1"/>
    <col min="53" max="16384" width="10.42578125" style="167"/>
  </cols>
  <sheetData>
    <row r="1" spans="1:54" ht="33.75" customHeight="1" thickBot="1">
      <c r="A1" s="164" t="s">
        <v>499</v>
      </c>
      <c r="B1" s="164"/>
      <c r="C1" s="164"/>
      <c r="D1" s="165"/>
      <c r="E1" s="166"/>
      <c r="F1" s="166"/>
      <c r="G1" s="166"/>
      <c r="H1" s="166"/>
      <c r="I1" s="166"/>
      <c r="J1" s="166"/>
      <c r="K1" s="166"/>
      <c r="L1" s="166"/>
      <c r="M1" s="166"/>
      <c r="N1" s="166"/>
      <c r="O1" s="166"/>
      <c r="P1" s="166"/>
      <c r="Q1" s="166"/>
      <c r="R1" s="166"/>
      <c r="S1" s="166"/>
    </row>
    <row r="2" spans="1:54" s="169" customFormat="1" ht="19.5" customHeight="1">
      <c r="A2" s="168"/>
      <c r="B2" s="335" t="s">
        <v>1425</v>
      </c>
      <c r="C2" s="336"/>
      <c r="D2" s="336"/>
      <c r="E2" s="336"/>
      <c r="F2" s="336"/>
      <c r="G2" s="336"/>
      <c r="H2" s="336"/>
      <c r="I2" s="336"/>
      <c r="J2" s="336"/>
      <c r="K2" s="336"/>
      <c r="L2" s="336"/>
      <c r="M2" s="336"/>
      <c r="N2" s="336"/>
      <c r="O2" s="336"/>
      <c r="P2" s="336"/>
      <c r="Q2" s="336"/>
      <c r="R2" s="336"/>
      <c r="S2" s="336"/>
      <c r="T2" s="336"/>
      <c r="U2" s="336"/>
      <c r="V2" s="336"/>
      <c r="W2" s="336"/>
      <c r="X2" s="336"/>
      <c r="Y2" s="336"/>
      <c r="Z2" s="336"/>
      <c r="AA2" s="336"/>
      <c r="AB2" s="337"/>
    </row>
    <row r="3" spans="1:54" ht="18" customHeight="1">
      <c r="A3" s="170"/>
      <c r="B3" s="171"/>
      <c r="C3" s="172"/>
      <c r="D3" s="172"/>
      <c r="E3" s="338" t="s">
        <v>1426</v>
      </c>
      <c r="F3" s="339"/>
      <c r="G3" s="339"/>
      <c r="H3" s="339"/>
      <c r="I3" s="339"/>
      <c r="J3" s="339"/>
      <c r="K3" s="339"/>
      <c r="L3" s="339"/>
      <c r="M3" s="339"/>
      <c r="N3" s="339"/>
      <c r="O3" s="339"/>
      <c r="P3" s="339"/>
      <c r="Q3" s="339"/>
      <c r="R3" s="339"/>
      <c r="S3" s="339"/>
      <c r="T3" s="339"/>
      <c r="U3" s="339"/>
      <c r="V3" s="340"/>
      <c r="W3" s="341" t="s">
        <v>1427</v>
      </c>
      <c r="X3" s="342"/>
      <c r="Y3" s="342"/>
      <c r="Z3" s="342"/>
      <c r="AA3" s="342"/>
      <c r="AB3" s="343"/>
    </row>
    <row r="4" spans="1:54" ht="13.5" customHeight="1">
      <c r="A4" s="170"/>
      <c r="B4" s="173"/>
      <c r="C4" s="174"/>
      <c r="D4" s="174"/>
      <c r="E4" s="175" t="s">
        <v>1428</v>
      </c>
      <c r="F4" s="175" t="s">
        <v>613</v>
      </c>
      <c r="G4" s="175" t="s">
        <v>614</v>
      </c>
      <c r="H4" s="175" t="s">
        <v>615</v>
      </c>
      <c r="I4" s="175" t="s">
        <v>616</v>
      </c>
      <c r="J4" s="175" t="s">
        <v>617</v>
      </c>
      <c r="K4" s="175" t="s">
        <v>618</v>
      </c>
      <c r="L4" s="175" t="s">
        <v>619</v>
      </c>
      <c r="M4" s="175" t="s">
        <v>620</v>
      </c>
      <c r="N4" s="176" t="s">
        <v>621</v>
      </c>
      <c r="O4" s="176" t="s">
        <v>622</v>
      </c>
      <c r="P4" s="176" t="s">
        <v>623</v>
      </c>
      <c r="Q4" s="176" t="s">
        <v>624</v>
      </c>
      <c r="R4" s="176" t="s">
        <v>625</v>
      </c>
      <c r="S4" s="176" t="s">
        <v>626</v>
      </c>
      <c r="T4" s="176" t="s">
        <v>627</v>
      </c>
      <c r="U4" s="176" t="s">
        <v>628</v>
      </c>
      <c r="V4" s="176" t="s">
        <v>629</v>
      </c>
      <c r="W4" s="177" t="s">
        <v>630</v>
      </c>
      <c r="X4" s="177" t="s">
        <v>631</v>
      </c>
      <c r="Y4" s="177" t="s">
        <v>632</v>
      </c>
      <c r="Z4" s="177" t="s">
        <v>633</v>
      </c>
      <c r="AA4" s="177" t="s">
        <v>634</v>
      </c>
      <c r="AB4" s="178" t="s">
        <v>635</v>
      </c>
    </row>
    <row r="5" spans="1:54" ht="13.5" thickBot="1">
      <c r="A5" s="170"/>
      <c r="B5" s="179"/>
      <c r="C5" s="180"/>
      <c r="D5" s="180"/>
      <c r="E5" s="181"/>
      <c r="F5" s="181"/>
      <c r="G5" s="181"/>
      <c r="H5" s="181"/>
      <c r="I5" s="181"/>
      <c r="J5" s="181"/>
      <c r="K5" s="181"/>
      <c r="L5" s="181"/>
      <c r="M5" s="181"/>
      <c r="N5" s="181"/>
      <c r="O5" s="181"/>
      <c r="P5" s="182"/>
      <c r="Q5" s="182"/>
      <c r="R5" s="182"/>
      <c r="S5" s="182"/>
      <c r="T5" s="182"/>
      <c r="U5" s="182"/>
      <c r="V5" s="182"/>
      <c r="W5" s="182"/>
      <c r="X5" s="182"/>
      <c r="Y5" s="182"/>
      <c r="AB5" s="183"/>
    </row>
    <row r="6" spans="1:54" ht="18" customHeight="1">
      <c r="A6" s="184"/>
      <c r="B6" s="335" t="s">
        <v>1429</v>
      </c>
      <c r="C6" s="336"/>
      <c r="D6" s="336"/>
      <c r="E6" s="336"/>
      <c r="F6" s="336"/>
      <c r="G6" s="336"/>
      <c r="H6" s="336"/>
      <c r="I6" s="336"/>
      <c r="J6" s="336"/>
      <c r="K6" s="336"/>
      <c r="L6" s="336"/>
      <c r="M6" s="336"/>
      <c r="N6" s="336"/>
      <c r="O6" s="336"/>
      <c r="P6" s="336"/>
      <c r="Q6" s="336"/>
      <c r="R6" s="336"/>
      <c r="S6" s="336"/>
      <c r="T6" s="336"/>
      <c r="U6" s="336"/>
      <c r="V6" s="336"/>
      <c r="W6" s="336"/>
      <c r="X6" s="336"/>
      <c r="Y6" s="336"/>
      <c r="Z6" s="336"/>
      <c r="AA6" s="336"/>
      <c r="AB6" s="337"/>
    </row>
    <row r="7" spans="1:54">
      <c r="A7" s="170"/>
      <c r="B7" s="185"/>
      <c r="C7" s="184"/>
      <c r="D7" s="186" t="s">
        <v>1430</v>
      </c>
      <c r="E7" s="187">
        <v>278.97442489011138</v>
      </c>
      <c r="F7" s="187">
        <v>291.81359363019584</v>
      </c>
      <c r="G7" s="187">
        <v>309.9637443590147</v>
      </c>
      <c r="H7" s="187">
        <v>316.26683740273597</v>
      </c>
      <c r="I7" s="187">
        <v>311.67789681009361</v>
      </c>
      <c r="J7" s="187">
        <v>307.91245937838153</v>
      </c>
      <c r="K7" s="187">
        <v>312.85129925948507</v>
      </c>
      <c r="L7" s="187">
        <v>314.85595809325446</v>
      </c>
      <c r="M7" s="187">
        <v>313.74812578060721</v>
      </c>
      <c r="N7" s="187">
        <v>317.33173569695703</v>
      </c>
      <c r="O7" s="187">
        <v>321.18889688385093</v>
      </c>
      <c r="P7" s="187">
        <v>328.5983292153681</v>
      </c>
      <c r="Q7" s="187">
        <v>352.45015605167475</v>
      </c>
      <c r="R7" s="187">
        <v>449.44684964762342</v>
      </c>
      <c r="S7" s="187">
        <v>437.9459457522205</v>
      </c>
      <c r="T7" s="187">
        <v>443.10367873346689</v>
      </c>
      <c r="U7" s="187">
        <v>460.242885</v>
      </c>
      <c r="V7" s="187">
        <v>493.80157000000008</v>
      </c>
      <c r="W7" s="187">
        <v>525.13165182584714</v>
      </c>
      <c r="X7" s="187">
        <v>546.45995537400415</v>
      </c>
      <c r="Y7" s="187">
        <v>562.42393204411235</v>
      </c>
      <c r="Z7" s="187">
        <v>578.4283760074677</v>
      </c>
      <c r="AA7" s="187">
        <v>589.0916581917088</v>
      </c>
      <c r="AB7" s="188">
        <v>608.97645802810075</v>
      </c>
      <c r="AF7" s="189"/>
      <c r="AG7" s="189"/>
      <c r="AH7" s="189"/>
      <c r="AI7" s="189"/>
      <c r="AJ7" s="189"/>
      <c r="AK7" s="189"/>
      <c r="AL7" s="189"/>
      <c r="AM7" s="189"/>
      <c r="AN7" s="189"/>
      <c r="AO7" s="189"/>
      <c r="AP7" s="189"/>
      <c r="AQ7" s="189"/>
      <c r="AR7" s="189"/>
      <c r="AS7" s="189"/>
      <c r="AT7" s="189"/>
      <c r="AU7" s="189"/>
      <c r="AV7" s="189"/>
      <c r="AW7" s="189"/>
      <c r="AX7" s="189"/>
      <c r="AY7" s="189"/>
      <c r="AZ7" s="189"/>
      <c r="BA7" s="190"/>
      <c r="BB7" s="190"/>
    </row>
    <row r="8" spans="1:54">
      <c r="A8" s="170"/>
      <c r="B8" s="185"/>
      <c r="C8" s="184"/>
      <c r="D8" s="191" t="s">
        <v>1431</v>
      </c>
      <c r="E8" s="187">
        <v>443.75363200801326</v>
      </c>
      <c r="F8" s="187">
        <v>447.99866264791615</v>
      </c>
      <c r="G8" s="187">
        <v>469.70675560698919</v>
      </c>
      <c r="H8" s="187">
        <v>471.13800086981888</v>
      </c>
      <c r="I8" s="187">
        <v>454.55692798204336</v>
      </c>
      <c r="J8" s="187">
        <v>441.59088651406961</v>
      </c>
      <c r="K8" s="187">
        <v>439.60090728587602</v>
      </c>
      <c r="L8" s="187">
        <v>436.15845385967941</v>
      </c>
      <c r="M8" s="187">
        <v>431.70873914983173</v>
      </c>
      <c r="N8" s="187">
        <v>428.16124670163066</v>
      </c>
      <c r="O8" s="187">
        <v>427.73915436187514</v>
      </c>
      <c r="P8" s="187">
        <v>428.07900021381113</v>
      </c>
      <c r="Q8" s="187">
        <v>447.11865820546547</v>
      </c>
      <c r="R8" s="187">
        <v>541.92363466197571</v>
      </c>
      <c r="S8" s="187">
        <v>526.7295658491239</v>
      </c>
      <c r="T8" s="187">
        <v>498.16432465265297</v>
      </c>
      <c r="U8" s="187">
        <v>491.40131235760833</v>
      </c>
      <c r="V8" s="187">
        <v>508.33471776471629</v>
      </c>
      <c r="W8" s="187">
        <v>525.13165182584714</v>
      </c>
      <c r="X8" s="187">
        <v>534.54006704741244</v>
      </c>
      <c r="Y8" s="187">
        <v>539.30886573883117</v>
      </c>
      <c r="Z8" s="187">
        <v>544.39751254411544</v>
      </c>
      <c r="AA8" s="187">
        <v>544.38732262784458</v>
      </c>
      <c r="AB8" s="188">
        <v>551.98810279519353</v>
      </c>
      <c r="AF8" s="189"/>
      <c r="AG8" s="189"/>
      <c r="AH8" s="189"/>
      <c r="AI8" s="189"/>
      <c r="AJ8" s="189"/>
      <c r="AK8" s="189"/>
      <c r="AL8" s="189"/>
      <c r="AM8" s="189"/>
      <c r="AN8" s="189"/>
      <c r="AO8" s="189"/>
      <c r="AP8" s="189"/>
      <c r="AQ8" s="189"/>
      <c r="AR8" s="189"/>
      <c r="AS8" s="189"/>
      <c r="AT8" s="189"/>
      <c r="AU8" s="189"/>
      <c r="AV8" s="189"/>
      <c r="AW8" s="189"/>
      <c r="AX8" s="189"/>
      <c r="AY8" s="189"/>
      <c r="AZ8" s="189"/>
    </row>
    <row r="9" spans="1:54">
      <c r="A9" s="192"/>
      <c r="B9" s="185"/>
      <c r="C9" s="184"/>
      <c r="D9" s="186" t="s">
        <v>1432</v>
      </c>
      <c r="E9" s="187"/>
      <c r="F9" s="187">
        <v>0.95661879333670541</v>
      </c>
      <c r="G9" s="187">
        <v>4.845570928887688</v>
      </c>
      <c r="H9" s="187">
        <v>0.3047103848826227</v>
      </c>
      <c r="I9" s="187">
        <v>-3.5193664822543269</v>
      </c>
      <c r="J9" s="187">
        <v>-2.852457122485208</v>
      </c>
      <c r="K9" s="187">
        <v>-0.4506386542309615</v>
      </c>
      <c r="L9" s="187">
        <v>-0.78308606036564532</v>
      </c>
      <c r="M9" s="187">
        <v>-1.0202059986390233</v>
      </c>
      <c r="N9" s="187">
        <v>-0.82173283199853397</v>
      </c>
      <c r="O9" s="187">
        <v>-9.8582565098348507E-2</v>
      </c>
      <c r="P9" s="187">
        <v>7.945165843958879E-2</v>
      </c>
      <c r="Q9" s="187">
        <v>4.4476972666598114</v>
      </c>
      <c r="R9" s="187">
        <v>21.203538415733991</v>
      </c>
      <c r="S9" s="187">
        <v>-2.8037287619553819</v>
      </c>
      <c r="T9" s="187">
        <v>-5.4231322956822865</v>
      </c>
      <c r="U9" s="187">
        <v>-1.3575866356468125</v>
      </c>
      <c r="V9" s="187">
        <v>3.445942243390876</v>
      </c>
      <c r="W9" s="187">
        <v>3.3043058980884554</v>
      </c>
      <c r="X9" s="187">
        <v>1.7916298110869588</v>
      </c>
      <c r="Y9" s="187">
        <v>0.89213119565754173</v>
      </c>
      <c r="Z9" s="187">
        <v>0.9435496296381185</v>
      </c>
      <c r="AA9" s="187">
        <v>-1.871778624273901E-3</v>
      </c>
      <c r="AB9" s="188">
        <v>1.3962081502300272</v>
      </c>
      <c r="AF9" s="189"/>
      <c r="AG9" s="189"/>
      <c r="AH9" s="189"/>
      <c r="AI9" s="189"/>
      <c r="AJ9" s="189"/>
      <c r="AK9" s="189"/>
      <c r="AL9" s="189"/>
      <c r="AM9" s="189"/>
      <c r="AN9" s="189"/>
      <c r="AO9" s="189"/>
      <c r="AP9" s="189"/>
      <c r="AQ9" s="189"/>
      <c r="AR9" s="189"/>
      <c r="AS9" s="189"/>
      <c r="AT9" s="189"/>
      <c r="AU9" s="189"/>
      <c r="AV9" s="189"/>
      <c r="AW9" s="189"/>
      <c r="AX9" s="189"/>
      <c r="AY9" s="189"/>
      <c r="AZ9" s="189"/>
    </row>
    <row r="10" spans="1:54" ht="13.5" customHeight="1">
      <c r="A10" s="192"/>
      <c r="B10" s="185"/>
      <c r="C10" s="184"/>
      <c r="D10" s="186" t="s">
        <v>1433</v>
      </c>
      <c r="E10" s="187">
        <v>17.802783544260016</v>
      </c>
      <c r="F10" s="187">
        <v>18.429626083602429</v>
      </c>
      <c r="G10" s="187">
        <v>19.852532509699401</v>
      </c>
      <c r="H10" s="187">
        <v>19.368105927809097</v>
      </c>
      <c r="I10" s="187">
        <v>18.541914230580542</v>
      </c>
      <c r="J10" s="187">
        <v>17.762349460423785</v>
      </c>
      <c r="K10" s="187">
        <v>17.262609032883248</v>
      </c>
      <c r="L10" s="187">
        <v>16.675685795097884</v>
      </c>
      <c r="M10" s="187">
        <v>16.140660239547206</v>
      </c>
      <c r="N10" s="187">
        <v>15.654329728065019</v>
      </c>
      <c r="O10" s="187">
        <v>15.18898679448103</v>
      </c>
      <c r="P10" s="187">
        <v>15.005593069415976</v>
      </c>
      <c r="Q10" s="187">
        <v>15.572009013676356</v>
      </c>
      <c r="R10" s="187">
        <v>21.300838942236069</v>
      </c>
      <c r="S10" s="187">
        <v>18.244722156584885</v>
      </c>
      <c r="T10" s="187">
        <v>16.820317481652566</v>
      </c>
      <c r="U10" s="187">
        <v>16.502176062026912</v>
      </c>
      <c r="V10" s="187">
        <v>16.871618597398268</v>
      </c>
      <c r="W10" s="187">
        <v>17.257562197157871</v>
      </c>
      <c r="X10" s="187">
        <v>17.266017021606739</v>
      </c>
      <c r="Y10" s="187">
        <v>17.160210776933198</v>
      </c>
      <c r="Z10" s="187">
        <v>17.070850866687913</v>
      </c>
      <c r="AA10" s="187">
        <v>16.811990081562474</v>
      </c>
      <c r="AB10" s="188">
        <v>16.786066068974808</v>
      </c>
      <c r="AF10" s="189"/>
      <c r="AG10" s="189"/>
      <c r="AH10" s="189"/>
      <c r="AI10" s="189"/>
      <c r="AJ10" s="189"/>
      <c r="AK10" s="189"/>
      <c r="AL10" s="189"/>
      <c r="AM10" s="189"/>
      <c r="AN10" s="189"/>
      <c r="AO10" s="189"/>
      <c r="AP10" s="189"/>
      <c r="AQ10" s="189"/>
      <c r="AR10" s="189"/>
      <c r="AS10" s="189"/>
      <c r="AT10" s="189"/>
      <c r="AU10" s="189"/>
      <c r="AV10" s="189"/>
      <c r="AW10" s="189"/>
      <c r="AX10" s="189"/>
      <c r="AY10" s="189"/>
      <c r="AZ10" s="189"/>
    </row>
    <row r="11" spans="1:54" ht="13.5" customHeight="1" thickBot="1">
      <c r="A11" s="192"/>
      <c r="B11" s="193"/>
      <c r="C11" s="194"/>
      <c r="D11" s="191" t="s">
        <v>1434</v>
      </c>
      <c r="E11" s="195">
        <v>7214.5384075796865</v>
      </c>
      <c r="F11" s="195">
        <v>7227.2419866572473</v>
      </c>
      <c r="G11" s="195">
        <v>7521.5961440882847</v>
      </c>
      <c r="H11" s="195">
        <v>7483.5184610040851</v>
      </c>
      <c r="I11" s="195">
        <v>7164.6388257775434</v>
      </c>
      <c r="J11" s="195">
        <v>6913.8202778904206</v>
      </c>
      <c r="K11" s="195">
        <v>6834.777178885869</v>
      </c>
      <c r="L11" s="195">
        <v>6731.4116762947378</v>
      </c>
      <c r="M11" s="195">
        <v>6613.0333884765478</v>
      </c>
      <c r="N11" s="195">
        <v>6512.9239195413875</v>
      </c>
      <c r="O11" s="195">
        <v>6472.5359193144477</v>
      </c>
      <c r="P11" s="195">
        <v>6445.5653541592746</v>
      </c>
      <c r="Q11" s="195">
        <v>6706.4445508544395</v>
      </c>
      <c r="R11" s="195">
        <v>8109.1088399044684</v>
      </c>
      <c r="S11" s="195">
        <v>7835.322660455543</v>
      </c>
      <c r="T11" s="195">
        <v>7329.1794122797255</v>
      </c>
      <c r="U11" s="195">
        <v>7141.474830620893</v>
      </c>
      <c r="V11" s="195">
        <v>7325.2355034904003</v>
      </c>
      <c r="W11" s="195">
        <v>7535.9296179400735</v>
      </c>
      <c r="X11" s="195">
        <v>7642.1837632067682</v>
      </c>
      <c r="Y11" s="195">
        <v>7681.2270775571533</v>
      </c>
      <c r="Z11" s="195">
        <v>7721.6527971091245</v>
      </c>
      <c r="AA11" s="195">
        <v>7687.5383563254954</v>
      </c>
      <c r="AB11" s="188">
        <v>7760.6786508999376</v>
      </c>
      <c r="AF11" s="189"/>
      <c r="AG11" s="189"/>
      <c r="AH11" s="189"/>
      <c r="AI11" s="189"/>
      <c r="AJ11" s="189"/>
      <c r="AK11" s="189"/>
      <c r="AL11" s="189"/>
      <c r="AM11" s="189"/>
      <c r="AN11" s="189"/>
      <c r="AO11" s="189"/>
      <c r="AP11" s="189"/>
      <c r="AQ11" s="189"/>
      <c r="AR11" s="189"/>
      <c r="AS11" s="189"/>
      <c r="AT11" s="189"/>
      <c r="AU11" s="189"/>
      <c r="AV11" s="189"/>
      <c r="AW11" s="189"/>
      <c r="AX11" s="189"/>
      <c r="AY11" s="189"/>
      <c r="AZ11" s="189"/>
    </row>
    <row r="12" spans="1:54" ht="18" customHeight="1">
      <c r="A12" s="192"/>
      <c r="B12" s="335" t="s">
        <v>1435</v>
      </c>
      <c r="C12" s="336"/>
      <c r="D12" s="336"/>
      <c r="E12" s="336"/>
      <c r="F12" s="336"/>
      <c r="G12" s="336"/>
      <c r="H12" s="336"/>
      <c r="I12" s="336"/>
      <c r="J12" s="336"/>
      <c r="K12" s="336"/>
      <c r="L12" s="336"/>
      <c r="M12" s="336"/>
      <c r="N12" s="336"/>
      <c r="O12" s="336"/>
      <c r="P12" s="336"/>
      <c r="Q12" s="336"/>
      <c r="R12" s="336"/>
      <c r="S12" s="336"/>
      <c r="T12" s="336"/>
      <c r="U12" s="336"/>
      <c r="V12" s="336"/>
      <c r="W12" s="336"/>
      <c r="X12" s="336"/>
      <c r="Y12" s="336"/>
      <c r="Z12" s="336"/>
      <c r="AA12" s="336"/>
      <c r="AB12" s="337"/>
      <c r="AF12" s="189"/>
      <c r="AG12" s="189"/>
      <c r="AH12" s="189"/>
      <c r="AI12" s="189"/>
      <c r="AJ12" s="189"/>
      <c r="AK12" s="189"/>
      <c r="AL12" s="189"/>
      <c r="AM12" s="189"/>
      <c r="AN12" s="189"/>
      <c r="AO12" s="189"/>
      <c r="AP12" s="189"/>
      <c r="AQ12" s="189"/>
      <c r="AR12" s="189"/>
      <c r="AS12" s="189"/>
      <c r="AT12" s="189"/>
      <c r="AU12" s="189"/>
      <c r="AV12" s="189"/>
      <c r="AW12" s="189"/>
      <c r="AX12" s="189"/>
      <c r="AY12" s="189"/>
      <c r="AZ12" s="189"/>
    </row>
    <row r="13" spans="1:54">
      <c r="A13" s="194"/>
      <c r="B13" s="185"/>
      <c r="C13" s="184"/>
      <c r="D13" s="186" t="s">
        <v>1436</v>
      </c>
      <c r="E13" s="187">
        <v>50.999663732203537</v>
      </c>
      <c r="F13" s="187">
        <v>54.613811799439489</v>
      </c>
      <c r="G13" s="187">
        <v>62.302967293680247</v>
      </c>
      <c r="H13" s="187">
        <v>53.405463118763784</v>
      </c>
      <c r="I13" s="187">
        <v>46.338237905482465</v>
      </c>
      <c r="J13" s="187">
        <v>45.099261456124857</v>
      </c>
      <c r="K13" s="187">
        <v>48.478728583164063</v>
      </c>
      <c r="L13" s="187">
        <v>52.485640127377096</v>
      </c>
      <c r="M13" s="187">
        <v>50.755631816989762</v>
      </c>
      <c r="N13" s="187">
        <v>52.381705763685389</v>
      </c>
      <c r="O13" s="187">
        <v>56.214876697841831</v>
      </c>
      <c r="P13" s="187">
        <v>60.067821749554945</v>
      </c>
      <c r="Q13" s="187">
        <v>63.231549999999999</v>
      </c>
      <c r="R13" s="187">
        <v>80.750955000000005</v>
      </c>
      <c r="S13" s="187">
        <v>82.502042000000003</v>
      </c>
      <c r="T13" s="187">
        <v>95.148990000000012</v>
      </c>
      <c r="U13" s="187">
        <v>103.023223</v>
      </c>
      <c r="V13" s="187">
        <v>110.11274100000001</v>
      </c>
      <c r="W13" s="187">
        <v>117.59465919278141</v>
      </c>
      <c r="X13" s="187">
        <v>122.62759469439457</v>
      </c>
      <c r="Y13" s="187">
        <v>132.83839412493771</v>
      </c>
      <c r="Z13" s="187">
        <v>132.39948833642839</v>
      </c>
      <c r="AA13" s="187">
        <v>133.69268389205951</v>
      </c>
      <c r="AB13" s="188">
        <v>137.46733580247044</v>
      </c>
      <c r="AF13" s="189"/>
      <c r="AG13" s="189"/>
      <c r="AH13" s="189"/>
      <c r="AI13" s="189"/>
      <c r="AJ13" s="189"/>
      <c r="AK13" s="189"/>
      <c r="AL13" s="189"/>
      <c r="AM13" s="189"/>
      <c r="AN13" s="189"/>
      <c r="AO13" s="189"/>
      <c r="AP13" s="189"/>
      <c r="AQ13" s="189"/>
      <c r="AR13" s="189"/>
      <c r="AS13" s="189"/>
      <c r="AT13" s="189"/>
      <c r="AU13" s="189"/>
      <c r="AV13" s="189"/>
      <c r="AW13" s="189"/>
      <c r="AX13" s="189"/>
      <c r="AY13" s="189"/>
      <c r="AZ13" s="189"/>
    </row>
    <row r="14" spans="1:54">
      <c r="A14" s="194"/>
      <c r="B14" s="185"/>
      <c r="C14" s="184"/>
      <c r="D14" s="186" t="s">
        <v>1437</v>
      </c>
      <c r="E14" s="187">
        <v>81.123156795706933</v>
      </c>
      <c r="F14" s="187">
        <v>83.84432796252753</v>
      </c>
      <c r="G14" s="187">
        <v>94.411443805207796</v>
      </c>
      <c r="H14" s="187">
        <v>79.557323606649959</v>
      </c>
      <c r="I14" s="187">
        <v>67.580560848211718</v>
      </c>
      <c r="J14" s="187">
        <v>64.678846993543388</v>
      </c>
      <c r="K14" s="187">
        <v>68.119560697584475</v>
      </c>
      <c r="L14" s="187">
        <v>72.706439434797502</v>
      </c>
      <c r="M14" s="187">
        <v>69.838344888752459</v>
      </c>
      <c r="N14" s="187">
        <v>70.676247980301184</v>
      </c>
      <c r="O14" s="187">
        <v>74.863434117983417</v>
      </c>
      <c r="P14" s="187">
        <v>78.252902688125729</v>
      </c>
      <c r="Q14" s="187">
        <v>80.215614340958538</v>
      </c>
      <c r="R14" s="187">
        <v>97.366020187559769</v>
      </c>
      <c r="S14" s="187">
        <v>99.227462169298676</v>
      </c>
      <c r="T14" s="187">
        <v>106.97232864375226</v>
      </c>
      <c r="U14" s="187">
        <v>109.99789162522421</v>
      </c>
      <c r="V14" s="187">
        <v>113.3534855276671</v>
      </c>
      <c r="W14" s="187">
        <v>117.59465919278141</v>
      </c>
      <c r="X14" s="187">
        <v>119.95272854886829</v>
      </c>
      <c r="Y14" s="187">
        <v>127.3788677549891</v>
      </c>
      <c r="Z14" s="187">
        <v>124.6099864774523</v>
      </c>
      <c r="AA14" s="187">
        <v>123.54716151021094</v>
      </c>
      <c r="AB14" s="188">
        <v>124.60306615401871</v>
      </c>
      <c r="AF14" s="189"/>
      <c r="AG14" s="189"/>
      <c r="AH14" s="189"/>
      <c r="AI14" s="189"/>
      <c r="AJ14" s="189"/>
      <c r="AK14" s="189"/>
      <c r="AL14" s="189"/>
      <c r="AM14" s="189"/>
      <c r="AN14" s="189"/>
      <c r="AO14" s="189"/>
      <c r="AP14" s="189"/>
      <c r="AQ14" s="189"/>
      <c r="AR14" s="189"/>
      <c r="AS14" s="189"/>
      <c r="AT14" s="189"/>
      <c r="AU14" s="189"/>
      <c r="AV14" s="189"/>
      <c r="AW14" s="189"/>
      <c r="AX14" s="189"/>
      <c r="AY14" s="189"/>
      <c r="AZ14" s="189"/>
    </row>
    <row r="15" spans="1:54">
      <c r="A15" s="194"/>
      <c r="B15" s="185"/>
      <c r="C15" s="184"/>
      <c r="D15" s="186" t="s">
        <v>1438</v>
      </c>
      <c r="E15" s="187"/>
      <c r="F15" s="187">
        <v>3.3543704095161608</v>
      </c>
      <c r="G15" s="187">
        <v>12.60325665369162</v>
      </c>
      <c r="H15" s="187">
        <v>-15.733389512827756</v>
      </c>
      <c r="I15" s="187">
        <v>-15.054255492120571</v>
      </c>
      <c r="J15" s="187">
        <v>-4.2937108219413549</v>
      </c>
      <c r="K15" s="187">
        <v>5.3196893017968705</v>
      </c>
      <c r="L15" s="187">
        <v>6.7335706370397652</v>
      </c>
      <c r="M15" s="187">
        <v>-3.9447600079730583</v>
      </c>
      <c r="N15" s="187">
        <v>1.1997751276658253</v>
      </c>
      <c r="O15" s="187">
        <v>5.9244601366632788</v>
      </c>
      <c r="P15" s="187">
        <v>4.527535518609227</v>
      </c>
      <c r="Q15" s="187">
        <v>2.5081646627922893</v>
      </c>
      <c r="R15" s="187">
        <v>21.380383342453733</v>
      </c>
      <c r="S15" s="187">
        <v>1.9117983647201964</v>
      </c>
      <c r="T15" s="187">
        <v>7.8051643215862443</v>
      </c>
      <c r="U15" s="187">
        <v>2.8283603992093287</v>
      </c>
      <c r="V15" s="187">
        <v>3.0505983822633587</v>
      </c>
      <c r="W15" s="187">
        <v>3.7415467600059982</v>
      </c>
      <c r="X15" s="187">
        <v>2.0052520856590483</v>
      </c>
      <c r="Y15" s="187">
        <v>6.190888107305903</v>
      </c>
      <c r="Z15" s="187">
        <v>-2.1737367636700089</v>
      </c>
      <c r="AA15" s="187">
        <v>-0.85292118014447249</v>
      </c>
      <c r="AB15" s="188">
        <v>0.85465714541770321</v>
      </c>
      <c r="AF15" s="189"/>
      <c r="AG15" s="189"/>
      <c r="AH15" s="189"/>
      <c r="AI15" s="189"/>
      <c r="AJ15" s="189"/>
      <c r="AK15" s="189"/>
      <c r="AL15" s="189"/>
      <c r="AM15" s="189"/>
      <c r="AN15" s="189"/>
      <c r="AO15" s="189"/>
      <c r="AP15" s="189"/>
      <c r="AQ15" s="189"/>
      <c r="AR15" s="189"/>
      <c r="AS15" s="189"/>
      <c r="AT15" s="189"/>
      <c r="AU15" s="189"/>
      <c r="AV15" s="189"/>
      <c r="AW15" s="189"/>
      <c r="AX15" s="189"/>
      <c r="AY15" s="189"/>
      <c r="AZ15" s="189"/>
    </row>
    <row r="16" spans="1:54" ht="13.5" customHeight="1">
      <c r="A16" s="194"/>
      <c r="B16" s="185"/>
      <c r="C16" s="184"/>
      <c r="D16" s="186" t="s">
        <v>1439</v>
      </c>
      <c r="E16" s="187">
        <v>3.2545491387323597</v>
      </c>
      <c r="F16" s="187">
        <v>3.4491612194715584</v>
      </c>
      <c r="G16" s="187">
        <v>3.9903753460144102</v>
      </c>
      <c r="H16" s="187">
        <v>3.2705378638568914</v>
      </c>
      <c r="I16" s="187">
        <v>2.7566909352035482</v>
      </c>
      <c r="J16" s="187">
        <v>2.6016123024314144</v>
      </c>
      <c r="K16" s="187">
        <v>2.6749747880967156</v>
      </c>
      <c r="L16" s="187">
        <v>2.7797919049049526</v>
      </c>
      <c r="M16" s="187">
        <v>2.6111053456122999</v>
      </c>
      <c r="N16" s="187">
        <v>2.5840481789262091</v>
      </c>
      <c r="O16" s="187">
        <v>2.6583951939212551</v>
      </c>
      <c r="P16" s="187">
        <v>2.7430245670825548</v>
      </c>
      <c r="Q16" s="187">
        <v>2.7937064281065691</v>
      </c>
      <c r="R16" s="187">
        <v>3.8270667337757991</v>
      </c>
      <c r="S16" s="187">
        <v>3.4370151116606498</v>
      </c>
      <c r="T16" s="187">
        <v>3.6118775281513069</v>
      </c>
      <c r="U16" s="187">
        <v>3.6939351369298414</v>
      </c>
      <c r="V16" s="187">
        <v>3.7621998019692375</v>
      </c>
      <c r="W16" s="187">
        <v>3.8645492763898948</v>
      </c>
      <c r="X16" s="187">
        <v>3.8745568023607664</v>
      </c>
      <c r="Y16" s="187">
        <v>4.0530544889303641</v>
      </c>
      <c r="Z16" s="187">
        <v>3.9074361043929411</v>
      </c>
      <c r="AA16" s="187">
        <v>3.815433548100454</v>
      </c>
      <c r="AB16" s="188">
        <v>3.7892035901981211</v>
      </c>
      <c r="AF16" s="189"/>
      <c r="AG16" s="189"/>
      <c r="AH16" s="189"/>
      <c r="AI16" s="189"/>
      <c r="AJ16" s="189"/>
      <c r="AK16" s="189"/>
      <c r="AL16" s="189"/>
      <c r="AM16" s="189"/>
      <c r="AN16" s="189"/>
      <c r="AO16" s="189"/>
      <c r="AP16" s="189"/>
      <c r="AQ16" s="189"/>
      <c r="AR16" s="189"/>
      <c r="AS16" s="189"/>
      <c r="AT16" s="189"/>
      <c r="AU16" s="189"/>
      <c r="AV16" s="189"/>
      <c r="AW16" s="189"/>
      <c r="AX16" s="189"/>
      <c r="AY16" s="189"/>
      <c r="AZ16" s="189"/>
    </row>
    <row r="17" spans="1:52" ht="13.5" customHeight="1" thickBot="1">
      <c r="A17" s="194"/>
      <c r="B17" s="193"/>
      <c r="C17" s="194"/>
      <c r="D17" s="191" t="s">
        <v>1440</v>
      </c>
      <c r="E17" s="195">
        <v>1318.8987948073134</v>
      </c>
      <c r="F17" s="195">
        <v>1352.6005720915914</v>
      </c>
      <c r="G17" s="195">
        <v>1511.8470049794876</v>
      </c>
      <c r="H17" s="195">
        <v>1263.6821882744894</v>
      </c>
      <c r="I17" s="195">
        <v>1065.1917951628859</v>
      </c>
      <c r="J17" s="195">
        <v>1012.6520667683312</v>
      </c>
      <c r="K17" s="195">
        <v>1059.1015877699483</v>
      </c>
      <c r="L17" s="195">
        <v>1122.1081949053932</v>
      </c>
      <c r="M17" s="195">
        <v>1069.8030052733541</v>
      </c>
      <c r="N17" s="195">
        <v>1075.0833466605493</v>
      </c>
      <c r="O17" s="195">
        <v>1132.8312160123994</v>
      </c>
      <c r="P17" s="195">
        <v>1178.2502719756337</v>
      </c>
      <c r="Q17" s="195">
        <v>1203.1740564115576</v>
      </c>
      <c r="R17" s="195">
        <v>1456.9426474668148</v>
      </c>
      <c r="S17" s="195">
        <v>1476.0500136749524</v>
      </c>
      <c r="T17" s="195">
        <v>1573.8168110012102</v>
      </c>
      <c r="U17" s="195">
        <v>1598.5858293582166</v>
      </c>
      <c r="V17" s="195">
        <v>1633.4532102841285</v>
      </c>
      <c r="W17" s="195">
        <v>1687.5483929434549</v>
      </c>
      <c r="X17" s="195">
        <v>1714.9337364587136</v>
      </c>
      <c r="Y17" s="195">
        <v>1814.2219983122106</v>
      </c>
      <c r="Z17" s="195">
        <v>1767.4493884712194</v>
      </c>
      <c r="AA17" s="195">
        <v>1744.6650637273822</v>
      </c>
      <c r="AB17" s="188">
        <v>1751.8572419249358</v>
      </c>
      <c r="AF17" s="189"/>
      <c r="AG17" s="189"/>
      <c r="AH17" s="189"/>
      <c r="AI17" s="189"/>
      <c r="AJ17" s="189"/>
      <c r="AK17" s="189"/>
      <c r="AL17" s="189"/>
      <c r="AM17" s="189"/>
      <c r="AN17" s="189"/>
      <c r="AO17" s="189"/>
      <c r="AP17" s="189"/>
      <c r="AQ17" s="189"/>
      <c r="AR17" s="189"/>
      <c r="AS17" s="189"/>
      <c r="AT17" s="189"/>
      <c r="AU17" s="189"/>
      <c r="AV17" s="189"/>
      <c r="AW17" s="189"/>
      <c r="AX17" s="189"/>
      <c r="AY17" s="189"/>
      <c r="AZ17" s="189"/>
    </row>
    <row r="18" spans="1:52" ht="18.75" customHeight="1">
      <c r="A18" s="194"/>
      <c r="B18" s="335" t="s">
        <v>1441</v>
      </c>
      <c r="C18" s="336"/>
      <c r="D18" s="336"/>
      <c r="E18" s="336"/>
      <c r="F18" s="336"/>
      <c r="G18" s="336"/>
      <c r="H18" s="336"/>
      <c r="I18" s="336"/>
      <c r="J18" s="336"/>
      <c r="K18" s="336"/>
      <c r="L18" s="336"/>
      <c r="M18" s="336"/>
      <c r="N18" s="336"/>
      <c r="O18" s="336"/>
      <c r="P18" s="336"/>
      <c r="Q18" s="336"/>
      <c r="R18" s="336"/>
      <c r="S18" s="336"/>
      <c r="T18" s="336"/>
      <c r="U18" s="336"/>
      <c r="V18" s="336"/>
      <c r="W18" s="336"/>
      <c r="X18" s="336"/>
      <c r="Y18" s="336"/>
      <c r="Z18" s="336"/>
      <c r="AA18" s="336"/>
      <c r="AB18" s="337"/>
      <c r="AF18" s="189"/>
      <c r="AG18" s="189"/>
      <c r="AH18" s="189"/>
      <c r="AI18" s="189"/>
      <c r="AJ18" s="189"/>
      <c r="AK18" s="189"/>
      <c r="AL18" s="189"/>
      <c r="AM18" s="189"/>
      <c r="AN18" s="189"/>
      <c r="AO18" s="189"/>
      <c r="AP18" s="189"/>
      <c r="AQ18" s="189"/>
      <c r="AR18" s="189"/>
      <c r="AS18" s="189"/>
      <c r="AT18" s="189"/>
      <c r="AU18" s="189"/>
      <c r="AV18" s="189"/>
      <c r="AW18" s="189"/>
      <c r="AX18" s="189"/>
      <c r="AY18" s="189"/>
      <c r="AZ18" s="189"/>
    </row>
    <row r="19" spans="1:52">
      <c r="A19" s="194"/>
      <c r="B19" s="185"/>
      <c r="C19" s="184"/>
      <c r="D19" s="186" t="s">
        <v>1442</v>
      </c>
      <c r="E19" s="196">
        <v>286.76629400000002</v>
      </c>
      <c r="F19" s="196">
        <v>299.94735100000003</v>
      </c>
      <c r="G19" s="196">
        <v>318.08264200000002</v>
      </c>
      <c r="H19" s="196">
        <v>324.94498900000002</v>
      </c>
      <c r="I19" s="196">
        <v>313.267403</v>
      </c>
      <c r="J19" s="196">
        <v>309.98998599999999</v>
      </c>
      <c r="K19" s="196">
        <v>308.71881300000001</v>
      </c>
      <c r="L19" s="196">
        <v>310.64616799999999</v>
      </c>
      <c r="M19" s="196">
        <v>309.74895700000008</v>
      </c>
      <c r="N19" s="196">
        <v>286.70990599999999</v>
      </c>
      <c r="O19" s="196">
        <v>288.21220899999997</v>
      </c>
      <c r="P19" s="196">
        <v>294.38957099999999</v>
      </c>
      <c r="Q19" s="196">
        <v>320.22604099999995</v>
      </c>
      <c r="R19" s="196">
        <v>420.93826800000005</v>
      </c>
      <c r="S19" s="196">
        <v>401.28001975222048</v>
      </c>
      <c r="T19" s="196">
        <v>407.72993073346692</v>
      </c>
      <c r="U19" s="196">
        <v>423.205465</v>
      </c>
      <c r="V19" s="196">
        <v>493.80157000000008</v>
      </c>
      <c r="W19" s="196">
        <v>525.13165182584714</v>
      </c>
      <c r="X19" s="196">
        <v>546.45995537400415</v>
      </c>
      <c r="Y19" s="196">
        <v>562.42393204411235</v>
      </c>
      <c r="Z19" s="196">
        <v>578.4283760074677</v>
      </c>
      <c r="AA19" s="196">
        <v>589.0916581917088</v>
      </c>
      <c r="AB19" s="188">
        <v>608.97645802810075</v>
      </c>
      <c r="AF19" s="189"/>
      <c r="AG19" s="189"/>
      <c r="AH19" s="189"/>
      <c r="AI19" s="189"/>
      <c r="AJ19" s="189"/>
      <c r="AK19" s="189"/>
      <c r="AL19" s="189"/>
      <c r="AM19" s="189"/>
      <c r="AN19" s="189"/>
      <c r="AO19" s="189"/>
      <c r="AP19" s="189"/>
      <c r="AQ19" s="189"/>
      <c r="AR19" s="189"/>
      <c r="AS19" s="189"/>
      <c r="AT19" s="189"/>
      <c r="AU19" s="189"/>
      <c r="AV19" s="189"/>
      <c r="AW19" s="189"/>
      <c r="AX19" s="189"/>
      <c r="AY19" s="189"/>
      <c r="AZ19" s="189"/>
    </row>
    <row r="20" spans="1:52">
      <c r="A20" s="194"/>
      <c r="B20" s="197"/>
      <c r="C20" s="184"/>
      <c r="D20" s="186" t="s">
        <v>1443</v>
      </c>
      <c r="E20" s="196">
        <v>43.189293280000001</v>
      </c>
      <c r="F20" s="196">
        <v>47.242335060000002</v>
      </c>
      <c r="G20" s="196">
        <v>54.660401890000003</v>
      </c>
      <c r="H20" s="196">
        <v>42.333612796000004</v>
      </c>
      <c r="I20" s="196">
        <v>42.325887692000002</v>
      </c>
      <c r="J20" s="196">
        <v>39.479622184</v>
      </c>
      <c r="K20" s="196">
        <v>41.356101916</v>
      </c>
      <c r="L20" s="196">
        <v>45.539850194000003</v>
      </c>
      <c r="M20" s="196">
        <v>44.195856389342602</v>
      </c>
      <c r="N20" s="196">
        <v>42.526187000000007</v>
      </c>
      <c r="O20" s="196">
        <v>44.997351999999999</v>
      </c>
      <c r="P20" s="196">
        <v>50.808509000000008</v>
      </c>
      <c r="Q20" s="196">
        <v>57.891052999999999</v>
      </c>
      <c r="R20" s="196">
        <v>75.52045600000001</v>
      </c>
      <c r="S20" s="196">
        <v>77.277743000000001</v>
      </c>
      <c r="T20" s="196">
        <v>89.814291000000011</v>
      </c>
      <c r="U20" s="196">
        <v>98.173073000000002</v>
      </c>
      <c r="V20" s="196">
        <v>110.11274100000001</v>
      </c>
      <c r="W20" s="196">
        <v>117.59465919278141</v>
      </c>
      <c r="X20" s="196">
        <v>122.62759469439457</v>
      </c>
      <c r="Y20" s="196">
        <v>132.83839412493771</v>
      </c>
      <c r="Z20" s="196">
        <v>132.39948833642839</v>
      </c>
      <c r="AA20" s="196">
        <v>133.69268389205951</v>
      </c>
      <c r="AB20" s="188">
        <v>137.46733580247044</v>
      </c>
      <c r="AF20" s="189"/>
      <c r="AG20" s="189"/>
      <c r="AH20" s="189"/>
      <c r="AI20" s="189"/>
      <c r="AJ20" s="189"/>
      <c r="AK20" s="189"/>
      <c r="AL20" s="189"/>
      <c r="AM20" s="189"/>
      <c r="AN20" s="189"/>
      <c r="AO20" s="189"/>
      <c r="AP20" s="189"/>
      <c r="AQ20" s="189"/>
      <c r="AR20" s="189"/>
      <c r="AS20" s="189"/>
      <c r="AT20" s="189"/>
      <c r="AU20" s="189"/>
      <c r="AV20" s="189"/>
      <c r="AW20" s="189"/>
      <c r="AX20" s="189"/>
      <c r="AY20" s="189"/>
      <c r="AZ20" s="189"/>
    </row>
    <row r="21" spans="1:52">
      <c r="A21" s="194"/>
      <c r="B21" s="197"/>
      <c r="C21" s="184"/>
      <c r="D21" s="186" t="s">
        <v>1444</v>
      </c>
      <c r="E21" s="196">
        <v>329.95558728000003</v>
      </c>
      <c r="F21" s="196">
        <v>347.18968606000004</v>
      </c>
      <c r="G21" s="196">
        <v>372.74304389000002</v>
      </c>
      <c r="H21" s="196">
        <v>367.27860179600003</v>
      </c>
      <c r="I21" s="196">
        <v>355.59329069199998</v>
      </c>
      <c r="J21" s="196">
        <v>349.46960818399998</v>
      </c>
      <c r="K21" s="196">
        <v>350.07491491600001</v>
      </c>
      <c r="L21" s="196">
        <v>356.18601819399998</v>
      </c>
      <c r="M21" s="196">
        <v>353.9448133893427</v>
      </c>
      <c r="N21" s="196">
        <v>329.23609299999998</v>
      </c>
      <c r="O21" s="196">
        <v>333.20956099999995</v>
      </c>
      <c r="P21" s="196">
        <v>345.19808</v>
      </c>
      <c r="Q21" s="196">
        <v>378.11709399999995</v>
      </c>
      <c r="R21" s="196">
        <v>496.45872400000007</v>
      </c>
      <c r="S21" s="196">
        <v>478.55776275222047</v>
      </c>
      <c r="T21" s="196">
        <v>497.54422173346694</v>
      </c>
      <c r="U21" s="196">
        <v>521.37853800000005</v>
      </c>
      <c r="V21" s="196">
        <v>603.91431100000011</v>
      </c>
      <c r="W21" s="196">
        <v>642.72631101862851</v>
      </c>
      <c r="X21" s="196">
        <v>669.08755006839874</v>
      </c>
      <c r="Y21" s="196">
        <v>695.26232616905008</v>
      </c>
      <c r="Z21" s="196">
        <v>710.82786434389607</v>
      </c>
      <c r="AA21" s="196">
        <v>722.78434208376825</v>
      </c>
      <c r="AB21" s="188">
        <v>746.44379383057117</v>
      </c>
      <c r="AF21" s="189"/>
      <c r="AG21" s="189"/>
      <c r="AH21" s="189"/>
      <c r="AI21" s="189"/>
      <c r="AJ21" s="189"/>
      <c r="AK21" s="189"/>
      <c r="AL21" s="189"/>
      <c r="AM21" s="189"/>
      <c r="AN21" s="189"/>
      <c r="AO21" s="189"/>
      <c r="AP21" s="189"/>
      <c r="AQ21" s="189"/>
      <c r="AR21" s="189"/>
      <c r="AS21" s="189"/>
      <c r="AT21" s="189"/>
      <c r="AU21" s="189"/>
      <c r="AV21" s="189"/>
      <c r="AW21" s="189"/>
      <c r="AX21" s="189"/>
      <c r="AY21" s="189"/>
      <c r="AZ21" s="189"/>
    </row>
    <row r="22" spans="1:52">
      <c r="A22" s="194"/>
      <c r="B22" s="197"/>
      <c r="C22" s="184"/>
      <c r="D22" s="186" t="s">
        <v>1445</v>
      </c>
      <c r="E22" s="196">
        <v>278.13770599999998</v>
      </c>
      <c r="F22" s="196">
        <v>299.39164900000003</v>
      </c>
      <c r="G22" s="196">
        <v>315.68135799999999</v>
      </c>
      <c r="H22" s="196">
        <v>336.35901099999984</v>
      </c>
      <c r="I22" s="196">
        <v>358.35559700000005</v>
      </c>
      <c r="J22" s="196">
        <v>372.03401400000001</v>
      </c>
      <c r="K22" s="196">
        <v>384.06818700000002</v>
      </c>
      <c r="L22" s="196">
        <v>392.65383200000019</v>
      </c>
      <c r="M22" s="196">
        <v>404.14704299999977</v>
      </c>
      <c r="N22" s="196">
        <v>439.204094</v>
      </c>
      <c r="O22" s="196">
        <v>454.25279100000006</v>
      </c>
      <c r="P22" s="196">
        <v>465.48942899999992</v>
      </c>
      <c r="Q22" s="196">
        <v>470.00595900000002</v>
      </c>
      <c r="R22" s="196">
        <v>556.73673199999985</v>
      </c>
      <c r="S22" s="196">
        <v>531.58898024777955</v>
      </c>
      <c r="T22" s="196">
        <v>645.48106926653304</v>
      </c>
      <c r="U22" s="196">
        <v>674.044535</v>
      </c>
      <c r="V22" s="196">
        <v>651.54742999999962</v>
      </c>
      <c r="W22" s="196">
        <v>685.5375057499067</v>
      </c>
      <c r="X22" s="196">
        <v>709.58821755921156</v>
      </c>
      <c r="Y22" s="196">
        <v>732.53724811770587</v>
      </c>
      <c r="Z22" s="196">
        <v>755.23649061370861</v>
      </c>
      <c r="AA22" s="196">
        <v>786.46959444993399</v>
      </c>
      <c r="AB22" s="188">
        <v>816.68090908519684</v>
      </c>
      <c r="AF22" s="189"/>
      <c r="AG22" s="189"/>
      <c r="AH22" s="189"/>
      <c r="AI22" s="189"/>
      <c r="AJ22" s="189"/>
      <c r="AK22" s="189"/>
      <c r="AL22" s="189"/>
      <c r="AM22" s="189"/>
      <c r="AN22" s="189"/>
      <c r="AO22" s="189"/>
      <c r="AP22" s="189"/>
      <c r="AQ22" s="189"/>
      <c r="AR22" s="189"/>
      <c r="AS22" s="189"/>
      <c r="AT22" s="189"/>
      <c r="AU22" s="189"/>
      <c r="AV22" s="189"/>
      <c r="AW22" s="189"/>
      <c r="AX22" s="189"/>
      <c r="AY22" s="189"/>
      <c r="AZ22" s="189"/>
    </row>
    <row r="23" spans="1:52" ht="15.75" customHeight="1">
      <c r="A23" s="192"/>
      <c r="B23" s="197"/>
      <c r="C23" s="184"/>
      <c r="D23" s="186" t="s">
        <v>1446</v>
      </c>
      <c r="E23" s="196">
        <v>19.994706719999996</v>
      </c>
      <c r="F23" s="196">
        <v>38.893664939999994</v>
      </c>
      <c r="G23" s="196">
        <v>32.560598110000001</v>
      </c>
      <c r="H23" s="196">
        <v>39.38538720399999</v>
      </c>
      <c r="I23" s="196">
        <v>31.560112307999994</v>
      </c>
      <c r="J23" s="196">
        <v>28.436377816</v>
      </c>
      <c r="K23" s="196">
        <v>30.466898084000007</v>
      </c>
      <c r="L23" s="196">
        <v>37.297149806000014</v>
      </c>
      <c r="M23" s="196">
        <v>35.566143610657399</v>
      </c>
      <c r="N23" s="196">
        <v>42.962812999999983</v>
      </c>
      <c r="O23" s="196">
        <v>51.265648000000006</v>
      </c>
      <c r="P23" s="196">
        <v>45.334490999999993</v>
      </c>
      <c r="Q23" s="196">
        <v>36.749946999999977</v>
      </c>
      <c r="R23" s="196">
        <v>49.665543999999997</v>
      </c>
      <c r="S23" s="196">
        <v>30.726257000000004</v>
      </c>
      <c r="T23" s="196">
        <v>17.601708999999985</v>
      </c>
      <c r="U23" s="196">
        <v>35.373927000000023</v>
      </c>
      <c r="V23" s="196">
        <v>32.591258999999994</v>
      </c>
      <c r="W23" s="196">
        <v>41.524229102938662</v>
      </c>
      <c r="X23" s="196">
        <v>37.175874493226686</v>
      </c>
      <c r="Y23" s="196">
        <v>40.944489142423635</v>
      </c>
      <c r="Z23" s="196">
        <v>41.574268548150656</v>
      </c>
      <c r="AA23" s="196">
        <v>41.908584835297489</v>
      </c>
      <c r="AB23" s="188">
        <v>43.449716842076526</v>
      </c>
      <c r="AF23" s="189"/>
      <c r="AG23" s="189"/>
      <c r="AH23" s="189"/>
      <c r="AI23" s="189"/>
      <c r="AJ23" s="189"/>
      <c r="AK23" s="189"/>
      <c r="AL23" s="189"/>
      <c r="AM23" s="189"/>
      <c r="AN23" s="189"/>
      <c r="AO23" s="189"/>
      <c r="AP23" s="189"/>
      <c r="AQ23" s="189"/>
      <c r="AR23" s="189"/>
      <c r="AS23" s="189"/>
      <c r="AT23" s="189"/>
      <c r="AU23" s="189"/>
      <c r="AV23" s="189"/>
      <c r="AW23" s="189"/>
      <c r="AX23" s="189"/>
      <c r="AY23" s="189"/>
      <c r="AZ23" s="189"/>
    </row>
    <row r="24" spans="1:52" ht="12.75" customHeight="1">
      <c r="A24" s="194"/>
      <c r="B24" s="197"/>
      <c r="C24" s="184"/>
      <c r="D24" s="186" t="s">
        <v>1447</v>
      </c>
      <c r="E24" s="196">
        <v>298.13241271999993</v>
      </c>
      <c r="F24" s="196">
        <v>338.28531393999998</v>
      </c>
      <c r="G24" s="196">
        <v>348.24195610999999</v>
      </c>
      <c r="H24" s="196">
        <v>375.74439820399988</v>
      </c>
      <c r="I24" s="196">
        <v>389.91570930800003</v>
      </c>
      <c r="J24" s="196">
        <v>400.47039181599996</v>
      </c>
      <c r="K24" s="196">
        <v>414.535085084</v>
      </c>
      <c r="L24" s="196">
        <v>429.9509818060003</v>
      </c>
      <c r="M24" s="196">
        <v>439.7131866106572</v>
      </c>
      <c r="N24" s="196">
        <v>482.16690700000004</v>
      </c>
      <c r="O24" s="196">
        <v>505.518439</v>
      </c>
      <c r="P24" s="196">
        <v>510.82391999999993</v>
      </c>
      <c r="Q24" s="196">
        <v>506.7559060000001</v>
      </c>
      <c r="R24" s="196">
        <v>606.40227600000003</v>
      </c>
      <c r="S24" s="196">
        <v>562.31523724777958</v>
      </c>
      <c r="T24" s="196">
        <v>663.08277826653307</v>
      </c>
      <c r="U24" s="196">
        <v>709.41846199999998</v>
      </c>
      <c r="V24" s="196">
        <v>684.13868899999954</v>
      </c>
      <c r="W24" s="196">
        <v>727.06173485284501</v>
      </c>
      <c r="X24" s="196">
        <v>746.76409205243817</v>
      </c>
      <c r="Y24" s="196">
        <v>773.48173726012942</v>
      </c>
      <c r="Z24" s="196">
        <v>796.81075916185921</v>
      </c>
      <c r="AA24" s="196">
        <v>828.37817928523145</v>
      </c>
      <c r="AB24" s="188">
        <v>860.13062592727351</v>
      </c>
      <c r="AF24" s="189"/>
      <c r="AG24" s="189"/>
      <c r="AH24" s="189"/>
      <c r="AI24" s="189"/>
      <c r="AJ24" s="189"/>
      <c r="AK24" s="189"/>
      <c r="AL24" s="189"/>
      <c r="AM24" s="189"/>
      <c r="AN24" s="189"/>
      <c r="AO24" s="189"/>
      <c r="AP24" s="189"/>
      <c r="AQ24" s="189"/>
      <c r="AR24" s="189"/>
      <c r="AS24" s="189"/>
      <c r="AT24" s="189"/>
      <c r="AU24" s="189"/>
      <c r="AV24" s="189"/>
      <c r="AW24" s="189"/>
      <c r="AX24" s="189"/>
      <c r="AY24" s="189"/>
      <c r="AZ24" s="189"/>
    </row>
    <row r="25" spans="1:52">
      <c r="A25" s="194"/>
      <c r="B25" s="198"/>
      <c r="C25" s="184"/>
      <c r="D25" s="186" t="s">
        <v>1448</v>
      </c>
      <c r="E25" s="196">
        <v>564.904</v>
      </c>
      <c r="F25" s="196">
        <v>599.33900000000006</v>
      </c>
      <c r="G25" s="196">
        <v>633.76400000000001</v>
      </c>
      <c r="H25" s="196">
        <v>661.30399999999986</v>
      </c>
      <c r="I25" s="196">
        <v>671.62300000000005</v>
      </c>
      <c r="J25" s="196">
        <v>682.024</v>
      </c>
      <c r="K25" s="196">
        <v>692.78700000000003</v>
      </c>
      <c r="L25" s="196">
        <v>703.30000000000018</v>
      </c>
      <c r="M25" s="196">
        <v>713.89599999999984</v>
      </c>
      <c r="N25" s="196">
        <v>725.91399999999999</v>
      </c>
      <c r="O25" s="196">
        <v>742.46500000000003</v>
      </c>
      <c r="P25" s="196">
        <v>759.87899999999991</v>
      </c>
      <c r="Q25" s="196">
        <v>790.23199999999997</v>
      </c>
      <c r="R25" s="196">
        <v>977.67499999999995</v>
      </c>
      <c r="S25" s="196">
        <v>932.86900000000003</v>
      </c>
      <c r="T25" s="196">
        <v>1053.211</v>
      </c>
      <c r="U25" s="196">
        <v>1097.25</v>
      </c>
      <c r="V25" s="196">
        <v>1145.3489999999997</v>
      </c>
      <c r="W25" s="196">
        <v>1210.6691575757538</v>
      </c>
      <c r="X25" s="196">
        <v>1256.0481729332157</v>
      </c>
      <c r="Y25" s="196">
        <v>1294.9611801618182</v>
      </c>
      <c r="Z25" s="196">
        <v>1333.6648666211763</v>
      </c>
      <c r="AA25" s="196">
        <v>1375.5612526416428</v>
      </c>
      <c r="AB25" s="188">
        <v>1425.6573671132976</v>
      </c>
      <c r="AF25" s="189"/>
      <c r="AG25" s="189"/>
      <c r="AH25" s="189"/>
      <c r="AI25" s="189"/>
      <c r="AJ25" s="189"/>
      <c r="AK25" s="189"/>
      <c r="AL25" s="189"/>
      <c r="AM25" s="189"/>
      <c r="AN25" s="189"/>
      <c r="AO25" s="189"/>
      <c r="AP25" s="189"/>
      <c r="AQ25" s="189"/>
      <c r="AR25" s="189"/>
      <c r="AS25" s="189"/>
      <c r="AT25" s="189"/>
      <c r="AU25" s="189"/>
      <c r="AV25" s="189"/>
      <c r="AW25" s="189"/>
      <c r="AX25" s="189"/>
      <c r="AY25" s="189"/>
      <c r="AZ25" s="189"/>
    </row>
    <row r="26" spans="1:52" ht="15">
      <c r="A26" s="194"/>
      <c r="B26" s="198"/>
      <c r="C26" s="184"/>
      <c r="D26" s="186" t="s">
        <v>1449</v>
      </c>
      <c r="E26" s="196">
        <v>63.183999999999997</v>
      </c>
      <c r="F26" s="196">
        <v>86.135999999999996</v>
      </c>
      <c r="G26" s="196">
        <v>87.221000000000004</v>
      </c>
      <c r="H26" s="196">
        <v>81.718999999999994</v>
      </c>
      <c r="I26" s="196">
        <v>73.885999999999996</v>
      </c>
      <c r="J26" s="196">
        <v>67.915999999999997</v>
      </c>
      <c r="K26" s="196">
        <v>71.823000000000008</v>
      </c>
      <c r="L26" s="196">
        <v>82.837000000000018</v>
      </c>
      <c r="M26" s="196">
        <v>79.762</v>
      </c>
      <c r="N26" s="196">
        <v>85.48899999999999</v>
      </c>
      <c r="O26" s="196">
        <v>96.263000000000005</v>
      </c>
      <c r="P26" s="196">
        <v>96.143000000000001</v>
      </c>
      <c r="Q26" s="196">
        <v>94.640999999999977</v>
      </c>
      <c r="R26" s="196">
        <v>125.18600000000001</v>
      </c>
      <c r="S26" s="196">
        <v>108.004</v>
      </c>
      <c r="T26" s="196">
        <v>107.416</v>
      </c>
      <c r="U26" s="196">
        <v>133.54700000000003</v>
      </c>
      <c r="V26" s="196">
        <v>142.70400000000001</v>
      </c>
      <c r="W26" s="196">
        <v>159.11888829572007</v>
      </c>
      <c r="X26" s="196">
        <v>159.80346918762126</v>
      </c>
      <c r="Y26" s="196">
        <v>173.78288326736134</v>
      </c>
      <c r="Z26" s="196">
        <v>173.97375688457905</v>
      </c>
      <c r="AA26" s="196">
        <v>175.601268727357</v>
      </c>
      <c r="AB26" s="188">
        <v>180.91705264454697</v>
      </c>
      <c r="AF26" s="189"/>
      <c r="AG26" s="189"/>
      <c r="AH26" s="189"/>
      <c r="AI26" s="189"/>
      <c r="AJ26" s="189"/>
      <c r="AK26" s="189"/>
      <c r="AL26" s="189"/>
      <c r="AM26" s="189"/>
      <c r="AN26" s="189"/>
      <c r="AO26" s="189"/>
      <c r="AP26" s="189"/>
      <c r="AQ26" s="189"/>
      <c r="AR26" s="189"/>
      <c r="AS26" s="189"/>
      <c r="AT26" s="189"/>
      <c r="AU26" s="189"/>
      <c r="AV26" s="189"/>
      <c r="AW26" s="189"/>
      <c r="AX26" s="189"/>
      <c r="AY26" s="189"/>
      <c r="AZ26" s="189"/>
    </row>
    <row r="27" spans="1:52" ht="15.75" thickBot="1">
      <c r="A27" s="194"/>
      <c r="B27" s="198"/>
      <c r="C27" s="184"/>
      <c r="D27" s="186" t="s">
        <v>1450</v>
      </c>
      <c r="E27" s="196">
        <v>628.08799999999997</v>
      </c>
      <c r="F27" s="196">
        <v>685.47500000000002</v>
      </c>
      <c r="G27" s="196">
        <v>720.98500000000001</v>
      </c>
      <c r="H27" s="196">
        <v>743.02299999999991</v>
      </c>
      <c r="I27" s="196">
        <v>745.50900000000001</v>
      </c>
      <c r="J27" s="196">
        <v>749.93999999999994</v>
      </c>
      <c r="K27" s="196">
        <v>764.61</v>
      </c>
      <c r="L27" s="196">
        <v>786.13700000000028</v>
      </c>
      <c r="M27" s="196">
        <v>793.6579999999999</v>
      </c>
      <c r="N27" s="196">
        <v>811.40300000000002</v>
      </c>
      <c r="O27" s="196">
        <v>838.72799999999995</v>
      </c>
      <c r="P27" s="196">
        <v>856.02199999999993</v>
      </c>
      <c r="Q27" s="196">
        <v>884.87300000000005</v>
      </c>
      <c r="R27" s="196">
        <v>1102.8610000000001</v>
      </c>
      <c r="S27" s="196">
        <v>1040.873</v>
      </c>
      <c r="T27" s="196">
        <v>1160.627</v>
      </c>
      <c r="U27" s="196">
        <v>1230.797</v>
      </c>
      <c r="V27" s="196">
        <v>1288.0529999999997</v>
      </c>
      <c r="W27" s="196">
        <v>1369.7880458714735</v>
      </c>
      <c r="X27" s="196">
        <v>1415.8516421208369</v>
      </c>
      <c r="Y27" s="196">
        <v>1468.7440634291795</v>
      </c>
      <c r="Z27" s="196">
        <v>1507.6386235057553</v>
      </c>
      <c r="AA27" s="196">
        <v>1551.1625213689997</v>
      </c>
      <c r="AB27" s="188">
        <v>1606.5744197578447</v>
      </c>
      <c r="AF27" s="189"/>
      <c r="AG27" s="189"/>
      <c r="AH27" s="189"/>
      <c r="AI27" s="189"/>
      <c r="AJ27" s="189"/>
      <c r="AK27" s="189"/>
      <c r="AL27" s="189"/>
      <c r="AM27" s="189"/>
      <c r="AN27" s="189"/>
      <c r="AO27" s="189"/>
      <c r="AP27" s="189"/>
      <c r="AQ27" s="189"/>
      <c r="AR27" s="189"/>
      <c r="AS27" s="189"/>
      <c r="AT27" s="189"/>
      <c r="AU27" s="189"/>
      <c r="AV27" s="189"/>
      <c r="AW27" s="189"/>
      <c r="AX27" s="189"/>
      <c r="AY27" s="189"/>
      <c r="AZ27" s="189"/>
    </row>
    <row r="28" spans="1:52" ht="18" customHeight="1">
      <c r="A28" s="194"/>
      <c r="B28" s="335" t="s">
        <v>1451</v>
      </c>
      <c r="C28" s="336"/>
      <c r="D28" s="336"/>
      <c r="E28" s="336"/>
      <c r="F28" s="336"/>
      <c r="G28" s="336"/>
      <c r="H28" s="336"/>
      <c r="I28" s="336"/>
      <c r="J28" s="336"/>
      <c r="K28" s="336"/>
      <c r="L28" s="336"/>
      <c r="M28" s="336"/>
      <c r="N28" s="336"/>
      <c r="O28" s="336"/>
      <c r="P28" s="336"/>
      <c r="Q28" s="336"/>
      <c r="R28" s="336"/>
      <c r="S28" s="336"/>
      <c r="T28" s="336"/>
      <c r="U28" s="336"/>
      <c r="V28" s="336"/>
      <c r="W28" s="336"/>
      <c r="X28" s="336"/>
      <c r="Y28" s="336"/>
      <c r="Z28" s="336"/>
      <c r="AA28" s="336"/>
      <c r="AB28" s="337"/>
      <c r="AF28" s="189"/>
      <c r="AG28" s="189"/>
      <c r="AH28" s="189"/>
      <c r="AI28" s="189"/>
      <c r="AJ28" s="189"/>
      <c r="AK28" s="189"/>
      <c r="AL28" s="189"/>
      <c r="AM28" s="189"/>
      <c r="AN28" s="189"/>
      <c r="AO28" s="189"/>
      <c r="AP28" s="189"/>
      <c r="AQ28" s="189"/>
      <c r="AR28" s="189"/>
      <c r="AS28" s="189"/>
      <c r="AT28" s="189"/>
      <c r="AU28" s="189"/>
      <c r="AV28" s="189"/>
      <c r="AW28" s="189"/>
      <c r="AX28" s="189"/>
      <c r="AY28" s="189"/>
      <c r="AZ28" s="189"/>
    </row>
    <row r="29" spans="1:52" ht="18" customHeight="1">
      <c r="A29" s="194"/>
      <c r="B29" s="173"/>
      <c r="C29" s="174"/>
      <c r="D29" s="174"/>
      <c r="E29" s="338" t="s">
        <v>1426</v>
      </c>
      <c r="F29" s="339"/>
      <c r="G29" s="339"/>
      <c r="H29" s="339"/>
      <c r="I29" s="339"/>
      <c r="J29" s="339"/>
      <c r="K29" s="339"/>
      <c r="L29" s="339"/>
      <c r="M29" s="339"/>
      <c r="N29" s="339"/>
      <c r="O29" s="339"/>
      <c r="P29" s="339"/>
      <c r="Q29" s="339"/>
      <c r="R29" s="339"/>
      <c r="S29" s="339"/>
      <c r="T29" s="339"/>
      <c r="U29" s="339"/>
      <c r="V29" s="340"/>
      <c r="W29" s="338" t="s">
        <v>1427</v>
      </c>
      <c r="X29" s="339"/>
      <c r="Y29" s="339"/>
      <c r="Z29" s="339"/>
      <c r="AA29" s="339"/>
      <c r="AB29" s="344"/>
      <c r="AF29" s="189"/>
      <c r="AG29" s="189"/>
      <c r="AH29" s="189"/>
      <c r="AI29" s="189"/>
      <c r="AJ29" s="189"/>
      <c r="AK29" s="189"/>
      <c r="AL29" s="189"/>
      <c r="AM29" s="189"/>
      <c r="AN29" s="189"/>
      <c r="AO29" s="189"/>
      <c r="AP29" s="189"/>
      <c r="AQ29" s="189"/>
      <c r="AR29" s="189"/>
      <c r="AS29" s="189"/>
      <c r="AT29" s="189"/>
      <c r="AU29" s="189"/>
      <c r="AV29" s="189"/>
      <c r="AW29" s="189"/>
      <c r="AX29" s="189"/>
      <c r="AY29" s="189"/>
      <c r="AZ29" s="189"/>
    </row>
    <row r="30" spans="1:52">
      <c r="A30" s="199"/>
      <c r="B30" s="173"/>
      <c r="C30" s="174"/>
      <c r="D30" s="174"/>
      <c r="E30" s="175" t="s">
        <v>1428</v>
      </c>
      <c r="F30" s="175" t="s">
        <v>613</v>
      </c>
      <c r="G30" s="175" t="s">
        <v>614</v>
      </c>
      <c r="H30" s="175" t="s">
        <v>615</v>
      </c>
      <c r="I30" s="175" t="s">
        <v>616</v>
      </c>
      <c r="J30" s="175" t="s">
        <v>617</v>
      </c>
      <c r="K30" s="175" t="s">
        <v>618</v>
      </c>
      <c r="L30" s="175" t="s">
        <v>619</v>
      </c>
      <c r="M30" s="175" t="s">
        <v>620</v>
      </c>
      <c r="N30" s="175" t="s">
        <v>621</v>
      </c>
      <c r="O30" s="176" t="s">
        <v>622</v>
      </c>
      <c r="P30" s="176" t="s">
        <v>623</v>
      </c>
      <c r="Q30" s="176" t="s">
        <v>624</v>
      </c>
      <c r="R30" s="176" t="s">
        <v>625</v>
      </c>
      <c r="S30" s="176" t="s">
        <v>626</v>
      </c>
      <c r="T30" s="176" t="s">
        <v>627</v>
      </c>
      <c r="U30" s="176" t="s">
        <v>628</v>
      </c>
      <c r="V30" s="176" t="s">
        <v>629</v>
      </c>
      <c r="W30" s="177" t="s">
        <v>630</v>
      </c>
      <c r="X30" s="177" t="s">
        <v>631</v>
      </c>
      <c r="Y30" s="177" t="s">
        <v>632</v>
      </c>
      <c r="Z30" s="177" t="s">
        <v>633</v>
      </c>
      <c r="AA30" s="177" t="s">
        <v>634</v>
      </c>
      <c r="AB30" s="178" t="s">
        <v>635</v>
      </c>
      <c r="AF30" s="189"/>
      <c r="AG30" s="189"/>
      <c r="AH30" s="189"/>
      <c r="AI30" s="189"/>
      <c r="AJ30" s="189"/>
      <c r="AK30" s="189"/>
      <c r="AL30" s="189"/>
      <c r="AM30" s="189"/>
      <c r="AN30" s="189"/>
      <c r="AO30" s="189"/>
      <c r="AP30" s="189"/>
      <c r="AQ30" s="189"/>
      <c r="AR30" s="189"/>
      <c r="AS30" s="189"/>
      <c r="AT30" s="189"/>
      <c r="AU30" s="189"/>
      <c r="AV30" s="189"/>
      <c r="AW30" s="189"/>
      <c r="AX30" s="189"/>
      <c r="AY30" s="189"/>
      <c r="AZ30" s="189"/>
    </row>
    <row r="31" spans="1:52" ht="13.5" customHeight="1">
      <c r="A31" s="199"/>
      <c r="B31" s="200" t="s">
        <v>1452</v>
      </c>
      <c r="C31" s="201"/>
      <c r="D31" s="202"/>
      <c r="E31" s="203">
        <v>1567.027</v>
      </c>
      <c r="F31" s="203">
        <v>1583.394</v>
      </c>
      <c r="G31" s="203">
        <v>1561.3309999999999</v>
      </c>
      <c r="H31" s="203">
        <v>1632.9259999999999</v>
      </c>
      <c r="I31" s="203">
        <v>1680.9369999999999</v>
      </c>
      <c r="J31" s="203">
        <v>1733.5119999999999</v>
      </c>
      <c r="K31" s="203">
        <v>1812.306</v>
      </c>
      <c r="L31" s="203">
        <v>1888.114</v>
      </c>
      <c r="M31" s="203">
        <v>1943.837</v>
      </c>
      <c r="N31" s="203">
        <v>2027.1179999999999</v>
      </c>
      <c r="O31" s="203">
        <v>2114.6170000000002</v>
      </c>
      <c r="P31" s="203">
        <v>2189.8389999999999</v>
      </c>
      <c r="Q31" s="203">
        <v>2263.357</v>
      </c>
      <c r="R31" s="203">
        <v>2109.9960000000001</v>
      </c>
      <c r="S31" s="203">
        <v>2400.3980000000001</v>
      </c>
      <c r="T31" s="203">
        <v>2634.3359999999998</v>
      </c>
      <c r="U31" s="203">
        <v>2788.9830000000002</v>
      </c>
      <c r="V31" s="203">
        <v>2926.8180000000002</v>
      </c>
      <c r="W31" s="203">
        <v>3042.9074849999993</v>
      </c>
      <c r="X31" s="203">
        <v>3164.9450750000001</v>
      </c>
      <c r="Y31" s="203">
        <v>3277.4884839999995</v>
      </c>
      <c r="Z31" s="203">
        <v>3388.3980389999997</v>
      </c>
      <c r="AA31" s="203">
        <v>3503.997179</v>
      </c>
      <c r="AB31" s="204">
        <v>3627.8688260000004</v>
      </c>
      <c r="AF31" s="189"/>
      <c r="AG31" s="189"/>
      <c r="AH31" s="189"/>
      <c r="AI31" s="189"/>
      <c r="AJ31" s="189"/>
      <c r="AK31" s="189"/>
      <c r="AL31" s="189"/>
      <c r="AM31" s="189"/>
      <c r="AN31" s="189"/>
      <c r="AO31" s="189"/>
      <c r="AP31" s="189"/>
      <c r="AQ31" s="189"/>
      <c r="AR31" s="189"/>
      <c r="AS31" s="189"/>
      <c r="AT31" s="189"/>
      <c r="AU31" s="189"/>
      <c r="AV31" s="189"/>
      <c r="AW31" s="189"/>
      <c r="AX31" s="189"/>
      <c r="AY31" s="189"/>
      <c r="AZ31" s="189"/>
    </row>
    <row r="32" spans="1:52" ht="13.5" customHeight="1">
      <c r="A32" s="199"/>
      <c r="B32" s="200" t="s">
        <v>1453</v>
      </c>
      <c r="C32" s="201"/>
      <c r="D32" s="202"/>
      <c r="E32" s="187">
        <v>2.3696682464454852</v>
      </c>
      <c r="F32" s="187">
        <v>3.6111111111111001</v>
      </c>
      <c r="G32" s="187">
        <v>1.3106940720881965</v>
      </c>
      <c r="H32" s="187">
        <v>1.7235314808301041</v>
      </c>
      <c r="I32" s="187">
        <v>2.1438450899031807</v>
      </c>
      <c r="J32" s="187">
        <v>1.6926201760324915</v>
      </c>
      <c r="K32" s="187">
        <v>2.063914780292933</v>
      </c>
      <c r="L32" s="187">
        <v>1.4350945857795239</v>
      </c>
      <c r="M32" s="187">
        <v>0.67524115755625758</v>
      </c>
      <c r="N32" s="187">
        <v>1.9801980198020033</v>
      </c>
      <c r="O32" s="187">
        <v>1.3153773880363246</v>
      </c>
      <c r="P32" s="187">
        <v>2.2256568778979897</v>
      </c>
      <c r="Q32" s="187">
        <v>2.6912609615965977</v>
      </c>
      <c r="R32" s="187">
        <v>5.2120141342756341</v>
      </c>
      <c r="S32" s="187">
        <v>0.25188916876572875</v>
      </c>
      <c r="T32" s="187">
        <v>6.9793411501954239</v>
      </c>
      <c r="U32" s="187">
        <v>5.297494780793329</v>
      </c>
      <c r="V32" s="187">
        <v>3.717472118959094</v>
      </c>
      <c r="W32" s="187">
        <v>2.943114936778386</v>
      </c>
      <c r="X32" s="187">
        <v>2.2299335562313161</v>
      </c>
      <c r="Y32" s="187">
        <v>2.011269921838533</v>
      </c>
      <c r="Z32" s="187">
        <v>1.8842904556863687</v>
      </c>
      <c r="AA32" s="187">
        <v>1.8453985532400878</v>
      </c>
      <c r="AB32" s="188">
        <v>1.9520391724535386</v>
      </c>
      <c r="AF32" s="189"/>
      <c r="AG32" s="189"/>
      <c r="AH32" s="189"/>
      <c r="AI32" s="189"/>
      <c r="AJ32" s="189"/>
      <c r="AK32" s="189"/>
      <c r="AL32" s="189"/>
      <c r="AM32" s="189"/>
      <c r="AN32" s="189"/>
      <c r="AO32" s="189"/>
      <c r="AP32" s="189"/>
      <c r="AQ32" s="189"/>
      <c r="AR32" s="189"/>
      <c r="AS32" s="189"/>
      <c r="AT32" s="189"/>
      <c r="AU32" s="189"/>
      <c r="AV32" s="189"/>
      <c r="AW32" s="189"/>
      <c r="AX32" s="189"/>
      <c r="AY32" s="189"/>
      <c r="AZ32" s="189"/>
    </row>
    <row r="33" spans="1:52" ht="17.25" customHeight="1" thickBot="1">
      <c r="A33" s="199"/>
      <c r="B33" s="205"/>
      <c r="C33" s="206"/>
      <c r="D33" s="207"/>
      <c r="E33" s="338" t="s">
        <v>1454</v>
      </c>
      <c r="F33" s="339"/>
      <c r="G33" s="339"/>
      <c r="H33" s="339"/>
      <c r="I33" s="339"/>
      <c r="J33" s="339"/>
      <c r="K33" s="339"/>
      <c r="L33" s="339"/>
      <c r="M33" s="339"/>
      <c r="N33" s="339"/>
      <c r="O33" s="339"/>
      <c r="P33" s="339"/>
      <c r="Q33" s="339"/>
      <c r="R33" s="339"/>
      <c r="S33" s="339"/>
      <c r="T33" s="339"/>
      <c r="U33" s="339"/>
      <c r="V33" s="340"/>
      <c r="W33" s="338" t="s">
        <v>1455</v>
      </c>
      <c r="X33" s="339"/>
      <c r="Y33" s="339"/>
      <c r="Z33" s="339"/>
      <c r="AA33" s="339"/>
      <c r="AB33" s="344"/>
      <c r="AF33" s="189"/>
      <c r="AG33" s="189"/>
      <c r="AH33" s="189"/>
      <c r="AI33" s="189"/>
      <c r="AJ33" s="189"/>
      <c r="AK33" s="189"/>
      <c r="AL33" s="189"/>
      <c r="AM33" s="189"/>
      <c r="AN33" s="189"/>
      <c r="AO33" s="189"/>
      <c r="AP33" s="189"/>
      <c r="AQ33" s="189"/>
      <c r="AR33" s="189"/>
      <c r="AS33" s="189"/>
      <c r="AT33" s="189"/>
      <c r="AU33" s="189"/>
      <c r="AV33" s="189"/>
      <c r="AW33" s="189"/>
      <c r="AX33" s="189"/>
      <c r="AY33" s="189"/>
      <c r="AZ33" s="189"/>
    </row>
    <row r="34" spans="1:52" ht="12.75" customHeight="1">
      <c r="A34" s="199"/>
      <c r="B34" s="208" t="s">
        <v>1456</v>
      </c>
      <c r="C34" s="209"/>
      <c r="D34" s="210"/>
      <c r="E34" s="211">
        <v>61508.25</v>
      </c>
      <c r="F34" s="211">
        <v>61987.5</v>
      </c>
      <c r="G34" s="211">
        <v>62447.75</v>
      </c>
      <c r="H34" s="211">
        <v>62956.75</v>
      </c>
      <c r="I34" s="211">
        <v>63444.5</v>
      </c>
      <c r="J34" s="211">
        <v>63870.75</v>
      </c>
      <c r="K34" s="211">
        <v>64318.25</v>
      </c>
      <c r="L34" s="211">
        <v>64794.5</v>
      </c>
      <c r="M34" s="211">
        <v>65281.5</v>
      </c>
      <c r="N34" s="211">
        <v>65740.25</v>
      </c>
      <c r="O34" s="211">
        <v>66085.25</v>
      </c>
      <c r="P34" s="211">
        <v>66414.5</v>
      </c>
      <c r="Q34" s="211">
        <v>66670</v>
      </c>
      <c r="R34" s="211">
        <v>66829</v>
      </c>
      <c r="S34" s="211">
        <v>67225</v>
      </c>
      <c r="T34" s="211">
        <v>67970</v>
      </c>
      <c r="U34" s="211">
        <v>68809.5</v>
      </c>
      <c r="V34" s="211">
        <v>69395</v>
      </c>
      <c r="W34" s="211">
        <v>69683.725625000006</v>
      </c>
      <c r="X34" s="211">
        <v>69945.98450000002</v>
      </c>
      <c r="Y34" s="211">
        <v>70211.290499999988</v>
      </c>
      <c r="Z34" s="212">
        <v>70502.718374999968</v>
      </c>
      <c r="AA34" s="212">
        <v>70814.257749999961</v>
      </c>
      <c r="AB34" s="213">
        <v>71126.267124999984</v>
      </c>
      <c r="AF34" s="189"/>
      <c r="AG34" s="189"/>
      <c r="AH34" s="189"/>
      <c r="AI34" s="189"/>
      <c r="AJ34" s="189"/>
      <c r="AK34" s="189"/>
      <c r="AL34" s="189"/>
      <c r="AM34" s="189"/>
      <c r="AN34" s="189"/>
      <c r="AO34" s="189"/>
      <c r="AP34" s="189"/>
      <c r="AQ34" s="189"/>
      <c r="AR34" s="189"/>
      <c r="AS34" s="189"/>
      <c r="AT34" s="189"/>
      <c r="AU34" s="189"/>
      <c r="AV34" s="189"/>
      <c r="AW34" s="189"/>
      <c r="AX34" s="189"/>
      <c r="AY34" s="189"/>
      <c r="AZ34" s="189"/>
    </row>
    <row r="35" spans="1:52" ht="13.5" customHeight="1">
      <c r="A35" s="199"/>
      <c r="B35" s="332" t="s">
        <v>1457</v>
      </c>
      <c r="C35" s="333"/>
      <c r="D35" s="333"/>
      <c r="E35" s="333"/>
      <c r="F35" s="333"/>
      <c r="G35" s="333"/>
      <c r="H35" s="333"/>
      <c r="I35" s="333"/>
      <c r="J35" s="333"/>
      <c r="K35" s="333"/>
      <c r="L35" s="333"/>
      <c r="M35" s="333"/>
      <c r="N35" s="333"/>
      <c r="O35" s="333"/>
      <c r="P35" s="333"/>
      <c r="Q35" s="333"/>
      <c r="R35" s="333"/>
      <c r="S35" s="333"/>
      <c r="T35" s="333"/>
      <c r="U35" s="333"/>
      <c r="V35" s="333"/>
      <c r="W35" s="333"/>
      <c r="X35" s="333"/>
      <c r="Y35" s="333"/>
      <c r="Z35" s="333"/>
      <c r="AA35" s="333"/>
      <c r="AB35" s="334"/>
    </row>
    <row r="36" spans="1:52" ht="13.5" customHeight="1" thickBot="1">
      <c r="A36" s="199"/>
      <c r="B36" s="214" t="s">
        <v>1458</v>
      </c>
      <c r="C36" s="215"/>
      <c r="D36" s="215"/>
      <c r="E36" s="216"/>
      <c r="F36" s="216"/>
      <c r="G36" s="216"/>
      <c r="H36" s="216"/>
      <c r="I36" s="216"/>
      <c r="J36" s="216"/>
      <c r="K36" s="216"/>
      <c r="L36" s="216"/>
      <c r="M36" s="216"/>
      <c r="N36" s="216"/>
      <c r="O36" s="216"/>
      <c r="P36" s="217"/>
      <c r="Q36" s="217"/>
      <c r="R36" s="217"/>
      <c r="S36" s="217"/>
      <c r="T36" s="217"/>
      <c r="U36" s="217"/>
      <c r="V36" s="217"/>
      <c r="W36" s="217"/>
      <c r="X36" s="217"/>
      <c r="Y36" s="217"/>
      <c r="Z36" s="218"/>
      <c r="AA36" s="218"/>
      <c r="AB36" s="219"/>
    </row>
    <row r="37" spans="1:52">
      <c r="B37" s="220"/>
      <c r="C37" s="220"/>
      <c r="D37" s="220"/>
      <c r="E37" s="220"/>
      <c r="F37" s="220"/>
      <c r="G37" s="220"/>
      <c r="H37" s="220"/>
      <c r="I37" s="220"/>
      <c r="J37" s="220"/>
      <c r="K37" s="220"/>
      <c r="L37" s="220"/>
      <c r="M37" s="220"/>
      <c r="N37" s="220"/>
      <c r="O37" s="220"/>
      <c r="P37" s="220"/>
      <c r="Q37" s="220"/>
      <c r="R37" s="220"/>
      <c r="S37" s="220"/>
    </row>
    <row r="49" s="167" customFormat="1"/>
    <row r="50" s="167" customFormat="1"/>
    <row r="51" s="167" customFormat="1"/>
    <row r="52" s="167" customFormat="1"/>
    <row r="53" s="167" customFormat="1"/>
    <row r="54" s="167" customFormat="1"/>
    <row r="55" s="167" customFormat="1"/>
    <row r="56" s="167" customFormat="1"/>
    <row r="57" s="167" customFormat="1"/>
  </sheetData>
  <mergeCells count="12">
    <mergeCell ref="B35:AB35"/>
    <mergeCell ref="B2:AB2"/>
    <mergeCell ref="E3:V3"/>
    <mergeCell ref="W3:AB3"/>
    <mergeCell ref="B6:AB6"/>
    <mergeCell ref="B12:AB12"/>
    <mergeCell ref="B18:AB18"/>
    <mergeCell ref="B28:AB28"/>
    <mergeCell ref="E29:V29"/>
    <mergeCell ref="W29:AB29"/>
    <mergeCell ref="E33:V33"/>
    <mergeCell ref="W33:AB33"/>
  </mergeCells>
  <hyperlinks>
    <hyperlink ref="A1" location="Contents!A1" display="Back to contents" xr:uid="{905169C6-9CEA-4AC9-8867-3FFECEBDCDF3}"/>
  </hyperlinks>
  <pageMargins left="0.74803149606299213" right="0.74803149606299213" top="0.98425196850393704" bottom="0.98425196850393704" header="0.51181102362204722" footer="0.51181102362204722"/>
  <pageSetup paperSize="9" scale="21" orientation="landscape" r:id="rId1"/>
  <headerFooter alignWithMargins="0">
    <oddHeader>&amp;C&amp;"Futura Bk BT,Book"&amp;8March 2014 &amp;"Futura Bk BT,Book Italic"Economic and fiscal outlook&amp;"Futura Bk BT,Book": Fiscal supplementary tables</oddHeader>
  </headerFooter>
  <colBreaks count="1" manualBreakCount="1">
    <brk id="21"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B5FCD-CD1C-4D7F-9ABD-BEB3436819E4}">
  <dimension ref="A1:V173"/>
  <sheetViews>
    <sheetView zoomScaleNormal="100" zoomScaleSheetLayoutView="85" workbookViewId="0">
      <pane xSplit="2" ySplit="4" topLeftCell="C100" activePane="bottomRight" state="frozen"/>
      <selection pane="topRight" activeCell="C1" sqref="C1"/>
      <selection pane="bottomLeft" activeCell="A5" sqref="A5"/>
      <selection pane="bottomRight" activeCell="R120" sqref="R120"/>
    </sheetView>
  </sheetViews>
  <sheetFormatPr defaultColWidth="10" defaultRowHeight="15"/>
  <cols>
    <col min="1" max="1" width="8.42578125" style="96" customWidth="1"/>
    <col min="2" max="2" width="10.5703125" style="96" customWidth="1"/>
    <col min="3" max="4" width="12.5703125" style="96" bestFit="1" customWidth="1"/>
    <col min="5" max="6" width="11.140625" style="96" customWidth="1"/>
    <col min="7" max="7" width="10.5703125" style="96" customWidth="1"/>
    <col min="8" max="8" width="11.7109375" style="96" customWidth="1"/>
    <col min="9" max="9" width="10.5703125" style="96" customWidth="1"/>
    <col min="10" max="10" width="14.5703125" style="96" bestFit="1" customWidth="1"/>
    <col min="11" max="11" width="10.5703125" style="96" customWidth="1"/>
    <col min="12" max="12" width="11.7109375" style="96" customWidth="1"/>
    <col min="13" max="14" width="10.5703125" style="96" customWidth="1"/>
    <col min="15" max="15" width="11.42578125" style="96" bestFit="1" customWidth="1"/>
    <col min="16" max="16" width="10.5703125" style="96" customWidth="1"/>
    <col min="17" max="17" width="11.7109375" style="96" bestFit="1" customWidth="1"/>
    <col min="18" max="19" width="10.5703125" style="96" customWidth="1"/>
    <col min="20" max="20" width="10" style="96"/>
    <col min="21" max="22" width="10.5703125" style="96" bestFit="1" customWidth="1"/>
    <col min="23" max="16384" width="10" style="96"/>
  </cols>
  <sheetData>
    <row r="1" spans="1:22" ht="33.75" customHeight="1" thickBot="1">
      <c r="A1" s="93" t="s">
        <v>499</v>
      </c>
      <c r="B1" s="94"/>
      <c r="C1" s="94"/>
      <c r="D1" s="94"/>
      <c r="E1" s="94"/>
      <c r="F1" s="94"/>
      <c r="G1" s="94"/>
      <c r="H1" s="94"/>
      <c r="I1" s="94"/>
      <c r="J1" s="94"/>
      <c r="K1" s="94"/>
      <c r="L1" s="94"/>
      <c r="M1" s="94"/>
      <c r="N1" s="94"/>
      <c r="O1" s="94"/>
      <c r="P1" s="94"/>
      <c r="Q1" s="94"/>
      <c r="R1" s="94"/>
      <c r="S1" s="95"/>
    </row>
    <row r="2" spans="1:22" s="98" customFormat="1" ht="19.5" customHeight="1" thickBot="1">
      <c r="A2" s="97"/>
      <c r="B2" s="349" t="s">
        <v>500</v>
      </c>
      <c r="C2" s="350"/>
      <c r="D2" s="350"/>
      <c r="E2" s="350"/>
      <c r="F2" s="350"/>
      <c r="G2" s="350"/>
      <c r="H2" s="350"/>
      <c r="I2" s="350"/>
      <c r="J2" s="350"/>
      <c r="K2" s="350"/>
      <c r="L2" s="350"/>
      <c r="M2" s="350"/>
      <c r="N2" s="350"/>
      <c r="O2" s="350"/>
      <c r="P2" s="350"/>
      <c r="Q2" s="350"/>
      <c r="R2" s="350"/>
      <c r="S2" s="351"/>
    </row>
    <row r="3" spans="1:22" s="103" customFormat="1" ht="38.25" customHeight="1">
      <c r="A3" s="99"/>
      <c r="B3" s="100" t="s">
        <v>501</v>
      </c>
      <c r="C3" s="352" t="s">
        <v>502</v>
      </c>
      <c r="D3" s="352" t="s">
        <v>503</v>
      </c>
      <c r="E3" s="101" t="s">
        <v>504</v>
      </c>
      <c r="F3" s="102"/>
      <c r="G3" s="102"/>
      <c r="H3" s="102"/>
      <c r="I3" s="102"/>
      <c r="J3" s="352" t="s">
        <v>505</v>
      </c>
      <c r="K3" s="352" t="s">
        <v>506</v>
      </c>
      <c r="L3" s="352" t="s">
        <v>507</v>
      </c>
      <c r="M3" s="352" t="s">
        <v>508</v>
      </c>
      <c r="N3" s="352" t="s">
        <v>509</v>
      </c>
      <c r="O3" s="352" t="s">
        <v>510</v>
      </c>
      <c r="P3" s="345" t="s">
        <v>511</v>
      </c>
      <c r="Q3" s="345" t="s">
        <v>512</v>
      </c>
      <c r="R3" s="345" t="s">
        <v>513</v>
      </c>
      <c r="S3" s="346" t="s">
        <v>514</v>
      </c>
    </row>
    <row r="4" spans="1:22" s="103" customFormat="1" ht="30.75" customHeight="1">
      <c r="A4" s="99"/>
      <c r="B4" s="100"/>
      <c r="C4" s="352"/>
      <c r="D4" s="352"/>
      <c r="E4" s="104" t="s">
        <v>515</v>
      </c>
      <c r="F4" s="104" t="s">
        <v>516</v>
      </c>
      <c r="G4" s="104" t="s">
        <v>517</v>
      </c>
      <c r="H4" s="104" t="s">
        <v>518</v>
      </c>
      <c r="I4" s="104" t="s">
        <v>519</v>
      </c>
      <c r="J4" s="352"/>
      <c r="K4" s="352"/>
      <c r="L4" s="352"/>
      <c r="M4" s="352"/>
      <c r="N4" s="352"/>
      <c r="O4" s="352"/>
      <c r="P4" s="345"/>
      <c r="Q4" s="345"/>
      <c r="R4" s="345"/>
      <c r="S4" s="347"/>
    </row>
    <row r="5" spans="1:22" ht="15.75" customHeight="1">
      <c r="A5" s="105"/>
      <c r="B5" s="106" t="s">
        <v>520</v>
      </c>
      <c r="C5" s="107">
        <v>366.79500000000002</v>
      </c>
      <c r="D5" s="107">
        <v>115.99299999999999</v>
      </c>
      <c r="E5" s="107">
        <v>101.666</v>
      </c>
      <c r="F5" s="107">
        <v>52.098999999999997</v>
      </c>
      <c r="G5" s="107">
        <v>31.882999999999999</v>
      </c>
      <c r="H5" s="107">
        <v>16.774999999999999</v>
      </c>
      <c r="I5" s="107">
        <v>1.784</v>
      </c>
      <c r="J5" s="107">
        <v>0.505</v>
      </c>
      <c r="K5" s="107">
        <v>584.95899999999995</v>
      </c>
      <c r="L5" s="107">
        <v>-4.6719999999999997</v>
      </c>
      <c r="M5" s="107">
        <v>580.28700000000003</v>
      </c>
      <c r="N5" s="107">
        <v>168.251</v>
      </c>
      <c r="O5" s="107">
        <v>756.22500000000002</v>
      </c>
      <c r="P5" s="107">
        <v>169.18600000000001</v>
      </c>
      <c r="Q5" s="107">
        <v>0</v>
      </c>
      <c r="R5" s="107">
        <v>586.69000000000005</v>
      </c>
      <c r="S5" s="108">
        <v>513.25099999999998</v>
      </c>
      <c r="T5" s="109"/>
      <c r="U5" s="110"/>
      <c r="V5" s="110"/>
    </row>
    <row r="6" spans="1:22">
      <c r="A6" s="105"/>
      <c r="B6" s="106" t="s">
        <v>521</v>
      </c>
      <c r="C6" s="107">
        <v>362.06400000000002</v>
      </c>
      <c r="D6" s="107">
        <v>115.307</v>
      </c>
      <c r="E6" s="107">
        <v>103.27200000000001</v>
      </c>
      <c r="F6" s="107">
        <v>57.107999999999997</v>
      </c>
      <c r="G6" s="107">
        <v>30.068999999999999</v>
      </c>
      <c r="H6" s="107">
        <v>15.255000000000001</v>
      </c>
      <c r="I6" s="107">
        <v>1.6600000000000001</v>
      </c>
      <c r="J6" s="107">
        <v>-0.216</v>
      </c>
      <c r="K6" s="107">
        <v>580.42700000000002</v>
      </c>
      <c r="L6" s="107">
        <v>-0.28100000000000003</v>
      </c>
      <c r="M6" s="107">
        <v>580.14599999999996</v>
      </c>
      <c r="N6" s="107">
        <v>168.428</v>
      </c>
      <c r="O6" s="107">
        <v>752.59900000000005</v>
      </c>
      <c r="P6" s="107">
        <v>168.738</v>
      </c>
      <c r="Q6" s="107">
        <v>0</v>
      </c>
      <c r="R6" s="107">
        <v>583.54100000000005</v>
      </c>
      <c r="S6" s="108">
        <v>511.33100000000002</v>
      </c>
      <c r="U6" s="110"/>
      <c r="V6" s="110"/>
    </row>
    <row r="7" spans="1:22">
      <c r="A7" s="105"/>
      <c r="B7" s="106" t="s">
        <v>522</v>
      </c>
      <c r="C7" s="107">
        <v>356.56700000000001</v>
      </c>
      <c r="D7" s="107">
        <v>117.36199999999999</v>
      </c>
      <c r="E7" s="107">
        <v>98.197999999999993</v>
      </c>
      <c r="F7" s="107">
        <v>54.942</v>
      </c>
      <c r="G7" s="107">
        <v>24.559000000000001</v>
      </c>
      <c r="H7" s="107">
        <v>15.861000000000001</v>
      </c>
      <c r="I7" s="107">
        <v>3.4189999999999996</v>
      </c>
      <c r="J7" s="107">
        <v>-1.304</v>
      </c>
      <c r="K7" s="107">
        <v>570.82299999999998</v>
      </c>
      <c r="L7" s="107">
        <v>-0.85799999999999998</v>
      </c>
      <c r="M7" s="107">
        <v>569.96500000000003</v>
      </c>
      <c r="N7" s="107">
        <v>169.10599999999999</v>
      </c>
      <c r="O7" s="107">
        <v>738.86800000000005</v>
      </c>
      <c r="P7" s="107">
        <v>164.57300000000001</v>
      </c>
      <c r="Q7" s="107">
        <v>0</v>
      </c>
      <c r="R7" s="107">
        <v>573.96100000000001</v>
      </c>
      <c r="S7" s="108">
        <v>503.22399999999999</v>
      </c>
      <c r="U7" s="110"/>
      <c r="V7" s="110"/>
    </row>
    <row r="8" spans="1:22">
      <c r="A8" s="105"/>
      <c r="B8" s="106" t="s">
        <v>523</v>
      </c>
      <c r="C8" s="107">
        <v>347.875</v>
      </c>
      <c r="D8" s="107">
        <v>118.565</v>
      </c>
      <c r="E8" s="107">
        <v>96.036000000000001</v>
      </c>
      <c r="F8" s="107">
        <v>52.433999999999997</v>
      </c>
      <c r="G8" s="107">
        <v>23.384</v>
      </c>
      <c r="H8" s="107">
        <v>17.411000000000001</v>
      </c>
      <c r="I8" s="107">
        <v>3.3290000000000002</v>
      </c>
      <c r="J8" s="107">
        <v>0.24099999999999999</v>
      </c>
      <c r="K8" s="107">
        <v>562.71699999999998</v>
      </c>
      <c r="L8" s="107">
        <v>-2.7679999999999998</v>
      </c>
      <c r="M8" s="107">
        <v>559.94899999999996</v>
      </c>
      <c r="N8" s="107">
        <v>161.06899999999999</v>
      </c>
      <c r="O8" s="107">
        <v>717.79300000000001</v>
      </c>
      <c r="P8" s="107">
        <v>155.48500000000001</v>
      </c>
      <c r="Q8" s="107">
        <v>0</v>
      </c>
      <c r="R8" s="107">
        <v>561.81600000000003</v>
      </c>
      <c r="S8" s="108">
        <v>492.72699999999998</v>
      </c>
      <c r="U8" s="110"/>
      <c r="V8" s="110"/>
    </row>
    <row r="9" spans="1:22">
      <c r="A9" s="105"/>
      <c r="B9" s="106" t="s">
        <v>524</v>
      </c>
      <c r="C9" s="107">
        <v>346.435</v>
      </c>
      <c r="D9" s="107">
        <v>117.85899999999999</v>
      </c>
      <c r="E9" s="107">
        <v>90.795000000000002</v>
      </c>
      <c r="F9" s="107">
        <v>48.456000000000003</v>
      </c>
      <c r="G9" s="107">
        <v>21.957999999999998</v>
      </c>
      <c r="H9" s="107">
        <v>17.521000000000001</v>
      </c>
      <c r="I9" s="107">
        <v>3.2850000000000001</v>
      </c>
      <c r="J9" s="107">
        <v>1.4019999999999999</v>
      </c>
      <c r="K9" s="107">
        <v>556.49099999999999</v>
      </c>
      <c r="L9" s="107">
        <v>-7.6040000000000001</v>
      </c>
      <c r="M9" s="107">
        <v>548.88699999999994</v>
      </c>
      <c r="N9" s="107">
        <v>152.66900000000001</v>
      </c>
      <c r="O9" s="107">
        <v>700.23400000000004</v>
      </c>
      <c r="P9" s="107">
        <v>149.46600000000001</v>
      </c>
      <c r="Q9" s="107">
        <v>0</v>
      </c>
      <c r="R9" s="107">
        <v>550.45100000000002</v>
      </c>
      <c r="S9" s="108">
        <v>483.02300000000002</v>
      </c>
      <c r="U9" s="110"/>
      <c r="V9" s="110"/>
    </row>
    <row r="10" spans="1:22" ht="15.75">
      <c r="A10" s="95"/>
      <c r="B10" s="106" t="s">
        <v>525</v>
      </c>
      <c r="C10" s="107">
        <v>345.97199999999998</v>
      </c>
      <c r="D10" s="107">
        <v>117.61</v>
      </c>
      <c r="E10" s="107">
        <v>87.418000000000006</v>
      </c>
      <c r="F10" s="107">
        <v>46.750999999999998</v>
      </c>
      <c r="G10" s="107">
        <v>21.178000000000001</v>
      </c>
      <c r="H10" s="107">
        <v>16.507000000000001</v>
      </c>
      <c r="I10" s="107">
        <v>3.2560000000000002</v>
      </c>
      <c r="J10" s="107">
        <v>0.53300000000000003</v>
      </c>
      <c r="K10" s="107">
        <v>551.53300000000002</v>
      </c>
      <c r="L10" s="107">
        <v>-7.7519999999999998</v>
      </c>
      <c r="M10" s="107">
        <v>543.78099999999995</v>
      </c>
      <c r="N10" s="107">
        <v>151.80500000000001</v>
      </c>
      <c r="O10" s="107">
        <v>698.82600000000002</v>
      </c>
      <c r="P10" s="107">
        <v>149.70599999999999</v>
      </c>
      <c r="Q10" s="107">
        <v>0</v>
      </c>
      <c r="R10" s="107">
        <v>548.85900000000004</v>
      </c>
      <c r="S10" s="108">
        <v>480.94200000000001</v>
      </c>
      <c r="U10" s="110"/>
      <c r="V10" s="110"/>
    </row>
    <row r="11" spans="1:22" ht="15.75">
      <c r="A11" s="95"/>
      <c r="B11" s="106" t="s">
        <v>526</v>
      </c>
      <c r="C11" s="107">
        <v>347.113</v>
      </c>
      <c r="D11" s="107">
        <v>118.717</v>
      </c>
      <c r="E11" s="107">
        <v>87.975999999999999</v>
      </c>
      <c r="F11" s="107">
        <v>45.581000000000003</v>
      </c>
      <c r="G11" s="107">
        <v>21.321000000000002</v>
      </c>
      <c r="H11" s="107">
        <v>18.129000000000001</v>
      </c>
      <c r="I11" s="107">
        <v>3.2889999999999997</v>
      </c>
      <c r="J11" s="107">
        <v>0.77300000000000002</v>
      </c>
      <c r="K11" s="107">
        <v>554.57899999999995</v>
      </c>
      <c r="L11" s="107">
        <v>-8.5299999999999994</v>
      </c>
      <c r="M11" s="107">
        <v>546.04899999999998</v>
      </c>
      <c r="N11" s="107">
        <v>151.59700000000001</v>
      </c>
      <c r="O11" s="107">
        <v>703.47</v>
      </c>
      <c r="P11" s="107">
        <v>153.65100000000001</v>
      </c>
      <c r="Q11" s="107">
        <v>0</v>
      </c>
      <c r="R11" s="107">
        <v>549.54</v>
      </c>
      <c r="S11" s="108">
        <v>482.029</v>
      </c>
      <c r="U11" s="110"/>
      <c r="V11" s="110"/>
    </row>
    <row r="12" spans="1:22" ht="15.75">
      <c r="A12" s="95"/>
      <c r="B12" s="106" t="s">
        <v>527</v>
      </c>
      <c r="C12" s="107">
        <v>349.90899999999999</v>
      </c>
      <c r="D12" s="107">
        <v>119.548</v>
      </c>
      <c r="E12" s="107">
        <v>86.66</v>
      </c>
      <c r="F12" s="107">
        <v>45.414000000000001</v>
      </c>
      <c r="G12" s="107">
        <v>20.128</v>
      </c>
      <c r="H12" s="107">
        <v>17.923999999999999</v>
      </c>
      <c r="I12" s="107">
        <v>3.3780000000000001</v>
      </c>
      <c r="J12" s="107">
        <v>-0.32200000000000001</v>
      </c>
      <c r="K12" s="107">
        <v>555.79499999999996</v>
      </c>
      <c r="L12" s="107">
        <v>-5.1210000000000004</v>
      </c>
      <c r="M12" s="107">
        <v>550.67399999999998</v>
      </c>
      <c r="N12" s="107">
        <v>157.88200000000001</v>
      </c>
      <c r="O12" s="107">
        <v>709.15599999999995</v>
      </c>
      <c r="P12" s="107">
        <v>157.47200000000001</v>
      </c>
      <c r="Q12" s="107">
        <v>0</v>
      </c>
      <c r="R12" s="107">
        <v>551.37199999999996</v>
      </c>
      <c r="S12" s="108">
        <v>484.18</v>
      </c>
      <c r="U12" s="110"/>
      <c r="V12" s="110"/>
    </row>
    <row r="13" spans="1:22" ht="18.75" customHeight="1">
      <c r="A13" s="95"/>
      <c r="B13" s="106" t="s">
        <v>528</v>
      </c>
      <c r="C13" s="107">
        <v>349.45</v>
      </c>
      <c r="D13" s="107">
        <v>117.946</v>
      </c>
      <c r="E13" s="107">
        <v>90.007000000000005</v>
      </c>
      <c r="F13" s="107">
        <v>47.158999999999999</v>
      </c>
      <c r="G13" s="107">
        <v>20.934999999999999</v>
      </c>
      <c r="H13" s="107">
        <v>18.677</v>
      </c>
      <c r="I13" s="107">
        <v>3.4220000000000002</v>
      </c>
      <c r="J13" s="107">
        <v>-0.48</v>
      </c>
      <c r="K13" s="107">
        <v>556.923</v>
      </c>
      <c r="L13" s="107">
        <v>-2.4060000000000001</v>
      </c>
      <c r="M13" s="107">
        <v>554.51700000000005</v>
      </c>
      <c r="N13" s="107">
        <v>157.93799999999999</v>
      </c>
      <c r="O13" s="107">
        <v>715.447</v>
      </c>
      <c r="P13" s="107">
        <v>159.13499999999999</v>
      </c>
      <c r="Q13" s="107">
        <v>0</v>
      </c>
      <c r="R13" s="107">
        <v>556.00199999999995</v>
      </c>
      <c r="S13" s="108">
        <v>488.69900000000001</v>
      </c>
      <c r="U13" s="110"/>
      <c r="V13" s="110"/>
    </row>
    <row r="14" spans="1:22" ht="15.75">
      <c r="A14" s="95"/>
      <c r="B14" s="106" t="s">
        <v>529</v>
      </c>
      <c r="C14" s="107">
        <v>358.96800000000002</v>
      </c>
      <c r="D14" s="107">
        <v>118.254</v>
      </c>
      <c r="E14" s="107">
        <v>87.938000000000002</v>
      </c>
      <c r="F14" s="107">
        <v>46.055</v>
      </c>
      <c r="G14" s="107">
        <v>21.504999999999999</v>
      </c>
      <c r="H14" s="107">
        <v>17.329000000000001</v>
      </c>
      <c r="I14" s="107">
        <v>3.4</v>
      </c>
      <c r="J14" s="107">
        <v>-0.745</v>
      </c>
      <c r="K14" s="107">
        <v>564.41499999999996</v>
      </c>
      <c r="L14" s="107">
        <v>-1.1279999999999999</v>
      </c>
      <c r="M14" s="107">
        <v>563.28700000000003</v>
      </c>
      <c r="N14" s="107">
        <v>162.47300000000001</v>
      </c>
      <c r="O14" s="107">
        <v>726.66899999999998</v>
      </c>
      <c r="P14" s="107">
        <v>163.97800000000001</v>
      </c>
      <c r="Q14" s="107">
        <v>0</v>
      </c>
      <c r="R14" s="107">
        <v>562.35299999999995</v>
      </c>
      <c r="S14" s="108">
        <v>494.93599999999998</v>
      </c>
      <c r="U14" s="110"/>
      <c r="V14" s="110"/>
    </row>
    <row r="15" spans="1:22" ht="15.75">
      <c r="A15" s="95"/>
      <c r="B15" s="106" t="s">
        <v>530</v>
      </c>
      <c r="C15" s="107">
        <v>359.80099999999999</v>
      </c>
      <c r="D15" s="107">
        <v>118.60899999999999</v>
      </c>
      <c r="E15" s="107">
        <v>90.700999999999993</v>
      </c>
      <c r="F15" s="107">
        <v>47.527000000000001</v>
      </c>
      <c r="G15" s="107">
        <v>22.204000000000001</v>
      </c>
      <c r="H15" s="107">
        <v>17.948</v>
      </c>
      <c r="I15" s="107">
        <v>3.383</v>
      </c>
      <c r="J15" s="107">
        <v>0.34599999999999997</v>
      </c>
      <c r="K15" s="107">
        <v>569.45699999999999</v>
      </c>
      <c r="L15" s="107">
        <v>-0.98899999999999999</v>
      </c>
      <c r="M15" s="107">
        <v>568.46799999999996</v>
      </c>
      <c r="N15" s="107">
        <v>164.197</v>
      </c>
      <c r="O15" s="107">
        <v>735.14200000000005</v>
      </c>
      <c r="P15" s="107">
        <v>169.102</v>
      </c>
      <c r="Q15" s="107">
        <v>0</v>
      </c>
      <c r="R15" s="107">
        <v>565.65899999999999</v>
      </c>
      <c r="S15" s="108">
        <v>498.16699999999997</v>
      </c>
      <c r="U15" s="110"/>
      <c r="V15" s="110"/>
    </row>
    <row r="16" spans="1:22" ht="15.75">
      <c r="A16" s="95"/>
      <c r="B16" s="106" t="s">
        <v>531</v>
      </c>
      <c r="C16" s="107">
        <v>358.90499999999997</v>
      </c>
      <c r="D16" s="107">
        <v>118.81699999999999</v>
      </c>
      <c r="E16" s="107">
        <v>92.57</v>
      </c>
      <c r="F16" s="107">
        <v>50.337000000000003</v>
      </c>
      <c r="G16" s="107">
        <v>21.611999999999998</v>
      </c>
      <c r="H16" s="107">
        <v>17.521999999999998</v>
      </c>
      <c r="I16" s="107">
        <v>3.262</v>
      </c>
      <c r="J16" s="107">
        <v>0.36399999999999999</v>
      </c>
      <c r="K16" s="107">
        <v>570.65599999999995</v>
      </c>
      <c r="L16" s="107">
        <v>-2.5019999999999998</v>
      </c>
      <c r="M16" s="107">
        <v>568.154</v>
      </c>
      <c r="N16" s="107">
        <v>167.102</v>
      </c>
      <c r="O16" s="107">
        <v>737.22799999999995</v>
      </c>
      <c r="P16" s="107">
        <v>170.87100000000001</v>
      </c>
      <c r="Q16" s="107">
        <v>0</v>
      </c>
      <c r="R16" s="107">
        <v>565.94500000000005</v>
      </c>
      <c r="S16" s="108">
        <v>498.90600000000001</v>
      </c>
      <c r="U16" s="110"/>
      <c r="V16" s="110"/>
    </row>
    <row r="17" spans="1:22" ht="18.75" customHeight="1">
      <c r="A17" s="95"/>
      <c r="B17" s="106" t="s">
        <v>532</v>
      </c>
      <c r="C17" s="107">
        <v>355.24099999999999</v>
      </c>
      <c r="D17" s="107">
        <v>119.224</v>
      </c>
      <c r="E17" s="107">
        <v>89.358000000000004</v>
      </c>
      <c r="F17" s="107">
        <v>47.06</v>
      </c>
      <c r="G17" s="107">
        <v>20.977</v>
      </c>
      <c r="H17" s="107">
        <v>18.451000000000001</v>
      </c>
      <c r="I17" s="107">
        <v>3.161</v>
      </c>
      <c r="J17" s="107">
        <v>-2.778</v>
      </c>
      <c r="K17" s="107">
        <v>561.04499999999996</v>
      </c>
      <c r="L17" s="107">
        <v>-6.7000000000000004E-2</v>
      </c>
      <c r="M17" s="107">
        <v>560.97799999999995</v>
      </c>
      <c r="N17" s="107">
        <v>175.38800000000001</v>
      </c>
      <c r="O17" s="107">
        <v>734.62400000000002</v>
      </c>
      <c r="P17" s="107">
        <v>167.39500000000001</v>
      </c>
      <c r="Q17" s="107">
        <v>0</v>
      </c>
      <c r="R17" s="107">
        <v>566.87300000000005</v>
      </c>
      <c r="S17" s="108">
        <v>500.07799999999997</v>
      </c>
      <c r="U17" s="110"/>
      <c r="V17" s="110"/>
    </row>
    <row r="18" spans="1:22" ht="15.75">
      <c r="A18" s="95"/>
      <c r="B18" s="106" t="s">
        <v>533</v>
      </c>
      <c r="C18" s="107">
        <v>353.87200000000001</v>
      </c>
      <c r="D18" s="107">
        <v>117.52200000000001</v>
      </c>
      <c r="E18" s="107">
        <v>88.766999999999996</v>
      </c>
      <c r="F18" s="107">
        <v>49.334000000000003</v>
      </c>
      <c r="G18" s="107">
        <v>20.431999999999999</v>
      </c>
      <c r="H18" s="107">
        <v>15.951000000000001</v>
      </c>
      <c r="I18" s="107">
        <v>3.173</v>
      </c>
      <c r="J18" s="107">
        <v>0.45300000000000001</v>
      </c>
      <c r="K18" s="107">
        <v>560.61400000000003</v>
      </c>
      <c r="L18" s="107">
        <v>5.0049999999999999</v>
      </c>
      <c r="M18" s="107">
        <v>565.61900000000003</v>
      </c>
      <c r="N18" s="107">
        <v>171.89099999999999</v>
      </c>
      <c r="O18" s="107">
        <v>738.77200000000005</v>
      </c>
      <c r="P18" s="107">
        <v>171.70500000000001</v>
      </c>
      <c r="Q18" s="107">
        <v>0</v>
      </c>
      <c r="R18" s="107">
        <v>566.601</v>
      </c>
      <c r="S18" s="108">
        <v>500.834</v>
      </c>
      <c r="U18" s="110"/>
      <c r="V18" s="110"/>
    </row>
    <row r="19" spans="1:22" ht="15.75">
      <c r="A19" s="95"/>
      <c r="B19" s="106" t="s">
        <v>534</v>
      </c>
      <c r="C19" s="107">
        <v>354.428</v>
      </c>
      <c r="D19" s="107">
        <v>117.292</v>
      </c>
      <c r="E19" s="107">
        <v>90.686999999999998</v>
      </c>
      <c r="F19" s="107">
        <v>50.838999999999999</v>
      </c>
      <c r="G19" s="107">
        <v>20.677</v>
      </c>
      <c r="H19" s="107">
        <v>16.181999999999999</v>
      </c>
      <c r="I19" s="107">
        <v>3.016</v>
      </c>
      <c r="J19" s="107">
        <v>1.5469999999999999</v>
      </c>
      <c r="K19" s="107">
        <v>563.95399999999995</v>
      </c>
      <c r="L19" s="107">
        <v>0.67200000000000004</v>
      </c>
      <c r="M19" s="107">
        <v>564.62599999999998</v>
      </c>
      <c r="N19" s="107">
        <v>173.28299999999999</v>
      </c>
      <c r="O19" s="107">
        <v>738.61300000000006</v>
      </c>
      <c r="P19" s="107">
        <v>170.584</v>
      </c>
      <c r="Q19" s="107">
        <v>0</v>
      </c>
      <c r="R19" s="107">
        <v>567.58600000000001</v>
      </c>
      <c r="S19" s="108">
        <v>502.815</v>
      </c>
      <c r="U19" s="110"/>
      <c r="V19" s="110"/>
    </row>
    <row r="20" spans="1:22" ht="15.75">
      <c r="A20" s="95"/>
      <c r="B20" s="106" t="s">
        <v>535</v>
      </c>
      <c r="C20" s="107">
        <v>354.64600000000002</v>
      </c>
      <c r="D20" s="107">
        <v>118.072</v>
      </c>
      <c r="E20" s="107">
        <v>91.790999999999997</v>
      </c>
      <c r="F20" s="107">
        <v>52.186</v>
      </c>
      <c r="G20" s="107">
        <v>20.643999999999998</v>
      </c>
      <c r="H20" s="107">
        <v>15.922000000000001</v>
      </c>
      <c r="I20" s="107">
        <v>2.9510000000000001</v>
      </c>
      <c r="J20" s="107">
        <v>3.0000000000000001E-3</v>
      </c>
      <c r="K20" s="107">
        <v>564.51199999999994</v>
      </c>
      <c r="L20" s="107">
        <v>-5.18</v>
      </c>
      <c r="M20" s="107">
        <v>559.33199999999999</v>
      </c>
      <c r="N20" s="107">
        <v>175.42699999999999</v>
      </c>
      <c r="O20" s="107">
        <v>740.1</v>
      </c>
      <c r="P20" s="107">
        <v>171.578</v>
      </c>
      <c r="Q20" s="107">
        <v>0</v>
      </c>
      <c r="R20" s="107">
        <v>568.05600000000004</v>
      </c>
      <c r="S20" s="108">
        <v>503.93900000000002</v>
      </c>
      <c r="U20" s="110"/>
      <c r="V20" s="110"/>
    </row>
    <row r="21" spans="1:22" ht="18.75" customHeight="1">
      <c r="A21" s="95"/>
      <c r="B21" s="106" t="s">
        <v>536</v>
      </c>
      <c r="C21" s="107">
        <v>354.91800000000001</v>
      </c>
      <c r="D21" s="107">
        <v>121.47199999999999</v>
      </c>
      <c r="E21" s="107">
        <v>93.206999999999994</v>
      </c>
      <c r="F21" s="107">
        <v>53.781999999999996</v>
      </c>
      <c r="G21" s="107">
        <v>19.823</v>
      </c>
      <c r="H21" s="107">
        <v>16.542000000000002</v>
      </c>
      <c r="I21" s="107">
        <v>2.8370000000000002</v>
      </c>
      <c r="J21" s="107">
        <v>-2.133</v>
      </c>
      <c r="K21" s="107">
        <v>567.46400000000006</v>
      </c>
      <c r="L21" s="107">
        <v>-5.5350000000000001</v>
      </c>
      <c r="M21" s="107">
        <v>561.92899999999997</v>
      </c>
      <c r="N21" s="107">
        <v>181.04900000000001</v>
      </c>
      <c r="O21" s="107">
        <v>747.40899999999999</v>
      </c>
      <c r="P21" s="107">
        <v>173.5</v>
      </c>
      <c r="Q21" s="107">
        <v>0</v>
      </c>
      <c r="R21" s="107">
        <v>573.41600000000005</v>
      </c>
      <c r="S21" s="108">
        <v>509.20600000000002</v>
      </c>
      <c r="U21" s="110"/>
      <c r="V21" s="110"/>
    </row>
    <row r="22" spans="1:22" ht="15.75">
      <c r="A22" s="95"/>
      <c r="B22" s="106" t="s">
        <v>537</v>
      </c>
      <c r="C22" s="107">
        <v>358.709</v>
      </c>
      <c r="D22" s="107">
        <v>118.038</v>
      </c>
      <c r="E22" s="107">
        <v>90.462000000000003</v>
      </c>
      <c r="F22" s="107">
        <v>51.078000000000003</v>
      </c>
      <c r="G22" s="107">
        <v>20.273</v>
      </c>
      <c r="H22" s="107">
        <v>16.224</v>
      </c>
      <c r="I22" s="107">
        <v>2.8679999999999999</v>
      </c>
      <c r="J22" s="107">
        <v>0.67200000000000004</v>
      </c>
      <c r="K22" s="107">
        <v>567.88099999999997</v>
      </c>
      <c r="L22" s="107">
        <v>8.0760000000000005</v>
      </c>
      <c r="M22" s="107">
        <v>575.95699999999999</v>
      </c>
      <c r="N22" s="107">
        <v>171.42500000000001</v>
      </c>
      <c r="O22" s="107">
        <v>750.10599999999999</v>
      </c>
      <c r="P22" s="107">
        <v>176.34200000000001</v>
      </c>
      <c r="Q22" s="107">
        <v>0</v>
      </c>
      <c r="R22" s="107">
        <v>573.11199999999997</v>
      </c>
      <c r="S22" s="108">
        <v>509.37799999999999</v>
      </c>
      <c r="U22" s="110"/>
      <c r="V22" s="110"/>
    </row>
    <row r="23" spans="1:22" ht="15.75">
      <c r="A23" s="95"/>
      <c r="B23" s="106" t="s">
        <v>538</v>
      </c>
      <c r="C23" s="107">
        <v>363.76600000000002</v>
      </c>
      <c r="D23" s="107">
        <v>119.084</v>
      </c>
      <c r="E23" s="107">
        <v>89.953999999999994</v>
      </c>
      <c r="F23" s="107">
        <v>51.746000000000002</v>
      </c>
      <c r="G23" s="107">
        <v>20.917000000000002</v>
      </c>
      <c r="H23" s="107">
        <v>14.404999999999999</v>
      </c>
      <c r="I23" s="107">
        <v>2.8089999999999997</v>
      </c>
      <c r="J23" s="107">
        <v>6.6000000000000003E-2</v>
      </c>
      <c r="K23" s="107">
        <v>572.87</v>
      </c>
      <c r="L23" s="107">
        <v>8.1579999999999995</v>
      </c>
      <c r="M23" s="107">
        <v>581.02800000000002</v>
      </c>
      <c r="N23" s="107">
        <v>176.16</v>
      </c>
      <c r="O23" s="107">
        <v>754.67100000000005</v>
      </c>
      <c r="P23" s="107">
        <v>175.108</v>
      </c>
      <c r="Q23" s="107">
        <v>0</v>
      </c>
      <c r="R23" s="107">
        <v>579.05100000000004</v>
      </c>
      <c r="S23" s="108">
        <v>515.08399999999995</v>
      </c>
      <c r="U23" s="110"/>
      <c r="V23" s="110"/>
    </row>
    <row r="24" spans="1:22" ht="15.75">
      <c r="A24" s="95"/>
      <c r="B24" s="106" t="s">
        <v>539</v>
      </c>
      <c r="C24" s="107">
        <v>368.77499999999998</v>
      </c>
      <c r="D24" s="107">
        <v>120.42700000000001</v>
      </c>
      <c r="E24" s="107">
        <v>94.36</v>
      </c>
      <c r="F24" s="107">
        <v>55.124000000000002</v>
      </c>
      <c r="G24" s="107">
        <v>21.463999999999999</v>
      </c>
      <c r="H24" s="107">
        <v>14.757999999999999</v>
      </c>
      <c r="I24" s="107">
        <v>2.782</v>
      </c>
      <c r="J24" s="107">
        <v>-0.214</v>
      </c>
      <c r="K24" s="107">
        <v>583.34799999999996</v>
      </c>
      <c r="L24" s="107">
        <v>-6.1539999999999999</v>
      </c>
      <c r="M24" s="107">
        <v>577.19399999999996</v>
      </c>
      <c r="N24" s="107">
        <v>171.077</v>
      </c>
      <c r="O24" s="107">
        <v>750.27300000000002</v>
      </c>
      <c r="P24" s="107">
        <v>171.69900000000001</v>
      </c>
      <c r="Q24" s="107">
        <v>0</v>
      </c>
      <c r="R24" s="107">
        <v>578.21500000000003</v>
      </c>
      <c r="S24" s="108">
        <v>515.40599999999995</v>
      </c>
      <c r="U24" s="110"/>
      <c r="V24" s="110"/>
    </row>
    <row r="25" spans="1:22" ht="18.75" customHeight="1">
      <c r="A25" s="95"/>
      <c r="B25" s="106" t="s">
        <v>540</v>
      </c>
      <c r="C25" s="107">
        <v>365.63</v>
      </c>
      <c r="D25" s="107">
        <v>118.91500000000001</v>
      </c>
      <c r="E25" s="107">
        <v>92.805999999999997</v>
      </c>
      <c r="F25" s="107">
        <v>53.731999999999999</v>
      </c>
      <c r="G25" s="107">
        <v>21.513000000000002</v>
      </c>
      <c r="H25" s="107">
        <v>14.61</v>
      </c>
      <c r="I25" s="107">
        <v>2.7889999999999997</v>
      </c>
      <c r="J25" s="107">
        <v>0.754</v>
      </c>
      <c r="K25" s="107">
        <v>578.10500000000002</v>
      </c>
      <c r="L25" s="107">
        <v>-0.73599999999999999</v>
      </c>
      <c r="M25" s="107">
        <v>577.36900000000003</v>
      </c>
      <c r="N25" s="107">
        <v>175.68</v>
      </c>
      <c r="O25" s="107">
        <v>753.62400000000002</v>
      </c>
      <c r="P25" s="107">
        <v>173.45</v>
      </c>
      <c r="Q25" s="107">
        <v>0</v>
      </c>
      <c r="R25" s="107">
        <v>579.74900000000002</v>
      </c>
      <c r="S25" s="108">
        <v>516.59400000000005</v>
      </c>
      <c r="U25" s="110"/>
      <c r="V25" s="110"/>
    </row>
    <row r="26" spans="1:22" ht="15.75">
      <c r="A26" s="95"/>
      <c r="B26" s="106" t="s">
        <v>541</v>
      </c>
      <c r="C26" s="107">
        <v>368.09699999999998</v>
      </c>
      <c r="D26" s="107">
        <v>119.339</v>
      </c>
      <c r="E26" s="107">
        <v>95.37</v>
      </c>
      <c r="F26" s="107">
        <v>54.767000000000003</v>
      </c>
      <c r="G26" s="107">
        <v>23.611000000000001</v>
      </c>
      <c r="H26" s="107">
        <v>14.163</v>
      </c>
      <c r="I26" s="107">
        <v>2.6669999999999998</v>
      </c>
      <c r="J26" s="107">
        <v>3.6190000000000002</v>
      </c>
      <c r="K26" s="107">
        <v>586.42499999999995</v>
      </c>
      <c r="L26" s="107">
        <v>1.4670000000000001</v>
      </c>
      <c r="M26" s="107">
        <v>587.89200000000005</v>
      </c>
      <c r="N26" s="107">
        <v>176.643</v>
      </c>
      <c r="O26" s="107">
        <v>765.91300000000001</v>
      </c>
      <c r="P26" s="107">
        <v>181.63900000000001</v>
      </c>
      <c r="Q26" s="107">
        <v>0</v>
      </c>
      <c r="R26" s="107">
        <v>583.60500000000002</v>
      </c>
      <c r="S26" s="108">
        <v>520.29600000000005</v>
      </c>
      <c r="U26" s="110"/>
      <c r="V26" s="110"/>
    </row>
    <row r="27" spans="1:22" ht="15.75">
      <c r="A27" s="95"/>
      <c r="B27" s="106" t="s">
        <v>542</v>
      </c>
      <c r="C27" s="107">
        <v>371.89699999999999</v>
      </c>
      <c r="D27" s="107">
        <v>119.283</v>
      </c>
      <c r="E27" s="107">
        <v>97.805999999999997</v>
      </c>
      <c r="F27" s="107">
        <v>56.747</v>
      </c>
      <c r="G27" s="107">
        <v>23.763000000000002</v>
      </c>
      <c r="H27" s="107">
        <v>14.430999999999999</v>
      </c>
      <c r="I27" s="107">
        <v>2.6560000000000001</v>
      </c>
      <c r="J27" s="107">
        <v>-1.784</v>
      </c>
      <c r="K27" s="107">
        <v>587.202</v>
      </c>
      <c r="L27" s="107">
        <v>-0.83599999999999997</v>
      </c>
      <c r="M27" s="107">
        <v>586.36599999999999</v>
      </c>
      <c r="N27" s="107">
        <v>177.535</v>
      </c>
      <c r="O27" s="107">
        <v>768.87199999999996</v>
      </c>
      <c r="P27" s="107">
        <v>180.19800000000001</v>
      </c>
      <c r="Q27" s="107">
        <v>0</v>
      </c>
      <c r="R27" s="107">
        <v>588.07600000000002</v>
      </c>
      <c r="S27" s="108">
        <v>523.66499999999996</v>
      </c>
      <c r="U27" s="110"/>
      <c r="V27" s="110"/>
    </row>
    <row r="28" spans="1:22" ht="15.75">
      <c r="A28" s="95"/>
      <c r="B28" s="106" t="s">
        <v>543</v>
      </c>
      <c r="C28" s="107">
        <v>372.37</v>
      </c>
      <c r="D28" s="107">
        <v>121.652</v>
      </c>
      <c r="E28" s="107">
        <v>97.433000000000007</v>
      </c>
      <c r="F28" s="107">
        <v>56.008000000000003</v>
      </c>
      <c r="G28" s="107">
        <v>23.472000000000001</v>
      </c>
      <c r="H28" s="107">
        <v>15.090999999999999</v>
      </c>
      <c r="I28" s="107">
        <v>2.665</v>
      </c>
      <c r="J28" s="107">
        <v>3.988</v>
      </c>
      <c r="K28" s="107">
        <v>595.44299999999998</v>
      </c>
      <c r="L28" s="107">
        <v>0.753</v>
      </c>
      <c r="M28" s="107">
        <v>596.19600000000003</v>
      </c>
      <c r="N28" s="107">
        <v>172.84200000000001</v>
      </c>
      <c r="O28" s="107">
        <v>776.14400000000001</v>
      </c>
      <c r="P28" s="107">
        <v>183.50899999999999</v>
      </c>
      <c r="Q28" s="107">
        <v>0</v>
      </c>
      <c r="R28" s="107">
        <v>591.95399999999995</v>
      </c>
      <c r="S28" s="108">
        <v>527.22699999999998</v>
      </c>
      <c r="U28" s="110"/>
      <c r="V28" s="110"/>
    </row>
    <row r="29" spans="1:22" ht="18.75" customHeight="1">
      <c r="A29" s="95"/>
      <c r="B29" s="106" t="s">
        <v>544</v>
      </c>
      <c r="C29" s="107">
        <v>373.60500000000002</v>
      </c>
      <c r="D29" s="107">
        <v>122.173</v>
      </c>
      <c r="E29" s="107">
        <v>100.986</v>
      </c>
      <c r="F29" s="107">
        <v>56.780999999999999</v>
      </c>
      <c r="G29" s="107">
        <v>24.241</v>
      </c>
      <c r="H29" s="107">
        <v>17.024000000000001</v>
      </c>
      <c r="I29" s="107">
        <v>2.7989999999999999</v>
      </c>
      <c r="J29" s="107">
        <v>1.0249999999999999</v>
      </c>
      <c r="K29" s="107">
        <v>597.78899999999999</v>
      </c>
      <c r="L29" s="107">
        <v>9.2999999999999999E-2</v>
      </c>
      <c r="M29" s="107">
        <v>597.88199999999995</v>
      </c>
      <c r="N29" s="107">
        <v>175.84399999999999</v>
      </c>
      <c r="O29" s="107">
        <v>780.40300000000002</v>
      </c>
      <c r="P29" s="107">
        <v>183.053</v>
      </c>
      <c r="Q29" s="107">
        <v>0</v>
      </c>
      <c r="R29" s="107">
        <v>596.69600000000003</v>
      </c>
      <c r="S29" s="108">
        <v>531.596</v>
      </c>
      <c r="U29" s="110"/>
      <c r="V29" s="110"/>
    </row>
    <row r="30" spans="1:22" ht="15.75">
      <c r="A30" s="95"/>
      <c r="B30" s="106" t="s">
        <v>545</v>
      </c>
      <c r="C30" s="107">
        <v>376.57</v>
      </c>
      <c r="D30" s="107">
        <v>122.833</v>
      </c>
      <c r="E30" s="107">
        <v>101.232</v>
      </c>
      <c r="F30" s="107">
        <v>58.52</v>
      </c>
      <c r="G30" s="107">
        <v>23.782</v>
      </c>
      <c r="H30" s="107">
        <v>15.597</v>
      </c>
      <c r="I30" s="107">
        <v>3.1479999999999997</v>
      </c>
      <c r="J30" s="107">
        <v>-3.3839999999999999</v>
      </c>
      <c r="K30" s="107">
        <v>597.25099999999998</v>
      </c>
      <c r="L30" s="107">
        <v>6.2930000000000001</v>
      </c>
      <c r="M30" s="107">
        <v>603.54399999999998</v>
      </c>
      <c r="N30" s="107">
        <v>176.75299999999999</v>
      </c>
      <c r="O30" s="107">
        <v>786.32899999999995</v>
      </c>
      <c r="P30" s="107">
        <v>183.399</v>
      </c>
      <c r="Q30" s="107">
        <v>0</v>
      </c>
      <c r="R30" s="107">
        <v>602.30999999999995</v>
      </c>
      <c r="S30" s="108">
        <v>536.95299999999997</v>
      </c>
      <c r="U30" s="110"/>
      <c r="V30" s="110"/>
    </row>
    <row r="31" spans="1:22" ht="15.75">
      <c r="A31" s="95"/>
      <c r="B31" s="106" t="s">
        <v>546</v>
      </c>
      <c r="C31" s="107">
        <v>383.05900000000003</v>
      </c>
      <c r="D31" s="107">
        <v>122.88</v>
      </c>
      <c r="E31" s="107">
        <v>103.142</v>
      </c>
      <c r="F31" s="107">
        <v>59.207999999999998</v>
      </c>
      <c r="G31" s="107">
        <v>24.478999999999999</v>
      </c>
      <c r="H31" s="107">
        <v>15.999000000000001</v>
      </c>
      <c r="I31" s="107">
        <v>3.2890000000000001</v>
      </c>
      <c r="J31" s="107">
        <v>1.413</v>
      </c>
      <c r="K31" s="107">
        <v>610.49400000000003</v>
      </c>
      <c r="L31" s="107">
        <v>6.5640000000000001</v>
      </c>
      <c r="M31" s="107">
        <v>617.05799999999999</v>
      </c>
      <c r="N31" s="107">
        <v>178.05099999999999</v>
      </c>
      <c r="O31" s="107">
        <v>796.19200000000001</v>
      </c>
      <c r="P31" s="107">
        <v>188.31700000000001</v>
      </c>
      <c r="Q31" s="107">
        <v>0</v>
      </c>
      <c r="R31" s="107">
        <v>607.21299999999997</v>
      </c>
      <c r="S31" s="108">
        <v>542.09900000000005</v>
      </c>
      <c r="U31" s="110"/>
      <c r="V31" s="110"/>
    </row>
    <row r="32" spans="1:22" ht="15.75">
      <c r="A32" s="95"/>
      <c r="B32" s="106" t="s">
        <v>547</v>
      </c>
      <c r="C32" s="107">
        <v>385.67899999999997</v>
      </c>
      <c r="D32" s="107">
        <v>122.44799999999999</v>
      </c>
      <c r="E32" s="107">
        <v>106.14700000000001</v>
      </c>
      <c r="F32" s="107">
        <v>61.216999999999999</v>
      </c>
      <c r="G32" s="107">
        <v>24.617999999999999</v>
      </c>
      <c r="H32" s="107">
        <v>16.809999999999999</v>
      </c>
      <c r="I32" s="107">
        <v>3.3319999999999999</v>
      </c>
      <c r="J32" s="107">
        <v>5.8890000000000002</v>
      </c>
      <c r="K32" s="107">
        <v>620.16300000000001</v>
      </c>
      <c r="L32" s="107">
        <v>7.9749999999999996</v>
      </c>
      <c r="M32" s="107">
        <v>628.13800000000003</v>
      </c>
      <c r="N32" s="107">
        <v>181.536</v>
      </c>
      <c r="O32" s="107">
        <v>812.46299999999997</v>
      </c>
      <c r="P32" s="107">
        <v>200.43600000000001</v>
      </c>
      <c r="Q32" s="107">
        <v>0</v>
      </c>
      <c r="R32" s="107">
        <v>611.22</v>
      </c>
      <c r="S32" s="108">
        <v>545.18299999999999</v>
      </c>
      <c r="U32" s="110"/>
      <c r="V32" s="110"/>
    </row>
    <row r="33" spans="1:22" ht="18.75" customHeight="1">
      <c r="A33" s="95"/>
      <c r="B33" s="106" t="s">
        <v>548</v>
      </c>
      <c r="C33" s="107">
        <v>387.50900000000001</v>
      </c>
      <c r="D33" s="107">
        <v>122.358</v>
      </c>
      <c r="E33" s="107">
        <v>110.01600000000001</v>
      </c>
      <c r="F33" s="107">
        <v>64.003</v>
      </c>
      <c r="G33" s="107">
        <v>24.847000000000001</v>
      </c>
      <c r="H33" s="107">
        <v>17.617000000000001</v>
      </c>
      <c r="I33" s="107">
        <v>3.3210000000000002</v>
      </c>
      <c r="J33" s="107">
        <v>2.4670000000000001</v>
      </c>
      <c r="K33" s="107">
        <v>622.35</v>
      </c>
      <c r="L33" s="107">
        <v>5.1130000000000004</v>
      </c>
      <c r="M33" s="107">
        <v>627.46299999999997</v>
      </c>
      <c r="N33" s="107">
        <v>181.24199999999999</v>
      </c>
      <c r="O33" s="107">
        <v>812.75400000000002</v>
      </c>
      <c r="P33" s="107">
        <v>199.03200000000001</v>
      </c>
      <c r="Q33" s="107">
        <v>0</v>
      </c>
      <c r="R33" s="107">
        <v>613.07600000000002</v>
      </c>
      <c r="S33" s="108">
        <v>546.16</v>
      </c>
      <c r="U33" s="110"/>
      <c r="V33" s="110"/>
    </row>
    <row r="34" spans="1:22" ht="15.75">
      <c r="A34" s="95"/>
      <c r="B34" s="106" t="s">
        <v>549</v>
      </c>
      <c r="C34" s="107">
        <v>389.34</v>
      </c>
      <c r="D34" s="107">
        <v>123.90600000000001</v>
      </c>
      <c r="E34" s="107">
        <v>109.592</v>
      </c>
      <c r="F34" s="107">
        <v>63.366</v>
      </c>
      <c r="G34" s="107">
        <v>26.16</v>
      </c>
      <c r="H34" s="107">
        <v>17.074999999999999</v>
      </c>
      <c r="I34" s="107">
        <v>2.806</v>
      </c>
      <c r="J34" s="107">
        <v>-3.7999999999999999E-2</v>
      </c>
      <c r="K34" s="107">
        <v>622.79999999999995</v>
      </c>
      <c r="L34" s="107">
        <v>-5.258</v>
      </c>
      <c r="M34" s="107">
        <v>617.54200000000003</v>
      </c>
      <c r="N34" s="107">
        <v>186.95099999999999</v>
      </c>
      <c r="O34" s="107">
        <v>812.43700000000001</v>
      </c>
      <c r="P34" s="107">
        <v>195.93199999999999</v>
      </c>
      <c r="Q34" s="107">
        <v>0</v>
      </c>
      <c r="R34" s="107">
        <v>615.875</v>
      </c>
      <c r="S34" s="108">
        <v>547.61900000000003</v>
      </c>
      <c r="U34" s="110"/>
      <c r="V34" s="110"/>
    </row>
    <row r="35" spans="1:22" ht="15.75">
      <c r="A35" s="95"/>
      <c r="B35" s="106" t="s">
        <v>550</v>
      </c>
      <c r="C35" s="107">
        <v>394.08300000000003</v>
      </c>
      <c r="D35" s="107">
        <v>124.669</v>
      </c>
      <c r="E35" s="107">
        <v>108.107</v>
      </c>
      <c r="F35" s="107">
        <v>62.704000000000001</v>
      </c>
      <c r="G35" s="107">
        <v>26.231000000000002</v>
      </c>
      <c r="H35" s="107">
        <v>15.968999999999999</v>
      </c>
      <c r="I35" s="107">
        <v>3.0060000000000002</v>
      </c>
      <c r="J35" s="107">
        <v>9.9000000000000005E-2</v>
      </c>
      <c r="K35" s="107">
        <v>626.95799999999997</v>
      </c>
      <c r="L35" s="107">
        <v>-4.6559999999999997</v>
      </c>
      <c r="M35" s="107">
        <v>622.30200000000002</v>
      </c>
      <c r="N35" s="107">
        <v>182.489</v>
      </c>
      <c r="O35" s="107">
        <v>813.59500000000003</v>
      </c>
      <c r="P35" s="107">
        <v>194.71199999999999</v>
      </c>
      <c r="Q35" s="107">
        <v>0</v>
      </c>
      <c r="R35" s="107">
        <v>618.26300000000003</v>
      </c>
      <c r="S35" s="108">
        <v>549.27499999999998</v>
      </c>
      <c r="U35" s="110"/>
      <c r="V35" s="110"/>
    </row>
    <row r="36" spans="1:22" ht="15.75">
      <c r="A36" s="95"/>
      <c r="B36" s="106" t="s">
        <v>551</v>
      </c>
      <c r="C36" s="107">
        <v>393.00900000000001</v>
      </c>
      <c r="D36" s="107">
        <v>124.256</v>
      </c>
      <c r="E36" s="107">
        <v>111.664</v>
      </c>
      <c r="F36" s="107">
        <v>66.349999999999994</v>
      </c>
      <c r="G36" s="107">
        <v>26.27</v>
      </c>
      <c r="H36" s="107">
        <v>15.867000000000001</v>
      </c>
      <c r="I36" s="107">
        <v>2.9140000000000001</v>
      </c>
      <c r="J36" s="107">
        <v>-3.359</v>
      </c>
      <c r="K36" s="107">
        <v>625.57000000000005</v>
      </c>
      <c r="L36" s="107">
        <v>13.74</v>
      </c>
      <c r="M36" s="107">
        <v>639.30999999999995</v>
      </c>
      <c r="N36" s="107">
        <v>187.52</v>
      </c>
      <c r="O36" s="107">
        <v>825.17399999999998</v>
      </c>
      <c r="P36" s="107">
        <v>202.774</v>
      </c>
      <c r="Q36" s="107">
        <v>0</v>
      </c>
      <c r="R36" s="107">
        <v>621.96799999999996</v>
      </c>
      <c r="S36" s="108">
        <v>552.01700000000005</v>
      </c>
      <c r="U36" s="110"/>
      <c r="V36" s="110"/>
    </row>
    <row r="37" spans="1:22" ht="18.75" customHeight="1">
      <c r="A37" s="95"/>
      <c r="B37" s="106" t="s">
        <v>552</v>
      </c>
      <c r="C37" s="107">
        <v>400.67</v>
      </c>
      <c r="D37" s="107">
        <v>124.72199999999999</v>
      </c>
      <c r="E37" s="107">
        <v>113.398</v>
      </c>
      <c r="F37" s="107">
        <v>69.138999999999996</v>
      </c>
      <c r="G37" s="107">
        <v>26.756</v>
      </c>
      <c r="H37" s="107">
        <v>14.242000000000001</v>
      </c>
      <c r="I37" s="107">
        <v>2.9980000000000002</v>
      </c>
      <c r="J37" s="107">
        <v>0.42399999999999999</v>
      </c>
      <c r="K37" s="107">
        <v>639.21400000000006</v>
      </c>
      <c r="L37" s="107">
        <v>-5.6710000000000003</v>
      </c>
      <c r="M37" s="107">
        <v>633.54300000000001</v>
      </c>
      <c r="N37" s="107">
        <v>188.17099999999999</v>
      </c>
      <c r="O37" s="107">
        <v>829.29100000000005</v>
      </c>
      <c r="P37" s="107">
        <v>203.798</v>
      </c>
      <c r="Q37" s="107">
        <v>0</v>
      </c>
      <c r="R37" s="107">
        <v>625.09900000000005</v>
      </c>
      <c r="S37" s="108">
        <v>555.31899999999996</v>
      </c>
      <c r="U37" s="110"/>
      <c r="V37" s="110"/>
    </row>
    <row r="38" spans="1:22" ht="15.75">
      <c r="A38" s="95"/>
      <c r="B38" s="106" t="s">
        <v>553</v>
      </c>
      <c r="C38" s="107">
        <v>404.238</v>
      </c>
      <c r="D38" s="107">
        <v>124.943</v>
      </c>
      <c r="E38" s="107">
        <v>115.41</v>
      </c>
      <c r="F38" s="107">
        <v>68.302000000000007</v>
      </c>
      <c r="G38" s="107">
        <v>27.238</v>
      </c>
      <c r="H38" s="107">
        <v>16.494</v>
      </c>
      <c r="I38" s="107">
        <v>3.0989999999999998</v>
      </c>
      <c r="J38" s="107">
        <v>-1.2529999999999999</v>
      </c>
      <c r="K38" s="107">
        <v>643.33799999999997</v>
      </c>
      <c r="L38" s="107">
        <v>-4.3150000000000004</v>
      </c>
      <c r="M38" s="107">
        <v>639.02300000000002</v>
      </c>
      <c r="N38" s="107">
        <v>193.916</v>
      </c>
      <c r="O38" s="107">
        <v>835.46400000000006</v>
      </c>
      <c r="P38" s="107">
        <v>205.39400000000001</v>
      </c>
      <c r="Q38" s="107">
        <v>0</v>
      </c>
      <c r="R38" s="107">
        <v>629.697</v>
      </c>
      <c r="S38" s="108">
        <v>559.86900000000003</v>
      </c>
      <c r="U38" s="110"/>
      <c r="V38" s="110"/>
    </row>
    <row r="39" spans="1:22" ht="15.75">
      <c r="A39" s="95"/>
      <c r="B39" s="106" t="s">
        <v>554</v>
      </c>
      <c r="C39" s="107">
        <v>407.166</v>
      </c>
      <c r="D39" s="107">
        <v>125.086</v>
      </c>
      <c r="E39" s="107">
        <v>119.949</v>
      </c>
      <c r="F39" s="107">
        <v>70.981999999999999</v>
      </c>
      <c r="G39" s="107">
        <v>28.231999999999999</v>
      </c>
      <c r="H39" s="107">
        <v>17.408000000000001</v>
      </c>
      <c r="I39" s="107">
        <v>3.0369999999999999</v>
      </c>
      <c r="J39" s="107">
        <v>2.9609999999999999</v>
      </c>
      <c r="K39" s="107">
        <v>655.16200000000003</v>
      </c>
      <c r="L39" s="107">
        <v>-2.044</v>
      </c>
      <c r="M39" s="107">
        <v>653.11800000000005</v>
      </c>
      <c r="N39" s="107">
        <v>188.489</v>
      </c>
      <c r="O39" s="107">
        <v>844.80799999999999</v>
      </c>
      <c r="P39" s="107">
        <v>212.37899999999999</v>
      </c>
      <c r="Q39" s="107">
        <v>0</v>
      </c>
      <c r="R39" s="107">
        <v>632.47699999999998</v>
      </c>
      <c r="S39" s="108">
        <v>562.49400000000003</v>
      </c>
      <c r="U39" s="110"/>
      <c r="V39" s="110"/>
    </row>
    <row r="40" spans="1:22" ht="15.75">
      <c r="A40" s="95"/>
      <c r="B40" s="106" t="s">
        <v>555</v>
      </c>
      <c r="C40" s="107">
        <v>407.69299999999998</v>
      </c>
      <c r="D40" s="107">
        <v>124.773</v>
      </c>
      <c r="E40" s="107">
        <v>117.58799999999999</v>
      </c>
      <c r="F40" s="107">
        <v>67.816000000000003</v>
      </c>
      <c r="G40" s="107">
        <v>29.606000000000002</v>
      </c>
      <c r="H40" s="107">
        <v>16.867999999999999</v>
      </c>
      <c r="I40" s="107">
        <v>3.0840000000000001</v>
      </c>
      <c r="J40" s="107">
        <v>-2.544</v>
      </c>
      <c r="K40" s="107">
        <v>647.51</v>
      </c>
      <c r="L40" s="107">
        <v>-3.7770000000000001</v>
      </c>
      <c r="M40" s="107">
        <v>643.73299999999995</v>
      </c>
      <c r="N40" s="107">
        <v>195.304</v>
      </c>
      <c r="O40" s="107">
        <v>843.21299999999997</v>
      </c>
      <c r="P40" s="107">
        <v>206.386</v>
      </c>
      <c r="Q40" s="107">
        <v>0</v>
      </c>
      <c r="R40" s="107">
        <v>636.39200000000005</v>
      </c>
      <c r="S40" s="108">
        <v>566.63300000000004</v>
      </c>
      <c r="U40" s="110"/>
      <c r="V40" s="110"/>
    </row>
    <row r="41" spans="1:22" ht="18.75" customHeight="1">
      <c r="A41" s="95"/>
      <c r="B41" s="106" t="s">
        <v>556</v>
      </c>
      <c r="C41" s="107">
        <v>411.10199999999998</v>
      </c>
      <c r="D41" s="107">
        <v>125.247</v>
      </c>
      <c r="E41" s="107">
        <v>118.379</v>
      </c>
      <c r="F41" s="107">
        <v>69.403999999999996</v>
      </c>
      <c r="G41" s="107">
        <v>29.876999999999999</v>
      </c>
      <c r="H41" s="107">
        <v>15.811999999999999</v>
      </c>
      <c r="I41" s="107">
        <v>3.0949999999999998</v>
      </c>
      <c r="J41" s="107">
        <v>-0.96099999999999997</v>
      </c>
      <c r="K41" s="107">
        <v>653.76700000000005</v>
      </c>
      <c r="L41" s="107">
        <v>-2.2200000000000002</v>
      </c>
      <c r="M41" s="107">
        <v>651.54700000000003</v>
      </c>
      <c r="N41" s="107">
        <v>198.858</v>
      </c>
      <c r="O41" s="107">
        <v>851.63499999999999</v>
      </c>
      <c r="P41" s="107">
        <v>208.767</v>
      </c>
      <c r="Q41" s="107">
        <v>0</v>
      </c>
      <c r="R41" s="107">
        <v>642.46299999999997</v>
      </c>
      <c r="S41" s="108">
        <v>572.29</v>
      </c>
      <c r="U41" s="110"/>
      <c r="V41" s="110"/>
    </row>
    <row r="42" spans="1:22" ht="15.75">
      <c r="A42" s="95"/>
      <c r="B42" s="106" t="s">
        <v>557</v>
      </c>
      <c r="C42" s="107">
        <v>411.39499999999998</v>
      </c>
      <c r="D42" s="107">
        <v>126.105</v>
      </c>
      <c r="E42" s="107">
        <v>120.66500000000001</v>
      </c>
      <c r="F42" s="107">
        <v>68.843000000000004</v>
      </c>
      <c r="G42" s="107">
        <v>29.565999999999999</v>
      </c>
      <c r="H42" s="107">
        <v>18.884</v>
      </c>
      <c r="I42" s="107">
        <v>3.2670000000000003</v>
      </c>
      <c r="J42" s="107">
        <v>-0.20699999999999999</v>
      </c>
      <c r="K42" s="107">
        <v>657.95799999999997</v>
      </c>
      <c r="L42" s="107">
        <v>2.641</v>
      </c>
      <c r="M42" s="107">
        <v>660.59900000000005</v>
      </c>
      <c r="N42" s="107">
        <v>203.03899999999999</v>
      </c>
      <c r="O42" s="107">
        <v>863.40899999999999</v>
      </c>
      <c r="P42" s="107">
        <v>215.28399999999999</v>
      </c>
      <c r="Q42" s="107">
        <v>0</v>
      </c>
      <c r="R42" s="107">
        <v>647.94399999999996</v>
      </c>
      <c r="S42" s="108">
        <v>577.30999999999995</v>
      </c>
      <c r="U42" s="110"/>
      <c r="V42" s="110"/>
    </row>
    <row r="43" spans="1:22" ht="15.75">
      <c r="A43" s="95"/>
      <c r="B43" s="106" t="s">
        <v>558</v>
      </c>
      <c r="C43" s="107">
        <v>414.17099999999999</v>
      </c>
      <c r="D43" s="107">
        <v>126.51</v>
      </c>
      <c r="E43" s="107">
        <v>121.482</v>
      </c>
      <c r="F43" s="107">
        <v>69.659000000000006</v>
      </c>
      <c r="G43" s="107">
        <v>30.405999999999999</v>
      </c>
      <c r="H43" s="107">
        <v>18.067</v>
      </c>
      <c r="I43" s="107">
        <v>3.2290000000000001</v>
      </c>
      <c r="J43" s="107">
        <v>-0.19500000000000001</v>
      </c>
      <c r="K43" s="107">
        <v>661.96799999999996</v>
      </c>
      <c r="L43" s="107">
        <v>-0.88800000000000001</v>
      </c>
      <c r="M43" s="107">
        <v>661.08</v>
      </c>
      <c r="N43" s="107">
        <v>208.846</v>
      </c>
      <c r="O43" s="107">
        <v>869.03700000000003</v>
      </c>
      <c r="P43" s="107">
        <v>216.52699999999999</v>
      </c>
      <c r="Q43" s="107">
        <v>0</v>
      </c>
      <c r="R43" s="107">
        <v>652.32899999999995</v>
      </c>
      <c r="S43" s="108">
        <v>581.00199999999995</v>
      </c>
      <c r="U43" s="110"/>
      <c r="V43" s="110"/>
    </row>
    <row r="44" spans="1:22" ht="15.75">
      <c r="A44" s="95"/>
      <c r="B44" s="106" t="s">
        <v>559</v>
      </c>
      <c r="C44" s="107">
        <v>416.60199999999998</v>
      </c>
      <c r="D44" s="107">
        <v>126.73399999999999</v>
      </c>
      <c r="E44" s="107">
        <v>123.83499999999999</v>
      </c>
      <c r="F44" s="107">
        <v>70.956000000000003</v>
      </c>
      <c r="G44" s="107">
        <v>31.971</v>
      </c>
      <c r="H44" s="107">
        <v>18.312000000000001</v>
      </c>
      <c r="I44" s="107">
        <v>2.4969999999999999</v>
      </c>
      <c r="J44" s="107">
        <v>0.59699999999999998</v>
      </c>
      <c r="K44" s="107">
        <v>667.76800000000003</v>
      </c>
      <c r="L44" s="107">
        <v>-5.7619999999999996</v>
      </c>
      <c r="M44" s="107">
        <v>662.00599999999997</v>
      </c>
      <c r="N44" s="107">
        <v>204.429</v>
      </c>
      <c r="O44" s="107">
        <v>870.35900000000004</v>
      </c>
      <c r="P44" s="107">
        <v>212.727</v>
      </c>
      <c r="Q44" s="107">
        <v>0</v>
      </c>
      <c r="R44" s="107">
        <v>657.22500000000002</v>
      </c>
      <c r="S44" s="108">
        <v>584.99400000000003</v>
      </c>
      <c r="U44" s="110"/>
      <c r="V44" s="110"/>
    </row>
    <row r="45" spans="1:22" ht="18.75" customHeight="1">
      <c r="A45" s="95"/>
      <c r="B45" s="106" t="s">
        <v>560</v>
      </c>
      <c r="C45" s="107">
        <v>419.30500000000001</v>
      </c>
      <c r="D45" s="107">
        <v>126.485</v>
      </c>
      <c r="E45" s="107">
        <v>122.84099999999999</v>
      </c>
      <c r="F45" s="107">
        <v>71.087999999999994</v>
      </c>
      <c r="G45" s="107">
        <v>31.911000000000001</v>
      </c>
      <c r="H45" s="107">
        <v>18.074000000000002</v>
      </c>
      <c r="I45" s="107">
        <v>1.6740000000000002</v>
      </c>
      <c r="J45" s="107">
        <v>6.7000000000000004E-2</v>
      </c>
      <c r="K45" s="107">
        <v>668.69799999999998</v>
      </c>
      <c r="L45" s="107">
        <v>-2.734</v>
      </c>
      <c r="M45" s="107">
        <v>665.96400000000006</v>
      </c>
      <c r="N45" s="107">
        <v>209.35400000000001</v>
      </c>
      <c r="O45" s="107">
        <v>873.72500000000002</v>
      </c>
      <c r="P45" s="107">
        <v>215.666</v>
      </c>
      <c r="Q45" s="107">
        <v>0</v>
      </c>
      <c r="R45" s="107">
        <v>657.74099999999999</v>
      </c>
      <c r="S45" s="108">
        <v>585.05100000000004</v>
      </c>
      <c r="U45" s="110"/>
      <c r="V45" s="110"/>
    </row>
    <row r="46" spans="1:22" ht="15.75">
      <c r="A46" s="95"/>
      <c r="B46" s="106" t="s">
        <v>561</v>
      </c>
      <c r="C46" s="107">
        <v>418.37400000000002</v>
      </c>
      <c r="D46" s="107">
        <v>126.524</v>
      </c>
      <c r="E46" s="107">
        <v>120.52</v>
      </c>
      <c r="F46" s="107">
        <v>69.103999999999999</v>
      </c>
      <c r="G46" s="107">
        <v>32.933</v>
      </c>
      <c r="H46" s="107">
        <v>16.800999999999998</v>
      </c>
      <c r="I46" s="107">
        <v>1.603</v>
      </c>
      <c r="J46" s="107">
        <v>0.8</v>
      </c>
      <c r="K46" s="107">
        <v>666.21799999999996</v>
      </c>
      <c r="L46" s="107">
        <v>2.21</v>
      </c>
      <c r="M46" s="107">
        <v>668.428</v>
      </c>
      <c r="N46" s="107">
        <v>212.80099999999999</v>
      </c>
      <c r="O46" s="107">
        <v>878.92899999999997</v>
      </c>
      <c r="P46" s="107">
        <v>219.506</v>
      </c>
      <c r="Q46" s="107">
        <v>0</v>
      </c>
      <c r="R46" s="107">
        <v>659.17200000000003</v>
      </c>
      <c r="S46" s="108">
        <v>586.26</v>
      </c>
      <c r="U46" s="110"/>
      <c r="V46" s="110"/>
    </row>
    <row r="47" spans="1:22" ht="15.75">
      <c r="A47" s="95"/>
      <c r="B47" s="106" t="s">
        <v>562</v>
      </c>
      <c r="C47" s="107">
        <v>422.34300000000002</v>
      </c>
      <c r="D47" s="107">
        <v>126.66800000000001</v>
      </c>
      <c r="E47" s="107">
        <v>119.714</v>
      </c>
      <c r="F47" s="107">
        <v>67.423000000000002</v>
      </c>
      <c r="G47" s="107">
        <v>32.661000000000001</v>
      </c>
      <c r="H47" s="107">
        <v>17.992999999999999</v>
      </c>
      <c r="I47" s="107">
        <v>1.5840000000000001</v>
      </c>
      <c r="J47" s="107">
        <v>0.96699999999999997</v>
      </c>
      <c r="K47" s="107">
        <v>669.69200000000001</v>
      </c>
      <c r="L47" s="107">
        <v>-3.3159999999999998</v>
      </c>
      <c r="M47" s="107">
        <v>666.37599999999998</v>
      </c>
      <c r="N47" s="107">
        <v>213.49199999999999</v>
      </c>
      <c r="O47" s="107">
        <v>881.21299999999997</v>
      </c>
      <c r="P47" s="107">
        <v>219.69900000000001</v>
      </c>
      <c r="Q47" s="107">
        <v>0</v>
      </c>
      <c r="R47" s="107">
        <v>661.26199999999994</v>
      </c>
      <c r="S47" s="108">
        <v>588.32399999999996</v>
      </c>
      <c r="U47" s="110"/>
      <c r="V47" s="110"/>
    </row>
    <row r="48" spans="1:22" ht="15.75">
      <c r="A48" s="95"/>
      <c r="B48" s="106" t="s">
        <v>563</v>
      </c>
      <c r="C48" s="107">
        <v>427.392</v>
      </c>
      <c r="D48" s="107">
        <v>128.16399999999999</v>
      </c>
      <c r="E48" s="107">
        <v>120.288</v>
      </c>
      <c r="F48" s="107">
        <v>68.572999999999993</v>
      </c>
      <c r="G48" s="107">
        <v>32.530999999999999</v>
      </c>
      <c r="H48" s="107">
        <v>17.673999999999999</v>
      </c>
      <c r="I48" s="107">
        <v>1.4730000000000001</v>
      </c>
      <c r="J48" s="107">
        <v>-0.13500000000000001</v>
      </c>
      <c r="K48" s="107">
        <v>675.70899999999995</v>
      </c>
      <c r="L48" s="107">
        <v>2.34</v>
      </c>
      <c r="M48" s="107">
        <v>678.04899999999998</v>
      </c>
      <c r="N48" s="107">
        <v>210.76300000000001</v>
      </c>
      <c r="O48" s="107">
        <v>889.82799999999997</v>
      </c>
      <c r="P48" s="107">
        <v>227.553</v>
      </c>
      <c r="Q48" s="107">
        <v>0</v>
      </c>
      <c r="R48" s="107">
        <v>662.12</v>
      </c>
      <c r="S48" s="108">
        <v>589.04999999999995</v>
      </c>
      <c r="U48" s="110"/>
      <c r="V48" s="110"/>
    </row>
    <row r="49" spans="1:22" ht="18.75" customHeight="1">
      <c r="A49" s="95"/>
      <c r="B49" s="106" t="s">
        <v>564</v>
      </c>
      <c r="C49" s="107">
        <v>426.72300000000001</v>
      </c>
      <c r="D49" s="107">
        <v>128.83799999999999</v>
      </c>
      <c r="E49" s="107">
        <v>124.425</v>
      </c>
      <c r="F49" s="107">
        <v>69.828999999999994</v>
      </c>
      <c r="G49" s="107">
        <v>33.948</v>
      </c>
      <c r="H49" s="107">
        <v>19.067</v>
      </c>
      <c r="I49" s="107">
        <v>1.5091512</v>
      </c>
      <c r="J49" s="107">
        <v>12.236000000000001</v>
      </c>
      <c r="K49" s="107">
        <v>692.22199999999998</v>
      </c>
      <c r="L49" s="107">
        <v>8.7710000000000008</v>
      </c>
      <c r="M49" s="107">
        <v>700.99300000000005</v>
      </c>
      <c r="N49" s="107">
        <v>210.90199999999999</v>
      </c>
      <c r="O49" s="107">
        <v>911.44299999999998</v>
      </c>
      <c r="P49" s="107">
        <v>245.96</v>
      </c>
      <c r="Q49" s="107">
        <v>0</v>
      </c>
      <c r="R49" s="107">
        <v>665.45600000000002</v>
      </c>
      <c r="S49" s="108">
        <v>592.20500000000004</v>
      </c>
      <c r="U49" s="110"/>
      <c r="V49" s="110"/>
    </row>
    <row r="50" spans="1:22" ht="15.75" customHeight="1">
      <c r="A50" s="348"/>
      <c r="B50" s="106" t="s">
        <v>565</v>
      </c>
      <c r="C50" s="107">
        <v>427.27800000000002</v>
      </c>
      <c r="D50" s="107">
        <v>131.38900000000001</v>
      </c>
      <c r="E50" s="107">
        <v>123.35299999999999</v>
      </c>
      <c r="F50" s="107">
        <v>70.786000000000001</v>
      </c>
      <c r="G50" s="107">
        <v>33.185000000000002</v>
      </c>
      <c r="H50" s="107">
        <v>17.837</v>
      </c>
      <c r="I50" s="107">
        <v>1.5087819199999999</v>
      </c>
      <c r="J50" s="107">
        <v>1.94</v>
      </c>
      <c r="K50" s="107">
        <v>683.96</v>
      </c>
      <c r="L50" s="107">
        <v>-3.9460000000000002</v>
      </c>
      <c r="M50" s="107">
        <v>680.01400000000001</v>
      </c>
      <c r="N50" s="107">
        <v>206.05799999999999</v>
      </c>
      <c r="O50" s="107">
        <v>888.58600000000001</v>
      </c>
      <c r="P50" s="107">
        <v>221.48400000000001</v>
      </c>
      <c r="Q50" s="107">
        <v>0</v>
      </c>
      <c r="R50" s="107">
        <v>666.875</v>
      </c>
      <c r="S50" s="108">
        <v>593.67600000000004</v>
      </c>
      <c r="U50" s="110"/>
      <c r="V50" s="110"/>
    </row>
    <row r="51" spans="1:22">
      <c r="A51" s="348"/>
      <c r="B51" s="106" t="s">
        <v>566</v>
      </c>
      <c r="C51" s="107">
        <v>426.82400000000001</v>
      </c>
      <c r="D51" s="107">
        <v>130.54300000000001</v>
      </c>
      <c r="E51" s="107">
        <v>123.425</v>
      </c>
      <c r="F51" s="107">
        <v>70.141000000000005</v>
      </c>
      <c r="G51" s="107">
        <v>33.618000000000002</v>
      </c>
      <c r="H51" s="107">
        <v>18.073</v>
      </c>
      <c r="I51" s="107">
        <v>1.5299890600000001</v>
      </c>
      <c r="J51" s="107">
        <v>1.3069999999999999</v>
      </c>
      <c r="K51" s="107">
        <v>682.09900000000005</v>
      </c>
      <c r="L51" s="107">
        <v>-2.827</v>
      </c>
      <c r="M51" s="107">
        <v>679.27200000000005</v>
      </c>
      <c r="N51" s="107">
        <v>217.624</v>
      </c>
      <c r="O51" s="107">
        <v>895.30100000000004</v>
      </c>
      <c r="P51" s="107">
        <v>224.511</v>
      </c>
      <c r="Q51" s="107">
        <v>0</v>
      </c>
      <c r="R51" s="107">
        <v>670.54700000000003</v>
      </c>
      <c r="S51" s="108">
        <v>597.67899999999997</v>
      </c>
      <c r="U51" s="110"/>
      <c r="V51" s="110"/>
    </row>
    <row r="52" spans="1:22">
      <c r="A52" s="348"/>
      <c r="B52" s="106" t="s">
        <v>567</v>
      </c>
      <c r="C52" s="107">
        <v>425.67099999999999</v>
      </c>
      <c r="D52" s="107">
        <v>132.024</v>
      </c>
      <c r="E52" s="107">
        <v>121.024</v>
      </c>
      <c r="F52" s="107">
        <v>69.468000000000004</v>
      </c>
      <c r="G52" s="107">
        <v>31.945</v>
      </c>
      <c r="H52" s="107">
        <v>17.913</v>
      </c>
      <c r="I52" s="107">
        <v>1.5333086</v>
      </c>
      <c r="J52" s="107">
        <v>-14.047000000000001</v>
      </c>
      <c r="K52" s="107">
        <v>664.67200000000003</v>
      </c>
      <c r="L52" s="107">
        <v>-3.0179999999999998</v>
      </c>
      <c r="M52" s="107">
        <v>661.654</v>
      </c>
      <c r="N52" s="107">
        <v>227.93700000000001</v>
      </c>
      <c r="O52" s="107">
        <v>888.62</v>
      </c>
      <c r="P52" s="107">
        <v>217.67</v>
      </c>
      <c r="Q52" s="107">
        <v>0</v>
      </c>
      <c r="R52" s="107">
        <v>670.58699999999999</v>
      </c>
      <c r="S52" s="108">
        <v>597.58799999999997</v>
      </c>
      <c r="U52" s="110"/>
      <c r="V52" s="110"/>
    </row>
    <row r="53" spans="1:22">
      <c r="A53" s="348"/>
      <c r="B53" s="111" t="s">
        <v>568</v>
      </c>
      <c r="C53" s="107">
        <v>413.62900000000002</v>
      </c>
      <c r="D53" s="107">
        <v>129.38</v>
      </c>
      <c r="E53" s="107">
        <v>117.131</v>
      </c>
      <c r="F53" s="107">
        <v>68.456999999999994</v>
      </c>
      <c r="G53" s="107">
        <v>30.288</v>
      </c>
      <c r="H53" s="107">
        <v>16.893000000000001</v>
      </c>
      <c r="I53" s="107">
        <v>1.4929476299999997</v>
      </c>
      <c r="J53" s="107">
        <v>0.68899999999999995</v>
      </c>
      <c r="K53" s="107">
        <v>660.82899999999995</v>
      </c>
      <c r="L53" s="107">
        <v>-3.3490000000000002</v>
      </c>
      <c r="M53" s="107">
        <v>657.48</v>
      </c>
      <c r="N53" s="107">
        <v>207.13300000000001</v>
      </c>
      <c r="O53" s="107">
        <v>864.01499999999999</v>
      </c>
      <c r="P53" s="107">
        <v>211.334</v>
      </c>
      <c r="Q53" s="107">
        <v>0</v>
      </c>
      <c r="R53" s="107">
        <v>652.17999999999995</v>
      </c>
      <c r="S53" s="108">
        <v>582.84699999999998</v>
      </c>
      <c r="U53" s="110"/>
      <c r="V53" s="110"/>
    </row>
    <row r="54" spans="1:22">
      <c r="A54" s="348"/>
      <c r="B54" s="111" t="s">
        <v>569</v>
      </c>
      <c r="C54" s="107">
        <v>317.61900000000003</v>
      </c>
      <c r="D54" s="107">
        <v>106.179</v>
      </c>
      <c r="E54" s="107">
        <v>96.087999999999994</v>
      </c>
      <c r="F54" s="107">
        <v>55.284999999999997</v>
      </c>
      <c r="G54" s="107">
        <v>19.573</v>
      </c>
      <c r="H54" s="107">
        <v>19.722000000000001</v>
      </c>
      <c r="I54" s="107">
        <v>0.95199365199999997</v>
      </c>
      <c r="J54" s="107">
        <v>-9.6159999999999997</v>
      </c>
      <c r="K54" s="107">
        <v>510.27</v>
      </c>
      <c r="L54" s="107">
        <v>-7.0960000000000001</v>
      </c>
      <c r="M54" s="107">
        <v>503.17399999999998</v>
      </c>
      <c r="N54" s="107">
        <v>179.22200000000001</v>
      </c>
      <c r="O54" s="107">
        <v>681.86</v>
      </c>
      <c r="P54" s="107">
        <v>158.911</v>
      </c>
      <c r="Q54" s="107">
        <v>0</v>
      </c>
      <c r="R54" s="107">
        <v>522.35599999999999</v>
      </c>
      <c r="S54" s="108">
        <v>465.887</v>
      </c>
      <c r="U54" s="110"/>
      <c r="V54" s="110"/>
    </row>
    <row r="55" spans="1:22" ht="15.75">
      <c r="A55" s="112"/>
      <c r="B55" s="111" t="s">
        <v>570</v>
      </c>
      <c r="C55" s="107">
        <v>380.49099999999999</v>
      </c>
      <c r="D55" s="107">
        <v>125.054</v>
      </c>
      <c r="E55" s="107">
        <v>111.82599999999999</v>
      </c>
      <c r="F55" s="107">
        <v>63.375</v>
      </c>
      <c r="G55" s="107">
        <v>27.640999999999998</v>
      </c>
      <c r="H55" s="107">
        <v>19.585000000000001</v>
      </c>
      <c r="I55" s="107">
        <v>1.39330715</v>
      </c>
      <c r="J55" s="107">
        <v>1.2529999999999999</v>
      </c>
      <c r="K55" s="107">
        <v>618.62400000000002</v>
      </c>
      <c r="L55" s="107">
        <v>-0.33300000000000002</v>
      </c>
      <c r="M55" s="107">
        <v>618.29100000000005</v>
      </c>
      <c r="N55" s="107">
        <v>181.13200000000001</v>
      </c>
      <c r="O55" s="107">
        <v>798.51800000000003</v>
      </c>
      <c r="P55" s="107">
        <v>186.911</v>
      </c>
      <c r="Q55" s="107">
        <v>0</v>
      </c>
      <c r="R55" s="107">
        <v>610.97199999999998</v>
      </c>
      <c r="S55" s="108">
        <v>546.89499999999998</v>
      </c>
      <c r="U55" s="110"/>
      <c r="V55" s="110"/>
    </row>
    <row r="56" spans="1:22" ht="15.75">
      <c r="A56" s="112"/>
      <c r="B56" s="111" t="s">
        <v>571</v>
      </c>
      <c r="C56" s="107">
        <v>374.56099999999998</v>
      </c>
      <c r="D56" s="107">
        <v>131.06399999999999</v>
      </c>
      <c r="E56" s="107">
        <v>118.476</v>
      </c>
      <c r="F56" s="107">
        <v>67.292000000000002</v>
      </c>
      <c r="G56" s="107">
        <v>29.84</v>
      </c>
      <c r="H56" s="107">
        <v>19.952999999999999</v>
      </c>
      <c r="I56" s="107">
        <v>1.4688224000000001</v>
      </c>
      <c r="J56" s="107">
        <v>8.3059999999999992</v>
      </c>
      <c r="K56" s="107">
        <v>632.40700000000004</v>
      </c>
      <c r="L56" s="107">
        <v>9.0079999999999991</v>
      </c>
      <c r="M56" s="107">
        <v>641.41499999999996</v>
      </c>
      <c r="N56" s="107">
        <v>191.40199999999999</v>
      </c>
      <c r="O56" s="107">
        <v>833.673</v>
      </c>
      <c r="P56" s="107">
        <v>214.35599999999999</v>
      </c>
      <c r="Q56" s="107">
        <v>0</v>
      </c>
      <c r="R56" s="107">
        <v>619.33000000000004</v>
      </c>
      <c r="S56" s="108">
        <v>555.60599999999999</v>
      </c>
      <c r="U56" s="110"/>
      <c r="V56" s="110"/>
    </row>
    <row r="57" spans="1:22" ht="15.75">
      <c r="A57" s="112"/>
      <c r="B57" s="111" t="s">
        <v>572</v>
      </c>
      <c r="C57" s="107">
        <v>360.88</v>
      </c>
      <c r="D57" s="107">
        <v>130.685</v>
      </c>
      <c r="E57" s="107">
        <v>115.504</v>
      </c>
      <c r="F57" s="107">
        <v>65.102999999999994</v>
      </c>
      <c r="G57" s="107">
        <v>30.26</v>
      </c>
      <c r="H57" s="107">
        <v>18.745999999999999</v>
      </c>
      <c r="I57" s="107">
        <v>1.4956635900000002</v>
      </c>
      <c r="J57" s="107">
        <v>9.0370000000000008</v>
      </c>
      <c r="K57" s="107">
        <v>616.10599999999999</v>
      </c>
      <c r="L57" s="107">
        <v>5.8739999999999997</v>
      </c>
      <c r="M57" s="107">
        <v>621.98</v>
      </c>
      <c r="N57" s="107">
        <v>186.358</v>
      </c>
      <c r="O57" s="107">
        <v>810.85500000000002</v>
      </c>
      <c r="P57" s="107">
        <v>197.637</v>
      </c>
      <c r="Q57" s="107">
        <v>0</v>
      </c>
      <c r="R57" s="107">
        <v>612.66499999999996</v>
      </c>
      <c r="S57" s="108">
        <v>549.87400000000002</v>
      </c>
      <c r="U57" s="110"/>
      <c r="V57" s="110"/>
    </row>
    <row r="58" spans="1:22" ht="15.75">
      <c r="A58" s="95"/>
      <c r="B58" s="111" t="s">
        <v>573</v>
      </c>
      <c r="C58" s="107">
        <v>402.64699999999999</v>
      </c>
      <c r="D58" s="107">
        <v>142.42400000000001</v>
      </c>
      <c r="E58" s="107">
        <v>121.41800000000001</v>
      </c>
      <c r="F58" s="107">
        <v>67.597999999999999</v>
      </c>
      <c r="G58" s="107">
        <v>31.495999999999999</v>
      </c>
      <c r="H58" s="107">
        <v>20.690999999999999</v>
      </c>
      <c r="I58" s="107">
        <v>1.6866360299999998</v>
      </c>
      <c r="J58" s="107">
        <v>-0.753</v>
      </c>
      <c r="K58" s="107">
        <v>665.73599999999999</v>
      </c>
      <c r="L58" s="107">
        <v>-9.1690000000000005</v>
      </c>
      <c r="M58" s="107">
        <v>656.56700000000001</v>
      </c>
      <c r="N58" s="107">
        <v>197.60300000000001</v>
      </c>
      <c r="O58" s="107">
        <v>854.19899999999996</v>
      </c>
      <c r="P58" s="107">
        <v>197.40899999999999</v>
      </c>
      <c r="Q58" s="107">
        <v>0</v>
      </c>
      <c r="R58" s="107">
        <v>655.44299999999998</v>
      </c>
      <c r="S58" s="108">
        <v>589.00099999999998</v>
      </c>
      <c r="U58" s="110"/>
      <c r="V58" s="110"/>
    </row>
    <row r="59" spans="1:22" ht="15.75">
      <c r="A59" s="95"/>
      <c r="B59" s="111" t="s">
        <v>574</v>
      </c>
      <c r="C59" s="107">
        <v>414.82499999999999</v>
      </c>
      <c r="D59" s="107">
        <v>140.75700000000001</v>
      </c>
      <c r="E59" s="107">
        <v>122.22</v>
      </c>
      <c r="F59" s="107">
        <v>67.168999999999997</v>
      </c>
      <c r="G59" s="107">
        <v>31.962</v>
      </c>
      <c r="H59" s="107">
        <v>21.460999999999999</v>
      </c>
      <c r="I59" s="107">
        <v>1.7142627100000001</v>
      </c>
      <c r="J59" s="107">
        <v>3.9489999999999998</v>
      </c>
      <c r="K59" s="107">
        <v>681.75099999999998</v>
      </c>
      <c r="L59" s="107">
        <v>0.622</v>
      </c>
      <c r="M59" s="107">
        <v>682.37300000000005</v>
      </c>
      <c r="N59" s="107">
        <v>189.03</v>
      </c>
      <c r="O59" s="107">
        <v>874.10900000000004</v>
      </c>
      <c r="P59" s="107">
        <v>206.73699999999999</v>
      </c>
      <c r="Q59" s="107">
        <v>0</v>
      </c>
      <c r="R59" s="107">
        <v>666.49800000000005</v>
      </c>
      <c r="S59" s="108">
        <v>597.56200000000001</v>
      </c>
      <c r="U59" s="110"/>
      <c r="V59" s="110"/>
    </row>
    <row r="60" spans="1:22" ht="15.75">
      <c r="A60" s="95"/>
      <c r="B60" s="111" t="s">
        <v>575</v>
      </c>
      <c r="C60" s="107">
        <v>415.77199999999999</v>
      </c>
      <c r="D60" s="107">
        <v>141.708</v>
      </c>
      <c r="E60" s="107">
        <v>125.434</v>
      </c>
      <c r="F60" s="107">
        <v>69.682000000000002</v>
      </c>
      <c r="G60" s="107">
        <v>33.252000000000002</v>
      </c>
      <c r="H60" s="107">
        <v>20.74</v>
      </c>
      <c r="I60" s="107">
        <v>1.7793591499999999</v>
      </c>
      <c r="J60" s="107">
        <v>-2.98</v>
      </c>
      <c r="K60" s="107">
        <v>679.93399999999997</v>
      </c>
      <c r="L60" s="107">
        <v>1.1379999999999999</v>
      </c>
      <c r="M60" s="107">
        <v>681.072</v>
      </c>
      <c r="N60" s="107">
        <v>207.625</v>
      </c>
      <c r="O60" s="107">
        <v>886.94899999999996</v>
      </c>
      <c r="P60" s="107">
        <v>210.44900000000001</v>
      </c>
      <c r="Q60" s="107">
        <v>0</v>
      </c>
      <c r="R60" s="107">
        <v>675.68</v>
      </c>
      <c r="S60" s="108">
        <v>604.61800000000005</v>
      </c>
      <c r="U60" s="110"/>
      <c r="V60" s="110"/>
    </row>
    <row r="61" spans="1:22" ht="15.75">
      <c r="A61" s="95"/>
      <c r="B61" s="111" t="s">
        <v>576</v>
      </c>
      <c r="C61" s="107">
        <v>421.67</v>
      </c>
      <c r="D61" s="107">
        <v>141.435</v>
      </c>
      <c r="E61" s="107">
        <v>129.86500000000001</v>
      </c>
      <c r="F61" s="107">
        <v>71.183000000000007</v>
      </c>
      <c r="G61" s="107">
        <v>35.451000000000001</v>
      </c>
      <c r="H61" s="107">
        <v>21.385999999999999</v>
      </c>
      <c r="I61" s="107">
        <v>1.89407204</v>
      </c>
      <c r="J61" s="107">
        <v>9.0039999999999996</v>
      </c>
      <c r="K61" s="107">
        <v>701.97400000000005</v>
      </c>
      <c r="L61" s="107">
        <v>6.6189999999999998</v>
      </c>
      <c r="M61" s="107">
        <v>708.59299999999996</v>
      </c>
      <c r="N61" s="107">
        <v>199.93299999999999</v>
      </c>
      <c r="O61" s="107">
        <v>914.88400000000001</v>
      </c>
      <c r="P61" s="107">
        <v>232.34899999999999</v>
      </c>
      <c r="Q61" s="107">
        <v>0</v>
      </c>
      <c r="R61" s="107">
        <v>682.52700000000004</v>
      </c>
      <c r="S61" s="108">
        <v>610.06399999999996</v>
      </c>
      <c r="U61" s="110"/>
      <c r="V61" s="110"/>
    </row>
    <row r="62" spans="1:22" ht="15.75">
      <c r="A62" s="95"/>
      <c r="B62" s="111" t="s">
        <v>577</v>
      </c>
      <c r="C62" s="107">
        <v>430.65800000000002</v>
      </c>
      <c r="D62" s="107">
        <v>137.60499999999999</v>
      </c>
      <c r="E62" s="107">
        <v>129.435</v>
      </c>
      <c r="F62" s="107">
        <v>72.087000000000003</v>
      </c>
      <c r="G62" s="107">
        <v>35.402999999999999</v>
      </c>
      <c r="H62" s="107">
        <v>19.998999999999999</v>
      </c>
      <c r="I62" s="107">
        <v>1.81799789</v>
      </c>
      <c r="J62" s="107">
        <v>2.3170000000000002</v>
      </c>
      <c r="K62" s="107">
        <v>700.01499999999999</v>
      </c>
      <c r="L62" s="107">
        <v>5.9240000000000004</v>
      </c>
      <c r="M62" s="107">
        <v>705.93899999999996</v>
      </c>
      <c r="N62" s="107">
        <v>219.13</v>
      </c>
      <c r="O62" s="107">
        <v>921.88199999999995</v>
      </c>
      <c r="P62" s="107">
        <v>235.596</v>
      </c>
      <c r="Q62" s="107">
        <v>0</v>
      </c>
      <c r="R62" s="107">
        <v>686.33500000000004</v>
      </c>
      <c r="S62" s="108">
        <v>612.82799999999997</v>
      </c>
      <c r="U62" s="110"/>
      <c r="V62" s="110"/>
    </row>
    <row r="63" spans="1:22" ht="15.75">
      <c r="A63" s="95"/>
      <c r="B63" s="111" t="s">
        <v>578</v>
      </c>
      <c r="C63" s="107">
        <v>430.78300000000002</v>
      </c>
      <c r="D63" s="107">
        <v>138.73500000000001</v>
      </c>
      <c r="E63" s="107">
        <v>129.81700000000001</v>
      </c>
      <c r="F63" s="107">
        <v>70.894000000000005</v>
      </c>
      <c r="G63" s="107">
        <v>35.927</v>
      </c>
      <c r="H63" s="107">
        <v>21.111000000000001</v>
      </c>
      <c r="I63" s="107">
        <v>1.8438862300000001</v>
      </c>
      <c r="J63" s="107">
        <v>-12.920999999999999</v>
      </c>
      <c r="K63" s="107">
        <v>686.41399999999999</v>
      </c>
      <c r="L63" s="107">
        <v>-6.9370000000000003</v>
      </c>
      <c r="M63" s="107">
        <v>679.47699999999998</v>
      </c>
      <c r="N63" s="107">
        <v>236.99</v>
      </c>
      <c r="O63" s="107">
        <v>913.42100000000005</v>
      </c>
      <c r="P63" s="107">
        <v>225.98599999999999</v>
      </c>
      <c r="Q63" s="107">
        <v>0</v>
      </c>
      <c r="R63" s="107">
        <v>687.029</v>
      </c>
      <c r="S63" s="108">
        <v>613.14099999999996</v>
      </c>
      <c r="U63" s="110"/>
      <c r="V63" s="110"/>
    </row>
    <row r="64" spans="1:22" ht="15.75">
      <c r="A64" s="95"/>
      <c r="B64" s="111" t="s">
        <v>579</v>
      </c>
      <c r="C64" s="107">
        <v>432.54599999999999</v>
      </c>
      <c r="D64" s="107">
        <v>138.17400000000001</v>
      </c>
      <c r="E64" s="107">
        <v>128.38800000000001</v>
      </c>
      <c r="F64" s="107">
        <v>70.06</v>
      </c>
      <c r="G64" s="107">
        <v>34.744999999999997</v>
      </c>
      <c r="H64" s="107">
        <v>21.725999999999999</v>
      </c>
      <c r="I64" s="107">
        <v>1.7768955100000001</v>
      </c>
      <c r="J64" s="107">
        <v>-18.206</v>
      </c>
      <c r="K64" s="107">
        <v>680.90200000000004</v>
      </c>
      <c r="L64" s="107">
        <v>-2.2930000000000001</v>
      </c>
      <c r="M64" s="107">
        <v>678.60900000000004</v>
      </c>
      <c r="N64" s="107">
        <v>243.32400000000001</v>
      </c>
      <c r="O64" s="107">
        <v>920.31299999999999</v>
      </c>
      <c r="P64" s="107">
        <v>231.31700000000001</v>
      </c>
      <c r="Q64" s="107">
        <v>0</v>
      </c>
      <c r="R64" s="107">
        <v>688.81700000000001</v>
      </c>
      <c r="S64" s="108">
        <v>615.87800000000004</v>
      </c>
      <c r="U64" s="110"/>
      <c r="V64" s="110"/>
    </row>
    <row r="65" spans="1:22" ht="15.75">
      <c r="A65" s="95"/>
      <c r="B65" s="113" t="s">
        <v>580</v>
      </c>
      <c r="C65" s="107">
        <v>429.89800000000002</v>
      </c>
      <c r="D65" s="107">
        <v>138.34299999999999</v>
      </c>
      <c r="E65" s="107">
        <v>132.21299999999999</v>
      </c>
      <c r="F65" s="107">
        <v>72.989999999999995</v>
      </c>
      <c r="G65" s="107">
        <v>34.646999999999998</v>
      </c>
      <c r="H65" s="107">
        <v>22.727</v>
      </c>
      <c r="I65" s="107">
        <v>1.74253002</v>
      </c>
      <c r="J65" s="107">
        <v>-6.0679999999999996</v>
      </c>
      <c r="K65" s="107">
        <v>694.38599999999997</v>
      </c>
      <c r="L65" s="107">
        <v>-3.2989999999999999</v>
      </c>
      <c r="M65" s="107">
        <v>691.08699999999999</v>
      </c>
      <c r="N65" s="107">
        <v>225.83</v>
      </c>
      <c r="O65" s="107">
        <v>916.38800000000003</v>
      </c>
      <c r="P65" s="107">
        <v>227.18199999999999</v>
      </c>
      <c r="Q65" s="107">
        <v>0</v>
      </c>
      <c r="R65" s="107">
        <v>689.20600000000002</v>
      </c>
      <c r="S65" s="108">
        <v>617.94399999999996</v>
      </c>
      <c r="U65" s="110"/>
      <c r="V65" s="110"/>
    </row>
    <row r="66" spans="1:22" ht="15.75">
      <c r="A66" s="95"/>
      <c r="B66" s="113" t="s">
        <v>581</v>
      </c>
      <c r="C66" s="107">
        <v>430.20499999999998</v>
      </c>
      <c r="D66" s="107">
        <v>141.82300000000001</v>
      </c>
      <c r="E66" s="107">
        <v>129.892</v>
      </c>
      <c r="F66" s="107">
        <v>73.231999999999999</v>
      </c>
      <c r="G66" s="107">
        <v>33.768000000000001</v>
      </c>
      <c r="H66" s="107">
        <v>20.928999999999998</v>
      </c>
      <c r="I66" s="107">
        <v>1.78791743</v>
      </c>
      <c r="J66" s="107">
        <v>-3.8279999999999998</v>
      </c>
      <c r="K66" s="107">
        <v>698.09199999999998</v>
      </c>
      <c r="L66" s="107">
        <v>0.78100000000000003</v>
      </c>
      <c r="M66" s="107">
        <v>698.87300000000005</v>
      </c>
      <c r="N66" s="107">
        <v>221.72499999999999</v>
      </c>
      <c r="O66" s="107">
        <v>919.72299999999996</v>
      </c>
      <c r="P66" s="107">
        <v>230.16499999999999</v>
      </c>
      <c r="Q66" s="107">
        <v>0</v>
      </c>
      <c r="R66" s="107">
        <v>689.49099999999999</v>
      </c>
      <c r="S66" s="108">
        <v>618.53599999999994</v>
      </c>
      <c r="U66" s="110"/>
      <c r="V66" s="110"/>
    </row>
    <row r="67" spans="1:22" ht="15.6" customHeight="1">
      <c r="A67" s="95"/>
      <c r="B67" s="113" t="s">
        <v>582</v>
      </c>
      <c r="C67" s="107">
        <v>424.90300000000002</v>
      </c>
      <c r="D67" s="107">
        <v>143.46299999999999</v>
      </c>
      <c r="E67" s="107">
        <v>128.215</v>
      </c>
      <c r="F67" s="107">
        <v>71.430000000000007</v>
      </c>
      <c r="G67" s="107">
        <v>32.755000000000003</v>
      </c>
      <c r="H67" s="107">
        <v>22</v>
      </c>
      <c r="I67" s="107">
        <v>1.7525078900000002</v>
      </c>
      <c r="J67" s="107">
        <v>-1.369</v>
      </c>
      <c r="K67" s="107">
        <v>695.21199999999999</v>
      </c>
      <c r="L67" s="107">
        <v>-0.18</v>
      </c>
      <c r="M67" s="107">
        <v>695.03200000000004</v>
      </c>
      <c r="N67" s="107">
        <v>217.821</v>
      </c>
      <c r="O67" s="107">
        <v>913.03499999999997</v>
      </c>
      <c r="P67" s="107">
        <v>225.27699999999999</v>
      </c>
      <c r="Q67" s="107">
        <v>0</v>
      </c>
      <c r="R67" s="107">
        <v>687.83900000000006</v>
      </c>
      <c r="S67" s="108">
        <v>617.94899999999996</v>
      </c>
      <c r="U67" s="110"/>
      <c r="V67" s="110"/>
    </row>
    <row r="68" spans="1:22" ht="15.6" customHeight="1">
      <c r="A68" s="95"/>
      <c r="B68" s="113" t="s">
        <v>583</v>
      </c>
      <c r="C68" s="107">
        <v>423.89699999999999</v>
      </c>
      <c r="D68" s="107">
        <v>143.74</v>
      </c>
      <c r="E68" s="107">
        <v>129.77099999999999</v>
      </c>
      <c r="F68" s="107">
        <v>72.935000000000002</v>
      </c>
      <c r="G68" s="107">
        <v>32.234000000000002</v>
      </c>
      <c r="H68" s="107">
        <v>22.577000000000002</v>
      </c>
      <c r="I68" s="107">
        <v>1.7299305099999998</v>
      </c>
      <c r="J68" s="107">
        <v>-2.077</v>
      </c>
      <c r="K68" s="107">
        <v>695.33100000000002</v>
      </c>
      <c r="L68" s="107">
        <v>3.9820000000000002</v>
      </c>
      <c r="M68" s="107">
        <v>699.31299999999999</v>
      </c>
      <c r="N68" s="107">
        <v>212.90199999999999</v>
      </c>
      <c r="O68" s="107">
        <v>913.43700000000001</v>
      </c>
      <c r="P68" s="107">
        <v>227.79499999999999</v>
      </c>
      <c r="Q68" s="107">
        <v>0</v>
      </c>
      <c r="R68" s="107">
        <v>685.62800000000004</v>
      </c>
      <c r="S68" s="108">
        <v>616.28499999999997</v>
      </c>
      <c r="U68" s="110"/>
      <c r="V68" s="110"/>
    </row>
    <row r="69" spans="1:22" ht="15.6" customHeight="1">
      <c r="A69" s="95"/>
      <c r="B69" s="113" t="s">
        <v>584</v>
      </c>
      <c r="C69" s="107">
        <v>425.35700000000003</v>
      </c>
      <c r="D69" s="107">
        <v>144.572</v>
      </c>
      <c r="E69" s="107">
        <v>131.393</v>
      </c>
      <c r="F69" s="107">
        <v>72.998000000000005</v>
      </c>
      <c r="G69" s="107">
        <v>32.716999999999999</v>
      </c>
      <c r="H69" s="107">
        <v>23.437999999999999</v>
      </c>
      <c r="I69" s="107">
        <v>1.7672393300000002</v>
      </c>
      <c r="J69" s="107">
        <v>-2.2109999999999999</v>
      </c>
      <c r="K69" s="107">
        <v>699.11099999999999</v>
      </c>
      <c r="L69" s="107">
        <v>-0.67500000000000004</v>
      </c>
      <c r="M69" s="107">
        <v>698.43600000000004</v>
      </c>
      <c r="N69" s="107">
        <v>218.17099999999999</v>
      </c>
      <c r="O69" s="107">
        <v>916.60699999999997</v>
      </c>
      <c r="P69" s="107">
        <v>225.82499999999999</v>
      </c>
      <c r="Q69" s="107">
        <v>0.60499999999999998</v>
      </c>
      <c r="R69" s="107">
        <v>691.38699999999994</v>
      </c>
      <c r="S69" s="108">
        <v>621.76599999999996</v>
      </c>
      <c r="U69" s="110"/>
      <c r="V69" s="110"/>
    </row>
    <row r="70" spans="1:22" ht="15.6" customHeight="1">
      <c r="A70" s="95"/>
      <c r="B70" s="113" t="s">
        <v>585</v>
      </c>
      <c r="C70" s="107">
        <v>424.601</v>
      </c>
      <c r="D70" s="107">
        <v>146.47499999999999</v>
      </c>
      <c r="E70" s="107">
        <v>132.035</v>
      </c>
      <c r="F70" s="107">
        <v>74.236000000000004</v>
      </c>
      <c r="G70" s="107">
        <v>33.756</v>
      </c>
      <c r="H70" s="107">
        <v>22.062999999999999</v>
      </c>
      <c r="I70" s="107">
        <v>1.7632428900000001</v>
      </c>
      <c r="J70" s="107">
        <v>6.2469999999999999</v>
      </c>
      <c r="K70" s="107">
        <v>709.35799999999995</v>
      </c>
      <c r="L70" s="107">
        <v>3.2450000000000001</v>
      </c>
      <c r="M70" s="107">
        <v>712.60299999999995</v>
      </c>
      <c r="N70" s="107">
        <v>219.81</v>
      </c>
      <c r="O70" s="107">
        <v>932.41300000000001</v>
      </c>
      <c r="P70" s="107">
        <v>237.29900000000001</v>
      </c>
      <c r="Q70" s="107">
        <v>0.67900000000000005</v>
      </c>
      <c r="R70" s="107">
        <v>695.79300000000001</v>
      </c>
      <c r="S70" s="108">
        <v>625.84</v>
      </c>
      <c r="U70" s="110"/>
      <c r="V70" s="110"/>
    </row>
    <row r="71" spans="1:22" ht="15.6" customHeight="1">
      <c r="A71" s="95"/>
      <c r="B71" s="113" t="s">
        <v>586</v>
      </c>
      <c r="C71" s="107">
        <v>427.31900000000002</v>
      </c>
      <c r="D71" s="107">
        <v>147.31299999999999</v>
      </c>
      <c r="E71" s="107">
        <v>133.16</v>
      </c>
      <c r="F71" s="107">
        <v>75.688000000000002</v>
      </c>
      <c r="G71" s="107">
        <v>32.21</v>
      </c>
      <c r="H71" s="107">
        <v>23.111000000000001</v>
      </c>
      <c r="I71" s="107">
        <v>1.74030241</v>
      </c>
      <c r="J71" s="107">
        <v>-0.8</v>
      </c>
      <c r="K71" s="107">
        <v>706.99199999999996</v>
      </c>
      <c r="L71" s="107">
        <v>-0.57899999999999996</v>
      </c>
      <c r="M71" s="107">
        <v>706.41300000000001</v>
      </c>
      <c r="N71" s="107">
        <v>221.60400000000001</v>
      </c>
      <c r="O71" s="107">
        <v>928.01700000000005</v>
      </c>
      <c r="P71" s="107">
        <v>231.251</v>
      </c>
      <c r="Q71" s="107">
        <v>0.38700000000000001</v>
      </c>
      <c r="R71" s="107">
        <v>697.15300000000002</v>
      </c>
      <c r="S71" s="108">
        <v>627.23800000000006</v>
      </c>
      <c r="U71" s="110"/>
      <c r="V71" s="110"/>
    </row>
    <row r="72" spans="1:22" ht="15.6" customHeight="1">
      <c r="A72" s="95"/>
      <c r="B72" s="113" t="s">
        <v>587</v>
      </c>
      <c r="C72" s="107">
        <v>428.08499999999998</v>
      </c>
      <c r="D72" s="107">
        <v>148.041</v>
      </c>
      <c r="E72" s="107">
        <v>132.62899999999999</v>
      </c>
      <c r="F72" s="107">
        <v>74.212000000000003</v>
      </c>
      <c r="G72" s="107">
        <v>32.914999999999999</v>
      </c>
      <c r="H72" s="107">
        <v>23.277000000000001</v>
      </c>
      <c r="I72" s="107">
        <v>1.7597221700000001</v>
      </c>
      <c r="J72" s="107">
        <v>2.669</v>
      </c>
      <c r="K72" s="107">
        <v>711.42399999999998</v>
      </c>
      <c r="L72" s="107">
        <v>2.2200000000000002</v>
      </c>
      <c r="M72" s="107">
        <v>713.64400000000001</v>
      </c>
      <c r="N72" s="107">
        <v>224.44499999999999</v>
      </c>
      <c r="O72" s="107">
        <v>938.08900000000006</v>
      </c>
      <c r="P72" s="107">
        <v>239.64500000000001</v>
      </c>
      <c r="Q72" s="107">
        <v>0.38800000000000001</v>
      </c>
      <c r="R72" s="107">
        <v>698.83199999999999</v>
      </c>
      <c r="S72" s="108">
        <v>628.91899999999998</v>
      </c>
      <c r="U72" s="110"/>
      <c r="V72" s="110"/>
    </row>
    <row r="73" spans="1:22" ht="15.6" customHeight="1">
      <c r="A73" s="95"/>
      <c r="B73" s="113" t="s">
        <v>588</v>
      </c>
      <c r="C73" s="107">
        <v>429.22399999999999</v>
      </c>
      <c r="D73" s="107">
        <v>147.67699999999999</v>
      </c>
      <c r="E73" s="107">
        <v>135.21100000000001</v>
      </c>
      <c r="F73" s="107">
        <v>77.262</v>
      </c>
      <c r="G73" s="107">
        <v>33.216000000000001</v>
      </c>
      <c r="H73" s="107">
        <v>22.623999999999999</v>
      </c>
      <c r="I73" s="107">
        <v>1.7619843100000001</v>
      </c>
      <c r="J73" s="107">
        <v>4.4189999999999996</v>
      </c>
      <c r="K73" s="107">
        <v>716.53099999999995</v>
      </c>
      <c r="L73" s="107">
        <v>0.82699999999999996</v>
      </c>
      <c r="M73" s="107">
        <v>717.35799999999995</v>
      </c>
      <c r="N73" s="107">
        <v>228.31</v>
      </c>
      <c r="O73" s="107">
        <v>945.66800000000001</v>
      </c>
      <c r="P73" s="107">
        <v>242.6</v>
      </c>
      <c r="Q73" s="107">
        <v>0.39</v>
      </c>
      <c r="R73" s="107">
        <v>703.45799999999997</v>
      </c>
      <c r="S73" s="108">
        <v>633.09799999999996</v>
      </c>
      <c r="U73" s="110"/>
      <c r="V73" s="110"/>
    </row>
    <row r="74" spans="1:22" ht="15.6" customHeight="1">
      <c r="A74" s="95"/>
      <c r="B74" s="113" t="s">
        <v>589</v>
      </c>
      <c r="C74" s="107">
        <v>429.75099999999998</v>
      </c>
      <c r="D74" s="107">
        <v>149.602</v>
      </c>
      <c r="E74" s="107">
        <v>135.852</v>
      </c>
      <c r="F74" s="107">
        <v>76.426000000000002</v>
      </c>
      <c r="G74" s="107">
        <v>33.393000000000001</v>
      </c>
      <c r="H74" s="107">
        <v>23.545999999999999</v>
      </c>
      <c r="I74" s="107">
        <v>1.7963469399999998</v>
      </c>
      <c r="J74" s="107">
        <v>3.996</v>
      </c>
      <c r="K74" s="107">
        <v>719.20100000000002</v>
      </c>
      <c r="L74" s="107">
        <v>0.47599999999999998</v>
      </c>
      <c r="M74" s="107">
        <v>719.67700000000002</v>
      </c>
      <c r="N74" s="107">
        <v>227.88399999999999</v>
      </c>
      <c r="O74" s="107">
        <v>947.56100000000004</v>
      </c>
      <c r="P74" s="107">
        <v>242.54900000000001</v>
      </c>
      <c r="Q74" s="107">
        <v>0.39100000000000001</v>
      </c>
      <c r="R74" s="107">
        <v>705.40300000000002</v>
      </c>
      <c r="S74" s="108">
        <v>634.88199999999995</v>
      </c>
      <c r="U74" s="110"/>
      <c r="V74" s="110"/>
    </row>
    <row r="75" spans="1:22" ht="15.6" customHeight="1">
      <c r="A75" s="95"/>
      <c r="B75" s="113" t="s">
        <v>590</v>
      </c>
      <c r="C75" s="107">
        <v>430.39562599999999</v>
      </c>
      <c r="D75" s="107">
        <v>150.19293599999997</v>
      </c>
      <c r="E75" s="107">
        <v>134.6043385708613</v>
      </c>
      <c r="F75" s="107">
        <v>75.8910178</v>
      </c>
      <c r="G75" s="107">
        <v>33.162224602558148</v>
      </c>
      <c r="H75" s="107">
        <v>23.7767251</v>
      </c>
      <c r="I75" s="107">
        <v>1.7743710863628577</v>
      </c>
      <c r="J75" s="107">
        <v>2.5710000000000002</v>
      </c>
      <c r="K75" s="107">
        <v>717.76390057086121</v>
      </c>
      <c r="L75" s="107">
        <v>1.9809855500000002</v>
      </c>
      <c r="M75" s="107">
        <v>719.74488612086111</v>
      </c>
      <c r="N75" s="107">
        <v>228.45932630355711</v>
      </c>
      <c r="O75" s="107">
        <v>948.2042120000001</v>
      </c>
      <c r="P75" s="107">
        <v>241.75550717993988</v>
      </c>
      <c r="Q75" s="107">
        <v>0.39100000000000001</v>
      </c>
      <c r="R75" s="107">
        <v>706.83970524361416</v>
      </c>
      <c r="S75" s="108">
        <v>636.29396799999995</v>
      </c>
      <c r="U75" s="110"/>
      <c r="V75" s="110"/>
    </row>
    <row r="76" spans="1:22" ht="15.6" customHeight="1">
      <c r="A76" s="95"/>
      <c r="B76" s="113" t="s">
        <v>591</v>
      </c>
      <c r="C76" s="107">
        <v>431.07995599999998</v>
      </c>
      <c r="D76" s="107">
        <v>150.87692100000001</v>
      </c>
      <c r="E76" s="107">
        <v>135.05517395487061</v>
      </c>
      <c r="F76" s="107">
        <v>75.891018200000005</v>
      </c>
      <c r="G76" s="107">
        <v>33.196082604876786</v>
      </c>
      <c r="H76" s="107">
        <v>24.196777300000001</v>
      </c>
      <c r="I76" s="107">
        <v>1.7712958603230229</v>
      </c>
      <c r="J76" s="107">
        <v>2.5710000000000002</v>
      </c>
      <c r="K76" s="107">
        <v>719.5830509548706</v>
      </c>
      <c r="L76" s="107">
        <v>2.0970306999999999</v>
      </c>
      <c r="M76" s="107">
        <v>721.68008165487061</v>
      </c>
      <c r="N76" s="107">
        <v>228.31927969977181</v>
      </c>
      <c r="O76" s="107">
        <v>949.99936100000002</v>
      </c>
      <c r="P76" s="107">
        <v>241.64218890613697</v>
      </c>
      <c r="Q76" s="107">
        <v>0.39100000000000001</v>
      </c>
      <c r="R76" s="107">
        <v>708.74817244777194</v>
      </c>
      <c r="S76" s="108">
        <v>638.12671699999999</v>
      </c>
      <c r="U76" s="110"/>
      <c r="V76" s="110"/>
    </row>
    <row r="77" spans="1:22" ht="15.6" customHeight="1">
      <c r="A77" s="95"/>
      <c r="B77" s="113" t="s">
        <v>592</v>
      </c>
      <c r="C77" s="107">
        <v>432.69801000000001</v>
      </c>
      <c r="D77" s="107">
        <v>151.71978700000003</v>
      </c>
      <c r="E77" s="107">
        <v>135.61578579538562</v>
      </c>
      <c r="F77" s="107">
        <v>75.913865200000004</v>
      </c>
      <c r="G77" s="107">
        <v>33.22683516729213</v>
      </c>
      <c r="H77" s="107">
        <v>24.705799900000006</v>
      </c>
      <c r="I77" s="107">
        <v>1.7692856147175935</v>
      </c>
      <c r="J77" s="107">
        <v>2.5710000000000002</v>
      </c>
      <c r="K77" s="107">
        <v>722.60458279538557</v>
      </c>
      <c r="L77" s="107">
        <v>1.7721440500000001</v>
      </c>
      <c r="M77" s="107">
        <v>724.37672684538563</v>
      </c>
      <c r="N77" s="107">
        <v>228.63186487129005</v>
      </c>
      <c r="O77" s="107">
        <v>953.00859199999991</v>
      </c>
      <c r="P77" s="107">
        <v>241.8698077742535</v>
      </c>
      <c r="Q77" s="107">
        <v>0.39100000000000001</v>
      </c>
      <c r="R77" s="107">
        <v>711.5297839435807</v>
      </c>
      <c r="S77" s="108">
        <v>640.74430599999994</v>
      </c>
      <c r="U77" s="110"/>
      <c r="V77" s="110"/>
    </row>
    <row r="78" spans="1:22" ht="15.6" customHeight="1">
      <c r="A78" s="95"/>
      <c r="B78" s="113" t="s">
        <v>593</v>
      </c>
      <c r="C78" s="107">
        <v>434.32171600000004</v>
      </c>
      <c r="D78" s="107">
        <v>152.47373899999999</v>
      </c>
      <c r="E78" s="107">
        <v>136.48906353790682</v>
      </c>
      <c r="F78" s="107">
        <v>76.063772400000005</v>
      </c>
      <c r="G78" s="107">
        <v>33.478354595986794</v>
      </c>
      <c r="H78" s="107">
        <v>25.167222800000001</v>
      </c>
      <c r="I78" s="107">
        <v>1.7797136766442594</v>
      </c>
      <c r="J78" s="107">
        <v>2.5710000000000002</v>
      </c>
      <c r="K78" s="107">
        <v>725.85551853790696</v>
      </c>
      <c r="L78" s="107">
        <v>1.4266616599999999</v>
      </c>
      <c r="M78" s="107">
        <v>727.28218019790688</v>
      </c>
      <c r="N78" s="107">
        <v>228.93435517239763</v>
      </c>
      <c r="O78" s="107">
        <v>956.21653500000002</v>
      </c>
      <c r="P78" s="107">
        <v>242.25281953577843</v>
      </c>
      <c r="Q78" s="107">
        <v>0.39100000000000001</v>
      </c>
      <c r="R78" s="107">
        <v>714.35471583010667</v>
      </c>
      <c r="S78" s="108">
        <v>643.40905899999996</v>
      </c>
      <c r="U78" s="110"/>
      <c r="V78" s="110"/>
    </row>
    <row r="79" spans="1:22" ht="15.6" customHeight="1">
      <c r="A79" s="95"/>
      <c r="B79" s="113" t="s">
        <v>594</v>
      </c>
      <c r="C79" s="107">
        <v>435.97483699999998</v>
      </c>
      <c r="D79" s="107">
        <v>153.30417600000001</v>
      </c>
      <c r="E79" s="107">
        <v>137.34117357569193</v>
      </c>
      <c r="F79" s="107">
        <v>76.145627399999995</v>
      </c>
      <c r="G79" s="107">
        <v>33.80505287036808</v>
      </c>
      <c r="H79" s="107">
        <v>25.593459900000006</v>
      </c>
      <c r="I79" s="107">
        <v>1.7970334106739552</v>
      </c>
      <c r="J79" s="107">
        <v>2.5710000000000002</v>
      </c>
      <c r="K79" s="107">
        <v>729.19118657569186</v>
      </c>
      <c r="L79" s="107">
        <v>1.19109413</v>
      </c>
      <c r="M79" s="107">
        <v>730.38228070569187</v>
      </c>
      <c r="N79" s="107">
        <v>229.21753976651217</v>
      </c>
      <c r="O79" s="107">
        <v>959.59981999999991</v>
      </c>
      <c r="P79" s="107">
        <v>242.76057778377262</v>
      </c>
      <c r="Q79" s="107">
        <v>0.39100000000000001</v>
      </c>
      <c r="R79" s="107">
        <v>717.23024268906909</v>
      </c>
      <c r="S79" s="108">
        <v>646.14995099999999</v>
      </c>
      <c r="U79" s="110"/>
      <c r="V79" s="110"/>
    </row>
    <row r="80" spans="1:22" ht="15.6" customHeight="1">
      <c r="A80" s="95"/>
      <c r="B80" s="113" t="s">
        <v>595</v>
      </c>
      <c r="C80" s="107">
        <v>437.61711500000001</v>
      </c>
      <c r="D80" s="107">
        <v>154.01263399999999</v>
      </c>
      <c r="E80" s="107">
        <v>138.34142708716732</v>
      </c>
      <c r="F80" s="107">
        <v>76.227653500000002</v>
      </c>
      <c r="G80" s="107">
        <v>34.305459899446149</v>
      </c>
      <c r="H80" s="107">
        <v>25.981485799999998</v>
      </c>
      <c r="I80" s="107">
        <v>1.8268278929861239</v>
      </c>
      <c r="J80" s="107">
        <v>2.5710000000000002</v>
      </c>
      <c r="K80" s="107">
        <v>732.54217608716726</v>
      </c>
      <c r="L80" s="107">
        <v>0.99341234699999992</v>
      </c>
      <c r="M80" s="107">
        <v>733.53558843416715</v>
      </c>
      <c r="N80" s="107">
        <v>229.50623371765502</v>
      </c>
      <c r="O80" s="107">
        <v>963.04182200000002</v>
      </c>
      <c r="P80" s="107">
        <v>243.36231606383978</v>
      </c>
      <c r="Q80" s="107">
        <v>0.39100000000000001</v>
      </c>
      <c r="R80" s="107">
        <v>720.07050608834231</v>
      </c>
      <c r="S80" s="108">
        <v>648.855593</v>
      </c>
      <c r="U80" s="110"/>
      <c r="V80" s="110"/>
    </row>
    <row r="81" spans="1:22" ht="15.75">
      <c r="A81" s="95"/>
      <c r="B81" s="113" t="s">
        <v>596</v>
      </c>
      <c r="C81" s="107">
        <v>439.270286</v>
      </c>
      <c r="D81" s="107">
        <v>154.61147</v>
      </c>
      <c r="E81" s="107">
        <v>139.44640649358161</v>
      </c>
      <c r="F81" s="107">
        <v>76.3174834</v>
      </c>
      <c r="G81" s="107">
        <v>34.928082785532162</v>
      </c>
      <c r="H81" s="107">
        <v>26.335891400000001</v>
      </c>
      <c r="I81" s="107">
        <v>1.8649488981981865</v>
      </c>
      <c r="J81" s="107">
        <v>2.5710000000000002</v>
      </c>
      <c r="K81" s="107">
        <v>735.89916249358168</v>
      </c>
      <c r="L81" s="107">
        <v>1.3026005299999999</v>
      </c>
      <c r="M81" s="107">
        <v>737.20176302358175</v>
      </c>
      <c r="N81" s="107">
        <v>229.6000389720943</v>
      </c>
      <c r="O81" s="107">
        <v>966.80180200000007</v>
      </c>
      <c r="P81" s="107">
        <v>244.37677631665912</v>
      </c>
      <c r="Q81" s="107">
        <v>0.39100000000000001</v>
      </c>
      <c r="R81" s="107">
        <v>722.81602568021913</v>
      </c>
      <c r="S81" s="108">
        <v>651.47205599999995</v>
      </c>
      <c r="U81" s="110"/>
      <c r="V81" s="110"/>
    </row>
    <row r="82" spans="1:22" ht="15.75">
      <c r="A82" s="95"/>
      <c r="B82" s="113" t="s">
        <v>597</v>
      </c>
      <c r="C82" s="107">
        <v>440.94719600000002</v>
      </c>
      <c r="D82" s="107">
        <v>155.26128500000002</v>
      </c>
      <c r="E82" s="107">
        <v>140.63456519402203</v>
      </c>
      <c r="F82" s="107">
        <v>76.441922900000009</v>
      </c>
      <c r="G82" s="107">
        <v>35.617795466227157</v>
      </c>
      <c r="H82" s="107">
        <v>26.667765899999999</v>
      </c>
      <c r="I82" s="107">
        <v>1.9070808700850641</v>
      </c>
      <c r="J82" s="107">
        <v>2.5710000000000002</v>
      </c>
      <c r="K82" s="107">
        <v>739.41404619402203</v>
      </c>
      <c r="L82" s="107">
        <v>1.27895296</v>
      </c>
      <c r="M82" s="107">
        <v>740.69299915402212</v>
      </c>
      <c r="N82" s="107">
        <v>229.74303579685923</v>
      </c>
      <c r="O82" s="107">
        <v>970.43603500000006</v>
      </c>
      <c r="P82" s="107">
        <v>245.30721343392719</v>
      </c>
      <c r="Q82" s="107">
        <v>0.39100000000000001</v>
      </c>
      <c r="R82" s="107">
        <v>725.51982151904394</v>
      </c>
      <c r="S82" s="108">
        <v>654.04756099999997</v>
      </c>
      <c r="U82" s="110"/>
      <c r="V82" s="110"/>
    </row>
    <row r="83" spans="1:22" ht="15.75">
      <c r="A83" s="95"/>
      <c r="B83" s="113" t="s">
        <v>598</v>
      </c>
      <c r="C83" s="107">
        <v>442.64376600000003</v>
      </c>
      <c r="D83" s="107">
        <v>155.90832999999998</v>
      </c>
      <c r="E83" s="107">
        <v>141.8375701368513</v>
      </c>
      <c r="F83" s="107">
        <v>76.579746900000004</v>
      </c>
      <c r="G83" s="107">
        <v>36.361984780151396</v>
      </c>
      <c r="H83" s="107">
        <v>26.942961200000003</v>
      </c>
      <c r="I83" s="107">
        <v>1.9528773373032891</v>
      </c>
      <c r="J83" s="107">
        <v>2.5710000000000002</v>
      </c>
      <c r="K83" s="107">
        <v>742.96066613685127</v>
      </c>
      <c r="L83" s="107">
        <v>1.1397643</v>
      </c>
      <c r="M83" s="107">
        <v>744.1004304368513</v>
      </c>
      <c r="N83" s="107">
        <v>229.91298357800946</v>
      </c>
      <c r="O83" s="107">
        <v>974.01341400000001</v>
      </c>
      <c r="P83" s="107">
        <v>246.1981836935704</v>
      </c>
      <c r="Q83" s="107">
        <v>0.39100000000000001</v>
      </c>
      <c r="R83" s="107">
        <v>728.20623032195556</v>
      </c>
      <c r="S83" s="108">
        <v>656.60428300000001</v>
      </c>
      <c r="U83" s="110"/>
      <c r="V83" s="110"/>
    </row>
    <row r="84" spans="1:22" ht="15.75">
      <c r="A84" s="95"/>
      <c r="B84" s="113" t="s">
        <v>599</v>
      </c>
      <c r="C84" s="107">
        <v>444.36015700000002</v>
      </c>
      <c r="D84" s="107">
        <v>156.468447</v>
      </c>
      <c r="E84" s="107">
        <v>142.8574436557675</v>
      </c>
      <c r="F84" s="107">
        <v>76.736970799999995</v>
      </c>
      <c r="G84" s="107">
        <v>37.110258699570494</v>
      </c>
      <c r="H84" s="107">
        <v>27.011012599999994</v>
      </c>
      <c r="I84" s="107">
        <v>1.9992015604057241</v>
      </c>
      <c r="J84" s="107">
        <v>2.5710000000000002</v>
      </c>
      <c r="K84" s="107">
        <v>746.25704765576756</v>
      </c>
      <c r="L84" s="107">
        <v>1.0358601799999998</v>
      </c>
      <c r="M84" s="107">
        <v>747.29290783576744</v>
      </c>
      <c r="N84" s="107">
        <v>230.17691312811559</v>
      </c>
      <c r="O84" s="107">
        <v>977.46982100000002</v>
      </c>
      <c r="P84" s="107">
        <v>247.04906306540627</v>
      </c>
      <c r="Q84" s="107">
        <v>0.39100000000000001</v>
      </c>
      <c r="R84" s="107">
        <v>730.81175789683368</v>
      </c>
      <c r="S84" s="108">
        <v>659.08464200000003</v>
      </c>
      <c r="U84" s="110"/>
      <c r="V84" s="110"/>
    </row>
    <row r="85" spans="1:22" ht="15.75">
      <c r="A85" s="95"/>
      <c r="B85" s="113" t="s">
        <v>600</v>
      </c>
      <c r="C85" s="107">
        <v>446.10545100000002</v>
      </c>
      <c r="D85" s="107">
        <v>156.98375700000003</v>
      </c>
      <c r="E85" s="107">
        <v>143.68286693510046</v>
      </c>
      <c r="F85" s="107">
        <v>76.91371980000001</v>
      </c>
      <c r="G85" s="107">
        <v>37.80621178329087</v>
      </c>
      <c r="H85" s="107">
        <v>26.9206997</v>
      </c>
      <c r="I85" s="107">
        <v>2.0422356437945659</v>
      </c>
      <c r="J85" s="107">
        <v>2.5710000000000002</v>
      </c>
      <c r="K85" s="107">
        <v>749.3430749351005</v>
      </c>
      <c r="L85" s="107">
        <v>1.09631101</v>
      </c>
      <c r="M85" s="107">
        <v>750.43938594510041</v>
      </c>
      <c r="N85" s="107">
        <v>230.49042104654609</v>
      </c>
      <c r="O85" s="107">
        <v>980.92980699999998</v>
      </c>
      <c r="P85" s="107">
        <v>247.85925052147556</v>
      </c>
      <c r="Q85" s="107">
        <v>0.39100000000000001</v>
      </c>
      <c r="R85" s="107">
        <v>733.46155646585794</v>
      </c>
      <c r="S85" s="108">
        <v>661.60235</v>
      </c>
      <c r="U85" s="110"/>
      <c r="V85" s="110"/>
    </row>
    <row r="86" spans="1:22" ht="15.75">
      <c r="A86" s="95"/>
      <c r="B86" s="113" t="s">
        <v>601</v>
      </c>
      <c r="C86" s="107">
        <v>447.90587199999999</v>
      </c>
      <c r="D86" s="107">
        <v>157.442407</v>
      </c>
      <c r="E86" s="107">
        <v>144.52652412023451</v>
      </c>
      <c r="F86" s="107">
        <v>77.098048299999988</v>
      </c>
      <c r="G86" s="107">
        <v>38.583323238123853</v>
      </c>
      <c r="H86" s="107">
        <v>26.7569017</v>
      </c>
      <c r="I86" s="107">
        <v>2.0882508621001885</v>
      </c>
      <c r="J86" s="107">
        <v>2.5710000000000002</v>
      </c>
      <c r="K86" s="107">
        <v>752.44580312023447</v>
      </c>
      <c r="L86" s="107">
        <v>1.0951586899999999</v>
      </c>
      <c r="M86" s="107">
        <v>753.54096181023442</v>
      </c>
      <c r="N86" s="107">
        <v>230.83124761656907</v>
      </c>
      <c r="O86" s="107">
        <v>984.372209</v>
      </c>
      <c r="P86" s="107">
        <v>248.65138708717396</v>
      </c>
      <c r="Q86" s="107">
        <v>0.39100000000000001</v>
      </c>
      <c r="R86" s="107">
        <v>736.11182234017986</v>
      </c>
      <c r="S86" s="108">
        <v>664.117704</v>
      </c>
      <c r="U86" s="110"/>
      <c r="V86" s="110"/>
    </row>
    <row r="87" spans="1:22" ht="15.75">
      <c r="A87" s="95"/>
      <c r="B87" s="113" t="s">
        <v>602</v>
      </c>
      <c r="C87" s="107">
        <v>449.77786300000002</v>
      </c>
      <c r="D87" s="107">
        <v>157.86819800000001</v>
      </c>
      <c r="E87" s="107">
        <v>145.15152672902749</v>
      </c>
      <c r="F87" s="107">
        <v>77.292250700000011</v>
      </c>
      <c r="G87" s="107">
        <v>39.117767061512538</v>
      </c>
      <c r="H87" s="107">
        <v>26.621415899999999</v>
      </c>
      <c r="I87" s="107">
        <v>2.1200930599819268</v>
      </c>
      <c r="J87" s="107">
        <v>2.5710000000000002</v>
      </c>
      <c r="K87" s="107">
        <v>755.36858772902747</v>
      </c>
      <c r="L87" s="107">
        <v>1.32118577</v>
      </c>
      <c r="M87" s="107">
        <v>756.68977349902752</v>
      </c>
      <c r="N87" s="107">
        <v>231.22192816564421</v>
      </c>
      <c r="O87" s="107">
        <v>987.9117020000001</v>
      </c>
      <c r="P87" s="107">
        <v>249.44849309307247</v>
      </c>
      <c r="Q87" s="107">
        <v>0.39100000000000001</v>
      </c>
      <c r="R87" s="107">
        <v>738.85420856782139</v>
      </c>
      <c r="S87" s="108">
        <v>666.71399300000007</v>
      </c>
      <c r="U87" s="110"/>
      <c r="V87" s="110"/>
    </row>
    <row r="88" spans="1:22" ht="15.75">
      <c r="A88" s="95"/>
      <c r="B88" s="113" t="s">
        <v>603</v>
      </c>
      <c r="C88" s="107">
        <v>451.77477099999999</v>
      </c>
      <c r="D88" s="107">
        <v>158.28492699999998</v>
      </c>
      <c r="E88" s="107">
        <v>145.68383433751242</v>
      </c>
      <c r="F88" s="107">
        <v>77.494671700000012</v>
      </c>
      <c r="G88" s="107">
        <v>39.562319134093521</v>
      </c>
      <c r="H88" s="107">
        <v>26.481001199999998</v>
      </c>
      <c r="I88" s="107">
        <v>2.1458422978361931</v>
      </c>
      <c r="J88" s="107">
        <v>2.5710000000000002</v>
      </c>
      <c r="K88" s="107">
        <v>758.31453233751233</v>
      </c>
      <c r="L88" s="107">
        <v>1.49382167</v>
      </c>
      <c r="M88" s="107">
        <v>759.80835400751232</v>
      </c>
      <c r="N88" s="107">
        <v>231.61760873516656</v>
      </c>
      <c r="O88" s="107">
        <v>991.42596300000002</v>
      </c>
      <c r="P88" s="107">
        <v>250.22715348846137</v>
      </c>
      <c r="Q88" s="107">
        <v>0.39100000000000001</v>
      </c>
      <c r="R88" s="107">
        <v>741.58980925052026</v>
      </c>
      <c r="S88" s="108">
        <v>669.30147999999997</v>
      </c>
      <c r="U88" s="110"/>
      <c r="V88" s="110"/>
    </row>
    <row r="89" spans="1:22" ht="15.75">
      <c r="A89" s="95"/>
      <c r="B89" s="113" t="s">
        <v>604</v>
      </c>
      <c r="C89" s="107">
        <v>453.812073</v>
      </c>
      <c r="D89" s="107">
        <v>158.727462</v>
      </c>
      <c r="E89" s="107">
        <v>146.19875205883085</v>
      </c>
      <c r="F89" s="107">
        <v>77.734816899999998</v>
      </c>
      <c r="G89" s="107">
        <v>39.90023951134846</v>
      </c>
      <c r="H89" s="107">
        <v>26.3975814</v>
      </c>
      <c r="I89" s="107">
        <v>2.1661142138279099</v>
      </c>
      <c r="J89" s="107">
        <v>2.5710000000000002</v>
      </c>
      <c r="K89" s="107">
        <v>761.30928705883071</v>
      </c>
      <c r="L89" s="107">
        <v>1.52584513</v>
      </c>
      <c r="M89" s="107">
        <v>762.83513218883081</v>
      </c>
      <c r="N89" s="107">
        <v>232.06338507754566</v>
      </c>
      <c r="O89" s="107">
        <v>994.89851699999997</v>
      </c>
      <c r="P89" s="107">
        <v>250.89312927359592</v>
      </c>
      <c r="Q89" s="107">
        <v>0.39100000000000001</v>
      </c>
      <c r="R89" s="107">
        <v>744.39638799073884</v>
      </c>
      <c r="S89" s="108">
        <v>671.95083799999998</v>
      </c>
      <c r="U89" s="110"/>
      <c r="V89" s="110"/>
    </row>
    <row r="90" spans="1:22" ht="15.75">
      <c r="A90" s="95"/>
      <c r="B90" s="113" t="s">
        <v>605</v>
      </c>
      <c r="C90" s="107">
        <v>455.81276100000002</v>
      </c>
      <c r="D90" s="107">
        <v>159.20860000000002</v>
      </c>
      <c r="E90" s="107">
        <v>146.78417870015107</v>
      </c>
      <c r="F90" s="107">
        <v>77.992688299999998</v>
      </c>
      <c r="G90" s="107">
        <v>40.271869114967224</v>
      </c>
      <c r="H90" s="107">
        <v>26.330851800000001</v>
      </c>
      <c r="I90" s="107">
        <v>2.1887695061040753</v>
      </c>
      <c r="J90" s="107">
        <v>2.5710000000000002</v>
      </c>
      <c r="K90" s="107">
        <v>764.37653970015106</v>
      </c>
      <c r="L90" s="107">
        <v>1.5263890100000002</v>
      </c>
      <c r="M90" s="107">
        <v>765.90292871015106</v>
      </c>
      <c r="N90" s="107">
        <v>232.60481613004998</v>
      </c>
      <c r="O90" s="107">
        <v>998.507745</v>
      </c>
      <c r="P90" s="107">
        <v>251.56301637175935</v>
      </c>
      <c r="Q90" s="107">
        <v>0.39100000000000001</v>
      </c>
      <c r="R90" s="107">
        <v>747.33572846415188</v>
      </c>
      <c r="S90" s="108">
        <v>674.71823100000006</v>
      </c>
      <c r="U90" s="110"/>
      <c r="V90" s="110"/>
    </row>
    <row r="91" spans="1:22" ht="15.75">
      <c r="A91" s="95"/>
      <c r="B91" s="113" t="s">
        <v>606</v>
      </c>
      <c r="C91" s="107">
        <v>457.80717200000004</v>
      </c>
      <c r="D91" s="107">
        <v>159.74126899999999</v>
      </c>
      <c r="E91" s="107">
        <v>147.26323388923566</v>
      </c>
      <c r="F91" s="107">
        <v>78.249665100000001</v>
      </c>
      <c r="G91" s="107">
        <v>40.494156673974082</v>
      </c>
      <c r="H91" s="107">
        <v>26.316047900000001</v>
      </c>
      <c r="I91" s="107">
        <v>2.2033641803514454</v>
      </c>
      <c r="J91" s="107">
        <v>2.5710000000000002</v>
      </c>
      <c r="K91" s="107">
        <v>767.38267488923566</v>
      </c>
      <c r="L91" s="107">
        <v>1.4606744699999998</v>
      </c>
      <c r="M91" s="107">
        <v>768.84334935923562</v>
      </c>
      <c r="N91" s="107">
        <v>233.17444014687055</v>
      </c>
      <c r="O91" s="107">
        <v>1002.01779</v>
      </c>
      <c r="P91" s="107">
        <v>252.21315219763429</v>
      </c>
      <c r="Q91" s="107">
        <v>0.39100000000000001</v>
      </c>
      <c r="R91" s="107">
        <v>750.19563731162179</v>
      </c>
      <c r="S91" s="108">
        <v>677.41105000000005</v>
      </c>
      <c r="U91" s="110"/>
      <c r="V91" s="110"/>
    </row>
    <row r="92" spans="1:22" ht="15.75">
      <c r="A92" s="95"/>
      <c r="B92" s="113" t="s">
        <v>607</v>
      </c>
      <c r="C92" s="107">
        <v>459.79650099999998</v>
      </c>
      <c r="D92" s="107">
        <v>160.34739000000002</v>
      </c>
      <c r="E92" s="107">
        <v>147.72937526253739</v>
      </c>
      <c r="F92" s="107">
        <v>78.515243700000028</v>
      </c>
      <c r="G92" s="107">
        <v>40.693176554354444</v>
      </c>
      <c r="H92" s="107">
        <v>26.304931400000001</v>
      </c>
      <c r="I92" s="107">
        <v>2.2160236760699932</v>
      </c>
      <c r="J92" s="107">
        <v>2.5710000000000002</v>
      </c>
      <c r="K92" s="107">
        <v>770.44426626253744</v>
      </c>
      <c r="L92" s="107">
        <v>1.32585771</v>
      </c>
      <c r="M92" s="107">
        <v>771.77012397253748</v>
      </c>
      <c r="N92" s="107">
        <v>233.72680776000917</v>
      </c>
      <c r="O92" s="107">
        <v>1005.49693</v>
      </c>
      <c r="P92" s="107">
        <v>252.86700948314314</v>
      </c>
      <c r="Q92" s="107">
        <v>0.39100000000000001</v>
      </c>
      <c r="R92" s="107">
        <v>753.02092224653006</v>
      </c>
      <c r="S92" s="108">
        <v>680.07004299999994</v>
      </c>
      <c r="U92" s="110"/>
      <c r="V92" s="110"/>
    </row>
    <row r="93" spans="1:22" ht="15.75">
      <c r="A93" s="95"/>
      <c r="B93" s="113" t="s">
        <v>608</v>
      </c>
      <c r="C93" s="107">
        <v>461.76681199999996</v>
      </c>
      <c r="D93" s="107">
        <v>161.01410099999998</v>
      </c>
      <c r="E93" s="107">
        <v>148.1679455127715</v>
      </c>
      <c r="F93" s="107">
        <v>78.797399300000009</v>
      </c>
      <c r="G93" s="107">
        <v>40.869297533288339</v>
      </c>
      <c r="H93" s="107">
        <v>26.274156399999999</v>
      </c>
      <c r="I93" s="107">
        <v>2.227092221469789</v>
      </c>
      <c r="J93" s="107">
        <v>2.5710000000000002</v>
      </c>
      <c r="K93" s="107">
        <v>773.51985851277141</v>
      </c>
      <c r="L93" s="107">
        <v>1.4012374500000002</v>
      </c>
      <c r="M93" s="107">
        <v>774.92109596277146</v>
      </c>
      <c r="N93" s="107">
        <v>234.21591924197696</v>
      </c>
      <c r="O93" s="107">
        <v>1009.13702</v>
      </c>
      <c r="P93" s="107">
        <v>253.59595758132073</v>
      </c>
      <c r="Q93" s="107">
        <v>0.39100000000000001</v>
      </c>
      <c r="R93" s="107">
        <v>755.93205762754724</v>
      </c>
      <c r="S93" s="108">
        <v>682.80465800000002</v>
      </c>
      <c r="U93" s="110"/>
      <c r="V93" s="110"/>
    </row>
    <row r="94" spans="1:22" ht="15.75">
      <c r="A94" s="95"/>
      <c r="B94" s="113" t="s">
        <v>609</v>
      </c>
      <c r="C94" s="107">
        <v>463.72549699999996</v>
      </c>
      <c r="D94" s="107">
        <v>161.74862100000001</v>
      </c>
      <c r="E94" s="107">
        <v>148.74539902920662</v>
      </c>
      <c r="F94" s="107">
        <v>79.06071279999999</v>
      </c>
      <c r="G94" s="107">
        <v>41.092676502994046</v>
      </c>
      <c r="H94" s="107">
        <v>26.351373200000005</v>
      </c>
      <c r="I94" s="107">
        <v>2.2406365810251216</v>
      </c>
      <c r="J94" s="107">
        <v>2.5710000000000002</v>
      </c>
      <c r="K94" s="107">
        <v>776.79051702920663</v>
      </c>
      <c r="L94" s="107">
        <v>1.3461865099999999</v>
      </c>
      <c r="M94" s="107">
        <v>778.13670353920668</v>
      </c>
      <c r="N94" s="107">
        <v>234.7098823016722</v>
      </c>
      <c r="O94" s="107">
        <v>1012.84659</v>
      </c>
      <c r="P94" s="107">
        <v>254.37682839328932</v>
      </c>
      <c r="Q94" s="107">
        <v>0.39100000000000001</v>
      </c>
      <c r="R94" s="107">
        <v>758.86075744489574</v>
      </c>
      <c r="S94" s="108">
        <v>685.55295100000001</v>
      </c>
      <c r="U94" s="110"/>
      <c r="V94" s="110"/>
    </row>
    <row r="95" spans="1:22" ht="15.75">
      <c r="A95" s="95"/>
      <c r="B95" s="113" t="s">
        <v>610</v>
      </c>
      <c r="C95" s="107">
        <v>465.68083799999999</v>
      </c>
      <c r="D95" s="107">
        <v>162.51307299999999</v>
      </c>
      <c r="E95" s="107">
        <v>149.27153338903787</v>
      </c>
      <c r="F95" s="107">
        <v>79.358778300000012</v>
      </c>
      <c r="G95" s="107">
        <v>41.236961123458748</v>
      </c>
      <c r="H95" s="107">
        <v>26.425967700000001</v>
      </c>
      <c r="I95" s="107">
        <v>2.249826327918758</v>
      </c>
      <c r="J95" s="107">
        <v>2.5710000000000002</v>
      </c>
      <c r="K95" s="107">
        <v>780.0364443890378</v>
      </c>
      <c r="L95" s="107">
        <v>1.3411076900000001</v>
      </c>
      <c r="M95" s="107">
        <v>781.37755207903774</v>
      </c>
      <c r="N95" s="107">
        <v>235.18564071453036</v>
      </c>
      <c r="O95" s="107">
        <v>1016.56319</v>
      </c>
      <c r="P95" s="107">
        <v>255.16219352562649</v>
      </c>
      <c r="Q95" s="107">
        <v>0.39100000000000001</v>
      </c>
      <c r="R95" s="107">
        <v>761.79199926960951</v>
      </c>
      <c r="S95" s="108">
        <v>688.30133599999999</v>
      </c>
      <c r="U95" s="110"/>
      <c r="V95" s="110"/>
    </row>
    <row r="96" spans="1:22" ht="15.75">
      <c r="A96" s="95"/>
      <c r="B96" s="113" t="s">
        <v>611</v>
      </c>
      <c r="C96" s="107">
        <v>467.64437800000002</v>
      </c>
      <c r="D96" s="107">
        <v>163.28750200000002</v>
      </c>
      <c r="E96" s="107">
        <v>149.81327683942123</v>
      </c>
      <c r="F96" s="107">
        <v>79.663531300000002</v>
      </c>
      <c r="G96" s="107">
        <v>41.385808971300762</v>
      </c>
      <c r="H96" s="107">
        <v>26.504913200000001</v>
      </c>
      <c r="I96" s="107">
        <v>2.2590233913201607</v>
      </c>
      <c r="J96" s="107">
        <v>2.5710000000000002</v>
      </c>
      <c r="K96" s="107">
        <v>783.3161568394213</v>
      </c>
      <c r="L96" s="107">
        <v>1.3454135200000001</v>
      </c>
      <c r="M96" s="107">
        <v>784.66157035942115</v>
      </c>
      <c r="N96" s="107">
        <v>235.66598142122191</v>
      </c>
      <c r="O96" s="107">
        <v>1020.3275500000001</v>
      </c>
      <c r="P96" s="107">
        <v>255.95204123618535</v>
      </c>
      <c r="Q96" s="107">
        <v>0.39100000000000001</v>
      </c>
      <c r="R96" s="107">
        <v>764.76651054751278</v>
      </c>
      <c r="S96" s="108">
        <v>691.08685100000002</v>
      </c>
      <c r="U96" s="110"/>
      <c r="V96" s="110"/>
    </row>
    <row r="97" spans="1:22" ht="15.75">
      <c r="A97" s="95"/>
      <c r="B97" s="114" t="s">
        <v>612</v>
      </c>
      <c r="C97" s="115">
        <v>469.62082699999996</v>
      </c>
      <c r="D97" s="115">
        <v>164.058818</v>
      </c>
      <c r="E97" s="115">
        <v>150.32552029184401</v>
      </c>
      <c r="F97" s="115">
        <v>79.969457699999992</v>
      </c>
      <c r="G97" s="115">
        <v>41.526983656312701</v>
      </c>
      <c r="H97" s="115">
        <v>26.561055400000001</v>
      </c>
      <c r="I97" s="115">
        <v>2.2680234760767521</v>
      </c>
      <c r="J97" s="115">
        <v>2.5710000000000002</v>
      </c>
      <c r="K97" s="115">
        <v>786.57616529184406</v>
      </c>
      <c r="L97" s="115">
        <v>1.33105739</v>
      </c>
      <c r="M97" s="115">
        <v>787.90722268184402</v>
      </c>
      <c r="N97" s="115">
        <v>236.19703542441465</v>
      </c>
      <c r="O97" s="115">
        <v>1024.1042600000001</v>
      </c>
      <c r="P97" s="115">
        <v>256.74636038731927</v>
      </c>
      <c r="Q97" s="115">
        <v>0.39100000000000001</v>
      </c>
      <c r="R97" s="115">
        <v>767.74889772139591</v>
      </c>
      <c r="S97" s="116">
        <v>693.87741099999994</v>
      </c>
      <c r="U97" s="110"/>
      <c r="V97" s="110"/>
    </row>
    <row r="98" spans="1:22" ht="15.75">
      <c r="A98" s="95"/>
      <c r="B98" s="113">
        <v>2008</v>
      </c>
      <c r="C98" s="107">
        <v>1433.3009999999999</v>
      </c>
      <c r="D98" s="107">
        <v>467.22699999999998</v>
      </c>
      <c r="E98" s="107">
        <v>399.17200000000003</v>
      </c>
      <c r="F98" s="107">
        <v>216.583</v>
      </c>
      <c r="G98" s="107">
        <v>109.895</v>
      </c>
      <c r="H98" s="107">
        <v>65.302000000000007</v>
      </c>
      <c r="I98" s="107">
        <v>10.192</v>
      </c>
      <c r="J98" s="107">
        <v>-0.77400000000000002</v>
      </c>
      <c r="K98" s="107">
        <v>2298.9259999999999</v>
      </c>
      <c r="L98" s="107">
        <v>-8.5790000000000006</v>
      </c>
      <c r="M98" s="107">
        <v>2290.3470000000002</v>
      </c>
      <c r="N98" s="107">
        <v>666.85400000000004</v>
      </c>
      <c r="O98" s="107">
        <v>2965.4850000000001</v>
      </c>
      <c r="P98" s="107">
        <v>657.98199999999997</v>
      </c>
      <c r="Q98" s="107">
        <v>0</v>
      </c>
      <c r="R98" s="107">
        <v>2306.0079999999998</v>
      </c>
      <c r="S98" s="108">
        <v>2020.5329999999999</v>
      </c>
      <c r="U98" s="110"/>
      <c r="V98" s="110"/>
    </row>
    <row r="99" spans="1:22" ht="15.75">
      <c r="A99" s="95"/>
      <c r="B99" s="113">
        <v>2009</v>
      </c>
      <c r="C99" s="107">
        <v>1389.4290000000001</v>
      </c>
      <c r="D99" s="107">
        <v>473.73399999999998</v>
      </c>
      <c r="E99" s="107">
        <v>352.84899999999999</v>
      </c>
      <c r="F99" s="107">
        <v>186.202</v>
      </c>
      <c r="G99" s="107">
        <v>84.584999999999994</v>
      </c>
      <c r="H99" s="107">
        <v>70.081000000000003</v>
      </c>
      <c r="I99" s="107">
        <v>13.208</v>
      </c>
      <c r="J99" s="107">
        <v>2.3860000000000001</v>
      </c>
      <c r="K99" s="107">
        <v>2218.3980000000001</v>
      </c>
      <c r="L99" s="107">
        <v>-29.007000000000001</v>
      </c>
      <c r="M99" s="107">
        <v>2189.3910000000001</v>
      </c>
      <c r="N99" s="107">
        <v>613.95299999999997</v>
      </c>
      <c r="O99" s="107">
        <v>2811.6860000000001</v>
      </c>
      <c r="P99" s="107">
        <v>610.29499999999996</v>
      </c>
      <c r="Q99" s="107">
        <v>0</v>
      </c>
      <c r="R99" s="107">
        <v>2200.2220000000002</v>
      </c>
      <c r="S99" s="108">
        <v>1930.174</v>
      </c>
    </row>
    <row r="100" spans="1:22" ht="15.75">
      <c r="A100" s="95"/>
      <c r="B100" s="113">
        <v>2010</v>
      </c>
      <c r="C100" s="107">
        <v>1427.124</v>
      </c>
      <c r="D100" s="107">
        <v>473.62599999999998</v>
      </c>
      <c r="E100" s="107">
        <v>361.21600000000001</v>
      </c>
      <c r="F100" s="107">
        <v>191.078</v>
      </c>
      <c r="G100" s="107">
        <v>86.256</v>
      </c>
      <c r="H100" s="107">
        <v>71.475999999999999</v>
      </c>
      <c r="I100" s="107">
        <v>13.466999999999999</v>
      </c>
      <c r="J100" s="107">
        <v>-0.51500000000000001</v>
      </c>
      <c r="K100" s="107">
        <v>2261.451</v>
      </c>
      <c r="L100" s="107">
        <v>-7.0250000000000004</v>
      </c>
      <c r="M100" s="107">
        <v>2254.4259999999999</v>
      </c>
      <c r="N100" s="107">
        <v>651.71</v>
      </c>
      <c r="O100" s="107">
        <v>2914.4859999999999</v>
      </c>
      <c r="P100" s="107">
        <v>663.08600000000001</v>
      </c>
      <c r="Q100" s="107">
        <v>0</v>
      </c>
      <c r="R100" s="107">
        <v>2249.9589999999998</v>
      </c>
      <c r="S100" s="108">
        <v>1980.7080000000001</v>
      </c>
    </row>
    <row r="101" spans="1:22" ht="15.75">
      <c r="A101" s="95"/>
      <c r="B101" s="113">
        <v>2011</v>
      </c>
      <c r="C101" s="107">
        <v>1418.1869999999999</v>
      </c>
      <c r="D101" s="107">
        <v>472.11</v>
      </c>
      <c r="E101" s="107">
        <v>360.60300000000001</v>
      </c>
      <c r="F101" s="107">
        <v>199.41900000000001</v>
      </c>
      <c r="G101" s="107">
        <v>82.73</v>
      </c>
      <c r="H101" s="107">
        <v>66.506</v>
      </c>
      <c r="I101" s="107">
        <v>12.301</v>
      </c>
      <c r="J101" s="107">
        <v>-0.77500000000000002</v>
      </c>
      <c r="K101" s="107">
        <v>2250.125</v>
      </c>
      <c r="L101" s="107">
        <v>0.43</v>
      </c>
      <c r="M101" s="107">
        <v>2250.5549999999998</v>
      </c>
      <c r="N101" s="107">
        <v>695.98900000000003</v>
      </c>
      <c r="O101" s="107">
        <v>2952.1089999999999</v>
      </c>
      <c r="P101" s="107">
        <v>681.26199999999994</v>
      </c>
      <c r="Q101" s="107">
        <v>0</v>
      </c>
      <c r="R101" s="107">
        <v>2269.116</v>
      </c>
      <c r="S101" s="108">
        <v>2007.6659999999999</v>
      </c>
    </row>
    <row r="102" spans="1:22" ht="15.75">
      <c r="A102" s="95"/>
      <c r="B102" s="113">
        <v>2012</v>
      </c>
      <c r="C102" s="107">
        <v>1446.1679999999999</v>
      </c>
      <c r="D102" s="107">
        <v>479.02100000000002</v>
      </c>
      <c r="E102" s="107">
        <v>367.983</v>
      </c>
      <c r="F102" s="107">
        <v>211.73</v>
      </c>
      <c r="G102" s="107">
        <v>82.477000000000004</v>
      </c>
      <c r="H102" s="107">
        <v>61.929000000000002</v>
      </c>
      <c r="I102" s="107">
        <v>11.295999999999999</v>
      </c>
      <c r="J102" s="107">
        <v>-1.609</v>
      </c>
      <c r="K102" s="107">
        <v>2291.5630000000001</v>
      </c>
      <c r="L102" s="107">
        <v>4.5449999999999999</v>
      </c>
      <c r="M102" s="107">
        <v>2296.1080000000002</v>
      </c>
      <c r="N102" s="107">
        <v>699.71100000000001</v>
      </c>
      <c r="O102" s="107">
        <v>3002.4589999999998</v>
      </c>
      <c r="P102" s="107">
        <v>696.649</v>
      </c>
      <c r="Q102" s="107">
        <v>0</v>
      </c>
      <c r="R102" s="107">
        <v>2303.7939999999999</v>
      </c>
      <c r="S102" s="108">
        <v>2049.0740000000001</v>
      </c>
    </row>
    <row r="103" spans="1:22" ht="15.75">
      <c r="A103" s="95"/>
      <c r="B103" s="113">
        <v>2013</v>
      </c>
      <c r="C103" s="107">
        <v>1477.9939999999999</v>
      </c>
      <c r="D103" s="107">
        <v>479.18900000000002</v>
      </c>
      <c r="E103" s="107">
        <v>383.41500000000002</v>
      </c>
      <c r="F103" s="107">
        <v>221.25399999999999</v>
      </c>
      <c r="G103" s="107">
        <v>92.358999999999995</v>
      </c>
      <c r="H103" s="107">
        <v>58.295000000000002</v>
      </c>
      <c r="I103" s="107">
        <v>10.777000000000001</v>
      </c>
      <c r="J103" s="107">
        <v>6.577</v>
      </c>
      <c r="K103" s="107">
        <v>2347.1750000000002</v>
      </c>
      <c r="L103" s="107">
        <v>0.64800000000000002</v>
      </c>
      <c r="M103" s="107">
        <v>2347.8229999999999</v>
      </c>
      <c r="N103" s="107">
        <v>702.7</v>
      </c>
      <c r="O103" s="107">
        <v>3064.5529999999999</v>
      </c>
      <c r="P103" s="107">
        <v>718.79600000000005</v>
      </c>
      <c r="Q103" s="107">
        <v>0</v>
      </c>
      <c r="R103" s="107">
        <v>2343.384</v>
      </c>
      <c r="S103" s="108">
        <v>2087.7820000000002</v>
      </c>
    </row>
    <row r="104" spans="1:22" ht="15.75">
      <c r="A104" s="95"/>
      <c r="B104" s="113">
        <v>2014</v>
      </c>
      <c r="C104" s="107">
        <v>1518.913</v>
      </c>
      <c r="D104" s="107">
        <v>490.334</v>
      </c>
      <c r="E104" s="107">
        <v>411.50700000000001</v>
      </c>
      <c r="F104" s="107">
        <v>235.726</v>
      </c>
      <c r="G104" s="107">
        <v>97.12</v>
      </c>
      <c r="H104" s="107">
        <v>65.430000000000007</v>
      </c>
      <c r="I104" s="107">
        <v>12.568</v>
      </c>
      <c r="J104" s="107">
        <v>4.9429999999999996</v>
      </c>
      <c r="K104" s="107">
        <v>2425.6970000000001</v>
      </c>
      <c r="L104" s="107">
        <v>20.925000000000001</v>
      </c>
      <c r="M104" s="107">
        <v>2446.6219999999998</v>
      </c>
      <c r="N104" s="107">
        <v>712.18399999999997</v>
      </c>
      <c r="O104" s="107">
        <v>3175.3870000000002</v>
      </c>
      <c r="P104" s="107">
        <v>755.20500000000004</v>
      </c>
      <c r="Q104" s="107">
        <v>0</v>
      </c>
      <c r="R104" s="107">
        <v>2417.4389999999999</v>
      </c>
      <c r="S104" s="108">
        <v>2155.8310000000001</v>
      </c>
    </row>
    <row r="105" spans="1:22" ht="15.75">
      <c r="A105" s="95"/>
      <c r="B105" s="113">
        <v>2015</v>
      </c>
      <c r="C105" s="107">
        <v>1563.941</v>
      </c>
      <c r="D105" s="107">
        <v>495.18900000000002</v>
      </c>
      <c r="E105" s="107">
        <v>439.37900000000002</v>
      </c>
      <c r="F105" s="107">
        <v>256.423</v>
      </c>
      <c r="G105" s="107">
        <v>103.508</v>
      </c>
      <c r="H105" s="107">
        <v>66.528000000000006</v>
      </c>
      <c r="I105" s="107">
        <v>12.047000000000001</v>
      </c>
      <c r="J105" s="107">
        <v>-0.83099999999999996</v>
      </c>
      <c r="K105" s="107">
        <v>2497.6779999999999</v>
      </c>
      <c r="L105" s="107">
        <v>8.9390000000000001</v>
      </c>
      <c r="M105" s="107">
        <v>2506.6170000000002</v>
      </c>
      <c r="N105" s="107">
        <v>738.202</v>
      </c>
      <c r="O105" s="107">
        <v>3263.96</v>
      </c>
      <c r="P105" s="107">
        <v>792.45</v>
      </c>
      <c r="Q105" s="107">
        <v>0</v>
      </c>
      <c r="R105" s="107">
        <v>2469.1819999999998</v>
      </c>
      <c r="S105" s="108">
        <v>2195.0709999999999</v>
      </c>
    </row>
    <row r="106" spans="1:22" ht="15.75">
      <c r="A106" s="95"/>
      <c r="B106" s="113">
        <v>2016</v>
      </c>
      <c r="C106" s="107">
        <v>1619.7670000000001</v>
      </c>
      <c r="D106" s="107">
        <v>499.524</v>
      </c>
      <c r="E106" s="107">
        <v>466.34500000000003</v>
      </c>
      <c r="F106" s="107">
        <v>276.23899999999998</v>
      </c>
      <c r="G106" s="107">
        <v>111.83199999999999</v>
      </c>
      <c r="H106" s="107">
        <v>65.012</v>
      </c>
      <c r="I106" s="107">
        <v>12.218</v>
      </c>
      <c r="J106" s="107">
        <v>-0.41199999999999998</v>
      </c>
      <c r="K106" s="107">
        <v>2585.2240000000002</v>
      </c>
      <c r="L106" s="107">
        <v>-15.807</v>
      </c>
      <c r="M106" s="107">
        <v>2569.4169999999999</v>
      </c>
      <c r="N106" s="107">
        <v>765.88</v>
      </c>
      <c r="O106" s="107">
        <v>3352.7759999999998</v>
      </c>
      <c r="P106" s="107">
        <v>827.95699999999999</v>
      </c>
      <c r="Q106" s="107">
        <v>0</v>
      </c>
      <c r="R106" s="107">
        <v>2523.665</v>
      </c>
      <c r="S106" s="108">
        <v>2244.3150000000001</v>
      </c>
    </row>
    <row r="107" spans="1:22" ht="15.75">
      <c r="A107" s="95"/>
      <c r="B107" s="113">
        <v>2017</v>
      </c>
      <c r="C107" s="107">
        <v>1653.27</v>
      </c>
      <c r="D107" s="107">
        <v>504.596</v>
      </c>
      <c r="E107" s="107">
        <v>484.36099999999999</v>
      </c>
      <c r="F107" s="107">
        <v>278.86200000000002</v>
      </c>
      <c r="G107" s="107">
        <v>121.82</v>
      </c>
      <c r="H107" s="107">
        <v>71.075000000000003</v>
      </c>
      <c r="I107" s="107">
        <v>12.088000000000001</v>
      </c>
      <c r="J107" s="107">
        <v>-0.76600000000000001</v>
      </c>
      <c r="K107" s="107">
        <v>2641.4609999999998</v>
      </c>
      <c r="L107" s="107">
        <v>-6.2290000000000001</v>
      </c>
      <c r="M107" s="107">
        <v>2635.232</v>
      </c>
      <c r="N107" s="107">
        <v>815.17200000000003</v>
      </c>
      <c r="O107" s="107">
        <v>3454.44</v>
      </c>
      <c r="P107" s="107">
        <v>853.30499999999995</v>
      </c>
      <c r="Q107" s="107">
        <v>0</v>
      </c>
      <c r="R107" s="107">
        <v>2599.9609999999998</v>
      </c>
      <c r="S107" s="108">
        <v>2315.596</v>
      </c>
    </row>
    <row r="108" spans="1:22" ht="15.75">
      <c r="A108" s="95"/>
      <c r="B108" s="113">
        <v>2018</v>
      </c>
      <c r="C108" s="107">
        <v>1687.414</v>
      </c>
      <c r="D108" s="107">
        <v>507.84100000000001</v>
      </c>
      <c r="E108" s="107">
        <v>483.363</v>
      </c>
      <c r="F108" s="107">
        <v>276.18799999999999</v>
      </c>
      <c r="G108" s="107">
        <v>130.036</v>
      </c>
      <c r="H108" s="107">
        <v>70.542000000000002</v>
      </c>
      <c r="I108" s="107">
        <v>6.3340000000000005</v>
      </c>
      <c r="J108" s="107">
        <v>1.6990000000000001</v>
      </c>
      <c r="K108" s="107">
        <v>2680.317</v>
      </c>
      <c r="L108" s="107">
        <v>-1.5</v>
      </c>
      <c r="M108" s="107">
        <v>2678.817</v>
      </c>
      <c r="N108" s="107">
        <v>846.41</v>
      </c>
      <c r="O108" s="107">
        <v>3523.6950000000002</v>
      </c>
      <c r="P108" s="107">
        <v>882.42399999999998</v>
      </c>
      <c r="Q108" s="107">
        <v>0</v>
      </c>
      <c r="R108" s="107">
        <v>2640.2950000000001</v>
      </c>
      <c r="S108" s="108">
        <v>2348.6849999999999</v>
      </c>
    </row>
    <row r="109" spans="1:22" ht="15.75">
      <c r="A109" s="95"/>
      <c r="B109" s="113">
        <v>2019</v>
      </c>
      <c r="C109" s="107">
        <v>1706.4960000000001</v>
      </c>
      <c r="D109" s="107">
        <v>522.79399999999998</v>
      </c>
      <c r="E109" s="107">
        <v>492.22699999999998</v>
      </c>
      <c r="F109" s="107">
        <v>280.22399999999999</v>
      </c>
      <c r="G109" s="107">
        <v>132.696</v>
      </c>
      <c r="H109" s="107">
        <v>72.89</v>
      </c>
      <c r="I109" s="107">
        <v>6.0812307799999994</v>
      </c>
      <c r="J109" s="107">
        <v>1.4359999999999999</v>
      </c>
      <c r="K109" s="107">
        <v>2722.953</v>
      </c>
      <c r="L109" s="107">
        <v>-1.02</v>
      </c>
      <c r="M109" s="107">
        <v>2721.933</v>
      </c>
      <c r="N109" s="107">
        <v>862.52099999999996</v>
      </c>
      <c r="O109" s="107">
        <v>3583.95</v>
      </c>
      <c r="P109" s="107">
        <v>909.625</v>
      </c>
      <c r="Q109" s="107">
        <v>0</v>
      </c>
      <c r="R109" s="107">
        <v>2673.4650000000001</v>
      </c>
      <c r="S109" s="108">
        <v>2381.1480000000001</v>
      </c>
    </row>
    <row r="110" spans="1:22" ht="15.75">
      <c r="A110" s="95"/>
      <c r="B110" s="113">
        <v>2020</v>
      </c>
      <c r="C110" s="107">
        <v>1486.3</v>
      </c>
      <c r="D110" s="107">
        <v>491.67700000000002</v>
      </c>
      <c r="E110" s="107">
        <v>443.52100000000002</v>
      </c>
      <c r="F110" s="107">
        <v>254.40899999999999</v>
      </c>
      <c r="G110" s="107">
        <v>107.342</v>
      </c>
      <c r="H110" s="107">
        <v>76.153000000000006</v>
      </c>
      <c r="I110" s="107">
        <v>5.3070708319999991</v>
      </c>
      <c r="J110" s="107">
        <v>0.63200000000000001</v>
      </c>
      <c r="K110" s="107">
        <v>2422.13</v>
      </c>
      <c r="L110" s="107">
        <v>-1.77</v>
      </c>
      <c r="M110" s="107">
        <v>2420.36</v>
      </c>
      <c r="N110" s="107">
        <v>758.88900000000001</v>
      </c>
      <c r="O110" s="107">
        <v>3178.0659999999998</v>
      </c>
      <c r="P110" s="107">
        <v>771.51199999999994</v>
      </c>
      <c r="Q110" s="107">
        <v>0</v>
      </c>
      <c r="R110" s="107">
        <v>2404.8380000000002</v>
      </c>
      <c r="S110" s="108">
        <v>2151.2350000000001</v>
      </c>
    </row>
    <row r="111" spans="1:22" ht="15.75">
      <c r="A111" s="95"/>
      <c r="B111" s="113">
        <v>2021</v>
      </c>
      <c r="C111" s="107">
        <v>1594.124</v>
      </c>
      <c r="D111" s="107">
        <v>555.57399999999996</v>
      </c>
      <c r="E111" s="107">
        <v>484.57600000000002</v>
      </c>
      <c r="F111" s="107">
        <v>269.55200000000002</v>
      </c>
      <c r="G111" s="107">
        <v>126.97</v>
      </c>
      <c r="H111" s="107">
        <v>81.638000000000005</v>
      </c>
      <c r="I111" s="107">
        <v>6.6759214799999995</v>
      </c>
      <c r="J111" s="107">
        <v>9.2530000000000001</v>
      </c>
      <c r="K111" s="107">
        <v>2643.527</v>
      </c>
      <c r="L111" s="107">
        <v>-1.5349999999999999</v>
      </c>
      <c r="M111" s="107">
        <v>2641.9920000000002</v>
      </c>
      <c r="N111" s="107">
        <v>780.61599999999999</v>
      </c>
      <c r="O111" s="107">
        <v>3426.1120000000001</v>
      </c>
      <c r="P111" s="107">
        <v>812.23199999999997</v>
      </c>
      <c r="Q111" s="107">
        <v>0</v>
      </c>
      <c r="R111" s="107">
        <v>2610.2860000000001</v>
      </c>
      <c r="S111" s="108">
        <v>2341.0549999999998</v>
      </c>
    </row>
    <row r="112" spans="1:22" ht="15.75">
      <c r="A112" s="95"/>
      <c r="B112" s="113">
        <v>2022</v>
      </c>
      <c r="C112" s="107">
        <v>1715.6569999999999</v>
      </c>
      <c r="D112" s="107">
        <v>555.94899999999996</v>
      </c>
      <c r="E112" s="107">
        <v>517.505</v>
      </c>
      <c r="F112" s="107">
        <v>284.22399999999999</v>
      </c>
      <c r="G112" s="107">
        <v>141.52600000000001</v>
      </c>
      <c r="H112" s="107">
        <v>84.221999999999994</v>
      </c>
      <c r="I112" s="107">
        <v>7.3328516699999993</v>
      </c>
      <c r="J112" s="107">
        <v>-19.806000000000001</v>
      </c>
      <c r="K112" s="107">
        <v>2769.3049999999998</v>
      </c>
      <c r="L112" s="107">
        <v>3.3130000000000002</v>
      </c>
      <c r="M112" s="107">
        <v>2772.6179999999999</v>
      </c>
      <c r="N112" s="107">
        <v>899.37699999999995</v>
      </c>
      <c r="O112" s="107">
        <v>3670.5</v>
      </c>
      <c r="P112" s="107">
        <v>925.24800000000005</v>
      </c>
      <c r="Q112" s="107">
        <v>0</v>
      </c>
      <c r="R112" s="107">
        <v>2744.7080000000001</v>
      </c>
      <c r="S112" s="108">
        <v>2451.9110000000001</v>
      </c>
    </row>
    <row r="113" spans="1:20" ht="15.75">
      <c r="A113" s="95"/>
      <c r="B113" s="113">
        <v>2023</v>
      </c>
      <c r="C113" s="107">
        <v>1708.903</v>
      </c>
      <c r="D113" s="107">
        <v>567.36900000000003</v>
      </c>
      <c r="E113" s="107">
        <v>520.09100000000001</v>
      </c>
      <c r="F113" s="107">
        <v>290.58699999999999</v>
      </c>
      <c r="G113" s="107">
        <v>133.404</v>
      </c>
      <c r="H113" s="107">
        <v>88.233000000000004</v>
      </c>
      <c r="I113" s="107">
        <v>7.01288585</v>
      </c>
      <c r="J113" s="107">
        <v>-13.342000000000001</v>
      </c>
      <c r="K113" s="107">
        <v>2783.0210000000002</v>
      </c>
      <c r="L113" s="107">
        <v>1.284</v>
      </c>
      <c r="M113" s="107">
        <v>2784.3049999999998</v>
      </c>
      <c r="N113" s="107">
        <v>878.27800000000002</v>
      </c>
      <c r="O113" s="107">
        <v>3662.5830000000001</v>
      </c>
      <c r="P113" s="107">
        <v>910.41899999999998</v>
      </c>
      <c r="Q113" s="107">
        <v>0</v>
      </c>
      <c r="R113" s="107">
        <v>2752.1640000000002</v>
      </c>
      <c r="S113" s="108">
        <v>2470.7139999999999</v>
      </c>
    </row>
    <row r="114" spans="1:20" ht="15.75">
      <c r="A114" s="95"/>
      <c r="B114" s="113">
        <v>2024</v>
      </c>
      <c r="C114" s="107">
        <v>1705.3620000000001</v>
      </c>
      <c r="D114" s="107">
        <v>586.40099999999995</v>
      </c>
      <c r="E114" s="107">
        <v>529.21699999999998</v>
      </c>
      <c r="F114" s="107">
        <v>297.13400000000001</v>
      </c>
      <c r="G114" s="107">
        <v>131.59800000000001</v>
      </c>
      <c r="H114" s="107">
        <v>91.888999999999996</v>
      </c>
      <c r="I114" s="107">
        <v>7.0305068000000004</v>
      </c>
      <c r="J114" s="107">
        <v>5.9050000000000002</v>
      </c>
      <c r="K114" s="107">
        <v>2826.8850000000002</v>
      </c>
      <c r="L114" s="107">
        <v>4.2110000000000003</v>
      </c>
      <c r="M114" s="107">
        <v>2831.096</v>
      </c>
      <c r="N114" s="107">
        <v>884.03</v>
      </c>
      <c r="O114" s="107">
        <v>3715.1260000000002</v>
      </c>
      <c r="P114" s="107">
        <v>934.02</v>
      </c>
      <c r="Q114" s="107">
        <v>2.0590000000000002</v>
      </c>
      <c r="R114" s="107">
        <v>2783.165</v>
      </c>
      <c r="S114" s="108">
        <v>2503.7629999999999</v>
      </c>
    </row>
    <row r="115" spans="1:20" ht="15.75">
      <c r="A115" s="95"/>
      <c r="B115" s="113">
        <v>2025</v>
      </c>
      <c r="C115" s="107">
        <v>1720.4505819999999</v>
      </c>
      <c r="D115" s="107">
        <v>598.34885699999995</v>
      </c>
      <c r="E115" s="107">
        <v>540.72251252573199</v>
      </c>
      <c r="F115" s="107">
        <v>305.47003600000005</v>
      </c>
      <c r="G115" s="107">
        <v>132.96730720743494</v>
      </c>
      <c r="H115" s="107">
        <v>94.143502400000003</v>
      </c>
      <c r="I115" s="107">
        <v>7.1039981966858807</v>
      </c>
      <c r="J115" s="107">
        <v>13.557</v>
      </c>
      <c r="K115" s="107">
        <v>2873.078951525732</v>
      </c>
      <c r="L115" s="107">
        <v>5.3810162500000009</v>
      </c>
      <c r="M115" s="107">
        <v>2878.4599677757319</v>
      </c>
      <c r="N115" s="107">
        <v>912.97260600332891</v>
      </c>
      <c r="O115" s="107">
        <v>3791.4325730000005</v>
      </c>
      <c r="P115" s="107">
        <v>968.54669608607674</v>
      </c>
      <c r="Q115" s="107">
        <v>1.5629999999999999</v>
      </c>
      <c r="R115" s="107">
        <v>2824.4488776913859</v>
      </c>
      <c r="S115" s="108">
        <v>2542.4006849999996</v>
      </c>
    </row>
    <row r="116" spans="1:20" ht="15.75">
      <c r="A116" s="95"/>
      <c r="B116" s="113">
        <v>2026</v>
      </c>
      <c r="C116" s="107">
        <v>1740.611678</v>
      </c>
      <c r="D116" s="107">
        <v>611.51033600000005</v>
      </c>
      <c r="E116" s="107">
        <v>547.78744999615174</v>
      </c>
      <c r="F116" s="107">
        <v>304.35091850000003</v>
      </c>
      <c r="G116" s="107">
        <v>134.81570253309314</v>
      </c>
      <c r="H116" s="107">
        <v>101.44796839999999</v>
      </c>
      <c r="I116" s="107">
        <v>7.1728605950219322</v>
      </c>
      <c r="J116" s="107">
        <v>10.284000000000001</v>
      </c>
      <c r="K116" s="107">
        <v>2910.1934639961514</v>
      </c>
      <c r="L116" s="107">
        <v>5.3833121869999996</v>
      </c>
      <c r="M116" s="107">
        <v>2915.5767761831517</v>
      </c>
      <c r="N116" s="107">
        <v>916.2899935278549</v>
      </c>
      <c r="O116" s="107">
        <v>3831.8667689999997</v>
      </c>
      <c r="P116" s="107">
        <v>970.24552115764436</v>
      </c>
      <c r="Q116" s="107">
        <v>1.5640000000000001</v>
      </c>
      <c r="R116" s="107">
        <v>2863.1852485510985</v>
      </c>
      <c r="S116" s="108">
        <v>2579.1589089999998</v>
      </c>
    </row>
    <row r="117" spans="1:20" ht="15.75">
      <c r="A117" s="95"/>
      <c r="B117" s="113">
        <v>2027</v>
      </c>
      <c r="C117" s="107">
        <v>1767.2214050000002</v>
      </c>
      <c r="D117" s="107">
        <v>622.24953199999993</v>
      </c>
      <c r="E117" s="107">
        <v>564.7759854802224</v>
      </c>
      <c r="F117" s="107">
        <v>306.07612399999999</v>
      </c>
      <c r="G117" s="107">
        <v>144.01812173148122</v>
      </c>
      <c r="H117" s="107">
        <v>106.9576311</v>
      </c>
      <c r="I117" s="107">
        <v>7.7241086659922633</v>
      </c>
      <c r="J117" s="107">
        <v>10.284000000000001</v>
      </c>
      <c r="K117" s="107">
        <v>2964.5309224802222</v>
      </c>
      <c r="L117" s="107">
        <v>4.7571779699999999</v>
      </c>
      <c r="M117" s="107">
        <v>2969.2881004502224</v>
      </c>
      <c r="N117" s="107">
        <v>919.4329714750786</v>
      </c>
      <c r="O117" s="107">
        <v>3888.7210720000003</v>
      </c>
      <c r="P117" s="107">
        <v>982.93123650956306</v>
      </c>
      <c r="Q117" s="107">
        <v>1.5640000000000001</v>
      </c>
      <c r="R117" s="107">
        <v>2907.3538354180519</v>
      </c>
      <c r="S117" s="108">
        <v>2621.2085420000003</v>
      </c>
    </row>
    <row r="118" spans="1:20" ht="15.75">
      <c r="A118" s="95"/>
      <c r="B118" s="113">
        <v>2028</v>
      </c>
      <c r="C118" s="107">
        <v>1795.5639569999998</v>
      </c>
      <c r="D118" s="107">
        <v>630.57928900000002</v>
      </c>
      <c r="E118" s="107">
        <v>579.04475212187481</v>
      </c>
      <c r="F118" s="107">
        <v>308.79869050000002</v>
      </c>
      <c r="G118" s="107">
        <v>155.0696212170208</v>
      </c>
      <c r="H118" s="107">
        <v>106.78001850000001</v>
      </c>
      <c r="I118" s="107">
        <v>8.3964218637128738</v>
      </c>
      <c r="J118" s="107">
        <v>10.284000000000001</v>
      </c>
      <c r="K118" s="107">
        <v>3015.4719981218745</v>
      </c>
      <c r="L118" s="107">
        <v>5.0064771400000003</v>
      </c>
      <c r="M118" s="107">
        <v>3020.4784752618743</v>
      </c>
      <c r="N118" s="107">
        <v>924.16120556392593</v>
      </c>
      <c r="O118" s="107">
        <v>3944.6396810000001</v>
      </c>
      <c r="P118" s="107">
        <v>996.18628419018341</v>
      </c>
      <c r="Q118" s="107">
        <v>1.5640000000000001</v>
      </c>
      <c r="R118" s="107">
        <v>2950.0173966243797</v>
      </c>
      <c r="S118" s="108">
        <v>2661.7355269999998</v>
      </c>
      <c r="T118" s="117"/>
    </row>
    <row r="119" spans="1:20" ht="15.75">
      <c r="A119" s="95"/>
      <c r="B119" s="113">
        <v>2029</v>
      </c>
      <c r="C119" s="107">
        <v>1827.228507</v>
      </c>
      <c r="D119" s="107">
        <v>638.024721</v>
      </c>
      <c r="E119" s="107">
        <v>587.97553991075506</v>
      </c>
      <c r="F119" s="107">
        <v>312.492414</v>
      </c>
      <c r="G119" s="107">
        <v>161.35944185464422</v>
      </c>
      <c r="H119" s="107">
        <v>105.3494125</v>
      </c>
      <c r="I119" s="107">
        <v>8.7742715763534243</v>
      </c>
      <c r="J119" s="107">
        <v>10.284000000000001</v>
      </c>
      <c r="K119" s="107">
        <v>3063.5127679107554</v>
      </c>
      <c r="L119" s="107">
        <v>5.8387663200000004</v>
      </c>
      <c r="M119" s="107">
        <v>3069.3515342307551</v>
      </c>
      <c r="N119" s="107">
        <v>931.56944911447545</v>
      </c>
      <c r="O119" s="107">
        <v>4000.9209820000001</v>
      </c>
      <c r="P119" s="107">
        <v>1007.5363073261327</v>
      </c>
      <c r="Q119" s="107">
        <v>1.5640000000000001</v>
      </c>
      <c r="R119" s="107">
        <v>2994.9486760130426</v>
      </c>
      <c r="S119" s="108">
        <v>2704.1501619999999</v>
      </c>
    </row>
    <row r="120" spans="1:20" ht="15.75">
      <c r="A120" s="95"/>
      <c r="B120" s="114">
        <v>2030</v>
      </c>
      <c r="C120" s="115">
        <v>1858.8175249999999</v>
      </c>
      <c r="D120" s="115">
        <v>648.56329700000003</v>
      </c>
      <c r="E120" s="115">
        <v>595.99815477043717</v>
      </c>
      <c r="F120" s="115">
        <v>316.8804217</v>
      </c>
      <c r="G120" s="115">
        <v>164.5847441310419</v>
      </c>
      <c r="H120" s="115">
        <v>105.55641050000001</v>
      </c>
      <c r="I120" s="115">
        <v>8.9765785217338294</v>
      </c>
      <c r="J120" s="115">
        <v>10.284000000000001</v>
      </c>
      <c r="K120" s="115">
        <v>3113.6629767704367</v>
      </c>
      <c r="L120" s="115">
        <v>5.4339451700000003</v>
      </c>
      <c r="M120" s="115">
        <v>3119.0969219404369</v>
      </c>
      <c r="N120" s="115">
        <v>939.77742367940141</v>
      </c>
      <c r="O120" s="115">
        <v>4058.8743499999996</v>
      </c>
      <c r="P120" s="115">
        <v>1019.0870207364218</v>
      </c>
      <c r="Q120" s="115">
        <v>1.5640000000000001</v>
      </c>
      <c r="R120" s="115">
        <v>3041.3513248895647</v>
      </c>
      <c r="S120" s="116">
        <v>2747.7457960000002</v>
      </c>
    </row>
    <row r="121" spans="1:20" ht="15.75">
      <c r="A121" s="95"/>
      <c r="B121" s="113" t="s">
        <v>613</v>
      </c>
      <c r="C121" s="107">
        <v>1412.941</v>
      </c>
      <c r="D121" s="107">
        <v>469.09300000000002</v>
      </c>
      <c r="E121" s="107">
        <v>388.30099999999999</v>
      </c>
      <c r="F121" s="107">
        <v>212.94</v>
      </c>
      <c r="G121" s="107">
        <v>99.97</v>
      </c>
      <c r="H121" s="107">
        <v>66.048000000000002</v>
      </c>
      <c r="I121" s="107">
        <v>11.693</v>
      </c>
      <c r="J121" s="107">
        <v>0.123</v>
      </c>
      <c r="K121" s="107">
        <v>2270.4580000000001</v>
      </c>
      <c r="L121" s="107">
        <v>-11.510999999999999</v>
      </c>
      <c r="M121" s="107">
        <v>2258.9470000000001</v>
      </c>
      <c r="N121" s="107">
        <v>651.27200000000005</v>
      </c>
      <c r="O121" s="107">
        <v>2909.4940000000001</v>
      </c>
      <c r="P121" s="107">
        <v>638.26199999999994</v>
      </c>
      <c r="Q121" s="107">
        <v>0</v>
      </c>
      <c r="R121" s="107">
        <v>2269.7689999999998</v>
      </c>
      <c r="S121" s="108">
        <v>1990.3050000000001</v>
      </c>
    </row>
    <row r="122" spans="1:20" ht="15.75">
      <c r="A122" s="95"/>
      <c r="B122" s="113" t="s">
        <v>614</v>
      </c>
      <c r="C122" s="107">
        <v>1392.444</v>
      </c>
      <c r="D122" s="107">
        <v>473.82100000000003</v>
      </c>
      <c r="E122" s="107">
        <v>352.06099999999998</v>
      </c>
      <c r="F122" s="107">
        <v>184.905</v>
      </c>
      <c r="G122" s="107">
        <v>83.561999999999998</v>
      </c>
      <c r="H122" s="107">
        <v>71.236999999999995</v>
      </c>
      <c r="I122" s="107">
        <v>13.344999999999999</v>
      </c>
      <c r="J122" s="107">
        <v>0.504</v>
      </c>
      <c r="K122" s="107">
        <v>2218.83</v>
      </c>
      <c r="L122" s="107">
        <v>-23.809000000000001</v>
      </c>
      <c r="M122" s="107">
        <v>2195.0210000000002</v>
      </c>
      <c r="N122" s="107">
        <v>619.22199999999998</v>
      </c>
      <c r="O122" s="107">
        <v>2826.8989999999999</v>
      </c>
      <c r="P122" s="107">
        <v>619.96400000000006</v>
      </c>
      <c r="Q122" s="107">
        <v>0</v>
      </c>
      <c r="R122" s="107">
        <v>2205.7730000000001</v>
      </c>
      <c r="S122" s="108">
        <v>1935.85</v>
      </c>
    </row>
    <row r="123" spans="1:20" ht="15.75">
      <c r="A123" s="95"/>
      <c r="B123" s="113" t="s">
        <v>615</v>
      </c>
      <c r="C123" s="107">
        <v>1432.915</v>
      </c>
      <c r="D123" s="107">
        <v>474.904</v>
      </c>
      <c r="E123" s="107">
        <v>360.56700000000001</v>
      </c>
      <c r="F123" s="107">
        <v>190.97900000000001</v>
      </c>
      <c r="G123" s="107">
        <v>86.298000000000002</v>
      </c>
      <c r="H123" s="107">
        <v>71.25</v>
      </c>
      <c r="I123" s="107">
        <v>13.206</v>
      </c>
      <c r="J123" s="107">
        <v>-2.8130000000000002</v>
      </c>
      <c r="K123" s="107">
        <v>2265.5729999999999</v>
      </c>
      <c r="L123" s="107">
        <v>-4.6859999999999999</v>
      </c>
      <c r="M123" s="107">
        <v>2260.8870000000002</v>
      </c>
      <c r="N123" s="107">
        <v>669.16</v>
      </c>
      <c r="O123" s="107">
        <v>2933.663</v>
      </c>
      <c r="P123" s="107">
        <v>671.346</v>
      </c>
      <c r="Q123" s="107">
        <v>0</v>
      </c>
      <c r="R123" s="107">
        <v>2260.83</v>
      </c>
      <c r="S123" s="108">
        <v>1992.087</v>
      </c>
    </row>
    <row r="124" spans="1:20">
      <c r="B124" s="113" t="s">
        <v>616</v>
      </c>
      <c r="C124" s="107">
        <v>1417.864</v>
      </c>
      <c r="D124" s="107">
        <v>474.358</v>
      </c>
      <c r="E124" s="107">
        <v>364.452</v>
      </c>
      <c r="F124" s="107">
        <v>206.14099999999999</v>
      </c>
      <c r="G124" s="107">
        <v>81.575999999999993</v>
      </c>
      <c r="H124" s="107">
        <v>64.596999999999994</v>
      </c>
      <c r="I124" s="107">
        <v>11.977</v>
      </c>
      <c r="J124" s="107">
        <v>-0.13</v>
      </c>
      <c r="K124" s="107">
        <v>2256.5439999999999</v>
      </c>
      <c r="L124" s="107">
        <v>-5.0380000000000003</v>
      </c>
      <c r="M124" s="107">
        <v>2251.5059999999999</v>
      </c>
      <c r="N124" s="107">
        <v>701.65</v>
      </c>
      <c r="O124" s="107">
        <v>2964.8939999999998</v>
      </c>
      <c r="P124" s="107">
        <v>687.36699999999996</v>
      </c>
      <c r="Q124" s="107">
        <v>0</v>
      </c>
      <c r="R124" s="107">
        <v>2275.6590000000001</v>
      </c>
      <c r="S124" s="108">
        <v>2016.7940000000001</v>
      </c>
    </row>
    <row r="125" spans="1:20">
      <c r="B125" s="111" t="s">
        <v>617</v>
      </c>
      <c r="C125" s="107">
        <v>1456.88</v>
      </c>
      <c r="D125" s="107">
        <v>476.464</v>
      </c>
      <c r="E125" s="107">
        <v>367.58199999999999</v>
      </c>
      <c r="F125" s="107">
        <v>211.68</v>
      </c>
      <c r="G125" s="107">
        <v>84.167000000000002</v>
      </c>
      <c r="H125" s="107">
        <v>59.997</v>
      </c>
      <c r="I125" s="107">
        <v>11.248000000000001</v>
      </c>
      <c r="J125" s="107">
        <v>1.278</v>
      </c>
      <c r="K125" s="107">
        <v>2302.2040000000002</v>
      </c>
      <c r="L125" s="107">
        <v>9.3439999999999994</v>
      </c>
      <c r="M125" s="107">
        <v>2311.5479999999998</v>
      </c>
      <c r="N125" s="107">
        <v>694.34199999999998</v>
      </c>
      <c r="O125" s="107">
        <v>3008.674</v>
      </c>
      <c r="P125" s="107">
        <v>696.59900000000005</v>
      </c>
      <c r="Q125" s="107">
        <v>0</v>
      </c>
      <c r="R125" s="107">
        <v>2310.127</v>
      </c>
      <c r="S125" s="108">
        <v>2056.462</v>
      </c>
    </row>
    <row r="126" spans="1:20">
      <c r="B126" s="111" t="s">
        <v>618</v>
      </c>
      <c r="C126" s="107">
        <v>1485.9690000000001</v>
      </c>
      <c r="D126" s="107">
        <v>482.447</v>
      </c>
      <c r="E126" s="107">
        <v>391.59500000000003</v>
      </c>
      <c r="F126" s="107">
        <v>224.303</v>
      </c>
      <c r="G126" s="107">
        <v>95.087000000000003</v>
      </c>
      <c r="H126" s="107">
        <v>60.709000000000003</v>
      </c>
      <c r="I126" s="107">
        <v>10.786999999999999</v>
      </c>
      <c r="J126" s="107">
        <v>6.8479999999999999</v>
      </c>
      <c r="K126" s="107">
        <v>2366.8589999999999</v>
      </c>
      <c r="L126" s="107">
        <v>1.4770000000000001</v>
      </c>
      <c r="M126" s="107">
        <v>2368.3359999999998</v>
      </c>
      <c r="N126" s="107">
        <v>702.86400000000003</v>
      </c>
      <c r="O126" s="107">
        <v>3091.3319999999999</v>
      </c>
      <c r="P126" s="107">
        <v>728.399</v>
      </c>
      <c r="Q126" s="107">
        <v>0</v>
      </c>
      <c r="R126" s="107">
        <v>2360.3310000000001</v>
      </c>
      <c r="S126" s="108">
        <v>2102.7840000000001</v>
      </c>
    </row>
    <row r="127" spans="1:20">
      <c r="B127" s="111" t="s">
        <v>619</v>
      </c>
      <c r="C127" s="107">
        <v>1532.817</v>
      </c>
      <c r="D127" s="107">
        <v>490.51900000000001</v>
      </c>
      <c r="E127" s="107">
        <v>420.53699999999998</v>
      </c>
      <c r="F127" s="107">
        <v>242.94800000000001</v>
      </c>
      <c r="G127" s="107">
        <v>97.725999999999999</v>
      </c>
      <c r="H127" s="107">
        <v>66.022999999999996</v>
      </c>
      <c r="I127" s="107">
        <v>13.09</v>
      </c>
      <c r="J127" s="107">
        <v>6.3849999999999998</v>
      </c>
      <c r="K127" s="107">
        <v>2450.2579999999998</v>
      </c>
      <c r="L127" s="107">
        <v>25.945</v>
      </c>
      <c r="M127" s="107">
        <v>2476.203</v>
      </c>
      <c r="N127" s="107">
        <v>717.58199999999999</v>
      </c>
      <c r="O127" s="107">
        <v>3207.7379999999998</v>
      </c>
      <c r="P127" s="107">
        <v>771.18399999999997</v>
      </c>
      <c r="Q127" s="107">
        <v>0</v>
      </c>
      <c r="R127" s="107">
        <v>2433.819</v>
      </c>
      <c r="S127" s="108">
        <v>2170.395</v>
      </c>
    </row>
    <row r="128" spans="1:20">
      <c r="B128" s="111" t="s">
        <v>620</v>
      </c>
      <c r="C128" s="107">
        <v>1577.1020000000001</v>
      </c>
      <c r="D128" s="107">
        <v>497.553</v>
      </c>
      <c r="E128" s="107">
        <v>442.76100000000002</v>
      </c>
      <c r="F128" s="107">
        <v>261.55900000000003</v>
      </c>
      <c r="G128" s="107">
        <v>105.417</v>
      </c>
      <c r="H128" s="107">
        <v>63.152999999999999</v>
      </c>
      <c r="I128" s="107">
        <v>11.724</v>
      </c>
      <c r="J128" s="107">
        <v>-2.8740000000000001</v>
      </c>
      <c r="K128" s="107">
        <v>2514.5419999999999</v>
      </c>
      <c r="L128" s="107">
        <v>-1.845</v>
      </c>
      <c r="M128" s="107">
        <v>2512.6970000000001</v>
      </c>
      <c r="N128" s="107">
        <v>745.13099999999997</v>
      </c>
      <c r="O128" s="107">
        <v>3280.4969999999998</v>
      </c>
      <c r="P128" s="107">
        <v>797.21600000000001</v>
      </c>
      <c r="Q128" s="107">
        <v>0</v>
      </c>
      <c r="R128" s="107">
        <v>2481.2049999999999</v>
      </c>
      <c r="S128" s="108">
        <v>2204.23</v>
      </c>
    </row>
    <row r="129" spans="2:19">
      <c r="B129" s="111" t="s">
        <v>621</v>
      </c>
      <c r="C129" s="107">
        <v>1630.1990000000001</v>
      </c>
      <c r="D129" s="107">
        <v>500.04899999999998</v>
      </c>
      <c r="E129" s="107">
        <v>471.32600000000002</v>
      </c>
      <c r="F129" s="107">
        <v>276.50400000000002</v>
      </c>
      <c r="G129" s="107">
        <v>114.953</v>
      </c>
      <c r="H129" s="107">
        <v>66.581999999999994</v>
      </c>
      <c r="I129" s="107">
        <v>12.315000000000001</v>
      </c>
      <c r="J129" s="107">
        <v>-1.7969999999999999</v>
      </c>
      <c r="K129" s="107">
        <v>2599.777</v>
      </c>
      <c r="L129" s="107">
        <v>-12.356</v>
      </c>
      <c r="M129" s="107">
        <v>2587.4209999999998</v>
      </c>
      <c r="N129" s="107">
        <v>776.56700000000001</v>
      </c>
      <c r="O129" s="107">
        <v>3375.12</v>
      </c>
      <c r="P129" s="107">
        <v>832.92600000000004</v>
      </c>
      <c r="Q129" s="107">
        <v>0</v>
      </c>
      <c r="R129" s="107">
        <v>2541.029</v>
      </c>
      <c r="S129" s="108">
        <v>2261.2860000000001</v>
      </c>
    </row>
    <row r="130" spans="2:19">
      <c r="B130" s="111" t="s">
        <v>622</v>
      </c>
      <c r="C130" s="107">
        <v>1661.473</v>
      </c>
      <c r="D130" s="107">
        <v>505.834</v>
      </c>
      <c r="E130" s="107">
        <v>488.82299999999998</v>
      </c>
      <c r="F130" s="107">
        <v>280.54599999999999</v>
      </c>
      <c r="G130" s="107">
        <v>123.854</v>
      </c>
      <c r="H130" s="107">
        <v>73.337000000000003</v>
      </c>
      <c r="I130" s="107">
        <v>10.667</v>
      </c>
      <c r="J130" s="107">
        <v>0.26200000000000001</v>
      </c>
      <c r="K130" s="107">
        <v>2656.3919999999998</v>
      </c>
      <c r="L130" s="107">
        <v>-6.7430000000000003</v>
      </c>
      <c r="M130" s="107">
        <v>2649.6489999999999</v>
      </c>
      <c r="N130" s="107">
        <v>825.66800000000001</v>
      </c>
      <c r="O130" s="107">
        <v>3476.53</v>
      </c>
      <c r="P130" s="107">
        <v>860.20399999999995</v>
      </c>
      <c r="Q130" s="107">
        <v>0</v>
      </c>
      <c r="R130" s="107">
        <v>2615.239</v>
      </c>
      <c r="S130" s="108">
        <v>2328.357</v>
      </c>
    </row>
    <row r="131" spans="2:19">
      <c r="B131" s="111" t="s">
        <v>623</v>
      </c>
      <c r="C131" s="107">
        <v>1694.8320000000001</v>
      </c>
      <c r="D131" s="107">
        <v>510.19400000000002</v>
      </c>
      <c r="E131" s="107">
        <v>484.947</v>
      </c>
      <c r="F131" s="107">
        <v>274.92899999999997</v>
      </c>
      <c r="G131" s="107">
        <v>132.07300000000001</v>
      </c>
      <c r="H131" s="107">
        <v>71.534999999999997</v>
      </c>
      <c r="I131" s="107">
        <v>6.1691511999999999</v>
      </c>
      <c r="J131" s="107">
        <v>13.868</v>
      </c>
      <c r="K131" s="107">
        <v>2703.8409999999999</v>
      </c>
      <c r="L131" s="107">
        <v>10.005000000000001</v>
      </c>
      <c r="M131" s="107">
        <v>2713.846</v>
      </c>
      <c r="N131" s="107">
        <v>847.95799999999997</v>
      </c>
      <c r="O131" s="107">
        <v>3561.413</v>
      </c>
      <c r="P131" s="107">
        <v>912.71799999999996</v>
      </c>
      <c r="Q131" s="107">
        <v>0</v>
      </c>
      <c r="R131" s="107">
        <v>2648.01</v>
      </c>
      <c r="S131" s="108">
        <v>2355.8389999999999</v>
      </c>
    </row>
    <row r="132" spans="2:19">
      <c r="B132" s="111" t="s">
        <v>624</v>
      </c>
      <c r="C132" s="107">
        <v>1693.402</v>
      </c>
      <c r="D132" s="107">
        <v>523.33600000000001</v>
      </c>
      <c r="E132" s="107">
        <v>484.93299999999999</v>
      </c>
      <c r="F132" s="107">
        <v>278.85199999999998</v>
      </c>
      <c r="G132" s="107">
        <v>129.036</v>
      </c>
      <c r="H132" s="107">
        <v>70.715999999999994</v>
      </c>
      <c r="I132" s="107">
        <v>6.0650272100000002</v>
      </c>
      <c r="J132" s="107">
        <v>-10.111000000000001</v>
      </c>
      <c r="K132" s="107">
        <v>2691.56</v>
      </c>
      <c r="L132" s="107">
        <v>-13.14</v>
      </c>
      <c r="M132" s="107">
        <v>2678.42</v>
      </c>
      <c r="N132" s="107">
        <v>858.75199999999995</v>
      </c>
      <c r="O132" s="107">
        <v>3536.5219999999999</v>
      </c>
      <c r="P132" s="107">
        <v>874.99900000000002</v>
      </c>
      <c r="Q132" s="107">
        <v>0</v>
      </c>
      <c r="R132" s="107">
        <v>2660.1889999999999</v>
      </c>
      <c r="S132" s="108">
        <v>2371.79</v>
      </c>
    </row>
    <row r="133" spans="2:19">
      <c r="B133" s="111" t="s">
        <v>625</v>
      </c>
      <c r="C133" s="107">
        <v>1433.5509999999999</v>
      </c>
      <c r="D133" s="107">
        <v>492.98200000000003</v>
      </c>
      <c r="E133" s="107">
        <v>441.89400000000001</v>
      </c>
      <c r="F133" s="107">
        <v>251.05500000000001</v>
      </c>
      <c r="G133" s="107">
        <v>107.31399999999999</v>
      </c>
      <c r="H133" s="107">
        <v>78.006</v>
      </c>
      <c r="I133" s="107">
        <v>5.3097867920000015</v>
      </c>
      <c r="J133" s="107">
        <v>8.98</v>
      </c>
      <c r="K133" s="107">
        <v>2377.4070000000002</v>
      </c>
      <c r="L133" s="107">
        <v>7.4530000000000003</v>
      </c>
      <c r="M133" s="107">
        <v>2384.86</v>
      </c>
      <c r="N133" s="107">
        <v>738.11400000000003</v>
      </c>
      <c r="O133" s="107">
        <v>3124.9059999999999</v>
      </c>
      <c r="P133" s="107">
        <v>757.81500000000005</v>
      </c>
      <c r="Q133" s="107">
        <v>0</v>
      </c>
      <c r="R133" s="107">
        <v>2365.3229999999999</v>
      </c>
      <c r="S133" s="108">
        <v>2118.2620000000002</v>
      </c>
    </row>
    <row r="134" spans="2:19">
      <c r="B134" s="111" t="s">
        <v>626</v>
      </c>
      <c r="C134" s="107">
        <v>1654.914</v>
      </c>
      <c r="D134" s="107">
        <v>566.32399999999996</v>
      </c>
      <c r="E134" s="107">
        <v>498.93700000000001</v>
      </c>
      <c r="F134" s="107">
        <v>275.63200000000001</v>
      </c>
      <c r="G134" s="107">
        <v>132.161</v>
      </c>
      <c r="H134" s="107">
        <v>84.278000000000006</v>
      </c>
      <c r="I134" s="107">
        <v>7.0743299300000002</v>
      </c>
      <c r="J134" s="107">
        <v>9.2200000000000006</v>
      </c>
      <c r="K134" s="107">
        <v>2729.395</v>
      </c>
      <c r="L134" s="107">
        <v>-0.79</v>
      </c>
      <c r="M134" s="107">
        <v>2728.605</v>
      </c>
      <c r="N134" s="107">
        <v>794.19100000000003</v>
      </c>
      <c r="O134" s="107">
        <v>3530.1410000000001</v>
      </c>
      <c r="P134" s="107">
        <v>846.94399999999996</v>
      </c>
      <c r="Q134" s="107">
        <v>0</v>
      </c>
      <c r="R134" s="107">
        <v>2680.1480000000001</v>
      </c>
      <c r="S134" s="108">
        <v>2401.2449999999999</v>
      </c>
    </row>
    <row r="135" spans="2:19">
      <c r="B135" s="111" t="s">
        <v>627</v>
      </c>
      <c r="C135" s="107">
        <v>1723.885</v>
      </c>
      <c r="D135" s="107">
        <v>552.85699999999997</v>
      </c>
      <c r="E135" s="107">
        <v>519.85299999999995</v>
      </c>
      <c r="F135" s="107">
        <v>286.03100000000001</v>
      </c>
      <c r="G135" s="107">
        <v>140.72200000000001</v>
      </c>
      <c r="H135" s="107">
        <v>85.563000000000002</v>
      </c>
      <c r="I135" s="107">
        <v>7.1813096500000002</v>
      </c>
      <c r="J135" s="107">
        <v>-34.878</v>
      </c>
      <c r="K135" s="107">
        <v>2761.7170000000001</v>
      </c>
      <c r="L135" s="107">
        <v>-6.6050000000000004</v>
      </c>
      <c r="M135" s="107">
        <v>2755.1120000000001</v>
      </c>
      <c r="N135" s="107">
        <v>925.274</v>
      </c>
      <c r="O135" s="107">
        <v>3672.0039999999999</v>
      </c>
      <c r="P135" s="107">
        <v>920.08100000000002</v>
      </c>
      <c r="Q135" s="107">
        <v>0</v>
      </c>
      <c r="R135" s="107">
        <v>2751.3870000000002</v>
      </c>
      <c r="S135" s="108">
        <v>2459.7910000000002</v>
      </c>
    </row>
    <row r="136" spans="2:19">
      <c r="B136" s="111" t="s">
        <v>628</v>
      </c>
      <c r="C136" s="107">
        <v>1704.3620000000001</v>
      </c>
      <c r="D136" s="107">
        <v>573.59799999999996</v>
      </c>
      <c r="E136" s="107">
        <v>519.27099999999996</v>
      </c>
      <c r="F136" s="107">
        <v>290.59500000000003</v>
      </c>
      <c r="G136" s="107">
        <v>131.47399999999999</v>
      </c>
      <c r="H136" s="107">
        <v>88.944000000000003</v>
      </c>
      <c r="I136" s="107">
        <v>7.0375951600000004</v>
      </c>
      <c r="J136" s="107">
        <v>-9.4849999999999994</v>
      </c>
      <c r="K136" s="107">
        <v>2787.7460000000001</v>
      </c>
      <c r="L136" s="107">
        <v>3.9079999999999999</v>
      </c>
      <c r="M136" s="107">
        <v>2791.654</v>
      </c>
      <c r="N136" s="107">
        <v>870.61900000000003</v>
      </c>
      <c r="O136" s="107">
        <v>3662.8020000000001</v>
      </c>
      <c r="P136" s="107">
        <v>909.06200000000001</v>
      </c>
      <c r="Q136" s="107">
        <v>0.60499999999999998</v>
      </c>
      <c r="R136" s="107">
        <v>2754.3449999999998</v>
      </c>
      <c r="S136" s="108">
        <v>2474.5360000000001</v>
      </c>
    </row>
    <row r="137" spans="2:19">
      <c r="B137" s="111" t="s">
        <v>629</v>
      </c>
      <c r="C137" s="107">
        <v>1709.229</v>
      </c>
      <c r="D137" s="107">
        <v>589.50599999999997</v>
      </c>
      <c r="E137" s="107">
        <v>533.03499999999997</v>
      </c>
      <c r="F137" s="107">
        <v>301.39800000000002</v>
      </c>
      <c r="G137" s="107">
        <v>132.09700000000001</v>
      </c>
      <c r="H137" s="107">
        <v>91.075000000000003</v>
      </c>
      <c r="I137" s="107">
        <v>7.0252517799999996</v>
      </c>
      <c r="J137" s="107">
        <v>12.535</v>
      </c>
      <c r="K137" s="107">
        <v>2844.3049999999998</v>
      </c>
      <c r="L137" s="107">
        <v>5.7130000000000001</v>
      </c>
      <c r="M137" s="107">
        <v>2850.018</v>
      </c>
      <c r="N137" s="107">
        <v>894.16899999999998</v>
      </c>
      <c r="O137" s="107">
        <v>3744.1869999999999</v>
      </c>
      <c r="P137" s="107">
        <v>950.79499999999996</v>
      </c>
      <c r="Q137" s="107">
        <v>1.8440000000000001</v>
      </c>
      <c r="R137" s="107">
        <v>2795.2359999999999</v>
      </c>
      <c r="S137" s="108">
        <v>2515.0949999999998</v>
      </c>
    </row>
    <row r="138" spans="2:19">
      <c r="B138" s="111" t="s">
        <v>630</v>
      </c>
      <c r="C138" s="107">
        <v>1723.9245919999998</v>
      </c>
      <c r="D138" s="107">
        <v>602.39164399999993</v>
      </c>
      <c r="E138" s="107">
        <v>541.12729832111756</v>
      </c>
      <c r="F138" s="107">
        <v>304.12190120000002</v>
      </c>
      <c r="G138" s="107">
        <v>132.97814237472707</v>
      </c>
      <c r="H138" s="107">
        <v>96.22530230000001</v>
      </c>
      <c r="I138" s="107">
        <v>7.1112995014034741</v>
      </c>
      <c r="J138" s="107">
        <v>11.709</v>
      </c>
      <c r="K138" s="107">
        <v>2879.1525343211179</v>
      </c>
      <c r="L138" s="107">
        <v>6.3261603000000006</v>
      </c>
      <c r="M138" s="107">
        <v>2885.4786946211179</v>
      </c>
      <c r="N138" s="107">
        <v>913.29447087461892</v>
      </c>
      <c r="O138" s="107">
        <v>3798.7731650000001</v>
      </c>
      <c r="P138" s="107">
        <v>967.81650386033027</v>
      </c>
      <c r="Q138" s="107">
        <v>1.5640000000000001</v>
      </c>
      <c r="R138" s="107">
        <v>2832.5206616349669</v>
      </c>
      <c r="S138" s="108">
        <v>2550.0469909999997</v>
      </c>
    </row>
    <row r="139" spans="2:19">
      <c r="B139" s="111" t="s">
        <v>631</v>
      </c>
      <c r="C139" s="107">
        <v>1747.1839540000001</v>
      </c>
      <c r="D139" s="107">
        <v>614.402019</v>
      </c>
      <c r="E139" s="107">
        <v>551.61807069434758</v>
      </c>
      <c r="F139" s="107">
        <v>304.75453670000007</v>
      </c>
      <c r="G139" s="107">
        <v>136.51695015133319</v>
      </c>
      <c r="H139" s="107">
        <v>103.0780599</v>
      </c>
      <c r="I139" s="107">
        <v>7.2685238785025259</v>
      </c>
      <c r="J139" s="107">
        <v>10.284000000000001</v>
      </c>
      <c r="K139" s="107">
        <v>2923.4880436943481</v>
      </c>
      <c r="L139" s="107">
        <v>4.9137686670000003</v>
      </c>
      <c r="M139" s="107">
        <v>2928.4018123613478</v>
      </c>
      <c r="N139" s="107">
        <v>917.25816762865918</v>
      </c>
      <c r="O139" s="107">
        <v>3845.6599790000005</v>
      </c>
      <c r="P139" s="107">
        <v>972.75248970004986</v>
      </c>
      <c r="Q139" s="107">
        <v>1.5640000000000001</v>
      </c>
      <c r="R139" s="107">
        <v>2874.4714902877377</v>
      </c>
      <c r="S139" s="108">
        <v>2589.8866589999998</v>
      </c>
    </row>
    <row r="140" spans="2:19">
      <c r="B140" s="111" t="s">
        <v>632</v>
      </c>
      <c r="C140" s="107">
        <v>1774.0565699999997</v>
      </c>
      <c r="D140" s="107">
        <v>624.62181900000007</v>
      </c>
      <c r="E140" s="107">
        <v>569.01244592174123</v>
      </c>
      <c r="F140" s="107">
        <v>306.6723604</v>
      </c>
      <c r="G140" s="107">
        <v>146.89625072923994</v>
      </c>
      <c r="H140" s="107">
        <v>107.54243940000001</v>
      </c>
      <c r="I140" s="107">
        <v>7.9013954115886431</v>
      </c>
      <c r="J140" s="107">
        <v>10.284000000000001</v>
      </c>
      <c r="K140" s="107">
        <v>2977.9748349217411</v>
      </c>
      <c r="L140" s="107">
        <v>4.5508884500000004</v>
      </c>
      <c r="M140" s="107">
        <v>2982.5257233717407</v>
      </c>
      <c r="N140" s="107">
        <v>920.32335354953034</v>
      </c>
      <c r="O140" s="107">
        <v>3902.8490769999999</v>
      </c>
      <c r="P140" s="107">
        <v>986.41371071437948</v>
      </c>
      <c r="Q140" s="107">
        <v>1.5640000000000001</v>
      </c>
      <c r="R140" s="107">
        <v>2917.9993662036909</v>
      </c>
      <c r="S140" s="108">
        <v>2631.3388359999999</v>
      </c>
    </row>
    <row r="141" spans="2:19">
      <c r="B141" s="111" t="s">
        <v>633</v>
      </c>
      <c r="C141" s="107">
        <v>1803.270579</v>
      </c>
      <c r="D141" s="107">
        <v>632.32299399999999</v>
      </c>
      <c r="E141" s="107">
        <v>581.56063724560522</v>
      </c>
      <c r="F141" s="107">
        <v>309.61978760000005</v>
      </c>
      <c r="G141" s="107">
        <v>157.16364894507836</v>
      </c>
      <c r="H141" s="107">
        <v>106.25690019999999</v>
      </c>
      <c r="I141" s="107">
        <v>8.5203004337462165</v>
      </c>
      <c r="J141" s="107">
        <v>10.284000000000001</v>
      </c>
      <c r="K141" s="107">
        <v>3027.4382102456052</v>
      </c>
      <c r="L141" s="107">
        <v>5.4360112599999999</v>
      </c>
      <c r="M141" s="107">
        <v>3032.874221505605</v>
      </c>
      <c r="N141" s="107">
        <v>925.73416959492545</v>
      </c>
      <c r="O141" s="107">
        <v>3958.6083909999998</v>
      </c>
      <c r="P141" s="107">
        <v>999.22016294230377</v>
      </c>
      <c r="Q141" s="107">
        <v>1.5640000000000001</v>
      </c>
      <c r="R141" s="107">
        <v>2960.95222814926</v>
      </c>
      <c r="S141" s="108">
        <v>2672.0840149999999</v>
      </c>
    </row>
    <row r="142" spans="2:19">
      <c r="B142" s="111" t="s">
        <v>634</v>
      </c>
      <c r="C142" s="107">
        <v>1835.1832459999998</v>
      </c>
      <c r="D142" s="107">
        <v>640.31136000000004</v>
      </c>
      <c r="E142" s="107">
        <v>589.94473336469571</v>
      </c>
      <c r="F142" s="107">
        <v>313.55499639999999</v>
      </c>
      <c r="G142" s="107">
        <v>162.32849987658409</v>
      </c>
      <c r="H142" s="107">
        <v>105.22598750000002</v>
      </c>
      <c r="I142" s="107">
        <v>8.8352495839953029</v>
      </c>
      <c r="J142" s="107">
        <v>10.284000000000001</v>
      </c>
      <c r="K142" s="107">
        <v>3075.7233393646952</v>
      </c>
      <c r="L142" s="107">
        <v>5.7141586400000008</v>
      </c>
      <c r="M142" s="107">
        <v>3081.4374980046955</v>
      </c>
      <c r="N142" s="107">
        <v>933.72198327890669</v>
      </c>
      <c r="O142" s="107">
        <v>4015.1594850000001</v>
      </c>
      <c r="P142" s="107">
        <v>1010.2391356338575</v>
      </c>
      <c r="Q142" s="107">
        <v>1.5640000000000001</v>
      </c>
      <c r="R142" s="107">
        <v>3006.4843456498511</v>
      </c>
      <c r="S142" s="108">
        <v>2715.0039819999997</v>
      </c>
    </row>
    <row r="143" spans="2:19" ht="15.75" thickBot="1">
      <c r="B143" s="118" t="s">
        <v>635</v>
      </c>
      <c r="C143" s="107">
        <v>1866.67154</v>
      </c>
      <c r="D143" s="107">
        <v>651.60801399999991</v>
      </c>
      <c r="E143" s="107">
        <v>598.15572954950983</v>
      </c>
      <c r="F143" s="107">
        <v>318.05248009999997</v>
      </c>
      <c r="G143" s="107">
        <v>165.24243025406625</v>
      </c>
      <c r="H143" s="107">
        <v>105.8433095</v>
      </c>
      <c r="I143" s="107">
        <v>9.0175097763407912</v>
      </c>
      <c r="J143" s="107">
        <v>10.284000000000001</v>
      </c>
      <c r="K143" s="107">
        <v>3126.7192835495098</v>
      </c>
      <c r="L143" s="107">
        <v>5.3637651100000001</v>
      </c>
      <c r="M143" s="107">
        <v>3132.08304865951</v>
      </c>
      <c r="N143" s="107">
        <v>941.75853986183915</v>
      </c>
      <c r="O143" s="107">
        <v>4073.84159</v>
      </c>
      <c r="P143" s="107">
        <v>1022.2374235424204</v>
      </c>
      <c r="Q143" s="107">
        <v>1.5640000000000001</v>
      </c>
      <c r="R143" s="107">
        <v>3053.1681649834136</v>
      </c>
      <c r="S143" s="108">
        <v>2758.8185490000001</v>
      </c>
    </row>
    <row r="144" spans="2:19">
      <c r="B144" s="119" t="s">
        <v>636</v>
      </c>
      <c r="C144" s="120"/>
      <c r="D144" s="120"/>
      <c r="E144" s="120"/>
      <c r="F144" s="120"/>
      <c r="G144" s="120"/>
      <c r="H144" s="120"/>
      <c r="I144" s="120"/>
      <c r="J144" s="120"/>
      <c r="K144" s="120"/>
      <c r="L144" s="120"/>
      <c r="M144" s="120"/>
      <c r="N144" s="120"/>
      <c r="O144" s="120"/>
      <c r="P144" s="120"/>
      <c r="Q144" s="120"/>
      <c r="R144" s="120"/>
      <c r="S144" s="121"/>
    </row>
    <row r="145" spans="2:19">
      <c r="B145" s="122" t="s">
        <v>637</v>
      </c>
      <c r="C145" s="123"/>
      <c r="D145" s="123"/>
      <c r="E145" s="123"/>
      <c r="F145" s="123"/>
      <c r="G145" s="123"/>
      <c r="H145" s="123"/>
      <c r="I145" s="123"/>
      <c r="J145" s="123"/>
      <c r="K145" s="123"/>
      <c r="L145" s="123"/>
      <c r="M145" s="123"/>
      <c r="N145" s="123"/>
      <c r="O145" s="123"/>
      <c r="P145" s="123"/>
      <c r="Q145" s="123"/>
      <c r="R145" s="123"/>
      <c r="S145" s="124"/>
    </row>
    <row r="146" spans="2:19">
      <c r="B146" s="122" t="s">
        <v>638</v>
      </c>
      <c r="C146" s="123"/>
      <c r="D146" s="123"/>
      <c r="E146" s="123"/>
      <c r="F146" s="123"/>
      <c r="G146" s="123"/>
      <c r="H146" s="123"/>
      <c r="I146" s="123"/>
      <c r="J146" s="123"/>
      <c r="K146" s="123"/>
      <c r="L146" s="123"/>
      <c r="M146" s="123"/>
      <c r="N146" s="123"/>
      <c r="O146" s="123"/>
      <c r="P146" s="123"/>
      <c r="Q146" s="123"/>
      <c r="R146" s="123"/>
      <c r="S146" s="124"/>
    </row>
    <row r="147" spans="2:19">
      <c r="B147" s="125" t="s">
        <v>639</v>
      </c>
      <c r="C147" s="126"/>
      <c r="D147" s="126"/>
      <c r="E147" s="126"/>
      <c r="F147" s="126"/>
      <c r="G147" s="126"/>
      <c r="H147" s="126"/>
      <c r="I147" s="126"/>
      <c r="J147" s="126"/>
      <c r="K147" s="126"/>
      <c r="L147" s="126"/>
      <c r="M147" s="126"/>
      <c r="N147" s="126"/>
      <c r="O147" s="126"/>
      <c r="P147" s="126"/>
      <c r="Q147" s="126"/>
      <c r="R147" s="126"/>
      <c r="S147" s="127"/>
    </row>
    <row r="148" spans="2:19">
      <c r="B148" s="125" t="s">
        <v>640</v>
      </c>
      <c r="C148" s="126"/>
      <c r="D148" s="126"/>
      <c r="E148" s="126"/>
      <c r="F148" s="126"/>
      <c r="G148" s="126"/>
      <c r="H148" s="126"/>
      <c r="I148" s="126"/>
      <c r="J148" s="126"/>
      <c r="K148" s="126"/>
      <c r="L148" s="126"/>
      <c r="M148" s="126"/>
      <c r="N148" s="126"/>
      <c r="O148" s="126"/>
      <c r="P148" s="126"/>
      <c r="Q148" s="126"/>
      <c r="R148" s="126"/>
      <c r="S148" s="127"/>
    </row>
    <row r="149" spans="2:19">
      <c r="B149" s="125" t="s">
        <v>641</v>
      </c>
      <c r="C149" s="126"/>
      <c r="D149" s="126"/>
      <c r="E149" s="126"/>
      <c r="F149" s="126"/>
      <c r="G149" s="126"/>
      <c r="H149" s="126"/>
      <c r="I149" s="126"/>
      <c r="J149" s="126"/>
      <c r="K149" s="126"/>
      <c r="L149" s="126"/>
      <c r="M149" s="126"/>
      <c r="N149" s="126"/>
      <c r="O149" s="126"/>
      <c r="P149" s="126"/>
      <c r="Q149" s="126"/>
      <c r="R149" s="126"/>
      <c r="S149" s="127"/>
    </row>
    <row r="150" spans="2:19">
      <c r="B150" s="125" t="s">
        <v>642</v>
      </c>
      <c r="C150" s="126"/>
      <c r="D150" s="126"/>
      <c r="E150" s="126"/>
      <c r="F150" s="126"/>
      <c r="G150" s="126"/>
      <c r="H150" s="126"/>
      <c r="I150" s="126"/>
      <c r="J150" s="126"/>
      <c r="K150" s="126"/>
      <c r="L150" s="126"/>
      <c r="M150" s="126"/>
      <c r="N150" s="126"/>
      <c r="O150" s="126"/>
      <c r="P150" s="126"/>
      <c r="Q150" s="126"/>
      <c r="R150" s="126"/>
      <c r="S150" s="127"/>
    </row>
    <row r="151" spans="2:19">
      <c r="B151" s="125" t="s">
        <v>643</v>
      </c>
      <c r="C151" s="126"/>
      <c r="D151" s="126"/>
      <c r="E151" s="126"/>
      <c r="F151" s="126"/>
      <c r="G151" s="126"/>
      <c r="H151" s="126"/>
      <c r="I151" s="126"/>
      <c r="J151" s="126"/>
      <c r="K151" s="126"/>
      <c r="L151" s="126"/>
      <c r="M151" s="126"/>
      <c r="N151" s="126"/>
      <c r="O151" s="126"/>
      <c r="P151" s="126"/>
      <c r="Q151" s="126"/>
      <c r="R151" s="126"/>
      <c r="S151" s="127"/>
    </row>
    <row r="152" spans="2:19">
      <c r="B152" s="125" t="s">
        <v>644</v>
      </c>
      <c r="C152" s="126"/>
      <c r="D152" s="126"/>
      <c r="E152" s="126"/>
      <c r="F152" s="126"/>
      <c r="G152" s="126"/>
      <c r="H152" s="126"/>
      <c r="I152" s="126"/>
      <c r="J152" s="126"/>
      <c r="K152" s="126"/>
      <c r="L152" s="126"/>
      <c r="M152" s="126"/>
      <c r="N152" s="126"/>
      <c r="O152" s="126"/>
      <c r="P152" s="126"/>
      <c r="Q152" s="126"/>
      <c r="R152" s="126"/>
      <c r="S152" s="127"/>
    </row>
    <row r="153" spans="2:19">
      <c r="B153" s="122" t="s">
        <v>645</v>
      </c>
      <c r="C153" s="123"/>
      <c r="D153" s="123"/>
      <c r="E153" s="123"/>
      <c r="F153" s="123"/>
      <c r="G153" s="123"/>
      <c r="H153" s="123"/>
      <c r="I153" s="123"/>
      <c r="J153" s="123"/>
      <c r="K153" s="123"/>
      <c r="L153" s="123"/>
      <c r="M153" s="123"/>
      <c r="N153" s="123"/>
      <c r="O153" s="123"/>
      <c r="P153" s="123"/>
      <c r="Q153" s="123"/>
      <c r="R153" s="123"/>
      <c r="S153" s="124"/>
    </row>
    <row r="154" spans="2:19">
      <c r="B154" s="125" t="s">
        <v>646</v>
      </c>
      <c r="C154" s="126"/>
      <c r="D154" s="126"/>
      <c r="E154" s="126"/>
      <c r="F154" s="126"/>
      <c r="G154" s="126"/>
      <c r="H154" s="126"/>
      <c r="I154" s="126"/>
      <c r="J154" s="126"/>
      <c r="K154" s="126"/>
      <c r="L154" s="126"/>
      <c r="M154" s="126"/>
      <c r="N154" s="126"/>
      <c r="O154" s="126"/>
      <c r="P154" s="126"/>
      <c r="Q154" s="126"/>
      <c r="R154" s="126"/>
      <c r="S154" s="127"/>
    </row>
    <row r="155" spans="2:19">
      <c r="B155" s="125" t="s">
        <v>647</v>
      </c>
      <c r="C155" s="126"/>
      <c r="D155" s="126"/>
      <c r="E155" s="126"/>
      <c r="F155" s="126"/>
      <c r="G155" s="126"/>
      <c r="H155" s="126"/>
      <c r="I155" s="126"/>
      <c r="J155" s="126"/>
      <c r="K155" s="126"/>
      <c r="L155" s="126"/>
      <c r="M155" s="126"/>
      <c r="N155" s="126"/>
      <c r="O155" s="126"/>
      <c r="P155" s="126"/>
      <c r="Q155" s="126"/>
      <c r="R155" s="126"/>
      <c r="S155" s="127"/>
    </row>
    <row r="156" spans="2:19">
      <c r="B156" s="125" t="s">
        <v>648</v>
      </c>
      <c r="C156" s="126"/>
      <c r="D156" s="126"/>
      <c r="E156" s="126"/>
      <c r="F156" s="126"/>
      <c r="G156" s="126"/>
      <c r="H156" s="126"/>
      <c r="I156" s="126"/>
      <c r="J156" s="126"/>
      <c r="K156" s="126"/>
      <c r="L156" s="126"/>
      <c r="M156" s="126"/>
      <c r="N156" s="126"/>
      <c r="O156" s="126"/>
      <c r="P156" s="126"/>
      <c r="Q156" s="126"/>
      <c r="R156" s="126"/>
      <c r="S156" s="127"/>
    </row>
    <row r="157" spans="2:19">
      <c r="B157" s="125" t="s">
        <v>649</v>
      </c>
      <c r="C157" s="126"/>
      <c r="D157" s="126"/>
      <c r="E157" s="126"/>
      <c r="F157" s="126"/>
      <c r="G157" s="126"/>
      <c r="H157" s="126"/>
      <c r="I157" s="126"/>
      <c r="J157" s="126"/>
      <c r="K157" s="126"/>
      <c r="L157" s="126"/>
      <c r="M157" s="126"/>
      <c r="N157" s="126"/>
      <c r="O157" s="126"/>
      <c r="P157" s="126"/>
      <c r="Q157" s="126"/>
      <c r="R157" s="126"/>
      <c r="S157" s="127"/>
    </row>
    <row r="158" spans="2:19">
      <c r="B158" s="125" t="s">
        <v>650</v>
      </c>
      <c r="C158" s="126"/>
      <c r="D158" s="126"/>
      <c r="E158" s="126"/>
      <c r="F158" s="126"/>
      <c r="G158" s="126"/>
      <c r="H158" s="126"/>
      <c r="I158" s="126"/>
      <c r="J158" s="126"/>
      <c r="K158" s="126"/>
      <c r="L158" s="126"/>
      <c r="M158" s="126"/>
      <c r="N158" s="126"/>
      <c r="O158" s="126"/>
      <c r="P158" s="126"/>
      <c r="Q158" s="126"/>
      <c r="R158" s="126"/>
      <c r="S158" s="127"/>
    </row>
    <row r="159" spans="2:19">
      <c r="B159" s="125" t="s">
        <v>651</v>
      </c>
      <c r="C159" s="126"/>
      <c r="D159" s="126"/>
      <c r="E159" s="126"/>
      <c r="F159" s="126"/>
      <c r="G159" s="126"/>
      <c r="H159" s="126"/>
      <c r="I159" s="126"/>
      <c r="J159" s="126"/>
      <c r="K159" s="126"/>
      <c r="L159" s="126"/>
      <c r="M159" s="126"/>
      <c r="N159" s="126"/>
      <c r="O159" s="126"/>
      <c r="P159" s="126"/>
      <c r="Q159" s="126"/>
      <c r="R159" s="126"/>
      <c r="S159" s="127"/>
    </row>
    <row r="160" spans="2:19" ht="15.75" thickBot="1">
      <c r="B160" s="128" t="s">
        <v>652</v>
      </c>
      <c r="C160" s="129"/>
      <c r="D160" s="129"/>
      <c r="E160" s="129"/>
      <c r="F160" s="129"/>
      <c r="G160" s="129"/>
      <c r="H160" s="129"/>
      <c r="I160" s="129"/>
      <c r="J160" s="129"/>
      <c r="K160" s="129"/>
      <c r="L160" s="129"/>
      <c r="M160" s="129"/>
      <c r="N160" s="129"/>
      <c r="O160" s="129"/>
      <c r="P160" s="129"/>
      <c r="Q160" s="129"/>
      <c r="R160" s="129"/>
      <c r="S160" s="130"/>
    </row>
    <row r="161" spans="2:19">
      <c r="B161" s="131"/>
      <c r="C161" s="132"/>
      <c r="D161" s="132"/>
      <c r="E161" s="132"/>
      <c r="F161" s="132"/>
      <c r="G161" s="132"/>
      <c r="H161" s="132"/>
      <c r="I161" s="132"/>
      <c r="J161" s="132"/>
      <c r="K161" s="132"/>
      <c r="L161" s="132"/>
      <c r="M161" s="132"/>
      <c r="N161" s="132"/>
      <c r="O161" s="132"/>
      <c r="P161" s="132"/>
      <c r="Q161" s="132"/>
      <c r="R161" s="132"/>
      <c r="S161" s="132"/>
    </row>
    <row r="162" spans="2:19">
      <c r="B162" s="131"/>
      <c r="C162" s="132"/>
      <c r="D162" s="132"/>
      <c r="E162" s="132"/>
      <c r="F162" s="132"/>
      <c r="G162" s="132"/>
      <c r="H162" s="132"/>
      <c r="I162" s="132"/>
      <c r="J162" s="132"/>
      <c r="K162" s="132"/>
      <c r="L162" s="132"/>
      <c r="M162" s="132"/>
      <c r="N162" s="132"/>
      <c r="O162" s="132"/>
      <c r="P162" s="132"/>
      <c r="Q162" s="132"/>
      <c r="R162" s="132"/>
      <c r="S162" s="132"/>
    </row>
    <row r="163" spans="2:19">
      <c r="B163" s="131"/>
      <c r="C163" s="132"/>
      <c r="D163" s="132"/>
      <c r="E163" s="132"/>
      <c r="F163" s="132"/>
      <c r="G163" s="132"/>
      <c r="H163" s="132"/>
      <c r="I163" s="132"/>
      <c r="J163" s="132"/>
      <c r="K163" s="132"/>
      <c r="L163" s="132"/>
      <c r="M163" s="132"/>
      <c r="N163" s="132"/>
      <c r="O163" s="132"/>
      <c r="P163" s="132"/>
      <c r="Q163" s="132"/>
      <c r="R163" s="132"/>
      <c r="S163" s="132"/>
    </row>
    <row r="164" spans="2:19">
      <c r="B164" s="131"/>
      <c r="C164" s="132"/>
      <c r="D164" s="132"/>
      <c r="E164" s="132"/>
      <c r="F164" s="132"/>
      <c r="G164" s="132"/>
      <c r="H164" s="132"/>
      <c r="I164" s="132"/>
      <c r="J164" s="132"/>
      <c r="K164" s="132"/>
      <c r="L164" s="132"/>
      <c r="M164" s="132"/>
      <c r="N164" s="132"/>
      <c r="O164" s="132"/>
      <c r="P164" s="132"/>
      <c r="Q164" s="132"/>
      <c r="R164" s="132"/>
      <c r="S164" s="132"/>
    </row>
    <row r="165" spans="2:19">
      <c r="B165" s="131"/>
      <c r="C165" s="132"/>
      <c r="D165" s="132"/>
      <c r="E165" s="132"/>
      <c r="F165" s="132"/>
      <c r="G165" s="132"/>
      <c r="H165" s="132"/>
      <c r="I165" s="132"/>
      <c r="J165" s="132"/>
      <c r="K165" s="132"/>
      <c r="L165" s="132"/>
      <c r="M165" s="132"/>
      <c r="N165" s="132"/>
      <c r="O165" s="132"/>
      <c r="P165" s="132"/>
      <c r="Q165" s="132"/>
      <c r="R165" s="132"/>
      <c r="S165" s="132"/>
    </row>
    <row r="166" spans="2:19">
      <c r="B166" s="131"/>
      <c r="C166" s="132"/>
      <c r="D166" s="132"/>
      <c r="E166" s="132"/>
      <c r="F166" s="132"/>
      <c r="G166" s="132"/>
      <c r="H166" s="132"/>
      <c r="I166" s="132"/>
      <c r="J166" s="132"/>
      <c r="K166" s="132"/>
      <c r="L166" s="132"/>
      <c r="M166" s="132"/>
      <c r="N166" s="132"/>
      <c r="O166" s="132"/>
      <c r="P166" s="132"/>
      <c r="Q166" s="132"/>
      <c r="R166" s="132"/>
      <c r="S166" s="132"/>
    </row>
    <row r="167" spans="2:19">
      <c r="C167" s="132"/>
      <c r="D167" s="132"/>
      <c r="E167" s="132"/>
      <c r="F167" s="132"/>
      <c r="G167" s="132"/>
      <c r="H167" s="132"/>
      <c r="I167" s="132"/>
      <c r="J167" s="132"/>
      <c r="K167" s="132"/>
      <c r="L167" s="132"/>
      <c r="M167" s="132"/>
      <c r="N167" s="132"/>
      <c r="O167" s="132"/>
      <c r="P167" s="132"/>
      <c r="Q167" s="132"/>
      <c r="R167" s="132"/>
      <c r="S167" s="132"/>
    </row>
    <row r="168" spans="2:19">
      <c r="C168" s="132"/>
      <c r="D168" s="132"/>
      <c r="E168" s="132"/>
      <c r="F168" s="132"/>
      <c r="G168" s="132"/>
      <c r="H168" s="132"/>
      <c r="I168" s="132"/>
      <c r="J168" s="132"/>
      <c r="K168" s="132"/>
      <c r="L168" s="132"/>
      <c r="M168" s="132"/>
      <c r="N168" s="132"/>
      <c r="O168" s="132"/>
      <c r="P168" s="132"/>
      <c r="Q168" s="132"/>
      <c r="R168" s="132"/>
      <c r="S168" s="132"/>
    </row>
    <row r="169" spans="2:19">
      <c r="C169" s="132"/>
      <c r="D169" s="132"/>
      <c r="E169" s="132"/>
      <c r="F169" s="132"/>
      <c r="G169" s="132"/>
      <c r="H169" s="132"/>
      <c r="I169" s="132"/>
      <c r="J169" s="132"/>
      <c r="K169" s="132"/>
      <c r="L169" s="132"/>
      <c r="M169" s="132"/>
      <c r="N169" s="132"/>
      <c r="O169" s="132"/>
      <c r="P169" s="132"/>
      <c r="Q169" s="132"/>
      <c r="R169" s="132"/>
      <c r="S169" s="132"/>
    </row>
    <row r="170" spans="2:19">
      <c r="C170" s="132"/>
      <c r="D170" s="132"/>
      <c r="E170" s="132"/>
      <c r="F170" s="132"/>
      <c r="G170" s="132"/>
      <c r="H170" s="132"/>
      <c r="I170" s="132"/>
      <c r="J170" s="132"/>
      <c r="K170" s="132"/>
      <c r="L170" s="132"/>
      <c r="M170" s="132"/>
      <c r="N170" s="132"/>
      <c r="O170" s="132"/>
      <c r="P170" s="132"/>
      <c r="Q170" s="132"/>
      <c r="R170" s="132"/>
      <c r="S170" s="132"/>
    </row>
    <row r="171" spans="2:19">
      <c r="C171" s="132"/>
      <c r="D171" s="132"/>
      <c r="E171" s="132"/>
      <c r="F171" s="132"/>
      <c r="G171" s="132"/>
      <c r="H171" s="132"/>
      <c r="I171" s="132"/>
      <c r="J171" s="132"/>
      <c r="K171" s="132"/>
      <c r="L171" s="132"/>
      <c r="M171" s="132"/>
      <c r="N171" s="132"/>
      <c r="O171" s="132"/>
      <c r="P171" s="132"/>
      <c r="Q171" s="132"/>
      <c r="R171" s="132"/>
      <c r="S171" s="132"/>
    </row>
    <row r="172" spans="2:19">
      <c r="C172" s="132"/>
      <c r="D172" s="132"/>
      <c r="E172" s="132"/>
      <c r="F172" s="132"/>
      <c r="G172" s="132"/>
      <c r="H172" s="132"/>
      <c r="I172" s="132"/>
      <c r="J172" s="132"/>
      <c r="K172" s="132"/>
      <c r="L172" s="132"/>
      <c r="M172" s="132"/>
      <c r="N172" s="132"/>
      <c r="O172" s="132"/>
      <c r="P172" s="132"/>
      <c r="Q172" s="132"/>
      <c r="R172" s="132"/>
      <c r="S172" s="132"/>
    </row>
    <row r="173" spans="2:19">
      <c r="C173" s="132"/>
      <c r="D173" s="132"/>
      <c r="E173" s="132"/>
      <c r="F173" s="132"/>
      <c r="G173" s="132"/>
      <c r="H173" s="132"/>
      <c r="I173" s="132"/>
      <c r="J173" s="132"/>
      <c r="K173" s="132"/>
      <c r="L173" s="132"/>
      <c r="M173" s="132"/>
      <c r="N173" s="132"/>
      <c r="O173" s="132"/>
      <c r="P173" s="132"/>
      <c r="Q173" s="132"/>
      <c r="R173" s="132"/>
      <c r="S173" s="132"/>
    </row>
  </sheetData>
  <mergeCells count="14">
    <mergeCell ref="Q3:Q4"/>
    <mergeCell ref="R3:R4"/>
    <mergeCell ref="S3:S4"/>
    <mergeCell ref="A50:A54"/>
    <mergeCell ref="B2:S2"/>
    <mergeCell ref="C3:C4"/>
    <mergeCell ref="D3:D4"/>
    <mergeCell ref="J3:J4"/>
    <mergeCell ref="K3:K4"/>
    <mergeCell ref="L3:L4"/>
    <mergeCell ref="M3:M4"/>
    <mergeCell ref="N3:N4"/>
    <mergeCell ref="O3:O4"/>
    <mergeCell ref="P3:P4"/>
  </mergeCells>
  <hyperlinks>
    <hyperlink ref="A1" location="Contents!A1" display="Back to contents" xr:uid="{F7D78E68-D58E-4353-A35E-531E8A21E8D6}"/>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3EA8A-920B-405F-A5F5-B622F546AC85}">
  <dimension ref="A1:F44"/>
  <sheetViews>
    <sheetView showGridLines="0" topLeftCell="A16" workbookViewId="0">
      <selection activeCell="B26" sqref="B26"/>
    </sheetView>
  </sheetViews>
  <sheetFormatPr defaultColWidth="10.140625" defaultRowHeight="12.75"/>
  <cols>
    <col min="1" max="1" width="10.140625" style="134"/>
    <col min="2" max="2" width="10.85546875" style="134" customWidth="1"/>
    <col min="3" max="3" width="10.140625" style="134"/>
    <col min="4" max="4" width="10.140625" style="134" customWidth="1"/>
    <col min="5" max="16384" width="10.140625" style="134"/>
  </cols>
  <sheetData>
    <row r="1" spans="1:2" ht="39.950000000000003" customHeight="1">
      <c r="A1" s="133" t="s">
        <v>499</v>
      </c>
    </row>
    <row r="2" spans="1:2" ht="17.25">
      <c r="B2" s="136" t="s">
        <v>1423</v>
      </c>
    </row>
    <row r="24" spans="2:6" ht="13.5" thickBot="1"/>
    <row r="25" spans="2:6" ht="39" thickBot="1">
      <c r="B25" s="157"/>
      <c r="C25" s="139" t="s">
        <v>661</v>
      </c>
      <c r="D25" s="139" t="s">
        <v>656</v>
      </c>
      <c r="E25" s="140" t="s">
        <v>1424</v>
      </c>
      <c r="F25" s="158"/>
    </row>
    <row r="26" spans="2:6">
      <c r="B26" s="144">
        <v>2012</v>
      </c>
      <c r="C26" s="159">
        <v>162</v>
      </c>
      <c r="D26" s="159">
        <v>162</v>
      </c>
      <c r="E26" s="160">
        <v>162</v>
      </c>
      <c r="F26" s="142"/>
    </row>
    <row r="27" spans="2:6">
      <c r="B27" s="144">
        <v>2013</v>
      </c>
      <c r="C27" s="159">
        <v>215</v>
      </c>
      <c r="D27" s="159">
        <v>215</v>
      </c>
      <c r="E27" s="160">
        <v>215</v>
      </c>
      <c r="F27" s="142"/>
    </row>
    <row r="28" spans="2:6">
      <c r="B28" s="144">
        <v>2014</v>
      </c>
      <c r="C28" s="159">
        <v>248</v>
      </c>
      <c r="D28" s="159">
        <v>248</v>
      </c>
      <c r="E28" s="160">
        <v>248</v>
      </c>
      <c r="F28" s="142"/>
    </row>
    <row r="29" spans="2:6">
      <c r="B29" s="144">
        <v>2015</v>
      </c>
      <c r="C29" s="159">
        <v>296</v>
      </c>
      <c r="D29" s="159">
        <v>296</v>
      </c>
      <c r="E29" s="160">
        <v>296</v>
      </c>
      <c r="F29" s="142"/>
    </row>
    <row r="30" spans="2:6">
      <c r="B30" s="144">
        <v>2016</v>
      </c>
      <c r="C30" s="159">
        <v>321</v>
      </c>
      <c r="D30" s="159">
        <v>321</v>
      </c>
      <c r="E30" s="160">
        <v>321</v>
      </c>
      <c r="F30" s="142"/>
    </row>
    <row r="31" spans="2:6">
      <c r="B31" s="144">
        <v>2017</v>
      </c>
      <c r="C31" s="159">
        <v>200</v>
      </c>
      <c r="D31" s="159">
        <v>200</v>
      </c>
      <c r="E31" s="160">
        <v>200</v>
      </c>
      <c r="F31" s="142"/>
    </row>
    <row r="32" spans="2:6">
      <c r="B32" s="144">
        <v>2018</v>
      </c>
      <c r="C32" s="159">
        <v>216</v>
      </c>
      <c r="D32" s="159">
        <v>216</v>
      </c>
      <c r="E32" s="160">
        <v>216</v>
      </c>
      <c r="F32" s="142"/>
    </row>
    <row r="33" spans="2:6">
      <c r="B33" s="144">
        <v>2019</v>
      </c>
      <c r="C33" s="159">
        <v>224</v>
      </c>
      <c r="D33" s="159">
        <v>224</v>
      </c>
      <c r="E33" s="160">
        <v>224</v>
      </c>
      <c r="F33" s="142"/>
    </row>
    <row r="34" spans="2:6">
      <c r="B34" s="144">
        <v>2020</v>
      </c>
      <c r="C34" s="159">
        <v>111</v>
      </c>
      <c r="D34" s="159">
        <v>111</v>
      </c>
      <c r="E34" s="160">
        <v>111</v>
      </c>
      <c r="F34" s="142"/>
    </row>
    <row r="35" spans="2:6">
      <c r="B35" s="144">
        <v>2021</v>
      </c>
      <c r="C35" s="159">
        <v>254</v>
      </c>
      <c r="D35" s="159">
        <v>254</v>
      </c>
      <c r="E35" s="160">
        <v>251</v>
      </c>
      <c r="F35" s="142"/>
    </row>
    <row r="36" spans="2:6">
      <c r="B36" s="144">
        <v>2022</v>
      </c>
      <c r="C36" s="159">
        <v>633.99999999999795</v>
      </c>
      <c r="D36" s="159">
        <v>633.99999999999898</v>
      </c>
      <c r="E36" s="160">
        <v>681</v>
      </c>
      <c r="F36" s="142"/>
    </row>
    <row r="37" spans="2:6">
      <c r="B37" s="144">
        <v>2023</v>
      </c>
      <c r="C37" s="159">
        <v>905.99999999999795</v>
      </c>
      <c r="D37" s="159">
        <v>905.99999999999807</v>
      </c>
      <c r="E37" s="160">
        <v>924</v>
      </c>
      <c r="F37" s="142"/>
    </row>
    <row r="38" spans="2:6">
      <c r="B38" s="144">
        <v>2024</v>
      </c>
      <c r="C38" s="159">
        <v>727.99999999999795</v>
      </c>
      <c r="D38" s="159">
        <v>738.99999999999795</v>
      </c>
      <c r="E38" s="160">
        <v>649</v>
      </c>
      <c r="F38" s="142"/>
    </row>
    <row r="39" spans="2:6">
      <c r="B39" s="144">
        <v>2025</v>
      </c>
      <c r="C39" s="161">
        <v>350.25099999999958</v>
      </c>
      <c r="D39" s="161">
        <v>290.77292878111882</v>
      </c>
      <c r="E39" s="160"/>
      <c r="F39" s="142"/>
    </row>
    <row r="40" spans="2:6">
      <c r="B40" s="144">
        <v>2026</v>
      </c>
      <c r="C40" s="161">
        <v>261.86899999999997</v>
      </c>
      <c r="D40" s="161">
        <v>261.8689999999998</v>
      </c>
      <c r="E40" s="160"/>
      <c r="F40" s="142"/>
    </row>
    <row r="41" spans="2:6">
      <c r="B41" s="144">
        <v>2027</v>
      </c>
      <c r="C41" s="161">
        <v>258.46399999999983</v>
      </c>
      <c r="D41" s="161">
        <v>258.46399999999988</v>
      </c>
      <c r="E41" s="160"/>
      <c r="F41" s="142"/>
    </row>
    <row r="42" spans="2:6">
      <c r="B42" s="144">
        <v>2028</v>
      </c>
      <c r="C42" s="161">
        <v>290.30199999999979</v>
      </c>
      <c r="D42" s="161">
        <v>290.30200000000002</v>
      </c>
      <c r="E42" s="160"/>
      <c r="F42" s="142"/>
    </row>
    <row r="43" spans="2:6">
      <c r="B43" s="144">
        <v>2029</v>
      </c>
      <c r="C43" s="161">
        <v>326.82199999999989</v>
      </c>
      <c r="D43" s="161">
        <v>326.82199999999989</v>
      </c>
      <c r="E43" s="160"/>
      <c r="F43" s="142"/>
    </row>
    <row r="44" spans="2:6" ht="13.5" thickBot="1">
      <c r="B44" s="147">
        <v>2030</v>
      </c>
      <c r="C44" s="162">
        <v>339.99999999999989</v>
      </c>
      <c r="D44" s="162">
        <v>339.99999999999983</v>
      </c>
      <c r="E44" s="163"/>
      <c r="F44" s="142"/>
    </row>
  </sheetData>
  <hyperlinks>
    <hyperlink ref="A1" location="Contents!A1" display="Contents!A1" xr:uid="{95615C7D-0DB0-4D39-8B50-427DA4F131BA}"/>
  </hyperlinks>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6B449-7412-4329-8FF7-8503578722C0}">
  <dimension ref="A1:O31"/>
  <sheetViews>
    <sheetView showGridLines="0" topLeftCell="A4" zoomScaleNormal="100" workbookViewId="0">
      <selection activeCell="O31" sqref="O31"/>
    </sheetView>
  </sheetViews>
  <sheetFormatPr defaultColWidth="10.140625" defaultRowHeight="12.75"/>
  <cols>
    <col min="1" max="16384" width="10.140625" style="134"/>
  </cols>
  <sheetData>
    <row r="1" spans="1:15" ht="39.950000000000003" customHeight="1">
      <c r="A1" s="133" t="s">
        <v>499</v>
      </c>
      <c r="C1" s="135"/>
      <c r="D1" s="135"/>
      <c r="E1" s="135"/>
      <c r="F1" s="135"/>
      <c r="G1" s="135"/>
      <c r="J1" s="135"/>
      <c r="K1" s="135"/>
      <c r="L1" s="135"/>
      <c r="M1" s="135"/>
      <c r="N1" s="135"/>
      <c r="O1" s="135"/>
    </row>
    <row r="2" spans="1:15" ht="17.25">
      <c r="B2" s="136" t="s">
        <v>654</v>
      </c>
    </row>
    <row r="24" spans="2:15" ht="13.5" thickBot="1"/>
    <row r="25" spans="2:15" ht="51.75" thickBot="1">
      <c r="B25" s="137" t="s">
        <v>655</v>
      </c>
      <c r="C25" s="138" t="s">
        <v>656</v>
      </c>
      <c r="D25" s="138" t="s">
        <v>657</v>
      </c>
      <c r="E25" s="138" t="s">
        <v>658</v>
      </c>
      <c r="F25" s="139" t="s">
        <v>659</v>
      </c>
      <c r="G25" s="140" t="s">
        <v>660</v>
      </c>
      <c r="I25" s="137" t="s">
        <v>231</v>
      </c>
      <c r="J25" s="138" t="s">
        <v>661</v>
      </c>
      <c r="K25" s="138" t="s">
        <v>656</v>
      </c>
      <c r="L25" s="138" t="s">
        <v>657</v>
      </c>
      <c r="M25" s="138" t="s">
        <v>662</v>
      </c>
      <c r="N25" s="139" t="s">
        <v>659</v>
      </c>
      <c r="O25" s="140" t="s">
        <v>660</v>
      </c>
    </row>
    <row r="26" spans="2:15">
      <c r="B26" s="141">
        <v>2024</v>
      </c>
      <c r="C26" s="142">
        <v>1.1264226986473114</v>
      </c>
      <c r="D26" s="142"/>
      <c r="E26" s="142"/>
      <c r="F26" s="142"/>
      <c r="G26" s="143"/>
      <c r="I26" s="144">
        <v>2024</v>
      </c>
      <c r="J26" s="142">
        <v>100</v>
      </c>
      <c r="K26" s="142">
        <v>100</v>
      </c>
      <c r="L26" s="142">
        <v>100</v>
      </c>
      <c r="M26" s="142">
        <v>100</v>
      </c>
      <c r="N26" s="142">
        <v>100</v>
      </c>
      <c r="O26" s="143">
        <v>100</v>
      </c>
    </row>
    <row r="27" spans="2:15">
      <c r="B27" s="144">
        <v>2025</v>
      </c>
      <c r="C27" s="145">
        <v>1.4833428018599548</v>
      </c>
      <c r="D27" s="145">
        <v>1.4890979664518911</v>
      </c>
      <c r="E27" s="142">
        <v>1.4576594129425029</v>
      </c>
      <c r="F27" s="142">
        <v>1.3</v>
      </c>
      <c r="G27" s="143">
        <v>1.6</v>
      </c>
      <c r="H27" s="146"/>
      <c r="I27" s="144">
        <v>2025</v>
      </c>
      <c r="J27" s="145">
        <v>100.97159306464103</v>
      </c>
      <c r="K27" s="145">
        <v>101.48334280185995</v>
      </c>
      <c r="L27" s="142">
        <v>101.48909796645189</v>
      </c>
      <c r="M27" s="142">
        <v>101.45765941294248</v>
      </c>
      <c r="N27" s="142">
        <v>101.29999999999998</v>
      </c>
      <c r="O27" s="143">
        <v>101.6</v>
      </c>
    </row>
    <row r="28" spans="2:15">
      <c r="B28" s="144">
        <v>2026</v>
      </c>
      <c r="C28" s="145">
        <v>1.3714665245198043</v>
      </c>
      <c r="D28" s="145">
        <v>1.2413457648986936</v>
      </c>
      <c r="E28" s="142">
        <v>1.1646866942720557</v>
      </c>
      <c r="F28" s="142">
        <v>0.93097890000000005</v>
      </c>
      <c r="G28" s="143">
        <v>1.4</v>
      </c>
      <c r="H28" s="146"/>
      <c r="I28" s="144">
        <v>2026</v>
      </c>
      <c r="J28" s="145">
        <v>102.85140304800348</v>
      </c>
      <c r="K28" s="145">
        <v>102.87515287635114</v>
      </c>
      <c r="L28" s="142">
        <v>102.74892858589233</v>
      </c>
      <c r="M28" s="142">
        <v>102.63935841449245</v>
      </c>
      <c r="N28" s="142">
        <v>102.40369309242357</v>
      </c>
      <c r="O28" s="143">
        <v>103.02239999999999</v>
      </c>
    </row>
    <row r="29" spans="2:15">
      <c r="B29" s="144">
        <v>2027</v>
      </c>
      <c r="C29" s="145">
        <v>1.5426381121970589</v>
      </c>
      <c r="D29" s="145">
        <v>1.607096180577261</v>
      </c>
      <c r="E29" s="142">
        <v>1.3619967468032737</v>
      </c>
      <c r="F29" s="142">
        <v>1.1512</v>
      </c>
      <c r="G29" s="143">
        <v>1.5970059647962165</v>
      </c>
      <c r="H29" s="146"/>
      <c r="I29" s="144">
        <v>2027</v>
      </c>
      <c r="J29" s="145">
        <v>104.69280952129196</v>
      </c>
      <c r="K29" s="145">
        <v>104.46214419260272</v>
      </c>
      <c r="L29" s="142">
        <v>104.40020269278027</v>
      </c>
      <c r="M29" s="142">
        <v>104.03722746565568</v>
      </c>
      <c r="N29" s="142">
        <v>103.73008819160941</v>
      </c>
      <c r="O29" s="143">
        <v>104.2641920259848</v>
      </c>
    </row>
    <row r="30" spans="2:15">
      <c r="B30" s="144">
        <v>2028</v>
      </c>
      <c r="C30" s="145">
        <v>1.4674361505844447</v>
      </c>
      <c r="D30" s="145">
        <v>1.8367305610658802</v>
      </c>
      <c r="E30" s="142">
        <v>1.393788666828282</v>
      </c>
      <c r="F30" s="142">
        <v>0.7</v>
      </c>
      <c r="G30" s="143">
        <v>1.7292989999999999</v>
      </c>
      <c r="H30" s="146"/>
      <c r="I30" s="144">
        <v>2028</v>
      </c>
      <c r="J30" s="145">
        <v>106.49627515015571</v>
      </c>
      <c r="K30" s="145">
        <v>105.99505946016062</v>
      </c>
      <c r="L30" s="142">
        <v>106.31775312145329</v>
      </c>
      <c r="M30" s="142">
        <v>105.48613799640441</v>
      </c>
      <c r="N30" s="142">
        <v>104.98847948159998</v>
      </c>
      <c r="O30" s="143">
        <v>105.97829269913927</v>
      </c>
    </row>
    <row r="31" spans="2:15" ht="13.5" thickBot="1">
      <c r="B31" s="147">
        <v>2029</v>
      </c>
      <c r="C31" s="148">
        <v>1.5230852346862944</v>
      </c>
      <c r="D31" s="148"/>
      <c r="E31" s="149">
        <v>1.3975122246641405</v>
      </c>
      <c r="F31" s="149">
        <v>0.8</v>
      </c>
      <c r="G31" s="150">
        <v>1.6689000000000001</v>
      </c>
      <c r="H31" s="146"/>
      <c r="I31" s="147">
        <v>2029</v>
      </c>
      <c r="J31" s="148">
        <v>108.41407665893341</v>
      </c>
      <c r="K31" s="148">
        <v>107.60945456029528</v>
      </c>
      <c r="L31" s="149"/>
      <c r="M31" s="149">
        <v>106.9611581163158</v>
      </c>
      <c r="N31" s="149">
        <v>105.82838731745278</v>
      </c>
      <c r="O31" s="150">
        <v>107.73272290719376</v>
      </c>
    </row>
  </sheetData>
  <hyperlinks>
    <hyperlink ref="A1" location="Contents!A1" display="Contents!A1" xr:uid="{17A9A862-E9B3-457F-90E6-6B362612226F}"/>
  </hyperlinks>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777B1-7E8C-4D3F-84C1-58591A883026}">
  <sheetPr>
    <tabColor theme="6"/>
  </sheetPr>
  <dimension ref="B1:BB55"/>
  <sheetViews>
    <sheetView zoomScaleNormal="100" workbookViewId="0">
      <pane xSplit="2" ySplit="5" topLeftCell="AA6" activePane="bottomRight" state="frozen"/>
      <selection pane="topRight" activeCell="B1" sqref="B1"/>
      <selection pane="bottomLeft" activeCell="A2" sqref="A2"/>
      <selection pane="bottomRight" activeCell="N9" sqref="N9"/>
    </sheetView>
  </sheetViews>
  <sheetFormatPr defaultColWidth="12.28515625" defaultRowHeight="12.75"/>
  <cols>
    <col min="1" max="1" width="3.5703125" style="295" customWidth="1"/>
    <col min="2" max="2" width="41.28515625" style="298" customWidth="1"/>
    <col min="3" max="49" width="12.28515625" style="294" customWidth="1"/>
    <col min="50" max="51" width="12.28515625" style="294"/>
    <col min="52" max="52" width="12.28515625" style="294" customWidth="1"/>
    <col min="53" max="53" width="12.28515625" style="294"/>
    <col min="54" max="16384" width="12.28515625" style="295"/>
  </cols>
  <sheetData>
    <row r="1" spans="2:54" ht="35.1" customHeight="1">
      <c r="B1" s="293" t="s">
        <v>1494</v>
      </c>
    </row>
    <row r="2" spans="2:54">
      <c r="B2" s="296" t="s">
        <v>1495</v>
      </c>
    </row>
    <row r="3" spans="2:54">
      <c r="B3" s="297"/>
    </row>
    <row r="4" spans="2:54" ht="13.5" thickBot="1"/>
    <row r="5" spans="2:54" s="321" customFormat="1" ht="15.75" customHeight="1">
      <c r="B5" s="319"/>
      <c r="C5" s="320" t="s">
        <v>627</v>
      </c>
      <c r="D5" s="320" t="s">
        <v>628</v>
      </c>
      <c r="E5" s="320" t="s">
        <v>629</v>
      </c>
      <c r="F5" s="320" t="s">
        <v>630</v>
      </c>
      <c r="G5" s="320" t="s">
        <v>631</v>
      </c>
      <c r="H5" s="320" t="s">
        <v>632</v>
      </c>
      <c r="I5" s="320" t="s">
        <v>633</v>
      </c>
      <c r="J5" s="320" t="s">
        <v>634</v>
      </c>
      <c r="K5" s="320" t="s">
        <v>635</v>
      </c>
      <c r="L5" s="320" t="s">
        <v>1496</v>
      </c>
      <c r="M5" s="320" t="s">
        <v>1497</v>
      </c>
      <c r="N5" s="320" t="s">
        <v>1498</v>
      </c>
      <c r="O5" s="320" t="s">
        <v>1499</v>
      </c>
      <c r="P5" s="320" t="s">
        <v>1500</v>
      </c>
      <c r="Q5" s="320" t="s">
        <v>1501</v>
      </c>
      <c r="R5" s="320" t="s">
        <v>1502</v>
      </c>
      <c r="S5" s="320" t="s">
        <v>1503</v>
      </c>
      <c r="T5" s="320" t="s">
        <v>1504</v>
      </c>
      <c r="U5" s="320" t="s">
        <v>1505</v>
      </c>
      <c r="V5" s="320" t="s">
        <v>1506</v>
      </c>
      <c r="W5" s="320" t="s">
        <v>1507</v>
      </c>
      <c r="X5" s="320" t="s">
        <v>1508</v>
      </c>
      <c r="Y5" s="320" t="s">
        <v>1509</v>
      </c>
      <c r="Z5" s="320" t="s">
        <v>1510</v>
      </c>
      <c r="AA5" s="320" t="s">
        <v>1511</v>
      </c>
      <c r="AB5" s="320" t="s">
        <v>1512</v>
      </c>
      <c r="AC5" s="320" t="s">
        <v>1513</v>
      </c>
      <c r="AD5" s="320" t="s">
        <v>1514</v>
      </c>
      <c r="AE5" s="320" t="s">
        <v>1515</v>
      </c>
      <c r="AF5" s="320" t="s">
        <v>1516</v>
      </c>
      <c r="AG5" s="320" t="s">
        <v>1517</v>
      </c>
      <c r="AH5" s="320" t="s">
        <v>1518</v>
      </c>
      <c r="AI5" s="320" t="s">
        <v>1519</v>
      </c>
      <c r="AJ5" s="320" t="s">
        <v>1520</v>
      </c>
      <c r="AK5" s="320" t="s">
        <v>1521</v>
      </c>
      <c r="AL5" s="320" t="s">
        <v>1522</v>
      </c>
      <c r="AM5" s="320" t="s">
        <v>1523</v>
      </c>
      <c r="AN5" s="320" t="s">
        <v>1524</v>
      </c>
      <c r="AO5" s="320" t="s">
        <v>1525</v>
      </c>
      <c r="AP5" s="320" t="s">
        <v>1526</v>
      </c>
      <c r="AQ5" s="320" t="s">
        <v>1527</v>
      </c>
      <c r="AR5" s="320" t="s">
        <v>1528</v>
      </c>
      <c r="AS5" s="320" t="s">
        <v>1529</v>
      </c>
      <c r="AT5" s="320" t="s">
        <v>1530</v>
      </c>
      <c r="AU5" s="320" t="s">
        <v>1531</v>
      </c>
      <c r="AV5" s="320" t="s">
        <v>1532</v>
      </c>
      <c r="AW5" s="320" t="s">
        <v>1533</v>
      </c>
      <c r="AX5" s="320" t="s">
        <v>1534</v>
      </c>
      <c r="AY5" s="320" t="s">
        <v>1535</v>
      </c>
      <c r="AZ5" s="320" t="s">
        <v>1536</v>
      </c>
      <c r="BA5" s="320" t="s">
        <v>1537</v>
      </c>
      <c r="BB5" s="320" t="s">
        <v>1538</v>
      </c>
    </row>
    <row r="6" spans="2:54" ht="15.75" customHeight="1">
      <c r="B6" s="299" t="s">
        <v>1539</v>
      </c>
      <c r="C6" s="300"/>
      <c r="D6" s="300"/>
      <c r="E6" s="300"/>
      <c r="F6" s="300"/>
      <c r="G6" s="300"/>
      <c r="H6" s="300"/>
      <c r="I6" s="300"/>
      <c r="J6" s="300"/>
      <c r="K6" s="300"/>
      <c r="L6" s="300"/>
      <c r="M6" s="300"/>
      <c r="N6" s="300"/>
      <c r="O6" s="300"/>
      <c r="P6" s="300"/>
      <c r="Q6" s="300"/>
      <c r="R6" s="300"/>
      <c r="S6" s="300"/>
      <c r="T6" s="300"/>
      <c r="U6" s="300"/>
      <c r="V6" s="300"/>
      <c r="W6" s="300"/>
      <c r="X6" s="300"/>
      <c r="Y6" s="300"/>
      <c r="Z6" s="300"/>
      <c r="AA6" s="300"/>
      <c r="AB6" s="300"/>
      <c r="AC6" s="300"/>
      <c r="AD6" s="300"/>
      <c r="AE6" s="300"/>
      <c r="AF6" s="300"/>
      <c r="AG6" s="300"/>
      <c r="AH6" s="300"/>
      <c r="AI6" s="300"/>
      <c r="AJ6" s="300"/>
      <c r="AK6" s="300"/>
      <c r="AL6" s="300"/>
      <c r="AM6" s="300"/>
      <c r="AN6" s="300"/>
      <c r="AO6" s="300"/>
      <c r="AP6" s="300"/>
      <c r="AQ6" s="300"/>
      <c r="AR6" s="300"/>
      <c r="AS6" s="300"/>
      <c r="AT6" s="300"/>
      <c r="AU6" s="300"/>
      <c r="AV6" s="300"/>
      <c r="AW6" s="300"/>
      <c r="AX6" s="300"/>
      <c r="AY6" s="300"/>
      <c r="AZ6" s="300"/>
      <c r="BA6" s="300"/>
      <c r="BB6" s="300"/>
    </row>
    <row r="7" spans="2:54" ht="15.75" customHeight="1">
      <c r="B7" s="301" t="s">
        <v>1540</v>
      </c>
      <c r="C7" s="302">
        <v>2.324985563049168</v>
      </c>
      <c r="D7" s="302">
        <v>0.27352941408781817</v>
      </c>
      <c r="E7" s="303">
        <v>1.0009057595242723</v>
      </c>
      <c r="F7" s="303">
        <v>1.221929249815858</v>
      </c>
      <c r="G7" s="303">
        <v>1.9004997723758947</v>
      </c>
      <c r="H7" s="303">
        <v>1.7469886050256491</v>
      </c>
      <c r="I7" s="303">
        <v>1.7381592511262625</v>
      </c>
      <c r="J7" s="303">
        <v>1.8134485055847591</v>
      </c>
      <c r="K7" s="302">
        <v>2.004224031553008</v>
      </c>
      <c r="L7" s="302">
        <v>1.9823941419430753</v>
      </c>
      <c r="M7" s="302">
        <v>2.0124631398150399</v>
      </c>
      <c r="N7" s="302">
        <v>2.0491176415077064</v>
      </c>
      <c r="O7" s="302">
        <v>2.0719125779840653</v>
      </c>
      <c r="P7" s="302">
        <v>2.0777282399865555</v>
      </c>
      <c r="Q7" s="302">
        <v>2.0954413233509115</v>
      </c>
      <c r="R7" s="302">
        <v>2.1596475894250773</v>
      </c>
      <c r="S7" s="302">
        <v>2.0933983294956278</v>
      </c>
      <c r="T7" s="302">
        <v>2.0364853737305282</v>
      </c>
      <c r="U7" s="302">
        <v>1.9675735881790928</v>
      </c>
      <c r="V7" s="302">
        <v>1.9173878860535183</v>
      </c>
      <c r="W7" s="302">
        <v>1.8688840934342466</v>
      </c>
      <c r="X7" s="302">
        <v>1.8367581923391043</v>
      </c>
      <c r="Y7" s="302">
        <v>1.8138563359163129</v>
      </c>
      <c r="Z7" s="302">
        <v>1.7819003874423061</v>
      </c>
      <c r="AA7" s="302">
        <v>1.7686530379165077</v>
      </c>
      <c r="AB7" s="302">
        <v>1.7516279703404507</v>
      </c>
      <c r="AC7" s="302">
        <v>1.7358304775698059</v>
      </c>
      <c r="AD7" s="302">
        <v>1.7169303646954717</v>
      </c>
      <c r="AE7" s="302">
        <v>1.7029932269453383</v>
      </c>
      <c r="AF7" s="302">
        <v>1.6952617500353853</v>
      </c>
      <c r="AG7" s="302">
        <v>1.6847048229383006</v>
      </c>
      <c r="AH7" s="302">
        <v>1.6663588809453955</v>
      </c>
      <c r="AI7" s="302">
        <v>1.6483408942182791</v>
      </c>
      <c r="AJ7" s="302">
        <v>1.6292884424305925</v>
      </c>
      <c r="AK7" s="302">
        <v>1.6048862584470953</v>
      </c>
      <c r="AL7" s="302">
        <v>1.5839641207692807</v>
      </c>
      <c r="AM7" s="302">
        <v>1.5642901677733931</v>
      </c>
      <c r="AN7" s="302">
        <v>1.5538473886302313</v>
      </c>
      <c r="AO7" s="302">
        <v>1.5335493390445549</v>
      </c>
      <c r="AP7" s="302">
        <v>1.5422668655575791</v>
      </c>
      <c r="AQ7" s="302">
        <v>1.5182565733131668</v>
      </c>
      <c r="AR7" s="302">
        <v>1.5015522538562607</v>
      </c>
      <c r="AS7" s="302">
        <v>1.4889334353358521</v>
      </c>
      <c r="AT7" s="302">
        <v>1.4909667808965992</v>
      </c>
      <c r="AU7" s="302">
        <v>1.4887628601077267</v>
      </c>
      <c r="AV7" s="302">
        <v>1.4870894129334999</v>
      </c>
      <c r="AW7" s="302">
        <v>1.5080103165244054</v>
      </c>
      <c r="AX7" s="302">
        <v>1.5613308715183081</v>
      </c>
      <c r="AY7" s="302">
        <v>1.5976118067006126</v>
      </c>
      <c r="AZ7" s="302">
        <v>1.6026513485168863</v>
      </c>
      <c r="BA7" s="302">
        <v>1.5975810192415878</v>
      </c>
      <c r="BB7" s="302">
        <v>1.5979982555183625</v>
      </c>
    </row>
    <row r="8" spans="2:54" ht="15.75" customHeight="1">
      <c r="B8" s="301" t="s">
        <v>1541</v>
      </c>
      <c r="C8" s="302">
        <v>9.5612604198741735</v>
      </c>
      <c r="D8" s="302">
        <v>6.4196718392217411</v>
      </c>
      <c r="E8" s="303">
        <v>4.8104035005967605</v>
      </c>
      <c r="F8" s="303">
        <v>3.9111519917421012</v>
      </c>
      <c r="G8" s="303">
        <v>3.5886304652062551</v>
      </c>
      <c r="H8" s="303">
        <v>3.819296906325631</v>
      </c>
      <c r="I8" s="303">
        <v>3.7192369247093904</v>
      </c>
      <c r="J8" s="303">
        <v>3.7286789703819156</v>
      </c>
      <c r="K8" s="302">
        <v>4.0654615883030374</v>
      </c>
      <c r="L8" s="302">
        <v>4.1855898905729845</v>
      </c>
      <c r="M8" s="302">
        <v>4.3587497920307925</v>
      </c>
      <c r="N8" s="302">
        <v>4.3962473472623884</v>
      </c>
      <c r="O8" s="302">
        <v>4.419566567277684</v>
      </c>
      <c r="P8" s="302">
        <v>4.4255159895062519</v>
      </c>
      <c r="Q8" s="302">
        <v>4.4436364737879614</v>
      </c>
      <c r="R8" s="302">
        <v>4.5093194839818551</v>
      </c>
      <c r="S8" s="302">
        <v>4.4415464910740212</v>
      </c>
      <c r="T8" s="302">
        <v>4.383324537326331</v>
      </c>
      <c r="U8" s="302">
        <v>4.3128277807072095</v>
      </c>
      <c r="V8" s="302">
        <v>4.2614878074327436</v>
      </c>
      <c r="W8" s="302">
        <v>4.2118684275832265</v>
      </c>
      <c r="X8" s="302">
        <v>4.1790036307629066</v>
      </c>
      <c r="Y8" s="302">
        <v>4.1555750316423854</v>
      </c>
      <c r="Z8" s="302">
        <v>4.1228840963534878</v>
      </c>
      <c r="AA8" s="302">
        <v>4.1093320577885777</v>
      </c>
      <c r="AB8" s="302">
        <v>4.0919154136582705</v>
      </c>
      <c r="AC8" s="302">
        <v>4.075754578553898</v>
      </c>
      <c r="AD8" s="302">
        <v>4.0564197630834684</v>
      </c>
      <c r="AE8" s="302">
        <v>4.0421620711650803</v>
      </c>
      <c r="AF8" s="302">
        <v>4.0342527702862014</v>
      </c>
      <c r="AG8" s="302">
        <v>4.0234530338658629</v>
      </c>
      <c r="AH8" s="302">
        <v>4.0046851352071258</v>
      </c>
      <c r="AI8" s="302">
        <v>3.9862527347852819</v>
      </c>
      <c r="AJ8" s="302">
        <v>3.9667620766064857</v>
      </c>
      <c r="AK8" s="302">
        <v>3.9417986423913902</v>
      </c>
      <c r="AL8" s="302">
        <v>3.9203952955469674</v>
      </c>
      <c r="AM8" s="302">
        <v>3.9002688416321689</v>
      </c>
      <c r="AN8" s="302">
        <v>3.8895858785687096</v>
      </c>
      <c r="AO8" s="302">
        <v>3.8688209738425599</v>
      </c>
      <c r="AP8" s="302">
        <v>3.8777390034654218</v>
      </c>
      <c r="AQ8" s="302">
        <v>3.8531764744993637</v>
      </c>
      <c r="AR8" s="302">
        <v>3.8360879556949641</v>
      </c>
      <c r="AS8" s="302">
        <v>3.8231789043485804</v>
      </c>
      <c r="AT8" s="302">
        <v>3.8252590168572027</v>
      </c>
      <c r="AU8" s="302">
        <v>3.8230044058902024</v>
      </c>
      <c r="AV8" s="302">
        <v>3.8212924694309436</v>
      </c>
      <c r="AW8" s="302">
        <v>3.8426945538044777</v>
      </c>
      <c r="AX8" s="302">
        <v>3.8972414815632277</v>
      </c>
      <c r="AY8" s="302">
        <v>3.934356878254718</v>
      </c>
      <c r="AZ8" s="302">
        <v>3.939512329532775</v>
      </c>
      <c r="BA8" s="302">
        <v>3.9343253826841504</v>
      </c>
      <c r="BB8" s="302">
        <v>3.9347522153952781</v>
      </c>
    </row>
    <row r="9" spans="2:54" ht="15.75" customHeight="1">
      <c r="B9" s="301" t="s">
        <v>1542</v>
      </c>
      <c r="C9" s="302">
        <v>1.1616242202861171</v>
      </c>
      <c r="D9" s="302">
        <v>-0.11683438109731936</v>
      </c>
      <c r="E9" s="303">
        <v>0.2736472262733658</v>
      </c>
      <c r="F9" s="303">
        <v>0.53293566961940542</v>
      </c>
      <c r="G9" s="303">
        <v>0.96104199053275163</v>
      </c>
      <c r="H9" s="303">
        <v>1.1247705545080811</v>
      </c>
      <c r="I9" s="303">
        <v>1.2299049950302621</v>
      </c>
      <c r="J9" s="303">
        <v>1.2670425894898418</v>
      </c>
      <c r="K9" s="302">
        <v>1.3170425894898419</v>
      </c>
      <c r="L9" s="302">
        <v>1.3475354912415349</v>
      </c>
      <c r="M9" s="302">
        <v>1.378028392993228</v>
      </c>
      <c r="N9" s="302">
        <v>1.408521294744921</v>
      </c>
      <c r="O9" s="302">
        <v>1.4390141964966141</v>
      </c>
      <c r="P9" s="302">
        <v>1.4695070982483072</v>
      </c>
      <c r="Q9" s="302">
        <v>1.5</v>
      </c>
      <c r="R9" s="302">
        <v>1.5</v>
      </c>
      <c r="S9" s="302">
        <v>1.5</v>
      </c>
      <c r="T9" s="302">
        <v>1.5</v>
      </c>
      <c r="U9" s="302">
        <v>1.5</v>
      </c>
      <c r="V9" s="302">
        <v>1.5</v>
      </c>
      <c r="W9" s="302">
        <v>1.5</v>
      </c>
      <c r="X9" s="302">
        <v>1.5</v>
      </c>
      <c r="Y9" s="302">
        <v>1.5</v>
      </c>
      <c r="Z9" s="302">
        <v>1.5</v>
      </c>
      <c r="AA9" s="302">
        <v>1.5</v>
      </c>
      <c r="AB9" s="302">
        <v>1.5</v>
      </c>
      <c r="AC9" s="302">
        <v>1.5</v>
      </c>
      <c r="AD9" s="302">
        <v>1.5</v>
      </c>
      <c r="AE9" s="302">
        <v>1.5</v>
      </c>
      <c r="AF9" s="302">
        <v>1.5</v>
      </c>
      <c r="AG9" s="302">
        <v>1.5</v>
      </c>
      <c r="AH9" s="302">
        <v>1.5</v>
      </c>
      <c r="AI9" s="302">
        <v>1.5</v>
      </c>
      <c r="AJ9" s="302">
        <v>1.5</v>
      </c>
      <c r="AK9" s="302">
        <v>1.5</v>
      </c>
      <c r="AL9" s="302">
        <v>1.5</v>
      </c>
      <c r="AM9" s="302">
        <v>1.5</v>
      </c>
      <c r="AN9" s="302">
        <v>1.5</v>
      </c>
      <c r="AO9" s="302">
        <v>1.5</v>
      </c>
      <c r="AP9" s="302">
        <v>1.5</v>
      </c>
      <c r="AQ9" s="302">
        <v>1.5</v>
      </c>
      <c r="AR9" s="302">
        <v>1.5</v>
      </c>
      <c r="AS9" s="302">
        <v>1.5</v>
      </c>
      <c r="AT9" s="302">
        <v>1.5</v>
      </c>
      <c r="AU9" s="302">
        <v>1.5</v>
      </c>
      <c r="AV9" s="302">
        <v>1.5</v>
      </c>
      <c r="AW9" s="302">
        <v>1.5</v>
      </c>
      <c r="AX9" s="302">
        <v>1.5</v>
      </c>
      <c r="AY9" s="302">
        <v>1.5</v>
      </c>
      <c r="AZ9" s="302">
        <v>1.5</v>
      </c>
      <c r="BA9" s="302">
        <v>1.5</v>
      </c>
      <c r="BB9" s="302">
        <v>1.5</v>
      </c>
    </row>
    <row r="10" spans="2:54" ht="15.75" customHeight="1">
      <c r="B10" s="301" t="s">
        <v>1543</v>
      </c>
      <c r="C10" s="302">
        <v>0.92559417174251735</v>
      </c>
      <c r="D10" s="302">
        <v>1.3135317436838108</v>
      </c>
      <c r="E10" s="303">
        <v>1.0716580038544521</v>
      </c>
      <c r="F10" s="303">
        <v>0.7229980837545753</v>
      </c>
      <c r="G10" s="303">
        <v>0.38217687493839492</v>
      </c>
      <c r="H10" s="303">
        <v>0.36668752654256309</v>
      </c>
      <c r="I10" s="303">
        <v>0.40024340166662853</v>
      </c>
      <c r="J10" s="303">
        <v>0.4396852847806656</v>
      </c>
      <c r="K10" s="302">
        <v>0.44552913576012543</v>
      </c>
      <c r="L10" s="302">
        <v>0.43242944091446134</v>
      </c>
      <c r="M10" s="302">
        <v>0.41935308375116165</v>
      </c>
      <c r="N10" s="302">
        <v>0.40703603913092579</v>
      </c>
      <c r="O10" s="302">
        <v>0.39578220030589417</v>
      </c>
      <c r="P10" s="302">
        <v>0.38528212049526722</v>
      </c>
      <c r="Q10" s="302">
        <v>0.37569405597066563</v>
      </c>
      <c r="R10" s="302">
        <v>0.3671120561324237</v>
      </c>
      <c r="S10" s="302">
        <v>0.35962912987459461</v>
      </c>
      <c r="T10" s="302">
        <v>0.35290875821714085</v>
      </c>
      <c r="U10" s="302">
        <v>0.34680045569517315</v>
      </c>
      <c r="V10" s="302">
        <v>0.34104557929313106</v>
      </c>
      <c r="W10" s="302">
        <v>0.33551304960333095</v>
      </c>
      <c r="X10" s="302">
        <v>0.3296945095435877</v>
      </c>
      <c r="Y10" s="302">
        <v>0.32315709875747611</v>
      </c>
      <c r="Z10" s="302">
        <v>0.3160698846434995</v>
      </c>
      <c r="AA10" s="302">
        <v>0.30852554176579172</v>
      </c>
      <c r="AB10" s="302">
        <v>0.30037175029491436</v>
      </c>
      <c r="AC10" s="302">
        <v>0.29029736136674256</v>
      </c>
      <c r="AD10" s="302">
        <v>0.27806794157225756</v>
      </c>
      <c r="AE10" s="302">
        <v>0.26505917165922099</v>
      </c>
      <c r="AF10" s="302">
        <v>0.25152235329140016</v>
      </c>
      <c r="AG10" s="302">
        <v>0.23786456203007678</v>
      </c>
      <c r="AH10" s="302">
        <v>0.22429643195129856</v>
      </c>
      <c r="AI10" s="302">
        <v>0.21099995070601452</v>
      </c>
      <c r="AJ10" s="302">
        <v>0.19869560552208121</v>
      </c>
      <c r="AK10" s="302">
        <v>0.18788141911667555</v>
      </c>
      <c r="AL10" s="302">
        <v>0.17866280673068946</v>
      </c>
      <c r="AM10" s="302">
        <v>0.17089066970528144</v>
      </c>
      <c r="AN10" s="302">
        <v>0.16460074867212793</v>
      </c>
      <c r="AO10" s="302">
        <v>0.1598978990532407</v>
      </c>
      <c r="AP10" s="302">
        <v>0.15663318248373415</v>
      </c>
      <c r="AQ10" s="302">
        <v>0.15466847321810029</v>
      </c>
      <c r="AR10" s="302">
        <v>0.15354088963559498</v>
      </c>
      <c r="AS10" s="302">
        <v>0.15303621527538169</v>
      </c>
      <c r="AT10" s="302">
        <v>0.15314550961620377</v>
      </c>
      <c r="AU10" s="302">
        <v>0.15362212610658954</v>
      </c>
      <c r="AV10" s="302">
        <v>0.15398259003913672</v>
      </c>
      <c r="AW10" s="302">
        <v>0.15411672242970909</v>
      </c>
      <c r="AX10" s="302">
        <v>0.15358943355801014</v>
      </c>
      <c r="AY10" s="302">
        <v>0.15228916113319002</v>
      </c>
      <c r="AZ10" s="302">
        <v>0.14999478970676439</v>
      </c>
      <c r="BA10" s="302">
        <v>0.1465551632202855</v>
      </c>
      <c r="BB10" s="302">
        <v>0.14196166679565358</v>
      </c>
    </row>
    <row r="11" spans="2:54" ht="15.75" customHeight="1">
      <c r="B11" s="304" t="s">
        <v>1544</v>
      </c>
      <c r="C11" s="302">
        <v>1.3865574959364153</v>
      </c>
      <c r="D11" s="302">
        <v>-1.0265186808679232</v>
      </c>
      <c r="E11" s="303">
        <v>-7.0002061633843482E-2</v>
      </c>
      <c r="F11" s="303">
        <v>0.49534979652452193</v>
      </c>
      <c r="G11" s="303">
        <v>1.5125423105030791</v>
      </c>
      <c r="H11" s="303">
        <v>1.3752581782855628</v>
      </c>
      <c r="I11" s="303">
        <v>1.3325822768248514</v>
      </c>
      <c r="J11" s="303">
        <v>1.3677494278371967</v>
      </c>
      <c r="K11" s="302">
        <v>1.5517812581644819</v>
      </c>
      <c r="L11" s="302">
        <v>1.543291056142877</v>
      </c>
      <c r="M11" s="302">
        <v>1.5864571988779517</v>
      </c>
      <c r="N11" s="302">
        <v>1.6354248339098802</v>
      </c>
      <c r="O11" s="302">
        <v>1.6695227039857201</v>
      </c>
      <c r="P11" s="302">
        <v>1.6859504538322625</v>
      </c>
      <c r="Q11" s="302">
        <v>1.7133104618148849</v>
      </c>
      <c r="R11" s="302">
        <v>1.7859789891036684</v>
      </c>
      <c r="S11" s="302">
        <v>1.7275564035588218</v>
      </c>
      <c r="T11" s="302">
        <v>1.6776560204843776</v>
      </c>
      <c r="U11" s="302">
        <v>1.6151717096346516</v>
      </c>
      <c r="V11" s="302">
        <v>1.5709845334576329</v>
      </c>
      <c r="W11" s="302">
        <v>1.5282435871662585</v>
      </c>
      <c r="X11" s="302">
        <v>1.5021113042979977</v>
      </c>
      <c r="Y11" s="302">
        <v>1.4858974540558023</v>
      </c>
      <c r="Z11" s="302">
        <v>1.4612120515530478</v>
      </c>
      <c r="AA11" s="302">
        <v>1.4556364857967878</v>
      </c>
      <c r="AB11" s="302">
        <v>1.4469101108204825</v>
      </c>
      <c r="AC11" s="302">
        <v>1.4413489183250618</v>
      </c>
      <c r="AD11" s="302">
        <v>1.43487250269078</v>
      </c>
      <c r="AE11" s="302">
        <v>1.4341327548855247</v>
      </c>
      <c r="AF11" s="302">
        <v>1.4401171801223853</v>
      </c>
      <c r="AG11" s="302">
        <v>1.4434069073896438</v>
      </c>
      <c r="AH11" s="302">
        <v>1.4388351929945742</v>
      </c>
      <c r="AI11" s="302">
        <v>1.4343145405387787</v>
      </c>
      <c r="AJ11" s="302">
        <v>1.427755948581094</v>
      </c>
      <c r="AK11" s="302">
        <v>1.4143475430952464</v>
      </c>
      <c r="AL11" s="302">
        <v>1.4027950410455645</v>
      </c>
      <c r="AM11" s="302">
        <v>1.391022370623233</v>
      </c>
      <c r="AN11" s="302">
        <v>1.3869636873449167</v>
      </c>
      <c r="AO11" s="302">
        <v>1.371458506652786</v>
      </c>
      <c r="AP11" s="302">
        <v>1.3834667151293445</v>
      </c>
      <c r="AQ11" s="302">
        <v>1.3614823161835119</v>
      </c>
      <c r="AR11" s="302">
        <v>1.3459447886182261</v>
      </c>
      <c r="AS11" s="302">
        <v>1.3338559374166437</v>
      </c>
      <c r="AT11" s="302">
        <v>1.3357755909443085</v>
      </c>
      <c r="AU11" s="302">
        <v>1.3330928084857732</v>
      </c>
      <c r="AV11" s="302">
        <v>1.3310572265020681</v>
      </c>
      <c r="AW11" s="302">
        <v>1.3518102284771203</v>
      </c>
      <c r="AX11" s="302">
        <v>1.4055826115889687</v>
      </c>
      <c r="AY11" s="302">
        <v>1.4431249227284866</v>
      </c>
      <c r="AZ11" s="302">
        <v>1.4504809130149141</v>
      </c>
      <c r="BA11" s="302">
        <v>1.4489024147225109</v>
      </c>
      <c r="BB11" s="302">
        <v>1.4539725051196939</v>
      </c>
    </row>
    <row r="12" spans="2:54" ht="15.75" customHeight="1">
      <c r="B12" s="305" t="s">
        <v>1545</v>
      </c>
      <c r="C12" s="302"/>
      <c r="D12" s="306"/>
      <c r="E12" s="306"/>
      <c r="F12" s="306"/>
      <c r="G12" s="306"/>
      <c r="H12" s="306"/>
      <c r="I12" s="306"/>
      <c r="J12" s="306"/>
      <c r="K12" s="302"/>
      <c r="L12" s="302"/>
      <c r="M12" s="302"/>
      <c r="N12" s="302"/>
      <c r="O12" s="302"/>
      <c r="P12" s="302"/>
      <c r="Q12" s="302"/>
      <c r="R12" s="302"/>
      <c r="S12" s="302"/>
      <c r="T12" s="302"/>
      <c r="U12" s="302"/>
      <c r="V12" s="302"/>
      <c r="W12" s="302"/>
      <c r="X12" s="302"/>
      <c r="Y12" s="302"/>
      <c r="Z12" s="302"/>
      <c r="AA12" s="302"/>
      <c r="AB12" s="302"/>
      <c r="AC12" s="302"/>
      <c r="AD12" s="302"/>
      <c r="AE12" s="302"/>
      <c r="AF12" s="302"/>
      <c r="AG12" s="302"/>
      <c r="AH12" s="302"/>
      <c r="AI12" s="302"/>
      <c r="AJ12" s="302"/>
      <c r="AK12" s="302"/>
      <c r="AL12" s="302"/>
      <c r="AM12" s="302"/>
      <c r="AN12" s="302"/>
      <c r="AO12" s="302"/>
      <c r="AP12" s="302"/>
      <c r="AQ12" s="302"/>
      <c r="AR12" s="302"/>
      <c r="AS12" s="302"/>
      <c r="AT12" s="302"/>
      <c r="AU12" s="302"/>
      <c r="AV12" s="302"/>
      <c r="AW12" s="302"/>
      <c r="AX12" s="302"/>
      <c r="AY12" s="302"/>
      <c r="AZ12" s="302"/>
      <c r="BA12" s="302"/>
      <c r="BB12" s="302"/>
    </row>
    <row r="13" spans="2:54" ht="15.75" customHeight="1">
      <c r="B13" s="304" t="s">
        <v>1546</v>
      </c>
      <c r="C13" s="302">
        <v>6.437897979322349</v>
      </c>
      <c r="D13" s="302">
        <v>6.8772497545889877</v>
      </c>
      <c r="E13" s="303">
        <v>4.6734621845650803</v>
      </c>
      <c r="F13" s="303">
        <v>3.7065749614937582</v>
      </c>
      <c r="G13" s="303">
        <v>2.1571350884450169</v>
      </c>
      <c r="H13" s="303">
        <v>2.0726549839153119</v>
      </c>
      <c r="I13" s="303">
        <v>2.2527760411489961</v>
      </c>
      <c r="J13" s="303">
        <v>2.5277220972176329</v>
      </c>
      <c r="K13" s="302">
        <v>2.9217224134891158</v>
      </c>
      <c r="L13" s="302">
        <v>3.3157227297605987</v>
      </c>
      <c r="M13" s="302">
        <v>3.7097230460320816</v>
      </c>
      <c r="N13" s="302">
        <v>3.7409172845240306</v>
      </c>
      <c r="O13" s="302">
        <v>3.7721115230160223</v>
      </c>
      <c r="P13" s="302">
        <v>3.8033057615080281</v>
      </c>
      <c r="Q13" s="302">
        <v>3.8344999999999914</v>
      </c>
      <c r="R13" s="302">
        <v>3.8344999999999914</v>
      </c>
      <c r="S13" s="302">
        <v>3.8344999999999914</v>
      </c>
      <c r="T13" s="302">
        <v>3.8344999999999914</v>
      </c>
      <c r="U13" s="302">
        <v>3.8344999999999914</v>
      </c>
      <c r="V13" s="302">
        <v>3.8344999999999914</v>
      </c>
      <c r="W13" s="302">
        <v>3.8344999999999914</v>
      </c>
      <c r="X13" s="302">
        <v>3.8344999999999914</v>
      </c>
      <c r="Y13" s="302">
        <v>3.8344999999999914</v>
      </c>
      <c r="Z13" s="302">
        <v>3.8344999999999914</v>
      </c>
      <c r="AA13" s="302">
        <v>3.8344999999999914</v>
      </c>
      <c r="AB13" s="302">
        <v>3.8344999999999914</v>
      </c>
      <c r="AC13" s="302">
        <v>3.8344999999999914</v>
      </c>
      <c r="AD13" s="302">
        <v>3.8344999999999914</v>
      </c>
      <c r="AE13" s="302">
        <v>3.8344999999999914</v>
      </c>
      <c r="AF13" s="302">
        <v>3.8344999999999914</v>
      </c>
      <c r="AG13" s="302">
        <v>3.8344999999999914</v>
      </c>
      <c r="AH13" s="302">
        <v>3.8344999999999914</v>
      </c>
      <c r="AI13" s="302">
        <v>3.8344999999999914</v>
      </c>
      <c r="AJ13" s="302">
        <v>3.8344999999999914</v>
      </c>
      <c r="AK13" s="302">
        <v>3.8344999999999914</v>
      </c>
      <c r="AL13" s="302">
        <v>3.8344999999999914</v>
      </c>
      <c r="AM13" s="302">
        <v>3.8344999999999914</v>
      </c>
      <c r="AN13" s="302">
        <v>3.8344999999999914</v>
      </c>
      <c r="AO13" s="302">
        <v>3.8344999999999914</v>
      </c>
      <c r="AP13" s="302">
        <v>3.8344999999999914</v>
      </c>
      <c r="AQ13" s="302">
        <v>3.8344999999999914</v>
      </c>
      <c r="AR13" s="302">
        <v>3.8344999999999914</v>
      </c>
      <c r="AS13" s="302">
        <v>3.8344999999999914</v>
      </c>
      <c r="AT13" s="302">
        <v>3.8344999999999914</v>
      </c>
      <c r="AU13" s="302">
        <v>3.8344999999999914</v>
      </c>
      <c r="AV13" s="302">
        <v>3.8344999999999914</v>
      </c>
      <c r="AW13" s="302">
        <v>3.8344999999999914</v>
      </c>
      <c r="AX13" s="302">
        <v>3.8344999999999914</v>
      </c>
      <c r="AY13" s="302">
        <v>3.8344999999999914</v>
      </c>
      <c r="AZ13" s="302">
        <v>3.8344999999999914</v>
      </c>
      <c r="BA13" s="302">
        <v>3.8344999999999914</v>
      </c>
      <c r="BB13" s="302">
        <v>3.8344999999999914</v>
      </c>
    </row>
    <row r="14" spans="2:54" ht="15.75" customHeight="1">
      <c r="B14" s="304" t="s">
        <v>1547</v>
      </c>
      <c r="C14" s="302">
        <v>5.1289101776275885</v>
      </c>
      <c r="D14" s="302">
        <v>8.266494759318249</v>
      </c>
      <c r="E14" s="303">
        <v>4.2914421927972484</v>
      </c>
      <c r="F14" s="303">
        <v>2.99298588043564</v>
      </c>
      <c r="G14" s="303">
        <v>2.1556037687401641</v>
      </c>
      <c r="H14" s="303">
        <v>2.0404388874264754</v>
      </c>
      <c r="I14" s="303">
        <v>2.629877382557595</v>
      </c>
      <c r="J14" s="303">
        <v>2.5787250850926711</v>
      </c>
      <c r="K14" s="302">
        <v>2.9217224134891158</v>
      </c>
      <c r="L14" s="302">
        <v>3.3157227297605987</v>
      </c>
      <c r="M14" s="302">
        <v>3.7097230460320816</v>
      </c>
      <c r="N14" s="302">
        <v>3.7409172845240306</v>
      </c>
      <c r="O14" s="302">
        <v>3.7721115230160223</v>
      </c>
      <c r="P14" s="302">
        <v>3.8033057615080281</v>
      </c>
      <c r="Q14" s="302">
        <v>3.8344999999999914</v>
      </c>
      <c r="R14" s="302">
        <v>3.8344999999999914</v>
      </c>
      <c r="S14" s="302">
        <v>3.8344999999999914</v>
      </c>
      <c r="T14" s="302">
        <v>3.8344999999999914</v>
      </c>
      <c r="U14" s="302">
        <v>3.8344999999999914</v>
      </c>
      <c r="V14" s="302">
        <v>3.8344999999999914</v>
      </c>
      <c r="W14" s="302">
        <v>3.8344999999999914</v>
      </c>
      <c r="X14" s="302">
        <v>3.8344999999999914</v>
      </c>
      <c r="Y14" s="302">
        <v>3.8344999999999914</v>
      </c>
      <c r="Z14" s="302">
        <v>3.8344999999999914</v>
      </c>
      <c r="AA14" s="302">
        <v>3.8344999999999914</v>
      </c>
      <c r="AB14" s="302">
        <v>3.8344999999999914</v>
      </c>
      <c r="AC14" s="302">
        <v>3.8344999999999914</v>
      </c>
      <c r="AD14" s="302">
        <v>3.8344999999999914</v>
      </c>
      <c r="AE14" s="302">
        <v>3.8344999999999914</v>
      </c>
      <c r="AF14" s="302">
        <v>3.8344999999999914</v>
      </c>
      <c r="AG14" s="302">
        <v>3.8344999999999914</v>
      </c>
      <c r="AH14" s="302">
        <v>3.8344999999999914</v>
      </c>
      <c r="AI14" s="302">
        <v>3.8344999999999914</v>
      </c>
      <c r="AJ14" s="302">
        <v>3.8344999999999914</v>
      </c>
      <c r="AK14" s="302">
        <v>3.8344999999999914</v>
      </c>
      <c r="AL14" s="302">
        <v>3.8344999999999914</v>
      </c>
      <c r="AM14" s="302">
        <v>3.8344999999999914</v>
      </c>
      <c r="AN14" s="302">
        <v>3.8344999999999914</v>
      </c>
      <c r="AO14" s="302">
        <v>3.8344999999999914</v>
      </c>
      <c r="AP14" s="302">
        <v>3.8344999999999914</v>
      </c>
      <c r="AQ14" s="302">
        <v>3.8344999999999914</v>
      </c>
      <c r="AR14" s="302">
        <v>3.8344999999999914</v>
      </c>
      <c r="AS14" s="302">
        <v>3.8344999999999914</v>
      </c>
      <c r="AT14" s="302">
        <v>3.8344999999999914</v>
      </c>
      <c r="AU14" s="302">
        <v>3.8344999999999914</v>
      </c>
      <c r="AV14" s="302">
        <v>3.8344999999999914</v>
      </c>
      <c r="AW14" s="302">
        <v>3.8344999999999914</v>
      </c>
      <c r="AX14" s="302">
        <v>3.8344999999999914</v>
      </c>
      <c r="AY14" s="302">
        <v>3.8344999999999914</v>
      </c>
      <c r="AZ14" s="302">
        <v>3.8344999999999914</v>
      </c>
      <c r="BA14" s="302">
        <v>3.8344999999999914</v>
      </c>
      <c r="BB14" s="302">
        <v>3.8344999999999914</v>
      </c>
    </row>
    <row r="15" spans="2:54" ht="15.75" customHeight="1">
      <c r="B15" s="304" t="s">
        <v>1453</v>
      </c>
      <c r="C15" s="302">
        <v>7.1128608923884507</v>
      </c>
      <c r="D15" s="302">
        <v>6.1014457240872177</v>
      </c>
      <c r="E15" s="303">
        <v>3.8008994706787869</v>
      </c>
      <c r="F15" s="303">
        <v>2.6454271426344711</v>
      </c>
      <c r="G15" s="303">
        <v>1.6563424400545035</v>
      </c>
      <c r="H15" s="303">
        <v>2.0368953167761994</v>
      </c>
      <c r="I15" s="303">
        <v>1.9472243790819688</v>
      </c>
      <c r="J15" s="303">
        <v>1.8811061767095349</v>
      </c>
      <c r="K15" s="302">
        <v>2.0207374511396901</v>
      </c>
      <c r="L15" s="302">
        <v>2.1603687255698452</v>
      </c>
      <c r="M15" s="302">
        <v>2.2999999999999998</v>
      </c>
      <c r="N15" s="302">
        <v>2.2999999999999998</v>
      </c>
      <c r="O15" s="302">
        <v>2.2999999999999998</v>
      </c>
      <c r="P15" s="302">
        <v>2.2999999999999998</v>
      </c>
      <c r="Q15" s="302">
        <v>2.2999999999999998</v>
      </c>
      <c r="R15" s="302">
        <v>2.2999999999999998</v>
      </c>
      <c r="S15" s="302">
        <v>2.2999999999999998</v>
      </c>
      <c r="T15" s="302">
        <v>2.2999999999999998</v>
      </c>
      <c r="U15" s="302">
        <v>2.2999999999999998</v>
      </c>
      <c r="V15" s="302">
        <v>2.2999999999999998</v>
      </c>
      <c r="W15" s="302">
        <v>2.2999999999999998</v>
      </c>
      <c r="X15" s="302">
        <v>2.2999999999999998</v>
      </c>
      <c r="Y15" s="302">
        <v>2.2999999999999998</v>
      </c>
      <c r="Z15" s="302">
        <v>2.2999999999999998</v>
      </c>
      <c r="AA15" s="302">
        <v>2.2999999999999998</v>
      </c>
      <c r="AB15" s="302">
        <v>2.2999999999999998</v>
      </c>
      <c r="AC15" s="302">
        <v>2.2999999999999998</v>
      </c>
      <c r="AD15" s="302">
        <v>2.2999999999999998</v>
      </c>
      <c r="AE15" s="302">
        <v>2.2999999999999998</v>
      </c>
      <c r="AF15" s="302">
        <v>2.2999999999999998</v>
      </c>
      <c r="AG15" s="302">
        <v>2.2999999999999998</v>
      </c>
      <c r="AH15" s="302">
        <v>2.2999999999999998</v>
      </c>
      <c r="AI15" s="302">
        <v>2.2999999999999998</v>
      </c>
      <c r="AJ15" s="302">
        <v>2.2999999999999998</v>
      </c>
      <c r="AK15" s="302">
        <v>2.2999999999999998</v>
      </c>
      <c r="AL15" s="302">
        <v>2.2999999999999998</v>
      </c>
      <c r="AM15" s="302">
        <v>2.2999999999999998</v>
      </c>
      <c r="AN15" s="302">
        <v>2.2999999999999998</v>
      </c>
      <c r="AO15" s="302">
        <v>2.2999999999999998</v>
      </c>
      <c r="AP15" s="302">
        <v>2.2999999999999998</v>
      </c>
      <c r="AQ15" s="302">
        <v>2.2999999999999998</v>
      </c>
      <c r="AR15" s="302">
        <v>2.2999999999999998</v>
      </c>
      <c r="AS15" s="302">
        <v>2.2999999999999998</v>
      </c>
      <c r="AT15" s="302">
        <v>2.2999999999999998</v>
      </c>
      <c r="AU15" s="302">
        <v>2.2999999999999998</v>
      </c>
      <c r="AV15" s="302">
        <v>2.2999999999999998</v>
      </c>
      <c r="AW15" s="302">
        <v>2.2999999999999998</v>
      </c>
      <c r="AX15" s="302">
        <v>2.2999999999999998</v>
      </c>
      <c r="AY15" s="302">
        <v>2.2999999999999998</v>
      </c>
      <c r="AZ15" s="302">
        <v>2.2999999999999998</v>
      </c>
      <c r="BA15" s="302">
        <v>2.2999999999999998</v>
      </c>
      <c r="BB15" s="302">
        <v>2.2999999999999998</v>
      </c>
    </row>
    <row r="16" spans="2:54" ht="15.75" customHeight="1">
      <c r="B16" s="304" t="s">
        <v>1548</v>
      </c>
      <c r="C16" s="302">
        <v>10.036409874522789</v>
      </c>
      <c r="D16" s="302">
        <v>5.6703919580784135</v>
      </c>
      <c r="E16" s="303">
        <v>2.3307105272962536</v>
      </c>
      <c r="F16" s="303">
        <v>3.1843674013529499</v>
      </c>
      <c r="G16" s="303">
        <v>1.9285138665774859</v>
      </c>
      <c r="H16" s="303">
        <v>1.9960149739586486</v>
      </c>
      <c r="I16" s="303">
        <v>2.0004019639913384</v>
      </c>
      <c r="J16" s="303">
        <v>1.9997706715110031</v>
      </c>
      <c r="K16" s="302">
        <v>2</v>
      </c>
      <c r="L16" s="302">
        <v>2</v>
      </c>
      <c r="M16" s="302">
        <v>2</v>
      </c>
      <c r="N16" s="302">
        <v>2</v>
      </c>
      <c r="O16" s="302">
        <v>2</v>
      </c>
      <c r="P16" s="302">
        <v>2</v>
      </c>
      <c r="Q16" s="302">
        <v>2</v>
      </c>
      <c r="R16" s="302">
        <v>2</v>
      </c>
      <c r="S16" s="302">
        <v>2</v>
      </c>
      <c r="T16" s="302">
        <v>2</v>
      </c>
      <c r="U16" s="302">
        <v>2</v>
      </c>
      <c r="V16" s="302">
        <v>2</v>
      </c>
      <c r="W16" s="302">
        <v>2</v>
      </c>
      <c r="X16" s="302">
        <v>2</v>
      </c>
      <c r="Y16" s="302">
        <v>2</v>
      </c>
      <c r="Z16" s="302">
        <v>2</v>
      </c>
      <c r="AA16" s="302">
        <v>2</v>
      </c>
      <c r="AB16" s="302">
        <v>2</v>
      </c>
      <c r="AC16" s="302">
        <v>2</v>
      </c>
      <c r="AD16" s="302">
        <v>2</v>
      </c>
      <c r="AE16" s="302">
        <v>2</v>
      </c>
      <c r="AF16" s="302">
        <v>2</v>
      </c>
      <c r="AG16" s="302">
        <v>2</v>
      </c>
      <c r="AH16" s="302">
        <v>2</v>
      </c>
      <c r="AI16" s="302">
        <v>2</v>
      </c>
      <c r="AJ16" s="302">
        <v>2</v>
      </c>
      <c r="AK16" s="302">
        <v>2</v>
      </c>
      <c r="AL16" s="302">
        <v>2</v>
      </c>
      <c r="AM16" s="302">
        <v>2</v>
      </c>
      <c r="AN16" s="302">
        <v>2</v>
      </c>
      <c r="AO16" s="302">
        <v>2</v>
      </c>
      <c r="AP16" s="302">
        <v>2</v>
      </c>
      <c r="AQ16" s="302">
        <v>2</v>
      </c>
      <c r="AR16" s="302">
        <v>2</v>
      </c>
      <c r="AS16" s="302">
        <v>2</v>
      </c>
      <c r="AT16" s="302">
        <v>2</v>
      </c>
      <c r="AU16" s="302">
        <v>2</v>
      </c>
      <c r="AV16" s="302">
        <v>2</v>
      </c>
      <c r="AW16" s="302">
        <v>2</v>
      </c>
      <c r="AX16" s="302">
        <v>2</v>
      </c>
      <c r="AY16" s="302">
        <v>2</v>
      </c>
      <c r="AZ16" s="302">
        <v>2</v>
      </c>
      <c r="BA16" s="302">
        <v>2</v>
      </c>
      <c r="BB16" s="302">
        <v>2</v>
      </c>
    </row>
    <row r="17" spans="2:54" ht="15.75" customHeight="1">
      <c r="B17" s="304" t="s">
        <v>1549</v>
      </c>
      <c r="C17" s="302">
        <v>12.873938663127603</v>
      </c>
      <c r="D17" s="302">
        <v>7.4787643228200862</v>
      </c>
      <c r="E17" s="303">
        <v>3.3108427973223664</v>
      </c>
      <c r="F17" s="303">
        <v>4.1556920461191416</v>
      </c>
      <c r="G17" s="303">
        <v>3.0752436285564677</v>
      </c>
      <c r="H17" s="303">
        <v>2.9971526591689779</v>
      </c>
      <c r="I17" s="303">
        <v>2.8257050823883745</v>
      </c>
      <c r="J17" s="303">
        <v>2.8260547170632977</v>
      </c>
      <c r="K17" s="302">
        <v>2.3798231204856801</v>
      </c>
      <c r="L17" s="302">
        <v>2.3031368002656758</v>
      </c>
      <c r="M17" s="302">
        <v>2.3704064442642876</v>
      </c>
      <c r="N17" s="302">
        <v>2.3757323925732101</v>
      </c>
      <c r="O17" s="302">
        <v>2.3810583408821406</v>
      </c>
      <c r="P17" s="302">
        <v>2.3863842891910729</v>
      </c>
      <c r="Q17" s="302">
        <v>2.3917102374999986</v>
      </c>
      <c r="R17" s="302">
        <v>2.3917102374999986</v>
      </c>
      <c r="S17" s="302">
        <v>2.3917102374999986</v>
      </c>
      <c r="T17" s="302">
        <v>2.3917102374999986</v>
      </c>
      <c r="U17" s="302">
        <v>2.3917102374999986</v>
      </c>
      <c r="V17" s="302">
        <v>2.3917102374999986</v>
      </c>
      <c r="W17" s="302">
        <v>2.3917102374999986</v>
      </c>
      <c r="X17" s="302">
        <v>2.3917102374999986</v>
      </c>
      <c r="Y17" s="302">
        <v>2.3917102374999986</v>
      </c>
      <c r="Z17" s="302">
        <v>2.3917102374999986</v>
      </c>
      <c r="AA17" s="302">
        <v>2.3917102374999986</v>
      </c>
      <c r="AB17" s="302">
        <v>2.3917102374999986</v>
      </c>
      <c r="AC17" s="302">
        <v>2.3917102374999986</v>
      </c>
      <c r="AD17" s="302">
        <v>2.3917102374999986</v>
      </c>
      <c r="AE17" s="302">
        <v>2.3917102374999986</v>
      </c>
      <c r="AF17" s="302">
        <v>2.3917102374999986</v>
      </c>
      <c r="AG17" s="302">
        <v>2.3917102374999986</v>
      </c>
      <c r="AH17" s="302">
        <v>2.3917102374999986</v>
      </c>
      <c r="AI17" s="302">
        <v>2.3917102374999986</v>
      </c>
      <c r="AJ17" s="302">
        <v>2.3917102374999986</v>
      </c>
      <c r="AK17" s="302">
        <v>2.3917102374999986</v>
      </c>
      <c r="AL17" s="302">
        <v>2.3917102374999986</v>
      </c>
      <c r="AM17" s="302">
        <v>2.3917102374999986</v>
      </c>
      <c r="AN17" s="302">
        <v>2.3917102374999986</v>
      </c>
      <c r="AO17" s="302">
        <v>2.3917102374999986</v>
      </c>
      <c r="AP17" s="302">
        <v>2.3917102374999986</v>
      </c>
      <c r="AQ17" s="302">
        <v>2.3917102374999986</v>
      </c>
      <c r="AR17" s="302">
        <v>2.3917102374999986</v>
      </c>
      <c r="AS17" s="302">
        <v>2.3917102374999986</v>
      </c>
      <c r="AT17" s="302">
        <v>2.3917102374999986</v>
      </c>
      <c r="AU17" s="302">
        <v>2.3917102374999986</v>
      </c>
      <c r="AV17" s="302">
        <v>2.3917102374999986</v>
      </c>
      <c r="AW17" s="302">
        <v>2.3917102374999986</v>
      </c>
      <c r="AX17" s="302">
        <v>2.3917102374999986</v>
      </c>
      <c r="AY17" s="302">
        <v>2.3917102374999986</v>
      </c>
      <c r="AZ17" s="302">
        <v>2.3917102374999986</v>
      </c>
      <c r="BA17" s="302">
        <v>2.3917102374999986</v>
      </c>
      <c r="BB17" s="302">
        <v>2.3917102374999986</v>
      </c>
    </row>
    <row r="18" spans="2:54" ht="15.75" customHeight="1">
      <c r="B18" s="304" t="s">
        <v>1550</v>
      </c>
      <c r="C18" s="302">
        <v>8.7741270010504469</v>
      </c>
      <c r="D18" s="302">
        <v>5.546901249206293</v>
      </c>
      <c r="E18" s="303">
        <v>3.2012631586258333</v>
      </c>
      <c r="F18" s="303">
        <v>3.7439889445505914</v>
      </c>
      <c r="G18" s="303">
        <v>2.2657008991725736</v>
      </c>
      <c r="H18" s="303">
        <v>2.1044521908279767</v>
      </c>
      <c r="I18" s="303">
        <v>2.0492795324592805</v>
      </c>
      <c r="J18" s="303">
        <v>2.087339516944331</v>
      </c>
      <c r="K18" s="302">
        <v>2.2358671562670644</v>
      </c>
      <c r="L18" s="302">
        <v>2.3031368002656758</v>
      </c>
      <c r="M18" s="302">
        <v>2.3704064442642876</v>
      </c>
      <c r="N18" s="302">
        <v>2.3757323925732101</v>
      </c>
      <c r="O18" s="302">
        <v>2.3810583408821406</v>
      </c>
      <c r="P18" s="302">
        <v>2.3863842891910729</v>
      </c>
      <c r="Q18" s="302">
        <v>2.3917102374999986</v>
      </c>
      <c r="R18" s="302">
        <v>2.3917102374999986</v>
      </c>
      <c r="S18" s="302">
        <v>2.3917102374999986</v>
      </c>
      <c r="T18" s="302">
        <v>2.3917102374999986</v>
      </c>
      <c r="U18" s="302">
        <v>2.3917102374999986</v>
      </c>
      <c r="V18" s="302">
        <v>2.3917102374999986</v>
      </c>
      <c r="W18" s="302">
        <v>2.3917102374999986</v>
      </c>
      <c r="X18" s="302">
        <v>2.3917102374999986</v>
      </c>
      <c r="Y18" s="302">
        <v>2.3917102374999986</v>
      </c>
      <c r="Z18" s="302">
        <v>2.3917102374999986</v>
      </c>
      <c r="AA18" s="302">
        <v>2.3917102374999986</v>
      </c>
      <c r="AB18" s="302">
        <v>2.3917102374999986</v>
      </c>
      <c r="AC18" s="302">
        <v>2.3917102374999986</v>
      </c>
      <c r="AD18" s="302">
        <v>2.3917102374999986</v>
      </c>
      <c r="AE18" s="302">
        <v>2.3917102374999986</v>
      </c>
      <c r="AF18" s="302">
        <v>2.3917102374999986</v>
      </c>
      <c r="AG18" s="302">
        <v>2.3917102374999986</v>
      </c>
      <c r="AH18" s="302">
        <v>2.3917102374999986</v>
      </c>
      <c r="AI18" s="302">
        <v>2.3917102374999986</v>
      </c>
      <c r="AJ18" s="302">
        <v>2.3917102374999986</v>
      </c>
      <c r="AK18" s="302">
        <v>2.3917102374999986</v>
      </c>
      <c r="AL18" s="302">
        <v>2.3917102374999986</v>
      </c>
      <c r="AM18" s="302">
        <v>2.3917102374999986</v>
      </c>
      <c r="AN18" s="302">
        <v>2.3917102374999986</v>
      </c>
      <c r="AO18" s="302">
        <v>2.3917102374999986</v>
      </c>
      <c r="AP18" s="302">
        <v>2.3917102374999986</v>
      </c>
      <c r="AQ18" s="302">
        <v>2.3917102374999986</v>
      </c>
      <c r="AR18" s="302">
        <v>2.3917102374999986</v>
      </c>
      <c r="AS18" s="302">
        <v>2.3917102374999986</v>
      </c>
      <c r="AT18" s="302">
        <v>2.3917102374999986</v>
      </c>
      <c r="AU18" s="302">
        <v>2.3917102374999986</v>
      </c>
      <c r="AV18" s="302">
        <v>2.3917102374999986</v>
      </c>
      <c r="AW18" s="302">
        <v>2.3917102374999986</v>
      </c>
      <c r="AX18" s="302">
        <v>2.3917102374999986</v>
      </c>
      <c r="AY18" s="302">
        <v>2.3917102374999986</v>
      </c>
      <c r="AZ18" s="302">
        <v>2.3917102374999986</v>
      </c>
      <c r="BA18" s="302">
        <v>2.3917102374999986</v>
      </c>
      <c r="BB18" s="302">
        <v>2.3917102374999986</v>
      </c>
    </row>
    <row r="19" spans="2:54" ht="15.75" customHeight="1">
      <c r="B19" s="305" t="s">
        <v>1551</v>
      </c>
      <c r="C19" s="302">
        <v>10.100000000000001</v>
      </c>
      <c r="D19" s="302">
        <v>8.5</v>
      </c>
      <c r="E19" s="303">
        <v>4.1000000000000005</v>
      </c>
      <c r="F19" s="303">
        <v>4.5999999999999996</v>
      </c>
      <c r="G19" s="303">
        <v>2.5</v>
      </c>
      <c r="H19" s="303">
        <v>2.5</v>
      </c>
      <c r="I19" s="303">
        <v>2.5</v>
      </c>
      <c r="J19" s="303">
        <v>2.5</v>
      </c>
      <c r="K19" s="302">
        <v>3.4951036237277595</v>
      </c>
      <c r="L19" s="302">
        <v>3.8891039399992424</v>
      </c>
      <c r="M19" s="302">
        <v>4.2831042562707253</v>
      </c>
      <c r="N19" s="302">
        <v>4.3142984947626744</v>
      </c>
      <c r="O19" s="302">
        <v>4.345492733254666</v>
      </c>
      <c r="P19" s="302">
        <v>4.3766869717466719</v>
      </c>
      <c r="Q19" s="302">
        <v>4.4078812102386351</v>
      </c>
      <c r="R19" s="302">
        <v>4.4078812102386351</v>
      </c>
      <c r="S19" s="302">
        <v>4.4078812102386351</v>
      </c>
      <c r="T19" s="302">
        <v>4.4078812102386351</v>
      </c>
      <c r="U19" s="302">
        <v>4.4078812102386351</v>
      </c>
      <c r="V19" s="302">
        <v>4.4078812102386351</v>
      </c>
      <c r="W19" s="302">
        <v>4.4078812102386351</v>
      </c>
      <c r="X19" s="302">
        <v>4.4078812102386351</v>
      </c>
      <c r="Y19" s="302">
        <v>4.4078812102386351</v>
      </c>
      <c r="Z19" s="302">
        <v>4.4078812102386351</v>
      </c>
      <c r="AA19" s="302">
        <v>4.4078812102386351</v>
      </c>
      <c r="AB19" s="302">
        <v>4.4078812102386351</v>
      </c>
      <c r="AC19" s="302">
        <v>4.4078812102386351</v>
      </c>
      <c r="AD19" s="302">
        <v>4.4078812102386351</v>
      </c>
      <c r="AE19" s="302">
        <v>4.4078812102386351</v>
      </c>
      <c r="AF19" s="302">
        <v>4.4078812102386351</v>
      </c>
      <c r="AG19" s="302">
        <v>4.4078812102386351</v>
      </c>
      <c r="AH19" s="302">
        <v>4.4078812102386351</v>
      </c>
      <c r="AI19" s="302">
        <v>4.4078812102386351</v>
      </c>
      <c r="AJ19" s="302">
        <v>4.4078812102386351</v>
      </c>
      <c r="AK19" s="302">
        <v>4.4078812102386351</v>
      </c>
      <c r="AL19" s="302">
        <v>4.4078812102386351</v>
      </c>
      <c r="AM19" s="302">
        <v>4.4078812102386351</v>
      </c>
      <c r="AN19" s="302">
        <v>4.4078812102386351</v>
      </c>
      <c r="AO19" s="302">
        <v>4.4078812102386351</v>
      </c>
      <c r="AP19" s="302">
        <v>4.4078812102386351</v>
      </c>
      <c r="AQ19" s="302">
        <v>4.4078812102386351</v>
      </c>
      <c r="AR19" s="302">
        <v>4.4078812102386351</v>
      </c>
      <c r="AS19" s="302">
        <v>4.4078812102386351</v>
      </c>
      <c r="AT19" s="302">
        <v>4.4078812102386351</v>
      </c>
      <c r="AU19" s="302">
        <v>4.4078812102386351</v>
      </c>
      <c r="AV19" s="302">
        <v>4.4078812102386351</v>
      </c>
      <c r="AW19" s="302">
        <v>4.4078812102386351</v>
      </c>
      <c r="AX19" s="302">
        <v>4.4078812102386351</v>
      </c>
      <c r="AY19" s="302">
        <v>4.4078812102386351</v>
      </c>
      <c r="AZ19" s="302">
        <v>4.4078812102386351</v>
      </c>
      <c r="BA19" s="302">
        <v>4.4078812102386351</v>
      </c>
      <c r="BB19" s="302">
        <v>4.4078812102386351</v>
      </c>
    </row>
    <row r="20" spans="2:54" ht="15.75" customHeight="1">
      <c r="B20" s="305" t="s">
        <v>1552</v>
      </c>
      <c r="C20" s="302"/>
      <c r="D20" s="306"/>
      <c r="E20" s="306"/>
      <c r="F20" s="306"/>
      <c r="G20" s="306"/>
      <c r="H20" s="306"/>
      <c r="I20" s="306"/>
      <c r="J20" s="306"/>
      <c r="K20" s="302"/>
      <c r="L20" s="302"/>
      <c r="M20" s="302"/>
      <c r="N20" s="302"/>
      <c r="O20" s="302"/>
      <c r="P20" s="302"/>
      <c r="Q20" s="302"/>
      <c r="R20" s="302"/>
      <c r="S20" s="302"/>
      <c r="T20" s="302"/>
      <c r="U20" s="302"/>
      <c r="V20" s="302"/>
      <c r="W20" s="302"/>
      <c r="X20" s="302"/>
      <c r="Y20" s="302"/>
      <c r="Z20" s="302"/>
      <c r="AA20" s="302"/>
      <c r="AB20" s="302"/>
      <c r="AC20" s="302"/>
      <c r="AD20" s="302"/>
      <c r="AE20" s="302"/>
      <c r="AF20" s="302"/>
      <c r="AG20" s="302"/>
      <c r="AH20" s="302"/>
      <c r="AI20" s="302"/>
      <c r="AJ20" s="302"/>
      <c r="AK20" s="302"/>
      <c r="AL20" s="302"/>
      <c r="AM20" s="302"/>
      <c r="AN20" s="302"/>
      <c r="AO20" s="302"/>
      <c r="AP20" s="302"/>
      <c r="AQ20" s="302"/>
      <c r="AR20" s="302"/>
      <c r="AS20" s="302"/>
      <c r="AT20" s="302"/>
      <c r="AU20" s="302"/>
      <c r="AV20" s="302"/>
      <c r="AW20" s="302"/>
      <c r="AX20" s="302"/>
      <c r="AY20" s="302"/>
      <c r="AZ20" s="302"/>
      <c r="BA20" s="302"/>
      <c r="BB20" s="302"/>
    </row>
    <row r="21" spans="2:54" ht="15.75" customHeight="1">
      <c r="B21" s="304" t="s">
        <v>1553</v>
      </c>
      <c r="C21" s="302">
        <v>3.1333693188172824</v>
      </c>
      <c r="D21" s="302">
        <v>4.2737139871117202</v>
      </c>
      <c r="E21" s="303">
        <v>4.2979473516186362</v>
      </c>
      <c r="F21" s="303">
        <v>4.5328422885944697</v>
      </c>
      <c r="G21" s="303">
        <v>4.658149615687404</v>
      </c>
      <c r="H21" s="303">
        <v>4.8065895267857144</v>
      </c>
      <c r="I21" s="303">
        <v>4.9639596286482339</v>
      </c>
      <c r="J21" s="303">
        <v>5.1167782491359448</v>
      </c>
      <c r="K21" s="302">
        <v>5.0660313679697078</v>
      </c>
      <c r="L21" s="302">
        <v>5.0152844868034707</v>
      </c>
      <c r="M21" s="302">
        <v>4.9645376056372337</v>
      </c>
      <c r="N21" s="302">
        <v>4.9137907244709966</v>
      </c>
      <c r="O21" s="302">
        <v>4.8630438433047596</v>
      </c>
      <c r="P21" s="302">
        <v>4.8122969621385225</v>
      </c>
      <c r="Q21" s="302">
        <v>4.7615500809722855</v>
      </c>
      <c r="R21" s="302">
        <v>4.7108031998060484</v>
      </c>
      <c r="S21" s="302">
        <v>4.6600563186398114</v>
      </c>
      <c r="T21" s="302">
        <v>4.6093094374735744</v>
      </c>
      <c r="U21" s="302">
        <v>4.5585625563073373</v>
      </c>
      <c r="V21" s="302">
        <v>4.5078156751411003</v>
      </c>
      <c r="W21" s="302">
        <v>4.4570687939748632</v>
      </c>
      <c r="X21" s="302">
        <v>4.4063219128086262</v>
      </c>
      <c r="Y21" s="302">
        <v>4.3555750316423856</v>
      </c>
      <c r="Z21" s="302">
        <v>4.322884096353488</v>
      </c>
      <c r="AA21" s="302">
        <v>4.3093320577885779</v>
      </c>
      <c r="AB21" s="302">
        <v>4.2919154136582707</v>
      </c>
      <c r="AC21" s="302">
        <v>4.2757545785538982</v>
      </c>
      <c r="AD21" s="302">
        <v>4.2564197630834686</v>
      </c>
      <c r="AE21" s="302">
        <v>4.2421620711650805</v>
      </c>
      <c r="AF21" s="302">
        <v>4.2342527702862016</v>
      </c>
      <c r="AG21" s="302">
        <v>4.2234530338658631</v>
      </c>
      <c r="AH21" s="302">
        <v>4.2046851352071259</v>
      </c>
      <c r="AI21" s="302">
        <v>4.186252734785282</v>
      </c>
      <c r="AJ21" s="302">
        <v>4.1667620766064859</v>
      </c>
      <c r="AK21" s="302">
        <v>4.1417986423913904</v>
      </c>
      <c r="AL21" s="302">
        <v>4.1203952955469676</v>
      </c>
      <c r="AM21" s="302">
        <v>4.1002688416321691</v>
      </c>
      <c r="AN21" s="302">
        <v>4.0895858785687098</v>
      </c>
      <c r="AO21" s="302">
        <v>4.06882097384256</v>
      </c>
      <c r="AP21" s="302">
        <v>4.077739003465422</v>
      </c>
      <c r="AQ21" s="302">
        <v>4.0531764744993639</v>
      </c>
      <c r="AR21" s="302">
        <v>4.0360879556949643</v>
      </c>
      <c r="AS21" s="302">
        <v>4.0231789043485806</v>
      </c>
      <c r="AT21" s="302">
        <v>4.0252590168572029</v>
      </c>
      <c r="AU21" s="302">
        <v>4.0230044058902026</v>
      </c>
      <c r="AV21" s="302">
        <v>4.0212924694309438</v>
      </c>
      <c r="AW21" s="302">
        <v>4.0426945538044778</v>
      </c>
      <c r="AX21" s="302">
        <v>4.0972414815632279</v>
      </c>
      <c r="AY21" s="302">
        <v>4.1343568782547182</v>
      </c>
      <c r="AZ21" s="302">
        <v>4.1395123295327751</v>
      </c>
      <c r="BA21" s="302">
        <v>4.1343253826841506</v>
      </c>
      <c r="BB21" s="302">
        <v>4.1347522153952783</v>
      </c>
    </row>
    <row r="22" spans="2:54" ht="15.75" customHeight="1">
      <c r="B22" s="304" t="s">
        <v>1554</v>
      </c>
      <c r="C22" s="302">
        <v>2.3091499999999998</v>
      </c>
      <c r="D22" s="302">
        <v>5.0296249999999993</v>
      </c>
      <c r="E22" s="303">
        <v>4.9306662971580684</v>
      </c>
      <c r="F22" s="303">
        <v>4.0023070136335814</v>
      </c>
      <c r="G22" s="303">
        <v>3.8332107712169612</v>
      </c>
      <c r="H22" s="303">
        <v>3.7709582562437767</v>
      </c>
      <c r="I22" s="303">
        <v>3.7647976870076412</v>
      </c>
      <c r="J22" s="303">
        <v>3.8006367058159132</v>
      </c>
      <c r="K22" s="302">
        <v>3.8376325942043445</v>
      </c>
      <c r="L22" s="302">
        <v>3.8746284825927759</v>
      </c>
      <c r="M22" s="302">
        <v>3.9116243709812073</v>
      </c>
      <c r="N22" s="302">
        <v>3.9486202593696387</v>
      </c>
      <c r="O22" s="302">
        <v>3.98561614775807</v>
      </c>
      <c r="P22" s="302">
        <v>4.0226120361465014</v>
      </c>
      <c r="Q22" s="302">
        <v>4.0596079245349328</v>
      </c>
      <c r="R22" s="302">
        <v>4.0966038129233642</v>
      </c>
      <c r="S22" s="302">
        <v>4.1335997013117955</v>
      </c>
      <c r="T22" s="302">
        <v>4.1705955897002269</v>
      </c>
      <c r="U22" s="302">
        <v>4.2075914780886583</v>
      </c>
      <c r="V22" s="302">
        <v>4.2445873664770897</v>
      </c>
      <c r="W22" s="302">
        <v>4.281583254865521</v>
      </c>
      <c r="X22" s="302">
        <v>4.3185791432539524</v>
      </c>
      <c r="Y22" s="302">
        <v>4.3555750316423856</v>
      </c>
      <c r="Z22" s="302">
        <v>4.322884096353488</v>
      </c>
      <c r="AA22" s="302">
        <v>4.3093320577885779</v>
      </c>
      <c r="AB22" s="302">
        <v>4.2919154136582707</v>
      </c>
      <c r="AC22" s="302">
        <v>4.2757545785538982</v>
      </c>
      <c r="AD22" s="302">
        <v>4.2564197630834686</v>
      </c>
      <c r="AE22" s="302">
        <v>4.2421620711650805</v>
      </c>
      <c r="AF22" s="302">
        <v>4.2342527702862016</v>
      </c>
      <c r="AG22" s="302">
        <v>4.2234530338658631</v>
      </c>
      <c r="AH22" s="302">
        <v>4.2046851352071259</v>
      </c>
      <c r="AI22" s="302">
        <v>4.186252734785282</v>
      </c>
      <c r="AJ22" s="302">
        <v>4.1667620766064859</v>
      </c>
      <c r="AK22" s="302">
        <v>4.1417986423913904</v>
      </c>
      <c r="AL22" s="302">
        <v>4.1203952955469676</v>
      </c>
      <c r="AM22" s="302">
        <v>4.1002688416321691</v>
      </c>
      <c r="AN22" s="302">
        <v>4.0895858785687098</v>
      </c>
      <c r="AO22" s="302">
        <v>4.06882097384256</v>
      </c>
      <c r="AP22" s="302">
        <v>4.077739003465422</v>
      </c>
      <c r="AQ22" s="302">
        <v>4.0531764744993639</v>
      </c>
      <c r="AR22" s="302">
        <v>4.0360879556949643</v>
      </c>
      <c r="AS22" s="302">
        <v>4.0231789043485806</v>
      </c>
      <c r="AT22" s="302">
        <v>4.0252590168572029</v>
      </c>
      <c r="AU22" s="302">
        <v>4.0230044058902026</v>
      </c>
      <c r="AV22" s="302">
        <v>4.0212924694309438</v>
      </c>
      <c r="AW22" s="302">
        <v>4.0426945538044778</v>
      </c>
      <c r="AX22" s="302">
        <v>4.0972414815632279</v>
      </c>
      <c r="AY22" s="302">
        <v>4.1343568782547182</v>
      </c>
      <c r="AZ22" s="302">
        <v>4.1395123295327751</v>
      </c>
      <c r="BA22" s="302">
        <v>4.1343253826841506</v>
      </c>
      <c r="BB22" s="302">
        <v>4.1347522153952783</v>
      </c>
    </row>
    <row r="23" spans="2:54" ht="15.75" customHeight="1">
      <c r="B23" s="305" t="s">
        <v>1555</v>
      </c>
      <c r="C23" s="302"/>
      <c r="D23" s="306"/>
      <c r="E23" s="306"/>
      <c r="F23" s="306"/>
      <c r="G23" s="306"/>
      <c r="H23" s="306"/>
      <c r="I23" s="306"/>
      <c r="J23" s="306"/>
      <c r="K23" s="306"/>
      <c r="L23" s="302"/>
      <c r="M23" s="302"/>
      <c r="N23" s="302"/>
      <c r="O23" s="302"/>
      <c r="P23" s="302"/>
      <c r="Q23" s="302"/>
      <c r="R23" s="302"/>
      <c r="S23" s="302"/>
      <c r="T23" s="302"/>
      <c r="U23" s="302"/>
      <c r="V23" s="302"/>
      <c r="W23" s="302"/>
      <c r="X23" s="302"/>
      <c r="Y23" s="302"/>
      <c r="Z23" s="302"/>
      <c r="AA23" s="302"/>
      <c r="AB23" s="302"/>
      <c r="AC23" s="302"/>
      <c r="AD23" s="302"/>
      <c r="AE23" s="302"/>
      <c r="AF23" s="302"/>
      <c r="AG23" s="302"/>
      <c r="AH23" s="302"/>
      <c r="AI23" s="302"/>
      <c r="AJ23" s="302"/>
      <c r="AK23" s="302"/>
      <c r="AL23" s="302"/>
      <c r="AM23" s="302"/>
      <c r="AN23" s="302"/>
      <c r="AO23" s="302"/>
      <c r="AP23" s="302"/>
      <c r="AQ23" s="302"/>
      <c r="AR23" s="302"/>
      <c r="AS23" s="302"/>
      <c r="AT23" s="302"/>
      <c r="AU23" s="302"/>
      <c r="AV23" s="302"/>
      <c r="AW23" s="302"/>
      <c r="AX23" s="302"/>
      <c r="AY23" s="302"/>
      <c r="AZ23" s="302"/>
      <c r="BA23" s="302"/>
      <c r="BB23" s="302"/>
    </row>
    <row r="24" spans="2:54" ht="15.75" customHeight="1">
      <c r="B24" s="307" t="s">
        <v>1556</v>
      </c>
      <c r="C24" s="302">
        <v>1.3289625232568483</v>
      </c>
      <c r="D24" s="302">
        <v>2.4511089883710611</v>
      </c>
      <c r="E24" s="303">
        <v>2.6462019653723701</v>
      </c>
      <c r="F24" s="303">
        <v>0.95735140257653484</v>
      </c>
      <c r="G24" s="303">
        <v>0.56022062299459208</v>
      </c>
      <c r="H24" s="303">
        <v>1.0082235635718035</v>
      </c>
      <c r="I24" s="303">
        <v>1.4804852266545652</v>
      </c>
      <c r="J24" s="303">
        <v>1.1890493582351667</v>
      </c>
      <c r="K24" s="302">
        <v>0.67824861888976518</v>
      </c>
      <c r="L24" s="302">
        <v>0.62641745319638176</v>
      </c>
      <c r="M24" s="302">
        <v>0.62581089500224341</v>
      </c>
      <c r="N24" s="302">
        <v>0.63169873555388723</v>
      </c>
      <c r="O24" s="302">
        <v>0.62392008291944911</v>
      </c>
      <c r="P24" s="302">
        <v>0.59941272913579535</v>
      </c>
      <c r="Q24" s="302">
        <v>0.58664169788267273</v>
      </c>
      <c r="R24" s="302">
        <v>0.64989910288186792</v>
      </c>
      <c r="S24" s="302">
        <v>0.58462889605481738</v>
      </c>
      <c r="T24" s="302">
        <v>0.52855701845373471</v>
      </c>
      <c r="U24" s="302">
        <v>0.46066363367398555</v>
      </c>
      <c r="V24" s="302">
        <v>0.41121959217096382</v>
      </c>
      <c r="W24" s="302">
        <v>0.36343260436872971</v>
      </c>
      <c r="X24" s="302">
        <v>0.33178147028485316</v>
      </c>
      <c r="Y24" s="302">
        <v>0.30921806494219606</v>
      </c>
      <c r="Z24" s="302">
        <v>0.27773437186435768</v>
      </c>
      <c r="AA24" s="302">
        <v>0.26468279597686717</v>
      </c>
      <c r="AB24" s="302">
        <v>0.24790933038469909</v>
      </c>
      <c r="AC24" s="302">
        <v>0.23234529809832427</v>
      </c>
      <c r="AD24" s="302">
        <v>0.21372449723693343</v>
      </c>
      <c r="AE24" s="302">
        <v>0.19999332703974915</v>
      </c>
      <c r="AF24" s="302">
        <v>0.19237610840925345</v>
      </c>
      <c r="AG24" s="302">
        <v>0.18197519501310655</v>
      </c>
      <c r="AH24" s="302">
        <v>0.16390037531566204</v>
      </c>
      <c r="AI24" s="302">
        <v>0.14614866425446404</v>
      </c>
      <c r="AJ24" s="302">
        <v>0.12737777579370224</v>
      </c>
      <c r="AK24" s="302">
        <v>0.10333621521882996</v>
      </c>
      <c r="AL24" s="302">
        <v>8.2723271693896372E-2</v>
      </c>
      <c r="AM24" s="302">
        <v>6.3340066771822023E-2</v>
      </c>
      <c r="AN24" s="302">
        <v>5.3051614414023618E-2</v>
      </c>
      <c r="AO24" s="302">
        <v>3.3053536004490347E-2</v>
      </c>
      <c r="AP24" s="302">
        <v>4.1642232076455343E-2</v>
      </c>
      <c r="AQ24" s="302">
        <v>1.7986771737121821E-2</v>
      </c>
      <c r="AR24" s="302">
        <v>1.5293141441219404E-3</v>
      </c>
      <c r="AS24" s="302">
        <v>-1.0903019373531553E-2</v>
      </c>
      <c r="AT24" s="302">
        <v>-8.8997232545851013E-3</v>
      </c>
      <c r="AU24" s="302">
        <v>-1.1071073785484664E-2</v>
      </c>
      <c r="AV24" s="302">
        <v>-1.2719790213300275E-2</v>
      </c>
      <c r="AW24" s="302">
        <v>7.8919374624897287E-3</v>
      </c>
      <c r="AX24" s="302">
        <v>6.0424503958933506E-2</v>
      </c>
      <c r="AY24" s="302">
        <v>9.6169267685342064E-2</v>
      </c>
      <c r="AZ24" s="302">
        <v>0.10113433351419676</v>
      </c>
      <c r="BA24" s="302">
        <v>9.6138935213407883E-2</v>
      </c>
      <c r="BB24" s="302">
        <v>9.6550005436824016E-2</v>
      </c>
    </row>
    <row r="25" spans="2:54">
      <c r="B25" s="308" t="s">
        <v>1557</v>
      </c>
      <c r="C25" s="309"/>
      <c r="D25" s="309"/>
      <c r="E25" s="309"/>
      <c r="F25" s="309"/>
      <c r="G25" s="309"/>
      <c r="H25" s="309"/>
      <c r="I25" s="309"/>
      <c r="J25" s="309"/>
      <c r="K25" s="309"/>
      <c r="L25" s="309"/>
      <c r="M25" s="309"/>
      <c r="N25" s="309"/>
      <c r="O25" s="309"/>
      <c r="P25" s="309"/>
      <c r="Q25" s="309"/>
      <c r="R25" s="309"/>
      <c r="S25" s="309"/>
      <c r="T25" s="309"/>
      <c r="U25" s="309"/>
      <c r="V25" s="309"/>
      <c r="W25" s="309"/>
      <c r="X25" s="309"/>
      <c r="Y25" s="309"/>
      <c r="Z25" s="309"/>
      <c r="AA25" s="309"/>
      <c r="AB25" s="309"/>
      <c r="AC25" s="309"/>
      <c r="AD25" s="309"/>
      <c r="AE25" s="309"/>
      <c r="AF25" s="309"/>
      <c r="AG25" s="309"/>
      <c r="AH25" s="309"/>
      <c r="AI25" s="309"/>
      <c r="AJ25" s="309"/>
      <c r="AK25" s="309"/>
      <c r="AL25" s="309"/>
      <c r="AM25" s="309"/>
      <c r="AN25" s="309"/>
      <c r="AO25" s="309"/>
      <c r="AP25" s="309"/>
      <c r="AQ25" s="309"/>
      <c r="AR25" s="309"/>
      <c r="AS25" s="309"/>
      <c r="AT25" s="309"/>
      <c r="AU25" s="309"/>
      <c r="AV25" s="309"/>
      <c r="AW25" s="309"/>
      <c r="AX25" s="309"/>
      <c r="AY25" s="309"/>
      <c r="AZ25" s="309"/>
      <c r="BA25" s="309"/>
      <c r="BB25" s="309"/>
    </row>
    <row r="26" spans="2:54">
      <c r="B26" s="310" t="s">
        <v>1558</v>
      </c>
      <c r="C26" s="300"/>
      <c r="D26" s="300"/>
      <c r="E26" s="300"/>
      <c r="F26" s="300"/>
      <c r="G26" s="300"/>
      <c r="H26" s="300"/>
      <c r="I26" s="300"/>
      <c r="J26" s="300"/>
      <c r="K26" s="300"/>
      <c r="L26" s="300"/>
      <c r="M26" s="300"/>
      <c r="N26" s="300"/>
      <c r="O26" s="300"/>
      <c r="P26" s="300"/>
      <c r="Q26" s="300"/>
      <c r="R26" s="300"/>
      <c r="S26" s="300"/>
      <c r="T26" s="300"/>
      <c r="U26" s="300"/>
      <c r="V26" s="300"/>
      <c r="W26" s="300"/>
      <c r="X26" s="300"/>
      <c r="Y26" s="300"/>
      <c r="Z26" s="300"/>
      <c r="AA26" s="300"/>
      <c r="AB26" s="300"/>
      <c r="AC26" s="300"/>
      <c r="AD26" s="300"/>
      <c r="AE26" s="300"/>
      <c r="AF26" s="300"/>
      <c r="AG26" s="300"/>
      <c r="AH26" s="300"/>
      <c r="AI26" s="300"/>
      <c r="AJ26" s="300"/>
      <c r="AK26" s="300"/>
      <c r="AL26" s="300"/>
      <c r="AM26" s="300"/>
      <c r="AN26" s="300"/>
      <c r="AO26" s="300"/>
      <c r="AP26" s="300"/>
      <c r="AQ26" s="300"/>
      <c r="AR26" s="300"/>
      <c r="AS26" s="300"/>
      <c r="AT26" s="300"/>
      <c r="AU26" s="300"/>
      <c r="AV26" s="300"/>
      <c r="AW26" s="300"/>
      <c r="AX26" s="300"/>
      <c r="AY26" s="300"/>
      <c r="AZ26" s="300"/>
      <c r="BA26" s="300"/>
      <c r="BB26" s="300"/>
    </row>
    <row r="27" spans="2:54">
      <c r="B27" s="311" t="s">
        <v>1559</v>
      </c>
      <c r="C27" s="300"/>
      <c r="D27" s="300"/>
      <c r="E27" s="300"/>
      <c r="F27" s="300"/>
      <c r="G27" s="300"/>
      <c r="H27" s="300"/>
      <c r="I27" s="300"/>
      <c r="J27" s="300"/>
      <c r="K27" s="300"/>
      <c r="L27" s="300"/>
      <c r="M27" s="300"/>
      <c r="N27" s="300"/>
      <c r="O27" s="300"/>
      <c r="P27" s="300"/>
      <c r="Q27" s="300"/>
      <c r="R27" s="300"/>
      <c r="S27" s="300"/>
      <c r="T27" s="300"/>
      <c r="U27" s="300"/>
      <c r="V27" s="300"/>
      <c r="W27" s="300"/>
      <c r="X27" s="300"/>
      <c r="Y27" s="300"/>
      <c r="Z27" s="300"/>
      <c r="AA27" s="300"/>
      <c r="AB27" s="300"/>
      <c r="AC27" s="300"/>
      <c r="AD27" s="300"/>
      <c r="AE27" s="300"/>
      <c r="AF27" s="300"/>
      <c r="AG27" s="300"/>
      <c r="AH27" s="300"/>
      <c r="AI27" s="300"/>
      <c r="AJ27" s="300"/>
      <c r="AK27" s="300"/>
      <c r="AL27" s="300"/>
      <c r="AM27" s="300"/>
      <c r="AN27" s="300"/>
      <c r="AO27" s="300"/>
      <c r="AP27" s="300"/>
      <c r="AQ27" s="300"/>
      <c r="AR27" s="300"/>
      <c r="AS27" s="300"/>
      <c r="AT27" s="300"/>
      <c r="AU27" s="300"/>
      <c r="AV27" s="300"/>
      <c r="AW27" s="300"/>
      <c r="AX27" s="300"/>
      <c r="AY27" s="300"/>
      <c r="AZ27" s="300"/>
      <c r="BA27" s="300"/>
      <c r="BB27" s="300"/>
    </row>
    <row r="28" spans="2:54">
      <c r="B28" s="312" t="s">
        <v>1560</v>
      </c>
      <c r="C28" s="300"/>
      <c r="D28" s="300"/>
      <c r="E28" s="300"/>
      <c r="F28" s="300"/>
      <c r="G28" s="300"/>
      <c r="H28" s="300"/>
      <c r="I28" s="300"/>
      <c r="J28" s="300"/>
      <c r="K28" s="300"/>
      <c r="L28" s="300"/>
      <c r="M28" s="300"/>
      <c r="N28" s="300"/>
      <c r="O28" s="300"/>
      <c r="P28" s="300"/>
      <c r="Q28" s="300"/>
      <c r="R28" s="300"/>
      <c r="S28" s="300"/>
      <c r="T28" s="300"/>
      <c r="U28" s="300"/>
      <c r="V28" s="300"/>
      <c r="W28" s="300"/>
      <c r="X28" s="300"/>
      <c r="Y28" s="300"/>
      <c r="Z28" s="300"/>
      <c r="AA28" s="300"/>
      <c r="AB28" s="300"/>
      <c r="AC28" s="300"/>
      <c r="AD28" s="300"/>
      <c r="AE28" s="300"/>
      <c r="AF28" s="300"/>
      <c r="AG28" s="300"/>
      <c r="AH28" s="300"/>
      <c r="AI28" s="300"/>
      <c r="AJ28" s="300"/>
      <c r="AK28" s="300"/>
      <c r="AL28" s="300"/>
      <c r="AM28" s="300"/>
      <c r="AN28" s="300"/>
      <c r="AO28" s="300"/>
      <c r="AP28" s="300"/>
      <c r="AQ28" s="300"/>
      <c r="AR28" s="300"/>
      <c r="AS28" s="300"/>
      <c r="AT28" s="300"/>
      <c r="AU28" s="300"/>
      <c r="AV28" s="300"/>
      <c r="AW28" s="300"/>
      <c r="AX28" s="300"/>
      <c r="AY28" s="300"/>
      <c r="AZ28" s="300"/>
      <c r="BA28" s="300"/>
      <c r="BB28" s="300"/>
    </row>
    <row r="29" spans="2:54" ht="12.75" customHeight="1" thickBot="1">
      <c r="B29" s="313" t="s">
        <v>1561</v>
      </c>
      <c r="C29" s="314"/>
      <c r="D29" s="314"/>
      <c r="E29" s="314"/>
      <c r="F29" s="314"/>
      <c r="G29" s="314"/>
      <c r="H29" s="314"/>
      <c r="I29" s="314"/>
      <c r="J29" s="314"/>
      <c r="K29" s="314"/>
      <c r="L29" s="314"/>
      <c r="M29" s="314"/>
      <c r="N29" s="314"/>
      <c r="O29" s="314"/>
      <c r="P29" s="314"/>
      <c r="Q29" s="314"/>
      <c r="R29" s="314"/>
      <c r="S29" s="314"/>
      <c r="T29" s="314"/>
      <c r="U29" s="314"/>
      <c r="V29" s="314"/>
      <c r="W29" s="314"/>
      <c r="X29" s="314"/>
      <c r="Y29" s="314"/>
      <c r="Z29" s="314"/>
      <c r="AA29" s="314"/>
      <c r="AB29" s="314"/>
      <c r="AC29" s="314"/>
      <c r="AD29" s="314"/>
      <c r="AE29" s="314"/>
      <c r="AF29" s="314"/>
      <c r="AG29" s="314"/>
      <c r="AH29" s="314"/>
      <c r="AI29" s="314"/>
      <c r="AJ29" s="314"/>
      <c r="AK29" s="314"/>
      <c r="AL29" s="314"/>
      <c r="AM29" s="314"/>
      <c r="AN29" s="314"/>
      <c r="AO29" s="314"/>
      <c r="AP29" s="314"/>
      <c r="AQ29" s="314"/>
      <c r="AR29" s="314"/>
      <c r="AS29" s="314"/>
      <c r="AT29" s="314"/>
      <c r="AU29" s="314"/>
      <c r="AV29" s="314"/>
      <c r="AW29" s="314"/>
      <c r="AX29" s="314"/>
      <c r="AY29" s="314"/>
      <c r="AZ29" s="314"/>
      <c r="BA29" s="314"/>
      <c r="BB29" s="314"/>
    </row>
    <row r="30" spans="2:54">
      <c r="BB30" s="315"/>
    </row>
    <row r="31" spans="2:54">
      <c r="B31" s="316"/>
    </row>
    <row r="32" spans="2:54">
      <c r="B32" s="301"/>
      <c r="C32" s="317"/>
      <c r="D32" s="317"/>
      <c r="E32" s="317"/>
      <c r="F32" s="317"/>
      <c r="G32" s="317"/>
      <c r="H32" s="317"/>
      <c r="I32" s="317"/>
      <c r="J32" s="317"/>
      <c r="K32" s="317"/>
      <c r="L32" s="317"/>
      <c r="M32" s="317"/>
      <c r="N32" s="317"/>
      <c r="O32" s="317"/>
      <c r="P32" s="317"/>
      <c r="Q32" s="317"/>
      <c r="R32" s="317"/>
      <c r="S32" s="317"/>
      <c r="T32" s="317"/>
      <c r="U32" s="317"/>
      <c r="V32" s="317"/>
      <c r="W32" s="317"/>
      <c r="X32" s="317"/>
      <c r="Y32" s="317"/>
      <c r="Z32" s="317"/>
      <c r="AA32" s="317"/>
      <c r="AB32" s="317"/>
      <c r="AC32" s="317"/>
      <c r="AD32" s="317"/>
      <c r="AE32" s="317"/>
      <c r="AF32" s="317"/>
      <c r="AG32" s="317"/>
      <c r="AH32" s="317"/>
      <c r="AI32" s="317"/>
      <c r="AJ32" s="317"/>
      <c r="AK32" s="317"/>
      <c r="AL32" s="317"/>
      <c r="AM32" s="317"/>
      <c r="AN32" s="317"/>
      <c r="AO32" s="317"/>
      <c r="AP32" s="317"/>
      <c r="AQ32" s="317"/>
      <c r="AR32" s="317"/>
      <c r="AS32" s="317"/>
      <c r="AT32" s="317"/>
      <c r="AU32" s="317"/>
      <c r="AV32" s="317"/>
      <c r="AW32" s="317"/>
      <c r="AX32" s="317"/>
      <c r="AY32" s="317"/>
      <c r="AZ32" s="317"/>
      <c r="BA32" s="317"/>
      <c r="BB32" s="294"/>
    </row>
    <row r="33" spans="2:54">
      <c r="B33" s="301"/>
      <c r="C33" s="317"/>
      <c r="D33" s="317"/>
      <c r="E33" s="317"/>
      <c r="F33" s="317"/>
      <c r="G33" s="317"/>
      <c r="H33" s="317"/>
      <c r="I33" s="317"/>
      <c r="J33" s="317"/>
      <c r="K33" s="317"/>
      <c r="L33" s="317"/>
      <c r="M33" s="317"/>
      <c r="N33" s="317"/>
      <c r="O33" s="317"/>
      <c r="P33" s="317"/>
      <c r="Q33" s="317"/>
      <c r="R33" s="317"/>
      <c r="S33" s="317"/>
      <c r="T33" s="317"/>
      <c r="U33" s="317"/>
      <c r="V33" s="317"/>
      <c r="W33" s="317"/>
      <c r="X33" s="317"/>
      <c r="Y33" s="317"/>
      <c r="Z33" s="317"/>
      <c r="AA33" s="317"/>
      <c r="AB33" s="317"/>
      <c r="AC33" s="317"/>
      <c r="AD33" s="317"/>
      <c r="AE33" s="317"/>
      <c r="AF33" s="317"/>
      <c r="AG33" s="317"/>
      <c r="AH33" s="317"/>
      <c r="AI33" s="317"/>
      <c r="AJ33" s="317"/>
      <c r="AK33" s="317"/>
      <c r="AL33" s="317"/>
      <c r="AM33" s="317"/>
      <c r="AN33" s="317"/>
      <c r="AO33" s="317"/>
      <c r="AP33" s="317"/>
      <c r="AQ33" s="317"/>
      <c r="AR33" s="317"/>
      <c r="AS33" s="317"/>
      <c r="AT33" s="317"/>
      <c r="AU33" s="317"/>
      <c r="AV33" s="317"/>
      <c r="AW33" s="317"/>
      <c r="AX33" s="317"/>
      <c r="AY33" s="317"/>
      <c r="AZ33" s="317"/>
      <c r="BA33" s="317"/>
      <c r="BB33" s="294"/>
    </row>
    <row r="34" spans="2:54">
      <c r="B34" s="301"/>
      <c r="C34" s="317"/>
      <c r="D34" s="317"/>
      <c r="E34" s="317"/>
      <c r="F34" s="317"/>
      <c r="G34" s="317"/>
      <c r="H34" s="317"/>
      <c r="I34" s="317"/>
      <c r="J34" s="317"/>
      <c r="K34" s="317"/>
      <c r="L34" s="317"/>
      <c r="M34" s="317"/>
      <c r="N34" s="317"/>
      <c r="O34" s="317"/>
      <c r="P34" s="317"/>
      <c r="Q34" s="317"/>
      <c r="R34" s="317"/>
      <c r="S34" s="317"/>
      <c r="T34" s="317"/>
      <c r="U34" s="317"/>
      <c r="V34" s="317"/>
      <c r="W34" s="317"/>
      <c r="X34" s="317"/>
      <c r="Y34" s="317"/>
      <c r="Z34" s="317"/>
      <c r="AA34" s="317"/>
      <c r="AB34" s="317"/>
      <c r="AC34" s="317"/>
      <c r="AD34" s="317"/>
      <c r="AE34" s="317"/>
      <c r="AF34" s="317"/>
      <c r="AG34" s="317"/>
      <c r="AH34" s="317"/>
      <c r="AI34" s="317"/>
      <c r="AJ34" s="317"/>
      <c r="AK34" s="317"/>
      <c r="AL34" s="317"/>
      <c r="AM34" s="317"/>
      <c r="AN34" s="317"/>
      <c r="AO34" s="317"/>
      <c r="AP34" s="317"/>
      <c r="AQ34" s="317"/>
      <c r="AR34" s="317"/>
      <c r="AS34" s="317"/>
      <c r="AT34" s="317"/>
      <c r="AU34" s="317"/>
      <c r="AV34" s="317"/>
      <c r="AW34" s="317"/>
      <c r="AX34" s="317"/>
      <c r="AY34" s="317"/>
      <c r="AZ34" s="317"/>
      <c r="BA34" s="317"/>
      <c r="BB34" s="294"/>
    </row>
    <row r="35" spans="2:54">
      <c r="B35" s="301"/>
      <c r="C35" s="317"/>
      <c r="D35" s="317"/>
      <c r="E35" s="317"/>
      <c r="F35" s="317"/>
      <c r="G35" s="317"/>
      <c r="H35" s="317"/>
      <c r="I35" s="317"/>
      <c r="J35" s="317"/>
      <c r="K35" s="317"/>
      <c r="L35" s="317"/>
      <c r="M35" s="317"/>
      <c r="N35" s="317"/>
      <c r="O35" s="317"/>
      <c r="P35" s="317"/>
      <c r="Q35" s="317"/>
      <c r="R35" s="317"/>
      <c r="S35" s="317"/>
      <c r="T35" s="317"/>
      <c r="U35" s="317"/>
      <c r="V35" s="317"/>
      <c r="W35" s="317"/>
      <c r="X35" s="317"/>
      <c r="Y35" s="317"/>
      <c r="Z35" s="317"/>
      <c r="AA35" s="317"/>
      <c r="AB35" s="317"/>
      <c r="AC35" s="317"/>
      <c r="AD35" s="317"/>
      <c r="AE35" s="317"/>
      <c r="AF35" s="317"/>
      <c r="AG35" s="317"/>
      <c r="AH35" s="317"/>
      <c r="AI35" s="317"/>
      <c r="AJ35" s="317"/>
      <c r="AK35" s="317"/>
      <c r="AL35" s="317"/>
      <c r="AM35" s="317"/>
      <c r="AN35" s="317"/>
      <c r="AO35" s="317"/>
      <c r="AP35" s="317"/>
      <c r="AQ35" s="317"/>
      <c r="AR35" s="317"/>
      <c r="AS35" s="317"/>
      <c r="AT35" s="317"/>
      <c r="AU35" s="317"/>
      <c r="AV35" s="317"/>
      <c r="AW35" s="317"/>
      <c r="AX35" s="317"/>
      <c r="AY35" s="317"/>
      <c r="AZ35" s="317"/>
      <c r="BA35" s="317"/>
      <c r="BB35" s="294"/>
    </row>
    <row r="36" spans="2:54">
      <c r="B36" s="304"/>
      <c r="C36" s="317"/>
      <c r="D36" s="317"/>
      <c r="E36" s="317"/>
      <c r="F36" s="317"/>
      <c r="G36" s="317"/>
      <c r="H36" s="317"/>
      <c r="I36" s="317"/>
      <c r="J36" s="317"/>
      <c r="K36" s="317"/>
      <c r="L36" s="317"/>
      <c r="M36" s="317"/>
      <c r="N36" s="317"/>
      <c r="O36" s="317"/>
      <c r="P36" s="317"/>
      <c r="Q36" s="317"/>
      <c r="R36" s="317"/>
      <c r="S36" s="317"/>
      <c r="T36" s="317"/>
      <c r="U36" s="317"/>
      <c r="V36" s="317"/>
      <c r="W36" s="317"/>
      <c r="X36" s="317"/>
      <c r="Y36" s="317"/>
      <c r="Z36" s="317"/>
      <c r="AA36" s="317"/>
      <c r="AB36" s="317"/>
      <c r="AC36" s="317"/>
      <c r="AD36" s="317"/>
      <c r="AE36" s="317"/>
      <c r="AF36" s="317"/>
      <c r="AG36" s="317"/>
      <c r="AH36" s="317"/>
      <c r="AI36" s="317"/>
      <c r="AJ36" s="317"/>
      <c r="AK36" s="317"/>
      <c r="AL36" s="317"/>
      <c r="AM36" s="317"/>
      <c r="AN36" s="317"/>
      <c r="AO36" s="317"/>
      <c r="AP36" s="317"/>
      <c r="AQ36" s="317"/>
      <c r="AR36" s="317"/>
      <c r="AS36" s="317"/>
      <c r="AT36" s="317"/>
      <c r="AU36" s="317"/>
      <c r="AV36" s="317"/>
      <c r="AW36" s="317"/>
      <c r="AX36" s="317"/>
      <c r="AY36" s="317"/>
      <c r="AZ36" s="317"/>
      <c r="BA36" s="317"/>
      <c r="BB36" s="294"/>
    </row>
    <row r="37" spans="2:54">
      <c r="B37" s="305"/>
      <c r="C37" s="317"/>
      <c r="D37" s="317"/>
      <c r="E37" s="317"/>
      <c r="F37" s="317"/>
      <c r="G37" s="317"/>
      <c r="H37" s="317"/>
      <c r="I37" s="317"/>
      <c r="J37" s="317"/>
      <c r="K37" s="317"/>
      <c r="L37" s="317"/>
      <c r="M37" s="317"/>
      <c r="N37" s="317"/>
      <c r="O37" s="317"/>
      <c r="P37" s="317"/>
      <c r="Q37" s="317"/>
      <c r="R37" s="317"/>
      <c r="S37" s="317"/>
      <c r="T37" s="317"/>
      <c r="U37" s="317"/>
      <c r="V37" s="317"/>
      <c r="W37" s="317"/>
      <c r="X37" s="317"/>
      <c r="Y37" s="317"/>
      <c r="Z37" s="317"/>
      <c r="AA37" s="317"/>
      <c r="AB37" s="317"/>
      <c r="AC37" s="317"/>
      <c r="AD37" s="317"/>
      <c r="AE37" s="317"/>
      <c r="AF37" s="317"/>
      <c r="AG37" s="317"/>
      <c r="AH37" s="317"/>
      <c r="AI37" s="317"/>
      <c r="AJ37" s="317"/>
      <c r="AK37" s="317"/>
      <c r="AL37" s="317"/>
      <c r="AM37" s="317"/>
      <c r="AN37" s="317"/>
      <c r="AO37" s="317"/>
      <c r="AP37" s="317"/>
      <c r="AQ37" s="317"/>
      <c r="AR37" s="317"/>
      <c r="AS37" s="317"/>
      <c r="AT37" s="317"/>
      <c r="AU37" s="317"/>
      <c r="AV37" s="317"/>
      <c r="AW37" s="317"/>
      <c r="AX37" s="317"/>
      <c r="AY37" s="317"/>
      <c r="AZ37" s="317"/>
      <c r="BA37" s="317"/>
      <c r="BB37" s="294"/>
    </row>
    <row r="38" spans="2:54">
      <c r="B38" s="304"/>
      <c r="C38" s="317"/>
      <c r="D38" s="317"/>
      <c r="E38" s="317"/>
      <c r="F38" s="317"/>
      <c r="G38" s="317"/>
      <c r="H38" s="317"/>
      <c r="I38" s="317"/>
      <c r="J38" s="317"/>
      <c r="K38" s="317"/>
      <c r="L38" s="317"/>
      <c r="M38" s="317"/>
      <c r="N38" s="317"/>
      <c r="O38" s="317"/>
      <c r="P38" s="317"/>
      <c r="Q38" s="317"/>
      <c r="R38" s="317"/>
      <c r="S38" s="317"/>
      <c r="T38" s="317"/>
      <c r="U38" s="317"/>
      <c r="V38" s="317"/>
      <c r="W38" s="317"/>
      <c r="X38" s="317"/>
      <c r="Y38" s="317"/>
      <c r="Z38" s="317"/>
      <c r="AA38" s="317"/>
      <c r="AB38" s="317"/>
      <c r="AC38" s="317"/>
      <c r="AD38" s="317"/>
      <c r="AE38" s="317"/>
      <c r="AF38" s="317"/>
      <c r="AG38" s="317"/>
      <c r="AH38" s="317"/>
      <c r="AI38" s="317"/>
      <c r="AJ38" s="317"/>
      <c r="AK38" s="317"/>
      <c r="AL38" s="317"/>
      <c r="AM38" s="317"/>
      <c r="AN38" s="317"/>
      <c r="AO38" s="317"/>
      <c r="AP38" s="317"/>
      <c r="AQ38" s="317"/>
      <c r="AR38" s="317"/>
      <c r="AS38" s="317"/>
      <c r="AT38" s="317"/>
      <c r="AU38" s="317"/>
      <c r="AV38" s="317"/>
      <c r="AW38" s="317"/>
      <c r="AX38" s="317"/>
      <c r="AY38" s="317"/>
      <c r="AZ38" s="317"/>
      <c r="BA38" s="317"/>
      <c r="BB38" s="294"/>
    </row>
    <row r="39" spans="2:54">
      <c r="B39" s="304"/>
      <c r="C39" s="317"/>
      <c r="D39" s="317"/>
      <c r="E39" s="317"/>
      <c r="F39" s="317"/>
      <c r="G39" s="317"/>
      <c r="H39" s="317"/>
      <c r="I39" s="317"/>
      <c r="J39" s="317"/>
      <c r="K39" s="317"/>
      <c r="L39" s="317"/>
      <c r="M39" s="317"/>
      <c r="N39" s="317"/>
      <c r="O39" s="317"/>
      <c r="P39" s="317"/>
      <c r="Q39" s="317"/>
      <c r="R39" s="317"/>
      <c r="S39" s="317"/>
      <c r="T39" s="317"/>
      <c r="U39" s="317"/>
      <c r="V39" s="317"/>
      <c r="W39" s="317"/>
      <c r="X39" s="317"/>
      <c r="Y39" s="317"/>
      <c r="Z39" s="317"/>
      <c r="AA39" s="317"/>
      <c r="AB39" s="317"/>
      <c r="AC39" s="317"/>
      <c r="AD39" s="317"/>
      <c r="AE39" s="317"/>
      <c r="AF39" s="317"/>
      <c r="AG39" s="317"/>
      <c r="AH39" s="317"/>
      <c r="AI39" s="317"/>
      <c r="AJ39" s="317"/>
      <c r="AK39" s="317"/>
      <c r="AL39" s="317"/>
      <c r="AM39" s="317"/>
      <c r="AN39" s="317"/>
      <c r="AO39" s="317"/>
      <c r="AP39" s="317"/>
      <c r="AQ39" s="317"/>
      <c r="AR39" s="317"/>
      <c r="AS39" s="317"/>
      <c r="AT39" s="317"/>
      <c r="AU39" s="317"/>
      <c r="AV39" s="317"/>
      <c r="AW39" s="317"/>
      <c r="AX39" s="317"/>
      <c r="AY39" s="317"/>
      <c r="AZ39" s="317"/>
      <c r="BA39" s="317"/>
      <c r="BB39" s="294"/>
    </row>
    <row r="40" spans="2:54">
      <c r="B40" s="304"/>
      <c r="C40" s="317"/>
      <c r="D40" s="317"/>
      <c r="E40" s="317"/>
      <c r="F40" s="317"/>
      <c r="G40" s="317"/>
      <c r="H40" s="317"/>
      <c r="I40" s="317"/>
      <c r="J40" s="317"/>
      <c r="K40" s="317"/>
      <c r="L40" s="317"/>
      <c r="M40" s="317"/>
      <c r="N40" s="317"/>
      <c r="O40" s="317"/>
      <c r="P40" s="317"/>
      <c r="Q40" s="317"/>
      <c r="R40" s="317"/>
      <c r="S40" s="317"/>
      <c r="T40" s="317"/>
      <c r="U40" s="317"/>
      <c r="V40" s="317"/>
      <c r="W40" s="317"/>
      <c r="X40" s="317"/>
      <c r="Y40" s="317"/>
      <c r="Z40" s="317"/>
      <c r="AA40" s="317"/>
      <c r="AB40" s="317"/>
      <c r="AC40" s="317"/>
      <c r="AD40" s="317"/>
      <c r="AE40" s="317"/>
      <c r="AF40" s="317"/>
      <c r="AG40" s="317"/>
      <c r="AH40" s="317"/>
      <c r="AI40" s="317"/>
      <c r="AJ40" s="317"/>
      <c r="AK40" s="317"/>
      <c r="AL40" s="317"/>
      <c r="AM40" s="317"/>
      <c r="AN40" s="317"/>
      <c r="AO40" s="317"/>
      <c r="AP40" s="317"/>
      <c r="AQ40" s="317"/>
      <c r="AR40" s="317"/>
      <c r="AS40" s="317"/>
      <c r="AT40" s="317"/>
      <c r="AU40" s="317"/>
      <c r="AV40" s="317"/>
      <c r="AW40" s="317"/>
      <c r="AX40" s="317"/>
      <c r="AY40" s="317"/>
      <c r="AZ40" s="317"/>
      <c r="BA40" s="317"/>
      <c r="BB40" s="294"/>
    </row>
    <row r="41" spans="2:54">
      <c r="B41" s="304"/>
      <c r="C41" s="317"/>
      <c r="D41" s="317"/>
      <c r="E41" s="317"/>
      <c r="F41" s="317"/>
      <c r="G41" s="317"/>
      <c r="H41" s="317"/>
      <c r="I41" s="317"/>
      <c r="J41" s="317"/>
      <c r="K41" s="317"/>
      <c r="L41" s="317"/>
      <c r="M41" s="317"/>
      <c r="N41" s="317"/>
      <c r="O41" s="317"/>
      <c r="P41" s="317"/>
      <c r="Q41" s="317"/>
      <c r="R41" s="317"/>
      <c r="S41" s="317"/>
      <c r="T41" s="317"/>
      <c r="U41" s="317"/>
      <c r="V41" s="317"/>
      <c r="W41" s="317"/>
      <c r="X41" s="317"/>
      <c r="Y41" s="317"/>
      <c r="Z41" s="317"/>
      <c r="AA41" s="317"/>
      <c r="AB41" s="317"/>
      <c r="AC41" s="317"/>
      <c r="AD41" s="317"/>
      <c r="AE41" s="317"/>
      <c r="AF41" s="317"/>
      <c r="AG41" s="317"/>
      <c r="AH41" s="317"/>
      <c r="AI41" s="317"/>
      <c r="AJ41" s="317"/>
      <c r="AK41" s="317"/>
      <c r="AL41" s="317"/>
      <c r="AM41" s="317"/>
      <c r="AN41" s="317"/>
      <c r="AO41" s="317"/>
      <c r="AP41" s="317"/>
      <c r="AQ41" s="317"/>
      <c r="AR41" s="317"/>
      <c r="AS41" s="317"/>
      <c r="AT41" s="317"/>
      <c r="AU41" s="317"/>
      <c r="AV41" s="317"/>
      <c r="AW41" s="317"/>
      <c r="AX41" s="317"/>
      <c r="AY41" s="317"/>
      <c r="AZ41" s="317"/>
      <c r="BA41" s="317"/>
      <c r="BB41" s="294"/>
    </row>
    <row r="42" spans="2:54">
      <c r="B42" s="304"/>
      <c r="C42" s="317"/>
      <c r="D42" s="317"/>
      <c r="E42" s="317"/>
      <c r="F42" s="317"/>
      <c r="G42" s="317"/>
      <c r="H42" s="317"/>
      <c r="I42" s="317"/>
      <c r="J42" s="317"/>
      <c r="K42" s="317"/>
      <c r="L42" s="317"/>
      <c r="M42" s="317"/>
      <c r="N42" s="317"/>
      <c r="O42" s="317"/>
      <c r="P42" s="317"/>
      <c r="Q42" s="317"/>
      <c r="R42" s="317"/>
      <c r="S42" s="317"/>
      <c r="T42" s="317"/>
      <c r="U42" s="317"/>
      <c r="V42" s="317"/>
      <c r="W42" s="317"/>
      <c r="X42" s="317"/>
      <c r="Y42" s="317"/>
      <c r="Z42" s="317"/>
      <c r="AA42" s="317"/>
      <c r="AB42" s="317"/>
      <c r="AC42" s="317"/>
      <c r="AD42" s="317"/>
      <c r="AE42" s="317"/>
      <c r="AF42" s="317"/>
      <c r="AG42" s="317"/>
      <c r="AH42" s="317"/>
      <c r="AI42" s="317"/>
      <c r="AJ42" s="317"/>
      <c r="AK42" s="317"/>
      <c r="AL42" s="317"/>
      <c r="AM42" s="317"/>
      <c r="AN42" s="317"/>
      <c r="AO42" s="317"/>
      <c r="AP42" s="317"/>
      <c r="AQ42" s="317"/>
      <c r="AR42" s="317"/>
      <c r="AS42" s="317"/>
      <c r="AT42" s="317"/>
      <c r="AU42" s="317"/>
      <c r="AV42" s="317"/>
      <c r="AW42" s="317"/>
      <c r="AX42" s="317"/>
      <c r="AY42" s="317"/>
      <c r="AZ42" s="317"/>
      <c r="BA42" s="317"/>
      <c r="BB42" s="294"/>
    </row>
    <row r="43" spans="2:54">
      <c r="B43" s="304"/>
      <c r="C43" s="317"/>
      <c r="D43" s="317"/>
      <c r="E43" s="317"/>
      <c r="F43" s="317"/>
      <c r="G43" s="317"/>
      <c r="H43" s="317"/>
      <c r="I43" s="317"/>
      <c r="J43" s="317"/>
      <c r="K43" s="317"/>
      <c r="L43" s="317"/>
      <c r="M43" s="317"/>
      <c r="N43" s="317"/>
      <c r="O43" s="317"/>
      <c r="P43" s="317"/>
      <c r="Q43" s="317"/>
      <c r="R43" s="317"/>
      <c r="S43" s="317"/>
      <c r="T43" s="317"/>
      <c r="U43" s="317"/>
      <c r="V43" s="317"/>
      <c r="W43" s="317"/>
      <c r="X43" s="317"/>
      <c r="Y43" s="317"/>
      <c r="Z43" s="317"/>
      <c r="AA43" s="317"/>
      <c r="AB43" s="317"/>
      <c r="AC43" s="317"/>
      <c r="AD43" s="317"/>
      <c r="AE43" s="317"/>
      <c r="AF43" s="317"/>
      <c r="AG43" s="317"/>
      <c r="AH43" s="317"/>
      <c r="AI43" s="317"/>
      <c r="AJ43" s="317"/>
      <c r="AK43" s="317"/>
      <c r="AL43" s="317"/>
      <c r="AM43" s="317"/>
      <c r="AN43" s="317"/>
      <c r="AO43" s="317"/>
      <c r="AP43" s="317"/>
      <c r="AQ43" s="317"/>
      <c r="AR43" s="317"/>
      <c r="AS43" s="317"/>
      <c r="AT43" s="317"/>
      <c r="AU43" s="317"/>
      <c r="AV43" s="317"/>
      <c r="AW43" s="317"/>
      <c r="AX43" s="317"/>
      <c r="AY43" s="317"/>
      <c r="AZ43" s="317"/>
      <c r="BA43" s="317"/>
      <c r="BB43" s="294"/>
    </row>
    <row r="44" spans="2:54">
      <c r="B44" s="305"/>
      <c r="C44" s="317"/>
      <c r="D44" s="317"/>
      <c r="E44" s="317"/>
      <c r="F44" s="317"/>
      <c r="G44" s="317"/>
      <c r="H44" s="317"/>
      <c r="I44" s="317"/>
      <c r="J44" s="317"/>
      <c r="K44" s="317"/>
      <c r="L44" s="317"/>
      <c r="M44" s="317"/>
      <c r="N44" s="317"/>
      <c r="O44" s="317"/>
      <c r="P44" s="317"/>
      <c r="Q44" s="317"/>
      <c r="R44" s="317"/>
      <c r="S44" s="317"/>
      <c r="T44" s="317"/>
      <c r="U44" s="317"/>
      <c r="V44" s="317"/>
      <c r="W44" s="317"/>
      <c r="X44" s="317"/>
      <c r="Y44" s="317"/>
      <c r="Z44" s="317"/>
      <c r="AA44" s="317"/>
      <c r="AB44" s="317"/>
      <c r="AC44" s="317"/>
      <c r="AD44" s="317"/>
      <c r="AE44" s="317"/>
      <c r="AF44" s="317"/>
      <c r="AG44" s="317"/>
      <c r="AH44" s="317"/>
      <c r="AI44" s="317"/>
      <c r="AJ44" s="317"/>
      <c r="AK44" s="317"/>
      <c r="AL44" s="317"/>
      <c r="AM44" s="317"/>
      <c r="AN44" s="317"/>
      <c r="AO44" s="317"/>
      <c r="AP44" s="317"/>
      <c r="AQ44" s="317"/>
      <c r="AR44" s="317"/>
      <c r="AS44" s="317"/>
      <c r="AT44" s="317"/>
      <c r="AU44" s="317"/>
      <c r="AV44" s="317"/>
      <c r="AW44" s="317"/>
      <c r="AX44" s="317"/>
      <c r="AY44" s="317"/>
      <c r="AZ44" s="317"/>
      <c r="BA44" s="317"/>
      <c r="BB44" s="294"/>
    </row>
    <row r="45" spans="2:54">
      <c r="B45" s="305"/>
      <c r="C45" s="317"/>
      <c r="D45" s="317"/>
      <c r="E45" s="317"/>
      <c r="F45" s="317"/>
      <c r="G45" s="317"/>
      <c r="H45" s="317"/>
      <c r="I45" s="317"/>
      <c r="J45" s="317"/>
      <c r="K45" s="317"/>
      <c r="L45" s="317"/>
      <c r="M45" s="317"/>
      <c r="N45" s="317"/>
      <c r="O45" s="317"/>
      <c r="P45" s="317"/>
      <c r="Q45" s="317"/>
      <c r="R45" s="317"/>
      <c r="S45" s="317"/>
      <c r="T45" s="317"/>
      <c r="U45" s="317"/>
      <c r="V45" s="317"/>
      <c r="W45" s="317"/>
      <c r="X45" s="317"/>
      <c r="Y45" s="317"/>
      <c r="Z45" s="317"/>
      <c r="AA45" s="317"/>
      <c r="AB45" s="317"/>
      <c r="AC45" s="317"/>
      <c r="AD45" s="317"/>
      <c r="AE45" s="317"/>
      <c r="AF45" s="317"/>
      <c r="AG45" s="317"/>
      <c r="AH45" s="317"/>
      <c r="AI45" s="317"/>
      <c r="AJ45" s="317"/>
      <c r="AK45" s="317"/>
      <c r="AL45" s="317"/>
      <c r="AM45" s="317"/>
      <c r="AN45" s="317"/>
      <c r="AO45" s="317"/>
      <c r="AP45" s="317"/>
      <c r="AQ45" s="317"/>
      <c r="AR45" s="317"/>
      <c r="AS45" s="317"/>
      <c r="AT45" s="317"/>
      <c r="AU45" s="317"/>
      <c r="AV45" s="317"/>
      <c r="AW45" s="317"/>
      <c r="AX45" s="317"/>
      <c r="AY45" s="317"/>
      <c r="AZ45" s="317"/>
      <c r="BA45" s="317"/>
      <c r="BB45" s="294"/>
    </row>
    <row r="46" spans="2:54">
      <c r="B46" s="304"/>
      <c r="C46" s="317"/>
      <c r="D46" s="317"/>
      <c r="E46" s="317"/>
      <c r="F46" s="317"/>
      <c r="G46" s="317"/>
      <c r="H46" s="317"/>
      <c r="I46" s="317"/>
      <c r="J46" s="317"/>
      <c r="K46" s="317"/>
      <c r="L46" s="317"/>
      <c r="M46" s="317"/>
      <c r="N46" s="317"/>
      <c r="O46" s="317"/>
      <c r="P46" s="317"/>
      <c r="Q46" s="317"/>
      <c r="R46" s="317"/>
      <c r="S46" s="317"/>
      <c r="T46" s="317"/>
      <c r="U46" s="317"/>
      <c r="V46" s="317"/>
      <c r="W46" s="317"/>
      <c r="X46" s="317"/>
      <c r="Y46" s="317"/>
      <c r="Z46" s="317"/>
      <c r="AA46" s="317"/>
      <c r="AB46" s="317"/>
      <c r="AC46" s="317"/>
      <c r="AD46" s="317"/>
      <c r="AE46" s="317"/>
      <c r="AF46" s="317"/>
      <c r="AG46" s="317"/>
      <c r="AH46" s="317"/>
      <c r="AI46" s="317"/>
      <c r="AJ46" s="317"/>
      <c r="AK46" s="317"/>
      <c r="AL46" s="317"/>
      <c r="AM46" s="317"/>
      <c r="AN46" s="317"/>
      <c r="AO46" s="317"/>
      <c r="AP46" s="317"/>
      <c r="AQ46" s="317"/>
      <c r="AR46" s="317"/>
      <c r="AS46" s="317"/>
      <c r="AT46" s="317"/>
      <c r="AU46" s="317"/>
      <c r="AV46" s="317"/>
      <c r="AW46" s="317"/>
      <c r="AX46" s="317"/>
      <c r="AY46" s="317"/>
      <c r="AZ46" s="317"/>
      <c r="BA46" s="317"/>
      <c r="BB46" s="294"/>
    </row>
    <row r="47" spans="2:54">
      <c r="B47" s="304"/>
      <c r="C47" s="317"/>
      <c r="D47" s="317"/>
      <c r="E47" s="317"/>
      <c r="F47" s="317"/>
      <c r="G47" s="317"/>
      <c r="H47" s="317"/>
      <c r="I47" s="317"/>
      <c r="J47" s="317"/>
      <c r="K47" s="317"/>
      <c r="L47" s="317"/>
      <c r="M47" s="317"/>
      <c r="N47" s="317"/>
      <c r="O47" s="317"/>
      <c r="P47" s="317"/>
      <c r="Q47" s="317"/>
      <c r="R47" s="317"/>
      <c r="S47" s="317"/>
      <c r="T47" s="317"/>
      <c r="U47" s="317"/>
      <c r="V47" s="317"/>
      <c r="W47" s="317"/>
      <c r="X47" s="317"/>
      <c r="Y47" s="317"/>
      <c r="Z47" s="317"/>
      <c r="AA47" s="317"/>
      <c r="AB47" s="317"/>
      <c r="AC47" s="317"/>
      <c r="AD47" s="317"/>
      <c r="AE47" s="317"/>
      <c r="AF47" s="317"/>
      <c r="AG47" s="317"/>
      <c r="AH47" s="317"/>
      <c r="AI47" s="317"/>
      <c r="AJ47" s="317"/>
      <c r="AK47" s="317"/>
      <c r="AL47" s="317"/>
      <c r="AM47" s="317"/>
      <c r="AN47" s="317"/>
      <c r="AO47" s="317"/>
      <c r="AP47" s="317"/>
      <c r="AQ47" s="317"/>
      <c r="AR47" s="317"/>
      <c r="AS47" s="317"/>
      <c r="AT47" s="317"/>
      <c r="AU47" s="317"/>
      <c r="AV47" s="317"/>
      <c r="AW47" s="317"/>
      <c r="AX47" s="317"/>
      <c r="AY47" s="317"/>
      <c r="AZ47" s="317"/>
      <c r="BA47" s="317"/>
      <c r="BB47" s="294"/>
    </row>
    <row r="48" spans="2:54">
      <c r="B48" s="305"/>
      <c r="C48" s="317"/>
      <c r="D48" s="317"/>
      <c r="E48" s="317"/>
      <c r="F48" s="317"/>
      <c r="G48" s="317"/>
      <c r="H48" s="317"/>
      <c r="I48" s="317"/>
      <c r="J48" s="317"/>
      <c r="K48" s="317"/>
      <c r="L48" s="317"/>
      <c r="M48" s="317"/>
      <c r="N48" s="317"/>
      <c r="O48" s="317"/>
      <c r="P48" s="317"/>
      <c r="Q48" s="317"/>
      <c r="R48" s="317"/>
      <c r="S48" s="317"/>
      <c r="T48" s="317"/>
      <c r="U48" s="317"/>
      <c r="V48" s="317"/>
      <c r="W48" s="317"/>
      <c r="X48" s="317"/>
      <c r="Y48" s="317"/>
      <c r="Z48" s="317"/>
      <c r="AA48" s="317"/>
      <c r="AB48" s="317"/>
      <c r="AC48" s="317"/>
      <c r="AD48" s="317"/>
      <c r="AE48" s="317"/>
      <c r="AF48" s="317"/>
      <c r="AG48" s="317"/>
      <c r="AH48" s="317"/>
      <c r="AI48" s="317"/>
      <c r="AJ48" s="317"/>
      <c r="AK48" s="317"/>
      <c r="AL48" s="317"/>
      <c r="AM48" s="317"/>
      <c r="AN48" s="317"/>
      <c r="AO48" s="317"/>
      <c r="AP48" s="317"/>
      <c r="AQ48" s="317"/>
      <c r="AR48" s="317"/>
      <c r="AS48" s="317"/>
      <c r="AT48" s="317"/>
      <c r="AU48" s="317"/>
      <c r="AV48" s="317"/>
      <c r="AW48" s="317"/>
      <c r="AX48" s="317"/>
      <c r="AY48" s="317"/>
      <c r="AZ48" s="317"/>
      <c r="BA48" s="317"/>
      <c r="BB48" s="294"/>
    </row>
    <row r="49" spans="2:54">
      <c r="B49" s="304"/>
      <c r="C49" s="317"/>
      <c r="D49" s="317"/>
      <c r="E49" s="317"/>
      <c r="F49" s="317"/>
      <c r="G49" s="317"/>
      <c r="H49" s="317"/>
      <c r="I49" s="317"/>
      <c r="J49" s="317"/>
      <c r="K49" s="317"/>
      <c r="L49" s="317"/>
      <c r="M49" s="317"/>
      <c r="N49" s="317"/>
      <c r="O49" s="317"/>
      <c r="P49" s="317"/>
      <c r="Q49" s="317"/>
      <c r="R49" s="317"/>
      <c r="S49" s="317"/>
      <c r="T49" s="317"/>
      <c r="U49" s="317"/>
      <c r="V49" s="317"/>
      <c r="W49" s="317"/>
      <c r="X49" s="317"/>
      <c r="Y49" s="317"/>
      <c r="Z49" s="317"/>
      <c r="AA49" s="317"/>
      <c r="AB49" s="317"/>
      <c r="AC49" s="317"/>
      <c r="AD49" s="317"/>
      <c r="AE49" s="317"/>
      <c r="AF49" s="317"/>
      <c r="AG49" s="317"/>
      <c r="AH49" s="317"/>
      <c r="AI49" s="317"/>
      <c r="AJ49" s="317"/>
      <c r="AK49" s="317"/>
      <c r="AL49" s="317"/>
      <c r="AM49" s="317"/>
      <c r="AN49" s="317"/>
      <c r="AO49" s="317"/>
      <c r="AP49" s="317"/>
      <c r="AQ49" s="317"/>
      <c r="AR49" s="317"/>
      <c r="AS49" s="317"/>
      <c r="AT49" s="317"/>
      <c r="AU49" s="317"/>
      <c r="AV49" s="317"/>
      <c r="AW49" s="317"/>
      <c r="AX49" s="317"/>
      <c r="AY49" s="317"/>
      <c r="AZ49" s="317"/>
      <c r="BA49" s="317"/>
      <c r="BB49" s="294"/>
    </row>
    <row r="51" spans="2:54">
      <c r="B51" s="316"/>
    </row>
    <row r="52" spans="2:54">
      <c r="C52" s="318"/>
      <c r="D52" s="318"/>
      <c r="E52" s="318"/>
      <c r="F52" s="318"/>
      <c r="G52" s="318"/>
      <c r="H52" s="318"/>
      <c r="I52" s="318"/>
      <c r="J52" s="318"/>
      <c r="K52" s="318"/>
      <c r="L52" s="318"/>
      <c r="M52" s="318"/>
      <c r="N52" s="318"/>
      <c r="O52" s="318"/>
      <c r="P52" s="318"/>
      <c r="Q52" s="318"/>
      <c r="R52" s="318"/>
      <c r="S52" s="318"/>
      <c r="T52" s="318"/>
      <c r="U52" s="318"/>
      <c r="V52" s="318"/>
      <c r="W52" s="318"/>
      <c r="X52" s="318"/>
      <c r="Y52" s="318"/>
      <c r="Z52" s="318"/>
      <c r="AA52" s="318"/>
      <c r="AB52" s="318"/>
      <c r="AC52" s="318"/>
      <c r="AD52" s="318"/>
      <c r="AE52" s="318"/>
      <c r="AF52" s="318"/>
      <c r="AG52" s="318"/>
      <c r="AH52" s="318"/>
      <c r="AI52" s="318"/>
      <c r="AJ52" s="318"/>
      <c r="AK52" s="318"/>
      <c r="AL52" s="318"/>
      <c r="AM52" s="318"/>
      <c r="AN52" s="318"/>
      <c r="AO52" s="318"/>
      <c r="AP52" s="318"/>
      <c r="AQ52" s="318"/>
      <c r="AR52" s="318"/>
      <c r="AS52" s="318"/>
      <c r="AT52" s="318"/>
      <c r="AU52" s="318"/>
      <c r="AV52" s="318"/>
      <c r="AW52" s="318"/>
      <c r="AX52" s="318"/>
      <c r="AY52" s="318"/>
      <c r="AZ52" s="318"/>
      <c r="BA52" s="318"/>
    </row>
    <row r="53" spans="2:54">
      <c r="C53" s="318"/>
      <c r="D53" s="318"/>
      <c r="E53" s="318"/>
      <c r="F53" s="318"/>
      <c r="G53" s="318"/>
      <c r="H53" s="318"/>
      <c r="I53" s="318"/>
      <c r="J53" s="318"/>
      <c r="K53" s="318"/>
      <c r="L53" s="318"/>
      <c r="M53" s="318"/>
      <c r="N53" s="318"/>
      <c r="O53" s="318"/>
      <c r="P53" s="318"/>
      <c r="Q53" s="318"/>
      <c r="R53" s="318"/>
      <c r="S53" s="318"/>
      <c r="T53" s="318"/>
      <c r="U53" s="318"/>
      <c r="V53" s="318"/>
      <c r="W53" s="318"/>
      <c r="X53" s="318"/>
      <c r="Y53" s="318"/>
      <c r="Z53" s="318"/>
      <c r="AA53" s="318"/>
      <c r="AB53" s="318"/>
      <c r="AC53" s="318"/>
      <c r="AD53" s="318"/>
      <c r="AE53" s="318"/>
      <c r="AF53" s="318"/>
      <c r="AG53" s="318"/>
      <c r="AH53" s="318"/>
      <c r="AI53" s="318"/>
      <c r="AJ53" s="318"/>
      <c r="AK53" s="318"/>
      <c r="AL53" s="318"/>
      <c r="AM53" s="318"/>
      <c r="AN53" s="318"/>
      <c r="AO53" s="318"/>
      <c r="AP53" s="318"/>
      <c r="AQ53" s="318"/>
      <c r="AR53" s="318"/>
      <c r="AS53" s="318"/>
      <c r="AT53" s="318"/>
      <c r="AU53" s="318"/>
      <c r="AV53" s="318"/>
      <c r="AW53" s="318"/>
      <c r="AX53" s="318"/>
      <c r="AY53" s="318"/>
      <c r="AZ53" s="318"/>
      <c r="BA53" s="318"/>
    </row>
    <row r="54" spans="2:54">
      <c r="C54" s="318"/>
      <c r="D54" s="318"/>
      <c r="E54" s="318"/>
      <c r="F54" s="318"/>
      <c r="G54" s="318"/>
      <c r="H54" s="318"/>
      <c r="I54" s="318"/>
      <c r="J54" s="318"/>
      <c r="K54" s="318"/>
      <c r="L54" s="318"/>
      <c r="M54" s="318"/>
      <c r="N54" s="318"/>
      <c r="O54" s="318"/>
      <c r="P54" s="318"/>
      <c r="Q54" s="318"/>
      <c r="R54" s="318"/>
      <c r="S54" s="318"/>
      <c r="T54" s="318"/>
      <c r="U54" s="318"/>
      <c r="V54" s="318"/>
      <c r="W54" s="318"/>
      <c r="X54" s="318"/>
      <c r="Y54" s="318"/>
      <c r="Z54" s="318"/>
      <c r="AA54" s="318"/>
      <c r="AB54" s="318"/>
      <c r="AC54" s="318"/>
      <c r="AD54" s="318"/>
      <c r="AE54" s="318"/>
      <c r="AF54" s="318"/>
      <c r="AG54" s="318"/>
      <c r="AH54" s="318"/>
      <c r="AI54" s="318"/>
      <c r="AJ54" s="318"/>
      <c r="AK54" s="318"/>
      <c r="AL54" s="318"/>
      <c r="AM54" s="318"/>
      <c r="AN54" s="318"/>
      <c r="AO54" s="318"/>
      <c r="AP54" s="318"/>
      <c r="AQ54" s="318"/>
      <c r="AR54" s="318"/>
      <c r="AS54" s="318"/>
      <c r="AT54" s="318"/>
      <c r="AU54" s="318"/>
      <c r="AV54" s="318"/>
      <c r="AW54" s="318"/>
      <c r="AX54" s="318"/>
      <c r="AY54" s="318"/>
      <c r="AZ54" s="318"/>
      <c r="BA54" s="318"/>
    </row>
    <row r="55" spans="2:54">
      <c r="C55" s="318"/>
      <c r="D55" s="318"/>
      <c r="E55" s="318"/>
      <c r="F55" s="318"/>
      <c r="G55" s="318"/>
      <c r="H55" s="318"/>
      <c r="I55" s="318"/>
      <c r="J55" s="318"/>
      <c r="K55" s="318"/>
      <c r="L55" s="318"/>
      <c r="M55" s="318"/>
      <c r="N55" s="318"/>
      <c r="O55" s="318"/>
      <c r="P55" s="318"/>
      <c r="Q55" s="318"/>
      <c r="R55" s="318"/>
      <c r="S55" s="318"/>
      <c r="T55" s="318"/>
      <c r="U55" s="318"/>
      <c r="V55" s="318"/>
      <c r="W55" s="318"/>
      <c r="X55" s="318"/>
      <c r="Y55" s="318"/>
      <c r="Z55" s="318"/>
      <c r="AA55" s="318"/>
      <c r="AB55" s="318"/>
      <c r="AC55" s="318"/>
      <c r="AD55" s="318"/>
      <c r="AE55" s="318"/>
      <c r="AF55" s="318"/>
      <c r="AG55" s="318"/>
      <c r="AH55" s="318"/>
      <c r="AI55" s="318"/>
      <c r="AJ55" s="318"/>
      <c r="AK55" s="318"/>
      <c r="AL55" s="318"/>
      <c r="AM55" s="318"/>
      <c r="AN55" s="318"/>
      <c r="AO55" s="318"/>
      <c r="AP55" s="318"/>
      <c r="AQ55" s="318"/>
      <c r="AR55" s="318"/>
      <c r="AS55" s="318"/>
      <c r="AT55" s="318"/>
      <c r="AU55" s="318"/>
      <c r="AV55" s="318"/>
      <c r="AW55" s="318"/>
      <c r="AX55" s="318"/>
      <c r="AY55" s="318"/>
      <c r="AZ55" s="318"/>
      <c r="BA55" s="318"/>
    </row>
  </sheetData>
  <pageMargins left="0.75" right="0.75" top="1" bottom="1" header="0.5" footer="0.5"/>
  <pageSetup paperSize="9" orientation="portrait"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F559E-40C1-4E49-9378-A411073F5419}">
  <sheetPr>
    <tabColor rgb="FFC00000"/>
  </sheetPr>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23</vt:i4>
      </vt:variant>
      <vt:variant>
        <vt:lpstr>Charts</vt:lpstr>
      </vt:variant>
      <vt:variant>
        <vt:i4>11</vt:i4>
      </vt:variant>
      <vt:variant>
        <vt:lpstr>Named Ranges</vt:lpstr>
      </vt:variant>
      <vt:variant>
        <vt:i4>2</vt:i4>
      </vt:variant>
    </vt:vector>
  </HeadingPairs>
  <TitlesOfParts>
    <vt:vector size="36" baseType="lpstr">
      <vt:lpstr>CHARTS&gt;&gt;</vt:lpstr>
      <vt:lpstr>DATA&gt;&gt;</vt:lpstr>
      <vt:lpstr>Chart Data</vt:lpstr>
      <vt:lpstr>OBR Nov25 ST1.15</vt:lpstr>
      <vt:lpstr>HAVERM</vt:lpstr>
      <vt:lpstr>HAVERQ</vt:lpstr>
      <vt:lpstr>Data</vt:lpstr>
      <vt:lpstr>GMW</vt:lpstr>
      <vt:lpstr>ONS popproj Jan25 pp</vt:lpstr>
      <vt:lpstr>ONS popproj by year Jan25</vt:lpstr>
      <vt:lpstr>ONS popproj Jan25 migcv</vt:lpstr>
      <vt:lpstr>HO_Monthly_Vis_01</vt:lpstr>
      <vt:lpstr>ONS Nov25 T1</vt:lpstr>
      <vt:lpstr>ONS Nov25 T4a</vt:lpstr>
      <vt:lpstr>ONS Nov25 T4b</vt:lpstr>
      <vt:lpstr>ONS Nov25 T6a</vt:lpstr>
      <vt:lpstr>ONS Nov25 T6b</vt:lpstr>
      <vt:lpstr>OBR Nov25 ST4.3</vt:lpstr>
      <vt:lpstr>OBR Nov25 ST1.1</vt:lpstr>
      <vt:lpstr>OBR Nov25 C2.8</vt:lpstr>
      <vt:lpstr>OBR Nov25 C2.25</vt:lpstr>
      <vt:lpstr>OBR LT economic determinants</vt:lpstr>
      <vt:lpstr>NOT USED&gt;&gt;</vt:lpstr>
      <vt:lpstr>Chart - Migration assumptions</vt:lpstr>
      <vt:lpstr>Chart - Immigation by reason</vt:lpstr>
      <vt:lpstr>Chart - Emmigation by reason</vt:lpstr>
      <vt:lpstr>Chart - Output per hour (10yrma</vt:lpstr>
      <vt:lpstr>Chart - YHAT</vt:lpstr>
      <vt:lpstr>Chart - LT GDP OE, OBR</vt:lpstr>
      <vt:lpstr>Chart - Net inflows breakdown</vt:lpstr>
      <vt:lpstr>Chart - POPW &amp; SPA</vt:lpstr>
      <vt:lpstr>Chart - LT sickness</vt:lpstr>
      <vt:lpstr>Chart - Output per hour (5yrma)</vt:lpstr>
      <vt:lpstr>Chart - GDP comparison</vt:lpstr>
      <vt:lpstr>_DLX1.INC</vt:lpstr>
      <vt:lpstr>_DLX2.INC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Goodwin</dc:creator>
  <cp:lastModifiedBy>Andrew Goodwin</cp:lastModifiedBy>
  <dcterms:created xsi:type="dcterms:W3CDTF">2026-01-26T11:03:18Z</dcterms:created>
  <dcterms:modified xsi:type="dcterms:W3CDTF">2026-02-11T15:00:45Z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1f5784-19ed-4d1e-9a93-4ea41014d730_Enabled">
    <vt:lpwstr>true</vt:lpwstr>
  </property>
  <property fmtid="{D5CDD505-2E9C-101B-9397-08002B2CF9AE}" pid="3" name="MSIP_Label_231f5784-19ed-4d1e-9a93-4ea41014d730_SetDate">
    <vt:lpwstr>2026-01-26T11:03:55Z</vt:lpwstr>
  </property>
  <property fmtid="{D5CDD505-2E9C-101B-9397-08002B2CF9AE}" pid="4" name="MSIP_Label_231f5784-19ed-4d1e-9a93-4ea41014d730_Method">
    <vt:lpwstr>Privileged</vt:lpwstr>
  </property>
  <property fmtid="{D5CDD505-2E9C-101B-9397-08002B2CF9AE}" pid="5" name="MSIP_Label_231f5784-19ed-4d1e-9a93-4ea41014d730_Name">
    <vt:lpwstr>External</vt:lpwstr>
  </property>
  <property fmtid="{D5CDD505-2E9C-101B-9397-08002B2CF9AE}" pid="6" name="MSIP_Label_231f5784-19ed-4d1e-9a93-4ea41014d730_SiteId">
    <vt:lpwstr>2c277f63-6743-4f98-ac15-4851e55c0cc7</vt:lpwstr>
  </property>
  <property fmtid="{D5CDD505-2E9C-101B-9397-08002B2CF9AE}" pid="7" name="MSIP_Label_231f5784-19ed-4d1e-9a93-4ea41014d730_ActionId">
    <vt:lpwstr>cefb85f8-b4ca-4cdb-a7fe-cc1652c07cf9</vt:lpwstr>
  </property>
  <property fmtid="{D5CDD505-2E9C-101B-9397-08002B2CF9AE}" pid="8" name="MSIP_Label_231f5784-19ed-4d1e-9a93-4ea41014d730_ContentBits">
    <vt:lpwstr>0</vt:lpwstr>
  </property>
  <property fmtid="{D5CDD505-2E9C-101B-9397-08002B2CF9AE}" pid="9" name="MSIP_Label_231f5784-19ed-4d1e-9a93-4ea41014d730_Tag">
    <vt:lpwstr>10, 0, 1, 1</vt:lpwstr>
  </property>
</Properties>
</file>