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E6A0C063-39A9-4E1B-8394-7C7F9E447520}" xr6:coauthVersionLast="47" xr6:coauthVersionMax="47" xr10:uidLastSave="{00000000-0000-0000-0000-000000000000}"/>
  <bookViews>
    <workbookView xWindow="-110" yWindow="-110" windowWidth="19420" windowHeight="10300" tabRatio="804" firstSheet="5" activeTab="7" xr2:uid="{1E7BBDFA-12C8-4700-9291-B5DAF42C204F}"/>
  </bookViews>
  <sheets>
    <sheet name="Data &gt;&gt;" sheetId="6" r:id="rId1"/>
    <sheet name="BB consensus" sheetId="1" r:id="rId2"/>
    <sheet name="HAVERM" sheetId="9" r:id="rId3"/>
    <sheet name="HAVERQ" sheetId="10" r:id="rId4"/>
    <sheet name="Calculations &gt;&gt;" sheetId="7" r:id="rId5"/>
    <sheet name="Chart data" sheetId="2" r:id="rId6"/>
    <sheet name="Charts &gt;&gt;" sheetId="8" r:id="rId7"/>
    <sheet name="Chart - April fcast errors" sheetId="4" r:id="rId8"/>
    <sheet name="Chart - OE &amp; BoE CPI fcasts" sheetId="13" r:id="rId9"/>
    <sheet name="Chart - Ofgem EPC" sheetId="14" r:id="rId10"/>
  </sheets>
  <externalReferences>
    <externalReference r:id="rId11"/>
    <externalReference r:id="rId12"/>
  </externalReferences>
  <definedNames>
    <definedName name="_DLX1.INC">HAVERM!$A$4:$AC$10</definedName>
    <definedName name="_DLX2.INC">HAVERQ!$A$4:$AU$10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2" l="1"/>
  <c r="S12" i="2"/>
  <c r="T12" i="2"/>
  <c r="U12" i="2"/>
  <c r="V12" i="2"/>
  <c r="X12" i="2"/>
  <c r="Q12" i="2"/>
  <c r="X10" i="2"/>
  <c r="X9" i="2"/>
  <c r="X8" i="2"/>
  <c r="X7" i="2"/>
  <c r="X6" i="2"/>
  <c r="X5" i="2"/>
  <c r="Q6" i="2"/>
  <c r="R6" i="2"/>
  <c r="S6" i="2"/>
  <c r="T6" i="2"/>
  <c r="U6" i="2"/>
  <c r="V6" i="2"/>
  <c r="Q7" i="2"/>
  <c r="R7" i="2"/>
  <c r="S7" i="2"/>
  <c r="T7" i="2"/>
  <c r="U7" i="2"/>
  <c r="V7" i="2"/>
  <c r="Q8" i="2"/>
  <c r="R8" i="2"/>
  <c r="S8" i="2"/>
  <c r="T8" i="2"/>
  <c r="U8" i="2"/>
  <c r="V8" i="2"/>
  <c r="Q9" i="2"/>
  <c r="R9" i="2"/>
  <c r="S9" i="2"/>
  <c r="T9" i="2"/>
  <c r="U9" i="2"/>
  <c r="V9" i="2"/>
  <c r="Q10" i="2"/>
  <c r="R10" i="2"/>
  <c r="S10" i="2"/>
  <c r="T10" i="2"/>
  <c r="U10" i="2"/>
  <c r="V10" i="2"/>
  <c r="V5" i="2"/>
  <c r="U5" i="2"/>
  <c r="T5" i="2"/>
  <c r="S5" i="2"/>
  <c r="R5" i="2"/>
  <c r="Q5" i="2"/>
  <c r="E19" i="2" l="1"/>
  <c r="E10" i="2"/>
  <c r="O32" i="1"/>
  <c r="I76" i="1"/>
  <c r="D76" i="1"/>
  <c r="K12" i="2"/>
  <c r="L12" i="2"/>
  <c r="J6" i="2"/>
  <c r="J7" i="2"/>
  <c r="J8" i="2"/>
  <c r="J9" i="2"/>
  <c r="J10" i="2"/>
  <c r="J11" i="2"/>
  <c r="J12" i="2"/>
  <c r="J5" i="2"/>
  <c r="L13" i="2" l="1"/>
  <c r="L14" i="2"/>
  <c r="L15" i="2"/>
  <c r="L16" i="2"/>
  <c r="L17" i="2"/>
  <c r="L18" i="2"/>
  <c r="L19" i="2"/>
  <c r="L20" i="2"/>
  <c r="L21" i="2"/>
  <c r="L22" i="2"/>
  <c r="L23" i="2"/>
  <c r="L24" i="2"/>
  <c r="C30" i="2"/>
  <c r="E18" i="2"/>
  <c r="C29" i="2" s="1"/>
  <c r="E17" i="2"/>
  <c r="C28" i="2" s="1"/>
  <c r="E16" i="2"/>
  <c r="E15" i="2"/>
  <c r="E14" i="2"/>
  <c r="C25" i="2"/>
  <c r="E9" i="2"/>
  <c r="C24" i="2" s="1"/>
  <c r="E8" i="2"/>
  <c r="C23" i="2" s="1"/>
  <c r="E7" i="2"/>
  <c r="E6" i="2"/>
  <c r="E5" i="2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4" i="1"/>
  <c r="C14" i="2"/>
  <c r="C15" i="2"/>
  <c r="C16" i="2"/>
  <c r="C17" i="2"/>
  <c r="C18" i="2"/>
  <c r="C19" i="2"/>
  <c r="B19" i="2"/>
  <c r="D19" i="2" s="1"/>
  <c r="B18" i="2"/>
  <c r="D18" i="2" s="1"/>
  <c r="B17" i="2"/>
  <c r="D17" i="2" s="1"/>
  <c r="F17" i="2" s="1"/>
  <c r="B16" i="2"/>
  <c r="B15" i="2"/>
  <c r="B14" i="2"/>
  <c r="C7" i="2"/>
  <c r="C8" i="2"/>
  <c r="C9" i="2"/>
  <c r="C10" i="2"/>
  <c r="B10" i="2"/>
  <c r="D10" i="2" s="1"/>
  <c r="B25" i="2" s="1"/>
  <c r="B9" i="2"/>
  <c r="D9" i="2" s="1"/>
  <c r="F9" i="2" s="1"/>
  <c r="B8" i="2"/>
  <c r="B7" i="2"/>
  <c r="C6" i="2"/>
  <c r="C5" i="2"/>
  <c r="B6" i="2"/>
  <c r="B5" i="2"/>
  <c r="D5" i="2" s="1"/>
  <c r="F5" i="2" s="1"/>
  <c r="F19" i="2" l="1"/>
  <c r="F18" i="2"/>
  <c r="B28" i="2"/>
  <c r="D15" i="2"/>
  <c r="F15" i="2" s="1"/>
  <c r="D16" i="2"/>
  <c r="F16" i="2" s="1"/>
  <c r="B29" i="2"/>
  <c r="D14" i="2"/>
  <c r="F14" i="2" s="1"/>
  <c r="B24" i="2"/>
  <c r="F10" i="2"/>
  <c r="B30" i="2"/>
  <c r="D6" i="2"/>
  <c r="F6" i="2" s="1"/>
  <c r="D7" i="2"/>
  <c r="F7" i="2" s="1"/>
  <c r="D8" i="2"/>
  <c r="F8" i="2" l="1"/>
  <c r="B23" i="2"/>
  <c r="K13" i="2" l="1"/>
  <c r="K14" i="2" l="1"/>
  <c r="K15" i="2" l="1"/>
  <c r="K16" i="2" l="1"/>
  <c r="K17" i="2" l="1"/>
  <c r="K18" i="2" l="1"/>
  <c r="K19" i="2" l="1"/>
  <c r="K20" i="2" l="1"/>
  <c r="K21" i="2" l="1"/>
  <c r="K22" i="2" l="1"/>
  <c r="K23" i="2" l="1"/>
  <c r="K24" i="2" l="1"/>
</calcChain>
</file>

<file path=xl/sharedStrings.xml><?xml version="1.0" encoding="utf-8"?>
<sst xmlns="http://schemas.openxmlformats.org/spreadsheetml/2006/main" count="501" uniqueCount="483">
  <si>
    <t>Date</t>
  </si>
  <si>
    <t>Outturn</t>
  </si>
  <si>
    <t>Consensus median</t>
  </si>
  <si>
    <t>Headline CPI &gt;&gt;</t>
  </si>
  <si>
    <t>Core CPI &gt;&gt;</t>
  </si>
  <si>
    <t>Services CPI &gt;&gt;</t>
  </si>
  <si>
    <t>April forecast errors &gt;&gt;</t>
  </si>
  <si>
    <t>Absolute error</t>
  </si>
  <si>
    <t>Headline</t>
  </si>
  <si>
    <t>Core</t>
  </si>
  <si>
    <t>April outturn</t>
  </si>
  <si>
    <t>April consensus</t>
  </si>
  <si>
    <t>April absolute error</t>
  </si>
  <si>
    <t>Average error (excl April)</t>
  </si>
  <si>
    <t>April core CPI error</t>
  </si>
  <si>
    <t>Non-April services CPI error</t>
  </si>
  <si>
    <t>April</t>
  </si>
  <si>
    <t>Average month (excl. April)</t>
  </si>
  <si>
    <t>D7BT@UK</t>
  </si>
  <si>
    <t>200001 !M</t>
  </si>
  <si>
    <t>200001</t>
  </si>
  <si>
    <t>.FRQ</t>
  </si>
  <si>
    <t>.DTLM</t>
  </si>
  <si>
    <t>.LSOURCE</t>
  </si>
  <si>
    <t>.TN</t>
  </si>
  <si>
    <t>.T1</t>
  </si>
  <si>
    <t>.DESC</t>
  </si>
  <si>
    <t>Monthly</t>
  </si>
  <si>
    <t>Jan-21-2026 07:02</t>
  </si>
  <si>
    <t>Office for National Statistics</t>
  </si>
  <si>
    <t>Dec-2025</t>
  </si>
  <si>
    <t>Jan-1988</t>
  </si>
  <si>
    <t>UK: Consumer Price Index: All Items (NSA, 2015=100)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</si>
  <si>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</si>
  <si>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</si>
  <si>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</si>
  <si>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</si>
  <si>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</si>
  <si>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</si>
  <si>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</si>
  <si>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</si>
  <si>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</si>
  <si>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</si>
  <si>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</si>
  <si>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</si>
  <si>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</si>
  <si>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</si>
  <si>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</si>
  <si>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</si>
  <si>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</si>
  <si>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</si>
  <si>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</si>
  <si>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</si>
  <si>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</si>
  <si>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</si>
  <si>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</si>
  <si>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</si>
  <si>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</si>
  <si>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</si>
  <si>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</si>
  <si>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</si>
  <si>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</si>
  <si>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</si>
  <si>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</si>
  <si>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</si>
  <si>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</si>
  <si>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</si>
  <si>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</si>
  <si>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</si>
  <si>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</si>
  <si>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</si>
  <si>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</si>
  <si>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</si>
  <si>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</si>
  <si>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</si>
  <si>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</si>
  <si>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</si>
  <si>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</si>
  <si>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</si>
  <si>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</si>
  <si>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</si>
  <si>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</si>
  <si>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</si>
  <si>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</si>
  <si>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</si>
  <si>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</si>
  <si>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</si>
  <si>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</si>
  <si>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</si>
  <si>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</si>
  <si>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</si>
  <si>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</si>
  <si>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</si>
  <si>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</si>
  <si>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</si>
  <si>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</si>
  <si>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</si>
  <si>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</si>
  <si>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</si>
  <si>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</si>
  <si>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</si>
  <si>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</si>
  <si>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</si>
  <si>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</si>
  <si>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</si>
  <si>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</si>
  <si>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</si>
  <si>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</si>
  <si>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</si>
  <si>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</si>
  <si>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</si>
  <si>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</si>
  <si>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</si>
  <si>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</si>
  <si>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</si>
  <si>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</si>
  <si>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</si>
  <si>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</si>
  <si>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</si>
  <si>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</si>
  <si>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</si>
  <si>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</si>
  <si>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</si>
  <si>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</si>
  <si>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</si>
  <si>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</si>
  <si>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</si>
  <si>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</si>
  <si>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</si>
  <si>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</si>
  <si>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</si>
  <si>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</si>
  <si>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</si>
  <si>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</si>
  <si>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</si>
  <si>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</si>
  <si>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</si>
  <si>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</si>
  <si>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</si>
  <si>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</si>
  <si>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</si>
  <si>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</si>
  <si>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</si>
  <si>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</si>
  <si>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</si>
  <si>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</si>
  <si>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</si>
  <si>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</si>
  <si>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</si>
  <si>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</si>
  <si>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</si>
  <si>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</si>
  <si>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</si>
  <si>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</si>
  <si>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</si>
  <si>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</si>
  <si>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</si>
  <si>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</si>
  <si>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</si>
  <si>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</si>
  <si>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</si>
  <si>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</si>
  <si>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</si>
  <si>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</si>
  <si>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</si>
  <si>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</si>
  <si>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</si>
  <si>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</si>
  <si>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</si>
  <si>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</si>
  <si>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</si>
  <si>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</si>
  <si>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</si>
  <si>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</si>
  <si>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</si>
  <si>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</si>
  <si>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</si>
  <si>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</si>
  <si>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</si>
  <si>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</si>
  <si>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</si>
  <si>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</si>
  <si>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</si>
  <si>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</si>
  <si>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</si>
  <si>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</si>
  <si>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</si>
  <si>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</si>
  <si>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</si>
  <si>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</si>
  <si>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</si>
  <si>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</si>
  <si>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</si>
  <si>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</si>
  <si>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</si>
  <si>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</si>
  <si>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</si>
  <si>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</si>
  <si>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</si>
  <si>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</si>
  <si>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</si>
  <si>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</si>
  <si>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</si>
  <si>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</si>
  <si>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</si>
  <si>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</si>
  <si>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</si>
  <si>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</si>
  <si>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</si>
  <si>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</si>
  <si>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</si>
  <si>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</si>
  <si>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</si>
  <si>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</si>
  <si>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</si>
  <si>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</si>
  <si>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</si>
  <si>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</si>
  <si>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</si>
  <si>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</si>
  <si>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</si>
  <si>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</si>
  <si>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</si>
  <si>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</si>
  <si>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</si>
  <si>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</si>
  <si>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</si>
  <si>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</si>
  <si>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</si>
  <si>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</si>
  <si>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</si>
  <si>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</si>
  <si>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</si>
  <si>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</si>
  <si>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</si>
  <si>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</si>
  <si>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</si>
  <si>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</si>
  <si>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</si>
  <si>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</si>
  <si>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</si>
  <si>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</si>
  <si>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</si>
  <si>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</si>
  <si>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</si>
  <si>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</si>
  <si>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</si>
  <si>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</si>
  <si>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</si>
  <si>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</si>
  <si>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</si>
  <si>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</si>
  <si>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</si>
  <si>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</si>
  <si>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</si>
  <si>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</si>
  <si>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</si>
  <si>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</si>
  <si>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</si>
  <si>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</si>
  <si>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</si>
  <si>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</si>
  <si>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</si>
  <si>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</si>
  <si>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</si>
  <si>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</si>
  <si>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</si>
  <si>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</si>
  <si>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</si>
  <si>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</si>
  <si>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</si>
  <si>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</si>
  <si>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</si>
  <si>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</si>
  <si>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</si>
  <si>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</si>
  <si>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</si>
  <si>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</si>
  <si>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</si>
  <si>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</si>
  <si>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</si>
  <si>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</si>
  <si>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</si>
  <si>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</si>
  <si>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</si>
  <si>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</si>
  <si>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</si>
  <si>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</si>
  <si>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</si>
  <si>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</si>
  <si>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</si>
  <si>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</si>
  <si>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</si>
  <si>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</si>
  <si>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</si>
  <si>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</si>
  <si>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</si>
  <si>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</si>
  <si>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</si>
  <si>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</si>
  <si>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</si>
  <si>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</si>
  <si>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</si>
  <si>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</si>
  <si>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</si>
  <si>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</si>
  <si>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</si>
  <si>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</si>
  <si>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</si>
  <si>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</si>
  <si>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</si>
  <si>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</si>
  <si>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</si>
  <si>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</si>
  <si>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</si>
  <si>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</si>
  <si>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</si>
  <si>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</si>
  <si>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</si>
  <si>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</si>
  <si>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</si>
  <si>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</si>
  <si>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</si>
  <si>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</si>
  <si>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</si>
  <si>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</si>
  <si>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</si>
  <si>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</si>
  <si>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</si>
  <si>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</si>
  <si>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</si>
  <si>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</si>
  <si>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</si>
  <si>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</si>
  <si>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</si>
  <si>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</si>
  <si>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</si>
  <si>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</si>
  <si>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</si>
  <si>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</si>
  <si>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</si>
  <si>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</si>
  <si>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</si>
  <si>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</si>
  <si>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UNCPI261@UK</t>
  </si>
  <si>
    <t>20001 !Q</t>
  </si>
  <si>
    <t>20001</t>
  </si>
  <si>
    <t>Quarterly</t>
  </si>
  <si>
    <t>Feb-05-2026 16:39</t>
  </si>
  <si>
    <t>Discontinued</t>
  </si>
  <si>
    <t>Q1-2029</t>
  </si>
  <si>
    <t>Q1-2004</t>
  </si>
  <si>
    <t>UK: BoE MPR Bank Staff Projections: CPI [Feb-26] (Y/Y % Change)</t>
  </si>
  <si>
    <t>20002</t>
  </si>
  <si>
    <t>20003</t>
  </si>
  <si>
    <t>20004</t>
  </si>
  <si>
    <t>20011</t>
  </si>
  <si>
    <t>20012</t>
  </si>
  <si>
    <t>20013</t>
  </si>
  <si>
    <t>20014</t>
  </si>
  <si>
    <t>20021</t>
  </si>
  <si>
    <t>20022</t>
  </si>
  <si>
    <t>20023</t>
  </si>
  <si>
    <t>20024</t>
  </si>
  <si>
    <t>20031</t>
  </si>
  <si>
    <t>20032</t>
  </si>
  <si>
    <t>20033</t>
  </si>
  <si>
    <t>20034</t>
  </si>
  <si>
    <t>20041</t>
  </si>
  <si>
    <t>20042</t>
  </si>
  <si>
    <t>20043</t>
  </si>
  <si>
    <t>20044</t>
  </si>
  <si>
    <t>20051</t>
  </si>
  <si>
    <t>20052</t>
  </si>
  <si>
    <t>20053</t>
  </si>
  <si>
    <t>20054</t>
  </si>
  <si>
    <t>20061</t>
  </si>
  <si>
    <t>20062</t>
  </si>
  <si>
    <t>20063</t>
  </si>
  <si>
    <t>20064</t>
  </si>
  <si>
    <t>20071</t>
  </si>
  <si>
    <t>20072</t>
  </si>
  <si>
    <t>20073</t>
  </si>
  <si>
    <t>20074</t>
  </si>
  <si>
    <t>20081</t>
  </si>
  <si>
    <t>20082</t>
  </si>
  <si>
    <t>20083</t>
  </si>
  <si>
    <t>20084</t>
  </si>
  <si>
    <t>20091</t>
  </si>
  <si>
    <t>20092</t>
  </si>
  <si>
    <t>20093</t>
  </si>
  <si>
    <t>20094</t>
  </si>
  <si>
    <t>20101</t>
  </si>
  <si>
    <t>20102</t>
  </si>
  <si>
    <t>20103</t>
  </si>
  <si>
    <t>20104</t>
  </si>
  <si>
    <t>20111</t>
  </si>
  <si>
    <t>20112</t>
  </si>
  <si>
    <t>20113</t>
  </si>
  <si>
    <t>20114</t>
  </si>
  <si>
    <t>20121</t>
  </si>
  <si>
    <t>20122</t>
  </si>
  <si>
    <t>20123</t>
  </si>
  <si>
    <t>20124</t>
  </si>
  <si>
    <t>20131</t>
  </si>
  <si>
    <t>20132</t>
  </si>
  <si>
    <t>20133</t>
  </si>
  <si>
    <t>20134</t>
  </si>
  <si>
    <t>20141</t>
  </si>
  <si>
    <t>20142</t>
  </si>
  <si>
    <t>20143</t>
  </si>
  <si>
    <t>20144</t>
  </si>
  <si>
    <t>20151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</si>
  <si>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</si>
  <si>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</si>
  <si>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</si>
  <si>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</si>
  <si>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</si>
  <si>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</si>
  <si>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</si>
  <si>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</si>
  <si>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</si>
  <si>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</si>
  <si>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</si>
  <si>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</si>
  <si>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</si>
  <si>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</si>
  <si>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</si>
  <si>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</si>
  <si>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</si>
  <si>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</si>
  <si>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</si>
  <si>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</si>
  <si>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</si>
  <si>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</si>
  <si>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</si>
  <si>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</si>
  <si>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</si>
  <si>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</si>
  <si>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</si>
  <si>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</si>
  <si>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20222</t>
  </si>
  <si>
    <t>20223</t>
  </si>
  <si>
    <t>20224</t>
  </si>
  <si>
    <t>20231</t>
  </si>
  <si>
    <t>20232</t>
  </si>
  <si>
    <t>20233</t>
  </si>
  <si>
    <t>20234</t>
  </si>
  <si>
    <t>20241</t>
  </si>
  <si>
    <t>20242</t>
  </si>
  <si>
    <t>20243</t>
  </si>
  <si>
    <t>20244</t>
  </si>
  <si>
    <t>20251</t>
  </si>
  <si>
    <t>20252</t>
  </si>
  <si>
    <t>20253</t>
  </si>
  <si>
    <t>20254</t>
  </si>
  <si>
    <t>20261</t>
  </si>
  <si>
    <t>20262</t>
  </si>
  <si>
    <t>20263</t>
  </si>
  <si>
    <t>20264</t>
  </si>
  <si>
    <t>20271</t>
  </si>
  <si>
    <t>20272</t>
  </si>
  <si>
    <t>20273</t>
  </si>
  <si>
    <t>20274</t>
  </si>
  <si>
    <t>20281</t>
  </si>
  <si>
    <t>20282</t>
  </si>
  <si>
    <t>20283</t>
  </si>
  <si>
    <t>20284</t>
  </si>
  <si>
    <t>20291</t>
  </si>
  <si>
    <t>CPI inflation</t>
  </si>
  <si>
    <t>Oxford Economics (Feb-26)</t>
  </si>
  <si>
    <t>2% line</t>
  </si>
  <si>
    <t>CPI inflation forecasts &gt;&gt;</t>
  </si>
  <si>
    <t>Bank of England (Feb-26)</t>
  </si>
  <si>
    <t>Energy price cap &gt;&gt;</t>
  </si>
  <si>
    <t>Wholesale gas &amp; electricity</t>
  </si>
  <si>
    <t>Network costs</t>
  </si>
  <si>
    <t>Operating costs</t>
  </si>
  <si>
    <t>Policy</t>
  </si>
  <si>
    <t>VAT</t>
  </si>
  <si>
    <t>Other</t>
  </si>
  <si>
    <t>Check</t>
  </si>
  <si>
    <t>Apr-26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</si>
</sst>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0" fontId="0" fillId="0" borderId="0" xfId="0" applyFill="1"/>
    <xf numFmtId="0" fontId="0" fillId="0" borderId="0" xfId="0" quotePrefix="1"/>
    <xf numFmtId="0" fontId="0" fillId="0" borderId="0" xfId="0" applyAlignment="1">
      <alignment wrapText="1"/>
    </xf>
    <xf numFmtId="1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95057"/>
      <color rgb="FFBD1B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3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data'!$B$22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'Chart data'!$A$23:$A$25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'Chart data'!$B$23:$B$25</c:f>
              <c:numCache>
                <c:formatCode>0.0</c:formatCode>
                <c:ptCount val="3"/>
                <c:pt idx="0">
                  <c:v>0.5</c:v>
                </c:pt>
                <c:pt idx="1">
                  <c:v>0.20000000000000018</c:v>
                </c:pt>
                <c:pt idx="2">
                  <c:v>0.20000000000000018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D-4382-92D5-989C3B40631C}"/>
            </c:ext>
          </c:extLst>
        </c:ser>
        <c:ser>
          <c:idx val="1"/>
          <c:order val="1"/>
          <c:tx>
            <c:strRef>
              <c:f>'Chart data'!$B$27</c:f>
              <c:strCache>
                <c:ptCount val="1"/>
                <c:pt idx="0">
                  <c:v>April core CPI error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'Chart data'!$A$23:$A$25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'Chart data'!$B$28:$B$30</c:f>
              <c:numCache>
                <c:formatCode>0.0</c:formatCode>
                <c:ptCount val="3"/>
                <c:pt idx="0">
                  <c:v>0.59999999999999964</c:v>
                </c:pt>
                <c:pt idx="1">
                  <c:v>0.19999999999999973</c:v>
                </c:pt>
                <c:pt idx="2">
                  <c:v>0.19999999999999973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8D-4382-92D5-989C3B40631C}"/>
            </c:ext>
          </c:extLst>
        </c:ser>
        <c:ser>
          <c:idx val="2"/>
          <c:order val="2"/>
          <c:tx>
            <c:strRef>
              <c:f>'Chart data'!$C$22</c:f>
              <c:strCache>
                <c:ptCount val="1"/>
                <c:pt idx="0">
                  <c:v>Average month (excl. April)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'Chart data'!$A$23:$A$25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'Chart data'!$C$23:$C$25</c:f>
              <c:numCache>
                <c:formatCode>0.0</c:formatCode>
                <c:ptCount val="3"/>
                <c:pt idx="0">
                  <c:v>0.25454545454545441</c:v>
                </c:pt>
                <c:pt idx="1">
                  <c:v>8.1818181818181748E-2</c:v>
                </c:pt>
                <c:pt idx="2">
                  <c:v>0.13333333333333339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8D-4382-92D5-989C3B40631C}"/>
            </c:ext>
          </c:extLst>
        </c:ser>
        <c:ser>
          <c:idx val="3"/>
          <c:order val="3"/>
          <c:tx>
            <c:strRef>
              <c:f>'Chart data'!$C$27</c:f>
              <c:strCache>
                <c:ptCount val="1"/>
                <c:pt idx="0">
                  <c:v>Non-April services CPI error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'Chart data'!$A$23:$A$25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'Chart data'!$C$28:$C$30</c:f>
              <c:numCache>
                <c:formatCode>0.0</c:formatCode>
                <c:ptCount val="3"/>
                <c:pt idx="0">
                  <c:v>0.29090909090909078</c:v>
                </c:pt>
                <c:pt idx="1">
                  <c:v>0.10909090909090911</c:v>
                </c:pt>
                <c:pt idx="2">
                  <c:v>8.3333333333333301E-2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8D-4382-92D5-989C3B406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370608"/>
        <c:axId val="47371088"/>
      </c:barChart>
      <c:catAx>
        <c:axId val="4737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71088"/>
        <c:crosses val="autoZero"/>
        <c:auto val="1"/>
        <c:lblAlgn val="ctr"/>
        <c:lblOffset val="100"/>
        <c:noMultiLvlLbl val="0"/>
      </c:catAx>
      <c:valAx>
        <c:axId val="4737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7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5245187111792016E-2"/>
          <c:y val="0.14739606745754133"/>
          <c:w val="0.45322502108050966"/>
          <c:h val="0.713861095812928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data'!$B$22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rgbClr val="BD1B21"/>
            </a:solidFill>
            <a:ln w="9525">
              <a:solidFill>
                <a:sysClr val="windowText" lastClr="000000">
                  <a:lumMod val="75000"/>
                  <a:lumOff val="25000"/>
                </a:sysClr>
              </a:solidFill>
            </a:ln>
          </c:spPr>
          <c:invertIfNegative val="0"/>
          <c:cat>
            <c:numRef>
              <c:f>'Chart data'!$A$23:$A$25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'Chart data'!$B$23:$B$25</c:f>
              <c:numCache>
                <c:formatCode>0.0</c:formatCode>
                <c:ptCount val="3"/>
                <c:pt idx="0">
                  <c:v>0.5</c:v>
                </c:pt>
                <c:pt idx="1">
                  <c:v>0.20000000000000018</c:v>
                </c:pt>
                <c:pt idx="2">
                  <c:v>0.20000000000000018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6-4E4B-91F4-0D9ED376BC7E}"/>
            </c:ext>
          </c:extLst>
        </c:ser>
        <c:ser>
          <c:idx val="1"/>
          <c:order val="1"/>
          <c:tx>
            <c:strRef>
              <c:f>'Chart data'!$C$22</c:f>
              <c:strCache>
                <c:ptCount val="1"/>
                <c:pt idx="0">
                  <c:v>Average month (excl. April)</c:v>
                </c:pt>
              </c:strCache>
            </c:strRef>
          </c:tx>
          <c:spPr>
            <a:solidFill>
              <a:srgbClr val="003469"/>
            </a:solidFill>
            <a:ln w="9525">
              <a:solidFill>
                <a:sysClr val="windowText" lastClr="000000">
                  <a:lumMod val="75000"/>
                  <a:lumOff val="25000"/>
                </a:sysClr>
              </a:solidFill>
            </a:ln>
          </c:spPr>
          <c:invertIfNegative val="0"/>
          <c:cat>
            <c:numRef>
              <c:f>'Chart data'!$A$23:$A$25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'Chart data'!$C$23:$C$25</c:f>
              <c:numCache>
                <c:formatCode>0.0</c:formatCode>
                <c:ptCount val="3"/>
                <c:pt idx="0">
                  <c:v>0.25454545454545441</c:v>
                </c:pt>
                <c:pt idx="1">
                  <c:v>8.1818181818181748E-2</c:v>
                </c:pt>
                <c:pt idx="2">
                  <c:v>0.13333333333333339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D6-4E4B-91F4-0D9ED376B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  <c:max val="0.70000000000000007"/>
        </c:scaling>
        <c:delete val="0"/>
        <c:axPos val="l"/>
        <c:numFmt formatCode="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008131080978555"/>
          <c:y val="0.13141021773590586"/>
          <c:w val="0.78566522388418214"/>
          <c:h val="6.371552327225638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8173150069454749E-2"/>
          <c:y val="0.14774761565373676"/>
          <c:w val="0.91485203893149014"/>
          <c:h val="0.721980879882156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data'!$B$27</c:f>
              <c:strCache>
                <c:ptCount val="1"/>
                <c:pt idx="0">
                  <c:v>April core CPI error</c:v>
                </c:pt>
              </c:strCache>
            </c:strRef>
          </c:tx>
          <c:spPr>
            <a:solidFill>
              <a:srgbClr val="BD1B21"/>
            </a:solidFill>
            <a:ln w="9525">
              <a:solidFill>
                <a:sysClr val="windowText" lastClr="000000">
                  <a:lumMod val="75000"/>
                  <a:lumOff val="25000"/>
                </a:sysClr>
              </a:solidFill>
            </a:ln>
          </c:spPr>
          <c:invertIfNegative val="0"/>
          <c:cat>
            <c:numRef>
              <c:f>'Chart data'!$A$28:$A$30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'Chart data'!$B$28:$B$30</c:f>
              <c:numCache>
                <c:formatCode>0.0</c:formatCode>
                <c:ptCount val="3"/>
                <c:pt idx="0">
                  <c:v>0.59999999999999964</c:v>
                </c:pt>
                <c:pt idx="1">
                  <c:v>0.19999999999999973</c:v>
                </c:pt>
                <c:pt idx="2">
                  <c:v>0.19999999999999973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93-4C75-8338-3EBE2F77F0F0}"/>
            </c:ext>
          </c:extLst>
        </c:ser>
        <c:ser>
          <c:idx val="1"/>
          <c:order val="1"/>
          <c:tx>
            <c:strRef>
              <c:f>'Chart data'!$C$27</c:f>
              <c:strCache>
                <c:ptCount val="1"/>
                <c:pt idx="0">
                  <c:v>Non-April services CPI error</c:v>
                </c:pt>
              </c:strCache>
            </c:strRef>
          </c:tx>
          <c:spPr>
            <a:solidFill>
              <a:srgbClr val="003469"/>
            </a:solidFill>
            <a:ln w="9525">
              <a:solidFill>
                <a:sysClr val="windowText" lastClr="000000">
                  <a:lumMod val="75000"/>
                  <a:lumOff val="25000"/>
                </a:sysClr>
              </a:solidFill>
            </a:ln>
          </c:spPr>
          <c:invertIfNegative val="0"/>
          <c:cat>
            <c:numRef>
              <c:f>'Chart data'!$A$28:$A$30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'Chart data'!$C$28:$C$30</c:f>
              <c:numCache>
                <c:formatCode>0.0</c:formatCode>
                <c:ptCount val="3"/>
                <c:pt idx="0">
                  <c:v>0.29090909090909078</c:v>
                </c:pt>
                <c:pt idx="1">
                  <c:v>0.10909090909090911</c:v>
                </c:pt>
                <c:pt idx="2">
                  <c:v>8.3333333333333301E-2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93-4C75-8338-3EBE2F77F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</c:scaling>
        <c:delete val="1"/>
        <c:axPos val="l"/>
        <c:numFmt formatCode="0.0" sourceLinked="0"/>
        <c:majorTickMark val="out"/>
        <c:minorTickMark val="none"/>
        <c:tickLblPos val="nextTo"/>
        <c:crossAx val="2749265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76370510396975"/>
          <c:w val="1"/>
          <c:h val="0.80907372400756139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data'!$J$4</c:f>
              <c:strCache>
                <c:ptCount val="1"/>
                <c:pt idx="0">
                  <c:v>CPI inflation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data'!$I$5:$I$24</c:f>
              <c:numCache>
                <c:formatCode>mmm\-yy</c:formatCode>
                <c:ptCount val="20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  <c:pt idx="6">
                  <c:v>45839</c:v>
                </c:pt>
                <c:pt idx="7">
                  <c:v>45931</c:v>
                </c:pt>
                <c:pt idx="8">
                  <c:v>46023</c:v>
                </c:pt>
                <c:pt idx="9">
                  <c:v>46113</c:v>
                </c:pt>
                <c:pt idx="10">
                  <c:v>46204</c:v>
                </c:pt>
                <c:pt idx="11">
                  <c:v>46296</c:v>
                </c:pt>
                <c:pt idx="12">
                  <c:v>46388</c:v>
                </c:pt>
                <c:pt idx="13">
                  <c:v>46478</c:v>
                </c:pt>
                <c:pt idx="14">
                  <c:v>46569</c:v>
                </c:pt>
                <c:pt idx="15">
                  <c:v>46661</c:v>
                </c:pt>
                <c:pt idx="16">
                  <c:v>46753</c:v>
                </c:pt>
                <c:pt idx="17">
                  <c:v>46844</c:v>
                </c:pt>
                <c:pt idx="18">
                  <c:v>46935</c:v>
                </c:pt>
                <c:pt idx="19">
                  <c:v>47027</c:v>
                </c:pt>
              </c:numCache>
            </c:numRef>
          </c:cat>
          <c:val>
            <c:numRef>
              <c:f>'Chart data'!$J$5:$J$24</c:f>
              <c:numCache>
                <c:formatCode>0.0</c:formatCode>
                <c:ptCount val="20"/>
                <c:pt idx="0">
                  <c:v>3.5</c:v>
                </c:pt>
                <c:pt idx="1">
                  <c:v>2.1</c:v>
                </c:pt>
                <c:pt idx="2">
                  <c:v>2</c:v>
                </c:pt>
                <c:pt idx="3">
                  <c:v>2.5</c:v>
                </c:pt>
                <c:pt idx="4">
                  <c:v>2.8</c:v>
                </c:pt>
                <c:pt idx="5">
                  <c:v>3.5</c:v>
                </c:pt>
                <c:pt idx="6">
                  <c:v>3.8</c:v>
                </c:pt>
                <c:pt idx="7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data'!$K$4</c:f>
              <c:strCache>
                <c:ptCount val="1"/>
                <c:pt idx="0">
                  <c:v>Oxford Economics (Feb-26)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data'!$I$5:$I$24</c:f>
              <c:numCache>
                <c:formatCode>mmm\-yy</c:formatCode>
                <c:ptCount val="20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  <c:pt idx="6">
                  <c:v>45839</c:v>
                </c:pt>
                <c:pt idx="7">
                  <c:v>45931</c:v>
                </c:pt>
                <c:pt idx="8">
                  <c:v>46023</c:v>
                </c:pt>
                <c:pt idx="9">
                  <c:v>46113</c:v>
                </c:pt>
                <c:pt idx="10">
                  <c:v>46204</c:v>
                </c:pt>
                <c:pt idx="11">
                  <c:v>46296</c:v>
                </c:pt>
                <c:pt idx="12">
                  <c:v>46388</c:v>
                </c:pt>
                <c:pt idx="13">
                  <c:v>46478</c:v>
                </c:pt>
                <c:pt idx="14">
                  <c:v>46569</c:v>
                </c:pt>
                <c:pt idx="15">
                  <c:v>46661</c:v>
                </c:pt>
                <c:pt idx="16">
                  <c:v>46753</c:v>
                </c:pt>
                <c:pt idx="17">
                  <c:v>46844</c:v>
                </c:pt>
                <c:pt idx="18">
                  <c:v>46935</c:v>
                </c:pt>
                <c:pt idx="19">
                  <c:v>47027</c:v>
                </c:pt>
              </c:numCache>
            </c:numRef>
          </c:cat>
          <c:val>
            <c:numRef>
              <c:f>'Chart data'!$K$5:$K$24</c:f>
              <c:numCache>
                <c:formatCode>0.0</c:formatCode>
                <c:ptCount val="20"/>
                <c:pt idx="7">
                  <c:v>3.3933355845474633</c:v>
                </c:pt>
                <c:pt idx="8">
                  <c:v>2.9787964765775277</c:v>
                </c:pt>
                <c:pt idx="9">
                  <c:v>2.3078119030886413</c:v>
                </c:pt>
                <c:pt idx="10">
                  <c:v>2.4838163302669303</c:v>
                </c:pt>
                <c:pt idx="11">
                  <c:v>2.6488055735396587</c:v>
                </c:pt>
                <c:pt idx="12">
                  <c:v>2.6396295849800078</c:v>
                </c:pt>
                <c:pt idx="13">
                  <c:v>2.6822885723962964</c:v>
                </c:pt>
                <c:pt idx="14">
                  <c:v>2.5150681789890994</c:v>
                </c:pt>
                <c:pt idx="15">
                  <c:v>2.3760329220240184</c:v>
                </c:pt>
                <c:pt idx="16">
                  <c:v>2.3475678213707996</c:v>
                </c:pt>
                <c:pt idx="17">
                  <c:v>2.10516747261702</c:v>
                </c:pt>
                <c:pt idx="18">
                  <c:v>2.1499042359957699</c:v>
                </c:pt>
                <c:pt idx="19">
                  <c:v>2.1824155341270801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data'!$L$4</c:f>
              <c:strCache>
                <c:ptCount val="1"/>
                <c:pt idx="0">
                  <c:v>Bank of England (Feb-26)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data'!$I$5:$I$24</c:f>
              <c:numCache>
                <c:formatCode>mmm\-yy</c:formatCode>
                <c:ptCount val="20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  <c:pt idx="6">
                  <c:v>45839</c:v>
                </c:pt>
                <c:pt idx="7">
                  <c:v>45931</c:v>
                </c:pt>
                <c:pt idx="8">
                  <c:v>46023</c:v>
                </c:pt>
                <c:pt idx="9">
                  <c:v>46113</c:v>
                </c:pt>
                <c:pt idx="10">
                  <c:v>46204</c:v>
                </c:pt>
                <c:pt idx="11">
                  <c:v>46296</c:v>
                </c:pt>
                <c:pt idx="12">
                  <c:v>46388</c:v>
                </c:pt>
                <c:pt idx="13">
                  <c:v>46478</c:v>
                </c:pt>
                <c:pt idx="14">
                  <c:v>46569</c:v>
                </c:pt>
                <c:pt idx="15">
                  <c:v>46661</c:v>
                </c:pt>
                <c:pt idx="16">
                  <c:v>46753</c:v>
                </c:pt>
                <c:pt idx="17">
                  <c:v>46844</c:v>
                </c:pt>
                <c:pt idx="18">
                  <c:v>46935</c:v>
                </c:pt>
                <c:pt idx="19">
                  <c:v>47027</c:v>
                </c:pt>
              </c:numCache>
            </c:numRef>
          </c:cat>
          <c:val>
            <c:numRef>
              <c:f>'Chart data'!$L$5:$L$24</c:f>
              <c:numCache>
                <c:formatCode>0.0</c:formatCode>
                <c:ptCount val="20"/>
                <c:pt idx="7">
                  <c:v>3.4</c:v>
                </c:pt>
                <c:pt idx="8">
                  <c:v>3</c:v>
                </c:pt>
                <c:pt idx="9">
                  <c:v>2.1</c:v>
                </c:pt>
                <c:pt idx="10">
                  <c:v>2</c:v>
                </c:pt>
                <c:pt idx="11">
                  <c:v>2</c:v>
                </c:pt>
                <c:pt idx="12">
                  <c:v>1.7</c:v>
                </c:pt>
                <c:pt idx="13">
                  <c:v>2</c:v>
                </c:pt>
                <c:pt idx="14">
                  <c:v>1.9</c:v>
                </c:pt>
                <c:pt idx="15">
                  <c:v>1.8</c:v>
                </c:pt>
                <c:pt idx="16">
                  <c:v>1.8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data'!$M$4</c:f>
              <c:strCache>
                <c:ptCount val="1"/>
                <c:pt idx="0">
                  <c:v>2% line</c:v>
                </c:pt>
              </c:strCache>
            </c:strRef>
          </c:tx>
          <c:spPr>
            <a:ln w="25400">
              <a:solidFill>
                <a:sysClr val="windowText" lastClr="000000">
                  <a:lumMod val="75000"/>
                  <a:lumOff val="25000"/>
                </a:sysClr>
              </a:solidFill>
              <a:prstDash val="dash"/>
            </a:ln>
          </c:spPr>
          <c:marker>
            <c:symbol val="none"/>
          </c:marker>
          <c:cat>
            <c:numRef>
              <c:f>'Chart data'!$I$5:$I$24</c:f>
              <c:numCache>
                <c:formatCode>mmm\-yy</c:formatCode>
                <c:ptCount val="20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  <c:pt idx="6">
                  <c:v>45839</c:v>
                </c:pt>
                <c:pt idx="7">
                  <c:v>45931</c:v>
                </c:pt>
                <c:pt idx="8">
                  <c:v>46023</c:v>
                </c:pt>
                <c:pt idx="9">
                  <c:v>46113</c:v>
                </c:pt>
                <c:pt idx="10">
                  <c:v>46204</c:v>
                </c:pt>
                <c:pt idx="11">
                  <c:v>46296</c:v>
                </c:pt>
                <c:pt idx="12">
                  <c:v>46388</c:v>
                </c:pt>
                <c:pt idx="13">
                  <c:v>46478</c:v>
                </c:pt>
                <c:pt idx="14">
                  <c:v>46569</c:v>
                </c:pt>
                <c:pt idx="15">
                  <c:v>46661</c:v>
                </c:pt>
                <c:pt idx="16">
                  <c:v>46753</c:v>
                </c:pt>
                <c:pt idx="17">
                  <c:v>46844</c:v>
                </c:pt>
                <c:pt idx="18">
                  <c:v>46935</c:v>
                </c:pt>
                <c:pt idx="19">
                  <c:v>47027</c:v>
                </c:pt>
              </c:numCache>
            </c:numRef>
          </c:cat>
          <c:val>
            <c:numRef>
              <c:f>'Chart data'!$M$5:$M$24</c:f>
              <c:numCache>
                <c:formatCode>0.0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3"/>
        <c:delete val="1"/>
      </c:legendEntry>
      <c:layout>
        <c:manualLayout>
          <c:xMode val="edge"/>
          <c:yMode val="edge"/>
          <c:x val="0.47638246576643989"/>
          <c:y val="9.7253025318905076E-2"/>
          <c:w val="0.42515979620194538"/>
          <c:h val="0.2021002336900704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055450647854539"/>
          <c:y val="0.166299659139961"/>
          <c:w val="0.87531276350637166"/>
          <c:h val="0.713861095812928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data'!$Q$4</c:f>
              <c:strCache>
                <c:ptCount val="1"/>
                <c:pt idx="0">
                  <c:v>Wholesale gas &amp; electricity</c:v>
                </c:pt>
              </c:strCache>
            </c:strRef>
          </c:tx>
          <c:spPr>
            <a:solidFill>
              <a:srgbClr val="BD1B21"/>
            </a:solidFill>
            <a:ln w="1270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data'!$P$5:$P$10</c:f>
              <c:numCache>
                <c:formatCode>m/d/yyyy</c:formatCode>
                <c:ptCount val="6"/>
                <c:pt idx="0">
                  <c:v>45658</c:v>
                </c:pt>
                <c:pt idx="1">
                  <c:v>45748</c:v>
                </c:pt>
                <c:pt idx="2">
                  <c:v>45839</c:v>
                </c:pt>
                <c:pt idx="3">
                  <c:v>45931</c:v>
                </c:pt>
                <c:pt idx="4">
                  <c:v>46023</c:v>
                </c:pt>
                <c:pt idx="5">
                  <c:v>46113</c:v>
                </c:pt>
              </c:numCache>
            </c:numRef>
          </c:cat>
          <c:val>
            <c:numRef>
              <c:f>'Chart data'!$Q$5:$Q$10</c:f>
              <c:numCache>
                <c:formatCode>0</c:formatCode>
                <c:ptCount val="6"/>
                <c:pt idx="0">
                  <c:v>755</c:v>
                </c:pt>
                <c:pt idx="1">
                  <c:v>841</c:v>
                </c:pt>
                <c:pt idx="2">
                  <c:v>734</c:v>
                </c:pt>
                <c:pt idx="3">
                  <c:v>720</c:v>
                </c:pt>
                <c:pt idx="4">
                  <c:v>690</c:v>
                </c:pt>
                <c:pt idx="5">
                  <c:v>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data'!$R$4</c:f>
              <c:strCache>
                <c:ptCount val="1"/>
                <c:pt idx="0">
                  <c:v>Network costs</c:v>
                </c:pt>
              </c:strCache>
            </c:strRef>
          </c:tx>
          <c:spPr>
            <a:solidFill>
              <a:srgbClr val="003469"/>
            </a:solidFill>
            <a:ln w="1270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data'!$P$5:$P$10</c:f>
              <c:numCache>
                <c:formatCode>m/d/yyyy</c:formatCode>
                <c:ptCount val="6"/>
                <c:pt idx="0">
                  <c:v>45658</c:v>
                </c:pt>
                <c:pt idx="1">
                  <c:v>45748</c:v>
                </c:pt>
                <c:pt idx="2">
                  <c:v>45839</c:v>
                </c:pt>
                <c:pt idx="3">
                  <c:v>45931</c:v>
                </c:pt>
                <c:pt idx="4">
                  <c:v>46023</c:v>
                </c:pt>
                <c:pt idx="5">
                  <c:v>46113</c:v>
                </c:pt>
              </c:numCache>
            </c:numRef>
          </c:cat>
          <c:val>
            <c:numRef>
              <c:f>'Chart data'!$R$5:$R$10</c:f>
              <c:numCache>
                <c:formatCode>0</c:formatCode>
                <c:ptCount val="6"/>
                <c:pt idx="0">
                  <c:v>370</c:v>
                </c:pt>
                <c:pt idx="1">
                  <c:v>372</c:v>
                </c:pt>
                <c:pt idx="2">
                  <c:v>372</c:v>
                </c:pt>
                <c:pt idx="3">
                  <c:v>396</c:v>
                </c:pt>
                <c:pt idx="4">
                  <c:v>397</c:v>
                </c:pt>
                <c:pt idx="5">
                  <c:v>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data'!$S$4</c:f>
              <c:strCache>
                <c:ptCount val="1"/>
                <c:pt idx="0">
                  <c:v>Operating costs</c:v>
                </c:pt>
              </c:strCache>
            </c:strRef>
          </c:tx>
          <c:spPr>
            <a:solidFill>
              <a:srgbClr val="D1A21E"/>
            </a:solidFill>
            <a:ln w="1270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data'!$P$5:$P$10</c:f>
              <c:numCache>
                <c:formatCode>m/d/yyyy</c:formatCode>
                <c:ptCount val="6"/>
                <c:pt idx="0">
                  <c:v>45658</c:v>
                </c:pt>
                <c:pt idx="1">
                  <c:v>45748</c:v>
                </c:pt>
                <c:pt idx="2">
                  <c:v>45839</c:v>
                </c:pt>
                <c:pt idx="3">
                  <c:v>45931</c:v>
                </c:pt>
                <c:pt idx="4">
                  <c:v>46023</c:v>
                </c:pt>
                <c:pt idx="5">
                  <c:v>46113</c:v>
                </c:pt>
              </c:numCache>
            </c:numRef>
          </c:cat>
          <c:val>
            <c:numRef>
              <c:f>'Chart data'!$S$5:$S$10</c:f>
              <c:numCache>
                <c:formatCode>0</c:formatCode>
                <c:ptCount val="6"/>
                <c:pt idx="0">
                  <c:v>276</c:v>
                </c:pt>
                <c:pt idx="1">
                  <c:v>279</c:v>
                </c:pt>
                <c:pt idx="2">
                  <c:v>264</c:v>
                </c:pt>
                <c:pt idx="3">
                  <c:v>270</c:v>
                </c:pt>
                <c:pt idx="4">
                  <c:v>279</c:v>
                </c:pt>
                <c:pt idx="5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data'!$T$4</c:f>
              <c:strCache>
                <c:ptCount val="1"/>
                <c:pt idx="0">
                  <c:v>Policy</c:v>
                </c:pt>
              </c:strCache>
            </c:strRef>
          </c:tx>
          <c:spPr>
            <a:solidFill>
              <a:srgbClr val="7B7C77"/>
            </a:solidFill>
            <a:ln w="1270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data'!$P$5:$P$10</c:f>
              <c:numCache>
                <c:formatCode>m/d/yyyy</c:formatCode>
                <c:ptCount val="6"/>
                <c:pt idx="0">
                  <c:v>45658</c:v>
                </c:pt>
                <c:pt idx="1">
                  <c:v>45748</c:v>
                </c:pt>
                <c:pt idx="2">
                  <c:v>45839</c:v>
                </c:pt>
                <c:pt idx="3">
                  <c:v>45931</c:v>
                </c:pt>
                <c:pt idx="4">
                  <c:v>46023</c:v>
                </c:pt>
                <c:pt idx="5">
                  <c:v>46113</c:v>
                </c:pt>
              </c:numCache>
            </c:numRef>
          </c:cat>
          <c:val>
            <c:numRef>
              <c:f>'Chart data'!$T$5:$T$10</c:f>
              <c:numCache>
                <c:formatCode>0</c:formatCode>
                <c:ptCount val="6"/>
                <c:pt idx="0">
                  <c:v>187</c:v>
                </c:pt>
                <c:pt idx="1">
                  <c:v>198</c:v>
                </c:pt>
                <c:pt idx="2">
                  <c:v>198</c:v>
                </c:pt>
                <c:pt idx="3">
                  <c:v>215</c:v>
                </c:pt>
                <c:pt idx="4">
                  <c:v>236</c:v>
                </c:pt>
                <c:pt idx="5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'Chart data'!$U$4</c:f>
              <c:strCache>
                <c:ptCount val="1"/>
                <c:pt idx="0">
                  <c:v>VAT</c:v>
                </c:pt>
              </c:strCache>
            </c:strRef>
          </c:tx>
          <c:spPr>
            <a:solidFill>
              <a:srgbClr val="965793"/>
            </a:solidFill>
            <a:ln w="1270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data'!$P$5:$P$10</c:f>
              <c:numCache>
                <c:formatCode>m/d/yyyy</c:formatCode>
                <c:ptCount val="6"/>
                <c:pt idx="0">
                  <c:v>45658</c:v>
                </c:pt>
                <c:pt idx="1">
                  <c:v>45748</c:v>
                </c:pt>
                <c:pt idx="2">
                  <c:v>45839</c:v>
                </c:pt>
                <c:pt idx="3">
                  <c:v>45931</c:v>
                </c:pt>
                <c:pt idx="4">
                  <c:v>46023</c:v>
                </c:pt>
                <c:pt idx="5">
                  <c:v>46113</c:v>
                </c:pt>
              </c:numCache>
            </c:numRef>
          </c:cat>
          <c:val>
            <c:numRef>
              <c:f>'Chart data'!$U$5:$U$10</c:f>
              <c:numCache>
                <c:formatCode>0</c:formatCode>
                <c:ptCount val="6"/>
                <c:pt idx="0">
                  <c:v>81.800000000000011</c:v>
                </c:pt>
                <c:pt idx="1">
                  <c:v>88.050000000000011</c:v>
                </c:pt>
                <c:pt idx="2">
                  <c:v>82.850000000000009</c:v>
                </c:pt>
                <c:pt idx="3">
                  <c:v>83.550000000000011</c:v>
                </c:pt>
                <c:pt idx="4">
                  <c:v>83.7</c:v>
                </c:pt>
                <c:pt idx="5">
                  <c:v>79.100000000000009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ser>
          <c:idx val="5"/>
          <c:order val="5"/>
          <c:tx>
            <c:strRef>
              <c:f>'Chart data'!$V$4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00ADDC"/>
            </a:solidFill>
            <a:ln w="1270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data'!$P$5:$P$10</c:f>
              <c:numCache>
                <c:formatCode>m/d/yyyy</c:formatCode>
                <c:ptCount val="6"/>
                <c:pt idx="0">
                  <c:v>45658</c:v>
                </c:pt>
                <c:pt idx="1">
                  <c:v>45748</c:v>
                </c:pt>
                <c:pt idx="2">
                  <c:v>45839</c:v>
                </c:pt>
                <c:pt idx="3">
                  <c:v>45931</c:v>
                </c:pt>
                <c:pt idx="4">
                  <c:v>46023</c:v>
                </c:pt>
                <c:pt idx="5">
                  <c:v>46113</c:v>
                </c:pt>
              </c:numCache>
            </c:numRef>
          </c:cat>
          <c:val>
            <c:numRef>
              <c:f>'Chart data'!$V$5:$V$10</c:f>
              <c:numCache>
                <c:formatCode>0</c:formatCode>
                <c:ptCount val="6"/>
                <c:pt idx="0">
                  <c:v>68</c:v>
                </c:pt>
                <c:pt idx="1">
                  <c:v>71</c:v>
                </c:pt>
                <c:pt idx="2">
                  <c:v>69</c:v>
                </c:pt>
                <c:pt idx="3">
                  <c:v>70</c:v>
                </c:pt>
                <c:pt idx="4">
                  <c:v>72</c:v>
                </c:pt>
                <c:pt idx="5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63607040"/>
        <c:axId val="263608576"/>
      </c:barChart>
      <c:cat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3821367917245637"/>
          <c:y val="6.8897637795275579E-2"/>
          <c:w val="0.75942946045771431"/>
          <c:h val="0.13538097435363114"/>
        </c:manualLayout>
      </c:layout>
      <c:overlay val="1"/>
      <c:txPr>
        <a:bodyPr/>
        <a:lstStyle/>
        <a:p>
          <a:pPr>
            <a:defRPr sz="1800" b="0" i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505CCA1-808C-4F9D-BEB3-37E667A7967E}">
  <sheetPr/>
  <sheetViews>
    <sheetView tabSelected="1"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0CBD4C0-995D-45F2-B47E-AD9EFFCB3E1A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E7F58B-35B9-4E8C-A60F-6B9FF89712F5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130175</xdr:colOff>
      <xdr:row>33</xdr:row>
      <xdr:rowOff>53975</xdr:rowOff>
    </xdr:from>
    <xdr:to>
      <xdr:col>6</xdr:col>
      <xdr:colOff>9525</xdr:colOff>
      <xdr:row>48</xdr:row>
      <xdr:rowOff>34925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26FB6D-597D-FC4D-2D81-0BBDD5B77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751FA9-8853-1E62-2783-B20F4755EE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7D3ECA4-8CF5-0F0B-B6BC-E312DEFAFBD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 outturns vs Median consensus estimates</a:t>
          </a:r>
        </a:p>
      </cdr:txBody>
    </cdr:sp>
  </cdr:relSizeAnchor>
  <cdr:relSizeAnchor xmlns:cdr="http://schemas.openxmlformats.org/drawingml/2006/chartDrawing">
    <cdr:from>
      <cdr:x>1.01481E-16</cdr:x>
      <cdr:y>0.93912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CCBCAE7F-DCC4-7029-FFD4-880F05AC40AA}"/>
            </a:ext>
          </a:extLst>
        </cdr:cNvPr>
        <cdr:cNvSpPr/>
      </cdr:nvSpPr>
      <cdr:spPr>
        <a:xfrm xmlns:a="http://schemas.openxmlformats.org/drawingml/2006/main">
          <a:off x="50800" y="5897174"/>
          <a:ext cx="8660694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Haver Analytics, Bloomberg</a:t>
          </a:r>
        </a:p>
      </cdr:txBody>
    </cdr:sp>
  </cdr:relSizeAnchor>
  <cdr:relSizeAnchor xmlns:cdr="http://schemas.openxmlformats.org/drawingml/2006/chartDrawing">
    <cdr:from>
      <cdr:x>0.51885</cdr:x>
      <cdr:y>0.21712</cdr:y>
    </cdr:from>
    <cdr:to>
      <cdr:x>0.51909</cdr:x>
      <cdr:y>0.86203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A11F5F1-290A-629A-C78C-A952597180FB}"/>
            </a:ext>
          </a:extLst>
        </cdr:cNvPr>
        <cdr:cNvCxnSpPr/>
      </cdr:nvCxnSpPr>
      <cdr:spPr>
        <a:xfrm xmlns:a="http://schemas.openxmlformats.org/drawingml/2006/main">
          <a:off x="4368800" y="1458686"/>
          <a:ext cx="2008" cy="4332721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0.18716</cdr:x>
      <cdr:y>0.25487</cdr:y>
    </cdr:from>
    <cdr:to>
      <cdr:x>0.48814</cdr:x>
      <cdr:y>0.33413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4A95D0A-58A4-3E04-D417-3D79C8C7270D}"/>
            </a:ext>
          </a:extLst>
        </cdr:cNvPr>
        <cdr:cNvSpPr txBox="1"/>
      </cdr:nvSpPr>
      <cdr:spPr>
        <a:xfrm xmlns:a="http://schemas.openxmlformats.org/drawingml/2006/main">
          <a:off x="1575940" y="1712269"/>
          <a:ext cx="2534241" cy="5325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Headline inflation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1</cdr:x>
      <cdr:y>0.12645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CC83257E-13BF-DAEA-7DB7-F4FB577DF6F9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Absolute</a:t>
          </a:r>
          <a:r>
            <a:rPr lang="en-GB" sz="18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difference, ppts</a:t>
          </a:r>
          <a:endParaRPr lang="en-GB" sz="1800" b="0" kern="12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0.48403</cdr:x>
      <cdr:y>0.00516</cdr:y>
    </cdr:from>
    <cdr:to>
      <cdr:x>1</cdr:x>
      <cdr:y>0.98986</cdr:y>
    </cdr:to>
    <cdr:graphicFrame macro="">
      <cdr:nvGraphicFramePr>
        <cdr:cNvPr id="8" name="Chart 1">
          <a:extLst xmlns:a="http://schemas.openxmlformats.org/drawingml/2006/main">
            <a:ext uri="{FF2B5EF4-FFF2-40B4-BE49-F238E27FC236}">
              <a16:creationId xmlns:a16="http://schemas.microsoft.com/office/drawing/2014/main" id="{083051CB-8BEA-F2B3-466D-89EE49296F2B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0.40659</cdr:x>
      <cdr:y>0.2555</cdr:y>
    </cdr:from>
    <cdr:to>
      <cdr:x>0.78634</cdr:x>
      <cdr:y>0.336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8064D09A-51C0-9DC5-0D19-542B53ED7FB9}"/>
            </a:ext>
          </a:extLst>
        </cdr:cNvPr>
        <cdr:cNvSpPr txBox="1"/>
      </cdr:nvSpPr>
      <cdr:spPr>
        <a:xfrm xmlns:a="http://schemas.openxmlformats.org/drawingml/2006/main">
          <a:off x="1766455" y="1690256"/>
          <a:ext cx="1649859" cy="5325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Core inflation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EE8F5E-741C-A9E4-F4B8-79441CC5854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48FEC41-2E5E-4F03-E11D-A95D158E6963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 forecasts</a:t>
          </a:r>
        </a:p>
      </cdr:txBody>
    </cdr:sp>
  </cdr:relSizeAnchor>
  <cdr:relSizeAnchor xmlns:cdr="http://schemas.openxmlformats.org/drawingml/2006/chartDrawing">
    <cdr:from>
      <cdr:x>5.20417E-18</cdr:x>
      <cdr:y>0.93923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C2C2376-57B4-EC0D-BFAF-1AB4B26EDBC9}"/>
            </a:ext>
          </a:extLst>
        </cdr:cNvPr>
        <cdr:cNvSpPr/>
      </cdr:nvSpPr>
      <cdr:spPr>
        <a:xfrm xmlns:a="http://schemas.openxmlformats.org/drawingml/2006/main">
          <a:off x="50800" y="5908463"/>
          <a:ext cx="86614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Analytics, Bank of England's Monetary Policy Report</a:t>
          </a:r>
        </a:p>
      </cdr:txBody>
    </cdr:sp>
  </cdr:relSizeAnchor>
  <cdr:relSizeAnchor xmlns:cdr="http://schemas.openxmlformats.org/drawingml/2006/chartDrawing">
    <cdr:from>
      <cdr:x>0.07616</cdr:x>
      <cdr:y>0.74102</cdr:y>
    </cdr:from>
    <cdr:to>
      <cdr:x>0.86247</cdr:x>
      <cdr:y>0.85066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E1749789-2473-D4BF-1E4A-E5CF9B259EDF}"/>
            </a:ext>
          </a:extLst>
        </cdr:cNvPr>
        <cdr:cNvSpPr txBox="1"/>
      </cdr:nvSpPr>
      <cdr:spPr>
        <a:xfrm xmlns:a="http://schemas.openxmlformats.org/drawingml/2006/main">
          <a:off x="641303" y="4978377"/>
          <a:ext cx="6620787" cy="7366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Note: OE forecast is based on our profile for Bank Rate, which is lower than the market curve used in the BoE's</a:t>
          </a:r>
          <a:r>
            <a:rPr lang="en-GB" sz="1800" kern="1200" baseline="0">
              <a:solidFill>
                <a:srgbClr val="495057"/>
              </a:solidFill>
              <a:latin typeface="Segoe UI" panose="020B0502040204020203" pitchFamily="34" charset="0"/>
            </a:rPr>
            <a:t>  projections</a:t>
          </a:r>
          <a:endParaRPr lang="en-GB" sz="1800" kern="12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0.07568</cdr:y>
    </cdr:from>
    <cdr:to>
      <cdr:x>1</cdr:x>
      <cdr:y>0.12676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24174BF-979F-4D75-E9DF-0D05955DC81B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0.25559</cdr:x>
      <cdr:y>0.50765</cdr:y>
    </cdr:from>
    <cdr:to>
      <cdr:x>0.42095</cdr:x>
      <cdr:y>0.61729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5D5B5B2-1FA3-E7B3-EDE3-BF7AED393314}"/>
            </a:ext>
          </a:extLst>
        </cdr:cNvPr>
        <cdr:cNvSpPr txBox="1"/>
      </cdr:nvSpPr>
      <cdr:spPr>
        <a:xfrm xmlns:a="http://schemas.openxmlformats.org/drawingml/2006/main">
          <a:off x="2152073" y="3410527"/>
          <a:ext cx="1392382" cy="7366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2%</a:t>
          </a:r>
          <a:r>
            <a:rPr lang="en-GB" sz="1800" kern="1200" baseline="0">
              <a:solidFill>
                <a:srgbClr val="495057"/>
              </a:solidFill>
              <a:latin typeface="Segoe UI" panose="020B0502040204020203" pitchFamily="34" charset="0"/>
            </a:rPr>
            <a:t> target</a:t>
          </a:r>
          <a:endParaRPr lang="en-GB" sz="1800" kern="12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14D9F1-12F5-CB32-F77F-C9E18C086FB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0.00756</cdr:y>
    </cdr:from>
    <cdr:to>
      <cdr:x>1</cdr:x>
      <cdr:y>0.08318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BCE6860-AEA7-7F00-5E1C-981BD9F8BA83}"/>
            </a:ext>
          </a:extLst>
        </cdr:cNvPr>
        <cdr:cNvSpPr txBox="1"/>
      </cdr:nvSpPr>
      <cdr:spPr>
        <a:xfrm xmlns:a="http://schemas.openxmlformats.org/drawingml/2006/main">
          <a:off x="0" y="50800"/>
          <a:ext cx="84201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Ofgem energy price cap</a:t>
          </a:r>
        </a:p>
      </cdr:txBody>
    </cdr:sp>
  </cdr:relSizeAnchor>
  <cdr:relSizeAnchor xmlns:cdr="http://schemas.openxmlformats.org/drawingml/2006/chartDrawing">
    <cdr:from>
      <cdr:x>0</cdr:x>
      <cdr:y>0.95085</cdr:y>
    </cdr:from>
    <cdr:to>
      <cdr:x>1</cdr:x>
      <cdr:y>0.99811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5F802597-A212-2C1D-6179-A48AF1113DDA}"/>
            </a:ext>
          </a:extLst>
        </cdr:cNvPr>
        <cdr:cNvSpPr/>
      </cdr:nvSpPr>
      <cdr:spPr>
        <a:xfrm xmlns:a="http://schemas.openxmlformats.org/drawingml/2006/main">
          <a:off x="0" y="6388100"/>
          <a:ext cx="8420100" cy="317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Ofgem</a:t>
          </a:r>
        </a:p>
      </cdr:txBody>
    </cdr:sp>
  </cdr:relSizeAnchor>
  <cdr:relSizeAnchor xmlns:cdr="http://schemas.openxmlformats.org/drawingml/2006/chartDrawing">
    <cdr:from>
      <cdr:x>0</cdr:x>
      <cdr:y>0.08386</cdr:y>
    </cdr:from>
    <cdr:to>
      <cdr:x>1</cdr:x>
      <cdr:y>0.14057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D60BE16-9A41-5133-E022-AB5E88132D88}"/>
            </a:ext>
          </a:extLst>
        </cdr:cNvPr>
        <cdr:cNvSpPr txBox="1"/>
      </cdr:nvSpPr>
      <cdr:spPr>
        <a:xfrm xmlns:a="http://schemas.openxmlformats.org/drawingml/2006/main">
          <a:off x="0" y="563418"/>
          <a:ext cx="84201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Average tariff (£)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Inflation%20Model\20260225%20Energy%20Price%20Cap.xlsx" TargetMode="External"/><Relationship Id="rId1" Type="http://schemas.openxmlformats.org/officeDocument/2006/relationships/externalLinkPath" Target="/UK%20Team/Inflation%20Model/20260225%20Energy%20Price%20Ca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Inflation%20Model\20260218%20Inflation%20Forecast.xlsx" TargetMode="External"/><Relationship Id="rId1" Type="http://schemas.openxmlformats.org/officeDocument/2006/relationships/externalLinkPath" Target="/UK%20Team/Inflation%20Model/20260218%20Inflation%20Foreca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PC history"/>
      <sheetName val="Chart - EPC forecast"/>
      <sheetName val="Chart - EPC forecast new v old"/>
      <sheetName val="EPC calculation"/>
      <sheetName val="EPC - OE gas forecast"/>
      <sheetName val="Chart - OE vs Gas futures"/>
      <sheetName val="Chart - Gas Ofgem"/>
      <sheetName val="Chart - Electricity Ofgem"/>
      <sheetName val="Chart - gas futures"/>
      <sheetName val="Chart - gas futures &amp; BoE"/>
      <sheetName val="Chart - electricity futures"/>
      <sheetName val="Futures Curves"/>
      <sheetName val="Ofgem - summary"/>
      <sheetName val="Ofgem time series - Gas"/>
      <sheetName val="Ofgem time series - Electricity"/>
      <sheetName val="HAVER - UK Gas"/>
      <sheetName val="HAVER - UK Electricity"/>
      <sheetName val="HAVERM"/>
      <sheetName val="Macro model data"/>
      <sheetName val="$template-default"/>
      <sheetName val="GMW"/>
      <sheetName val="Notes"/>
      <sheetName val="&gt;&gt; NOT USED"/>
      <sheetName val="Dutch (EU) Gas"/>
      <sheetName val="Chart - gas (2)"/>
    </sheetNames>
    <sheetDataSet>
      <sheetData sheetId="0"/>
      <sheetData sheetId="1" refreshError="1"/>
      <sheetData sheetId="2" refreshError="1"/>
      <sheetData sheetId="3">
        <row r="20">
          <cell r="C20">
            <v>755</v>
          </cell>
          <cell r="F20">
            <v>370</v>
          </cell>
          <cell r="G20">
            <v>276</v>
          </cell>
          <cell r="K20">
            <v>187</v>
          </cell>
          <cell r="L20">
            <v>43</v>
          </cell>
          <cell r="M20">
            <v>18</v>
          </cell>
          <cell r="N20">
            <v>0</v>
          </cell>
          <cell r="O20">
            <v>7</v>
          </cell>
          <cell r="P20">
            <v>81.800000000000011</v>
          </cell>
        </row>
        <row r="21">
          <cell r="C21">
            <v>841</v>
          </cell>
          <cell r="F21">
            <v>372</v>
          </cell>
          <cell r="G21">
            <v>279</v>
          </cell>
          <cell r="K21">
            <v>198</v>
          </cell>
          <cell r="L21">
            <v>45</v>
          </cell>
          <cell r="M21">
            <v>20</v>
          </cell>
          <cell r="N21">
            <v>0</v>
          </cell>
          <cell r="O21">
            <v>6</v>
          </cell>
          <cell r="P21">
            <v>88.050000000000011</v>
          </cell>
        </row>
        <row r="22">
          <cell r="C22">
            <v>734</v>
          </cell>
          <cell r="F22">
            <v>372</v>
          </cell>
          <cell r="G22">
            <v>264</v>
          </cell>
          <cell r="K22">
            <v>198</v>
          </cell>
          <cell r="L22">
            <v>43</v>
          </cell>
          <cell r="M22">
            <v>18</v>
          </cell>
          <cell r="N22">
            <v>0</v>
          </cell>
          <cell r="O22">
            <v>8</v>
          </cell>
          <cell r="P22">
            <v>82.850000000000009</v>
          </cell>
        </row>
        <row r="23">
          <cell r="C23">
            <v>720</v>
          </cell>
          <cell r="F23">
            <v>396</v>
          </cell>
          <cell r="G23">
            <v>270</v>
          </cell>
          <cell r="K23">
            <v>215</v>
          </cell>
          <cell r="L23">
            <v>42</v>
          </cell>
          <cell r="M23">
            <v>18</v>
          </cell>
          <cell r="N23">
            <v>0</v>
          </cell>
          <cell r="O23">
            <v>10</v>
          </cell>
          <cell r="P23">
            <v>83.550000000000011</v>
          </cell>
        </row>
        <row r="24">
          <cell r="C24">
            <v>690</v>
          </cell>
          <cell r="F24">
            <v>397</v>
          </cell>
          <cell r="G24">
            <v>279</v>
          </cell>
          <cell r="K24">
            <v>236</v>
          </cell>
          <cell r="L24">
            <v>44</v>
          </cell>
          <cell r="M24">
            <v>18</v>
          </cell>
          <cell r="N24">
            <v>0</v>
          </cell>
          <cell r="O24">
            <v>10</v>
          </cell>
          <cell r="P24">
            <v>83.7</v>
          </cell>
        </row>
        <row r="25">
          <cell r="C25">
            <v>652</v>
          </cell>
          <cell r="F25">
            <v>463</v>
          </cell>
          <cell r="G25">
            <v>274</v>
          </cell>
          <cell r="K25">
            <v>106</v>
          </cell>
          <cell r="L25">
            <v>42</v>
          </cell>
          <cell r="M25">
            <v>16</v>
          </cell>
          <cell r="N25">
            <v>0</v>
          </cell>
          <cell r="O25">
            <v>9</v>
          </cell>
          <cell r="P25">
            <v>79.100000000000009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lation Forecast Table"/>
      <sheetName val="CHARTS&gt;&gt;"/>
      <sheetName val="RPI new vs old"/>
      <sheetName val="CPI new vs old"/>
      <sheetName val="Conts to RPI fcst chart"/>
      <sheetName val="Conts to CPI fcst chart"/>
      <sheetName val="Conts to CPI fcst chart (2)"/>
      <sheetName val="Conts to CPI fcst chart (3)"/>
      <sheetName val="Conts to CPI goods"/>
      <sheetName val="Conts to CPI fcst, FD, EN, FU"/>
      <sheetName val="Conts to CPI fcst, EN &amp; FU"/>
      <sheetName val="Core inflation chart"/>
      <sheetName val="Non-tax petrol chart"/>
      <sheetName val="Seasonality checks"/>
      <sheetName val="RPI FORECASTS&gt;&gt;"/>
      <sheetName val="RPI Forecast"/>
      <sheetName val="MIPS"/>
      <sheetName val="CPI FORECASTS&gt;&gt;"/>
      <sheetName val="CPI Forecast"/>
      <sheetName val="CPI core erratics"/>
      <sheetName val="CPI core stable"/>
      <sheetName val="CPI food"/>
      <sheetName val="CPI fuel"/>
      <sheetName val="CPI energy"/>
      <sheetName val="PC"/>
      <sheetName val="Contributions"/>
      <sheetName val="DATA&gt;&gt;"/>
      <sheetName val="Output for GEM"/>
      <sheetName val="Hist avg"/>
      <sheetName val="Previous forecast"/>
      <sheetName val="HAVERA"/>
      <sheetName val="HAVERQ"/>
      <sheetName val="HAVERM"/>
      <sheetName val="HAVERW (Fuel prices)"/>
      <sheetName val="$template-default"/>
      <sheetName val="GMW"/>
      <sheetName val="MACRO MODEL 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>
        <row r="608">
          <cell r="D608">
            <v>3.3933355845474633</v>
          </cell>
        </row>
        <row r="609">
          <cell r="D609">
            <v>2.9787964765775277</v>
          </cell>
        </row>
        <row r="610">
          <cell r="D610">
            <v>2.3078119030886413</v>
          </cell>
        </row>
        <row r="611">
          <cell r="D611">
            <v>2.4838163302669303</v>
          </cell>
        </row>
        <row r="612">
          <cell r="D612">
            <v>2.6488055735396587</v>
          </cell>
        </row>
        <row r="613">
          <cell r="D613">
            <v>2.6396295849800078</v>
          </cell>
        </row>
        <row r="614">
          <cell r="D614">
            <v>2.6822885723962964</v>
          </cell>
        </row>
        <row r="615">
          <cell r="D615">
            <v>2.5150681789890994</v>
          </cell>
        </row>
        <row r="616">
          <cell r="D616">
            <v>2.3760329220240184</v>
          </cell>
        </row>
        <row r="617">
          <cell r="D617">
            <v>2.3475678213707996</v>
          </cell>
        </row>
        <row r="618">
          <cell r="D618">
            <v>2.10516747261702</v>
          </cell>
        </row>
        <row r="619">
          <cell r="D619">
            <v>2.1499042359957699</v>
          </cell>
        </row>
        <row r="620">
          <cell r="D620">
            <v>2.1824155341270801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B3FC-5B05-4922-AFFB-DC652FEF5865}">
  <sheetPr>
    <tabColor rgb="FFC0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9B519-07B9-43C9-B70C-043B58F2643F}">
  <dimension ref="A1:O76"/>
  <sheetViews>
    <sheetView zoomScale="85" zoomScaleNormal="85" workbookViewId="0">
      <pane xSplit="1" ySplit="3" topLeftCell="B72" activePane="bottomRight" state="frozen"/>
      <selection pane="topRight" activeCell="B1" sqref="B1"/>
      <selection pane="bottomLeft" activeCell="A4" sqref="A4"/>
      <selection pane="bottomRight" activeCell="C37" sqref="C37"/>
    </sheetView>
  </sheetViews>
  <sheetFormatPr defaultRowHeight="14.5" x14ac:dyDescent="0.35"/>
  <cols>
    <col min="1" max="1" width="12.1796875" customWidth="1"/>
    <col min="2" max="3" width="16.453125" customWidth="1"/>
    <col min="4" max="4" width="12.90625" customWidth="1"/>
    <col min="5" max="6" width="3.36328125" customWidth="1"/>
    <col min="7" max="8" width="16.453125" customWidth="1"/>
    <col min="9" max="9" width="12.90625" customWidth="1"/>
    <col min="10" max="11" width="3.36328125" customWidth="1"/>
    <col min="12" max="12" width="13.08984375" customWidth="1"/>
    <col min="13" max="14" width="16.453125" customWidth="1"/>
    <col min="15" max="15" width="12.90625" customWidth="1"/>
  </cols>
  <sheetData>
    <row r="1" spans="1:15" x14ac:dyDescent="0.35">
      <c r="B1" s="2" t="s">
        <v>3</v>
      </c>
      <c r="G1" s="2" t="s">
        <v>4</v>
      </c>
      <c r="L1" s="2" t="s">
        <v>5</v>
      </c>
    </row>
    <row r="3" spans="1:15" x14ac:dyDescent="0.35">
      <c r="A3" t="s">
        <v>0</v>
      </c>
      <c r="B3" t="s">
        <v>1</v>
      </c>
      <c r="C3" t="s">
        <v>2</v>
      </c>
      <c r="D3" t="s">
        <v>7</v>
      </c>
      <c r="G3" t="s">
        <v>1</v>
      </c>
      <c r="H3" t="s">
        <v>2</v>
      </c>
      <c r="I3" t="s">
        <v>7</v>
      </c>
      <c r="L3" t="s">
        <v>0</v>
      </c>
      <c r="M3" t="s">
        <v>1</v>
      </c>
      <c r="N3" t="s">
        <v>2</v>
      </c>
      <c r="O3" t="s">
        <v>7</v>
      </c>
    </row>
    <row r="4" spans="1:15" x14ac:dyDescent="0.35">
      <c r="A4" s="1">
        <v>43861</v>
      </c>
      <c r="B4" s="3">
        <v>1.8</v>
      </c>
      <c r="C4" s="3">
        <v>1.6</v>
      </c>
      <c r="D4" s="3">
        <f>ABS(B4-C4)</f>
        <v>0.19999999999999996</v>
      </c>
      <c r="G4" s="3">
        <v>1.6</v>
      </c>
      <c r="H4" s="3">
        <v>1.5</v>
      </c>
      <c r="I4" s="3">
        <f>ABS(G4-H4)</f>
        <v>0.10000000000000009</v>
      </c>
      <c r="L4" s="1">
        <v>45199</v>
      </c>
      <c r="M4" s="3">
        <v>6.9</v>
      </c>
      <c r="N4" s="3">
        <v>6.8</v>
      </c>
      <c r="O4" s="3">
        <f>ABS(M4-N4)</f>
        <v>0.10000000000000053</v>
      </c>
    </row>
    <row r="5" spans="1:15" x14ac:dyDescent="0.35">
      <c r="A5" s="1">
        <v>43890</v>
      </c>
      <c r="B5" s="3">
        <v>1.7</v>
      </c>
      <c r="C5" s="3">
        <v>1.7</v>
      </c>
      <c r="D5" s="3">
        <f t="shared" ref="D5:D68" si="0">ABS(B5-C5)</f>
        <v>0</v>
      </c>
      <c r="G5" s="3">
        <v>1.7</v>
      </c>
      <c r="H5" s="3">
        <v>1.5</v>
      </c>
      <c r="I5" s="3">
        <f t="shared" ref="I5:I68" si="1">ABS(G5-H5)</f>
        <v>0.19999999999999996</v>
      </c>
      <c r="L5" s="1">
        <v>45230</v>
      </c>
      <c r="M5" s="3">
        <v>6.6</v>
      </c>
      <c r="N5" s="3">
        <v>6.7</v>
      </c>
      <c r="O5" s="3">
        <f t="shared" ref="O5:O32" si="2">ABS(M5-N5)</f>
        <v>0.10000000000000053</v>
      </c>
    </row>
    <row r="6" spans="1:15" x14ac:dyDescent="0.35">
      <c r="A6" s="1">
        <v>43921</v>
      </c>
      <c r="B6" s="3">
        <v>1.5</v>
      </c>
      <c r="C6" s="3">
        <v>1.5</v>
      </c>
      <c r="D6" s="3">
        <f t="shared" si="0"/>
        <v>0</v>
      </c>
      <c r="G6" s="3">
        <v>1.6</v>
      </c>
      <c r="H6" s="3">
        <v>1.6</v>
      </c>
      <c r="I6" s="3">
        <f t="shared" si="1"/>
        <v>0</v>
      </c>
      <c r="L6" s="1">
        <v>45260</v>
      </c>
      <c r="M6" s="3">
        <v>6.3</v>
      </c>
      <c r="N6" s="3">
        <v>6.6</v>
      </c>
      <c r="O6" s="3">
        <f t="shared" si="2"/>
        <v>0.29999999999999982</v>
      </c>
    </row>
    <row r="7" spans="1:15" x14ac:dyDescent="0.35">
      <c r="A7" s="1">
        <v>43951</v>
      </c>
      <c r="B7" s="3">
        <v>0.8</v>
      </c>
      <c r="C7" s="3">
        <v>0.9</v>
      </c>
      <c r="D7" s="3">
        <f t="shared" si="0"/>
        <v>9.9999999999999978E-2</v>
      </c>
      <c r="G7" s="3">
        <v>1.4</v>
      </c>
      <c r="H7" s="3">
        <v>1.4</v>
      </c>
      <c r="I7" s="3">
        <f t="shared" si="1"/>
        <v>0</v>
      </c>
      <c r="L7" s="1">
        <v>45291</v>
      </c>
      <c r="M7" s="3">
        <v>6.4</v>
      </c>
      <c r="N7" s="3">
        <v>6.1</v>
      </c>
      <c r="O7" s="3">
        <f t="shared" si="2"/>
        <v>0.30000000000000071</v>
      </c>
    </row>
    <row r="8" spans="1:15" x14ac:dyDescent="0.35">
      <c r="A8" s="1">
        <v>43982</v>
      </c>
      <c r="B8" s="3">
        <v>0.5</v>
      </c>
      <c r="C8" s="3">
        <v>0.5</v>
      </c>
      <c r="D8" s="3">
        <f t="shared" si="0"/>
        <v>0</v>
      </c>
      <c r="G8" s="3">
        <v>1.2</v>
      </c>
      <c r="H8" s="3">
        <v>1.3</v>
      </c>
      <c r="I8" s="3">
        <f t="shared" si="1"/>
        <v>0.10000000000000009</v>
      </c>
      <c r="L8" s="1">
        <v>45322</v>
      </c>
      <c r="M8" s="3">
        <v>6.5</v>
      </c>
      <c r="N8" s="3">
        <v>6.8</v>
      </c>
      <c r="O8" s="3">
        <f t="shared" si="2"/>
        <v>0.29999999999999982</v>
      </c>
    </row>
    <row r="9" spans="1:15" x14ac:dyDescent="0.35">
      <c r="A9" s="1">
        <v>44012</v>
      </c>
      <c r="B9" s="3">
        <v>0.6</v>
      </c>
      <c r="C9" s="3">
        <v>0.4</v>
      </c>
      <c r="D9" s="3">
        <f t="shared" si="0"/>
        <v>0.19999999999999996</v>
      </c>
      <c r="G9" s="3">
        <v>1.4</v>
      </c>
      <c r="H9" s="3">
        <v>1.2</v>
      </c>
      <c r="I9" s="3">
        <f t="shared" si="1"/>
        <v>0.19999999999999996</v>
      </c>
      <c r="L9" s="1">
        <v>45351</v>
      </c>
      <c r="M9" s="3">
        <v>6.1</v>
      </c>
      <c r="N9" s="3">
        <v>6</v>
      </c>
      <c r="O9" s="3">
        <f t="shared" si="2"/>
        <v>9.9999999999999645E-2</v>
      </c>
    </row>
    <row r="10" spans="1:15" x14ac:dyDescent="0.35">
      <c r="A10" s="1">
        <v>44043</v>
      </c>
      <c r="B10" s="3">
        <v>1</v>
      </c>
      <c r="C10" s="3">
        <v>0.6</v>
      </c>
      <c r="D10" s="3">
        <f t="shared" si="0"/>
        <v>0.4</v>
      </c>
      <c r="G10" s="3">
        <v>1.8</v>
      </c>
      <c r="H10" s="3">
        <v>1.2</v>
      </c>
      <c r="I10" s="3">
        <f t="shared" si="1"/>
        <v>0.60000000000000009</v>
      </c>
      <c r="L10" s="1">
        <v>45382</v>
      </c>
      <c r="M10" s="3">
        <v>6</v>
      </c>
      <c r="N10" s="3">
        <v>5.8</v>
      </c>
      <c r="O10" s="3">
        <f t="shared" si="2"/>
        <v>0.20000000000000018</v>
      </c>
    </row>
    <row r="11" spans="1:15" x14ac:dyDescent="0.35">
      <c r="A11" s="1">
        <v>44074</v>
      </c>
      <c r="B11" s="3">
        <v>0.2</v>
      </c>
      <c r="C11" s="3">
        <v>0</v>
      </c>
      <c r="D11" s="3">
        <f t="shared" si="0"/>
        <v>0.2</v>
      </c>
      <c r="G11" s="3">
        <v>0.9</v>
      </c>
      <c r="H11" s="3">
        <v>0.5</v>
      </c>
      <c r="I11" s="3">
        <f t="shared" si="1"/>
        <v>0.4</v>
      </c>
      <c r="L11" s="1">
        <v>45412</v>
      </c>
      <c r="M11" s="3">
        <v>5.9</v>
      </c>
      <c r="N11" s="3">
        <v>5.4</v>
      </c>
      <c r="O11" s="3">
        <f t="shared" si="2"/>
        <v>0.5</v>
      </c>
    </row>
    <row r="12" spans="1:15" x14ac:dyDescent="0.35">
      <c r="A12" s="1">
        <v>44104</v>
      </c>
      <c r="B12" s="3">
        <v>0.5</v>
      </c>
      <c r="C12" s="3">
        <v>0.6</v>
      </c>
      <c r="D12" s="3">
        <f t="shared" si="0"/>
        <v>9.9999999999999978E-2</v>
      </c>
      <c r="G12" s="3">
        <v>1.3</v>
      </c>
      <c r="H12" s="3">
        <v>1.3</v>
      </c>
      <c r="I12" s="3">
        <f t="shared" si="1"/>
        <v>0</v>
      </c>
      <c r="L12" s="1">
        <v>45443</v>
      </c>
      <c r="M12" s="3">
        <v>5.7</v>
      </c>
      <c r="N12" s="3">
        <v>5.5</v>
      </c>
      <c r="O12" s="3">
        <f t="shared" si="2"/>
        <v>0.20000000000000018</v>
      </c>
    </row>
    <row r="13" spans="1:15" x14ac:dyDescent="0.35">
      <c r="A13" s="1">
        <v>44135</v>
      </c>
      <c r="B13" s="3">
        <v>0.7</v>
      </c>
      <c r="C13" s="3">
        <v>0.5</v>
      </c>
      <c r="D13" s="3">
        <f t="shared" si="0"/>
        <v>0.19999999999999996</v>
      </c>
      <c r="G13" s="3">
        <v>1.5</v>
      </c>
      <c r="H13" s="3">
        <v>1.3</v>
      </c>
      <c r="I13" s="3">
        <f t="shared" si="1"/>
        <v>0.19999999999999996</v>
      </c>
      <c r="L13" s="1">
        <v>45473</v>
      </c>
      <c r="M13" s="3">
        <v>5.7</v>
      </c>
      <c r="N13" s="3">
        <v>5.6</v>
      </c>
      <c r="O13" s="3">
        <f t="shared" si="2"/>
        <v>0.10000000000000053</v>
      </c>
    </row>
    <row r="14" spans="1:15" x14ac:dyDescent="0.35">
      <c r="A14" s="1">
        <v>44165</v>
      </c>
      <c r="B14" s="3">
        <v>0.3</v>
      </c>
      <c r="C14" s="3">
        <v>0.6</v>
      </c>
      <c r="D14" s="3">
        <f t="shared" si="0"/>
        <v>0.3</v>
      </c>
      <c r="G14" s="3">
        <v>1.1000000000000001</v>
      </c>
      <c r="H14" s="3">
        <v>1.4</v>
      </c>
      <c r="I14" s="3">
        <f t="shared" si="1"/>
        <v>0.29999999999999982</v>
      </c>
      <c r="L14" s="1">
        <v>45504</v>
      </c>
      <c r="M14" s="3">
        <v>5.2</v>
      </c>
      <c r="N14" s="3">
        <v>5.5</v>
      </c>
      <c r="O14" s="3">
        <f t="shared" si="2"/>
        <v>0.29999999999999982</v>
      </c>
    </row>
    <row r="15" spans="1:15" x14ac:dyDescent="0.35">
      <c r="A15" s="1">
        <v>44196</v>
      </c>
      <c r="B15" s="3">
        <v>0.6</v>
      </c>
      <c r="C15" s="3">
        <v>0.5</v>
      </c>
      <c r="D15" s="3">
        <f t="shared" si="0"/>
        <v>9.9999999999999978E-2</v>
      </c>
      <c r="G15" s="3">
        <v>1.4</v>
      </c>
      <c r="H15" s="3">
        <v>1.3</v>
      </c>
      <c r="I15" s="3">
        <f t="shared" si="1"/>
        <v>9.9999999999999867E-2</v>
      </c>
      <c r="L15" s="1">
        <v>45535</v>
      </c>
      <c r="M15" s="3">
        <v>5.6</v>
      </c>
      <c r="N15" s="3">
        <v>5.6</v>
      </c>
      <c r="O15" s="3">
        <f t="shared" si="2"/>
        <v>0</v>
      </c>
    </row>
    <row r="16" spans="1:15" x14ac:dyDescent="0.35">
      <c r="A16" s="1">
        <v>44227</v>
      </c>
      <c r="B16" s="3">
        <v>0.7</v>
      </c>
      <c r="C16" s="3">
        <v>0.6</v>
      </c>
      <c r="D16" s="3">
        <f t="shared" si="0"/>
        <v>9.9999999999999978E-2</v>
      </c>
      <c r="G16" s="3">
        <v>1.4</v>
      </c>
      <c r="H16" s="3">
        <v>1.3</v>
      </c>
      <c r="I16" s="3">
        <f t="shared" si="1"/>
        <v>9.9999999999999867E-2</v>
      </c>
      <c r="L16" s="1">
        <v>45565</v>
      </c>
      <c r="M16" s="3">
        <v>4.9000000000000004</v>
      </c>
      <c r="N16" s="3">
        <v>5.2</v>
      </c>
      <c r="O16" s="3">
        <f t="shared" si="2"/>
        <v>0.29999999999999982</v>
      </c>
    </row>
    <row r="17" spans="1:15" x14ac:dyDescent="0.35">
      <c r="A17" s="1">
        <v>44255</v>
      </c>
      <c r="B17" s="3">
        <v>0.4</v>
      </c>
      <c r="C17" s="3">
        <v>0.8</v>
      </c>
      <c r="D17" s="3">
        <f t="shared" si="0"/>
        <v>0.4</v>
      </c>
      <c r="G17" s="3">
        <v>0.9</v>
      </c>
      <c r="H17" s="3">
        <v>1.4</v>
      </c>
      <c r="I17" s="3">
        <f t="shared" si="1"/>
        <v>0.49999999999999989</v>
      </c>
      <c r="L17" s="1">
        <v>45596</v>
      </c>
      <c r="M17" s="3">
        <v>5</v>
      </c>
      <c r="N17" s="3">
        <v>4.9000000000000004</v>
      </c>
      <c r="O17" s="3">
        <f t="shared" si="2"/>
        <v>9.9999999999999645E-2</v>
      </c>
    </row>
    <row r="18" spans="1:15" x14ac:dyDescent="0.35">
      <c r="A18" s="1">
        <v>44286</v>
      </c>
      <c r="B18" s="3">
        <v>0.7</v>
      </c>
      <c r="C18" s="3">
        <v>0.8</v>
      </c>
      <c r="D18" s="3">
        <f t="shared" si="0"/>
        <v>0.10000000000000009</v>
      </c>
      <c r="G18" s="3">
        <v>1.1000000000000001</v>
      </c>
      <c r="H18" s="3">
        <v>1.1000000000000001</v>
      </c>
      <c r="I18" s="3">
        <f t="shared" si="1"/>
        <v>0</v>
      </c>
      <c r="L18" s="1">
        <v>45626</v>
      </c>
      <c r="M18" s="3">
        <v>5</v>
      </c>
      <c r="N18" s="3">
        <v>5.0999999999999996</v>
      </c>
      <c r="O18" s="3">
        <f t="shared" si="2"/>
        <v>9.9999999999999645E-2</v>
      </c>
    </row>
    <row r="19" spans="1:15" x14ac:dyDescent="0.35">
      <c r="A19" s="1">
        <v>44316</v>
      </c>
      <c r="B19" s="3">
        <v>1.5</v>
      </c>
      <c r="C19" s="3">
        <v>1.5</v>
      </c>
      <c r="D19" s="3">
        <f t="shared" si="0"/>
        <v>0</v>
      </c>
      <c r="G19" s="3">
        <v>1.3</v>
      </c>
      <c r="H19" s="3">
        <v>1.3</v>
      </c>
      <c r="I19" s="3">
        <f t="shared" si="1"/>
        <v>0</v>
      </c>
      <c r="L19" s="1">
        <v>45657</v>
      </c>
      <c r="M19" s="3">
        <v>4.4000000000000004</v>
      </c>
      <c r="N19" s="3">
        <v>4.8</v>
      </c>
      <c r="O19" s="3">
        <f t="shared" si="2"/>
        <v>0.39999999999999947</v>
      </c>
    </row>
    <row r="20" spans="1:15" x14ac:dyDescent="0.35">
      <c r="A20" s="1">
        <v>44347</v>
      </c>
      <c r="B20" s="3">
        <v>2.1</v>
      </c>
      <c r="C20" s="3">
        <v>1.8</v>
      </c>
      <c r="D20" s="3">
        <f t="shared" si="0"/>
        <v>0.30000000000000004</v>
      </c>
      <c r="G20" s="3">
        <v>2</v>
      </c>
      <c r="H20" s="3">
        <v>1.5</v>
      </c>
      <c r="I20" s="3">
        <f t="shared" si="1"/>
        <v>0.5</v>
      </c>
      <c r="L20" s="1">
        <v>45688</v>
      </c>
      <c r="M20" s="3">
        <v>5</v>
      </c>
      <c r="N20" s="3">
        <v>5.0999999999999996</v>
      </c>
      <c r="O20" s="3">
        <f t="shared" si="2"/>
        <v>9.9999999999999645E-2</v>
      </c>
    </row>
    <row r="21" spans="1:15" x14ac:dyDescent="0.35">
      <c r="A21" s="1">
        <v>44377</v>
      </c>
      <c r="B21" s="3">
        <v>2.5</v>
      </c>
      <c r="C21" s="3">
        <v>2.2000000000000002</v>
      </c>
      <c r="D21" s="3">
        <f t="shared" si="0"/>
        <v>0.29999999999999982</v>
      </c>
      <c r="G21" s="3">
        <v>2.2999999999999998</v>
      </c>
      <c r="H21" s="3">
        <v>2</v>
      </c>
      <c r="I21" s="3">
        <f t="shared" si="1"/>
        <v>0.29999999999999982</v>
      </c>
      <c r="L21" s="1">
        <v>45716</v>
      </c>
      <c r="M21" s="3">
        <v>5</v>
      </c>
      <c r="N21" s="3">
        <v>4.9000000000000004</v>
      </c>
      <c r="O21" s="3">
        <f t="shared" si="2"/>
        <v>9.9999999999999645E-2</v>
      </c>
    </row>
    <row r="22" spans="1:15" x14ac:dyDescent="0.35">
      <c r="A22" s="1">
        <v>44408</v>
      </c>
      <c r="B22" s="3">
        <v>2</v>
      </c>
      <c r="C22" s="3">
        <v>2.2999999999999998</v>
      </c>
      <c r="D22" s="3">
        <f t="shared" si="0"/>
        <v>0.29999999999999982</v>
      </c>
      <c r="G22" s="3">
        <v>1.8</v>
      </c>
      <c r="H22" s="3">
        <v>2</v>
      </c>
      <c r="I22" s="3">
        <f t="shared" si="1"/>
        <v>0.19999999999999996</v>
      </c>
      <c r="L22" s="1">
        <v>45747</v>
      </c>
      <c r="M22" s="3">
        <v>4.7</v>
      </c>
      <c r="N22" s="3">
        <v>4.8</v>
      </c>
      <c r="O22" s="3">
        <f t="shared" si="2"/>
        <v>9.9999999999999645E-2</v>
      </c>
    </row>
    <row r="23" spans="1:15" x14ac:dyDescent="0.35">
      <c r="A23" s="1">
        <v>44439</v>
      </c>
      <c r="B23" s="3">
        <v>3.2</v>
      </c>
      <c r="C23" s="3">
        <v>2.9</v>
      </c>
      <c r="D23" s="3">
        <f t="shared" si="0"/>
        <v>0.30000000000000027</v>
      </c>
      <c r="G23" s="3">
        <v>3.1</v>
      </c>
      <c r="H23" s="3">
        <v>2.9</v>
      </c>
      <c r="I23" s="3">
        <f t="shared" si="1"/>
        <v>0.20000000000000018</v>
      </c>
      <c r="L23" s="1">
        <v>45777</v>
      </c>
      <c r="M23" s="3">
        <v>5.4</v>
      </c>
      <c r="N23" s="3">
        <v>4.8</v>
      </c>
      <c r="O23" s="3">
        <f t="shared" si="2"/>
        <v>0.60000000000000053</v>
      </c>
    </row>
    <row r="24" spans="1:15" x14ac:dyDescent="0.35">
      <c r="A24" s="1">
        <v>44469</v>
      </c>
      <c r="B24" s="3">
        <v>3.1</v>
      </c>
      <c r="C24" s="3">
        <v>3.2</v>
      </c>
      <c r="D24" s="3">
        <f t="shared" si="0"/>
        <v>0.10000000000000009</v>
      </c>
      <c r="G24" s="3">
        <v>2.9</v>
      </c>
      <c r="H24" s="3">
        <v>3</v>
      </c>
      <c r="I24" s="3">
        <f t="shared" si="1"/>
        <v>0.10000000000000009</v>
      </c>
      <c r="L24" s="1">
        <v>45808</v>
      </c>
      <c r="M24" s="3">
        <v>4.7</v>
      </c>
      <c r="N24" s="3">
        <v>4.8</v>
      </c>
      <c r="O24" s="3">
        <f t="shared" si="2"/>
        <v>9.9999999999999645E-2</v>
      </c>
    </row>
    <row r="25" spans="1:15" x14ac:dyDescent="0.35">
      <c r="A25" s="1">
        <v>44500</v>
      </c>
      <c r="B25" s="3">
        <v>4.2</v>
      </c>
      <c r="C25" s="3">
        <v>3.9</v>
      </c>
      <c r="D25" s="3">
        <f t="shared" si="0"/>
        <v>0.30000000000000027</v>
      </c>
      <c r="G25" s="3">
        <v>3.4</v>
      </c>
      <c r="H25" s="3">
        <v>3.1</v>
      </c>
      <c r="I25" s="3">
        <f t="shared" si="1"/>
        <v>0.29999999999999982</v>
      </c>
      <c r="L25" s="1">
        <v>45838</v>
      </c>
      <c r="M25" s="3">
        <v>4.7</v>
      </c>
      <c r="N25" s="3">
        <v>4.5</v>
      </c>
      <c r="O25" s="3">
        <f t="shared" si="2"/>
        <v>0.20000000000000018</v>
      </c>
    </row>
    <row r="26" spans="1:15" x14ac:dyDescent="0.35">
      <c r="A26" s="1">
        <v>44530</v>
      </c>
      <c r="B26" s="3">
        <v>5.0999999999999996</v>
      </c>
      <c r="C26" s="3">
        <v>4.8</v>
      </c>
      <c r="D26" s="3">
        <f t="shared" si="0"/>
        <v>0.29999999999999982</v>
      </c>
      <c r="G26" s="3">
        <v>4</v>
      </c>
      <c r="H26" s="3">
        <v>3.7</v>
      </c>
      <c r="I26" s="3">
        <f t="shared" si="1"/>
        <v>0.29999999999999982</v>
      </c>
      <c r="L26" s="1">
        <v>45869</v>
      </c>
      <c r="M26" s="3">
        <v>5</v>
      </c>
      <c r="N26" s="3">
        <v>4.8</v>
      </c>
      <c r="O26" s="3">
        <f t="shared" si="2"/>
        <v>0.20000000000000018</v>
      </c>
    </row>
    <row r="27" spans="1:15" x14ac:dyDescent="0.35">
      <c r="A27" s="1">
        <v>44561</v>
      </c>
      <c r="B27" s="3">
        <v>5.4</v>
      </c>
      <c r="C27" s="3">
        <v>5.2</v>
      </c>
      <c r="D27" s="3">
        <f t="shared" si="0"/>
        <v>0.20000000000000018</v>
      </c>
      <c r="G27" s="3">
        <v>4.2</v>
      </c>
      <c r="H27" s="3">
        <v>3.9</v>
      </c>
      <c r="I27" s="3">
        <f t="shared" si="1"/>
        <v>0.30000000000000027</v>
      </c>
      <c r="L27" s="1">
        <v>45900</v>
      </c>
      <c r="M27" s="3">
        <v>4.7</v>
      </c>
      <c r="N27" s="3">
        <v>4.8</v>
      </c>
      <c r="O27" s="3">
        <f t="shared" si="2"/>
        <v>9.9999999999999645E-2</v>
      </c>
    </row>
    <row r="28" spans="1:15" x14ac:dyDescent="0.35">
      <c r="A28" s="1">
        <v>44592</v>
      </c>
      <c r="B28" s="3">
        <v>5.5</v>
      </c>
      <c r="C28" s="3">
        <v>5.4</v>
      </c>
      <c r="D28" s="3">
        <f t="shared" si="0"/>
        <v>9.9999999999999645E-2</v>
      </c>
      <c r="G28" s="3">
        <v>4.4000000000000004</v>
      </c>
      <c r="H28" s="3">
        <v>4.3</v>
      </c>
      <c r="I28" s="3">
        <f t="shared" si="1"/>
        <v>0.10000000000000053</v>
      </c>
      <c r="L28" s="1">
        <v>45930</v>
      </c>
      <c r="M28" s="3">
        <v>4.7</v>
      </c>
      <c r="N28" s="3">
        <v>4.8</v>
      </c>
      <c r="O28" s="3">
        <f t="shared" si="2"/>
        <v>9.9999999999999645E-2</v>
      </c>
    </row>
    <row r="29" spans="1:15" x14ac:dyDescent="0.35">
      <c r="A29" s="1">
        <v>44620</v>
      </c>
      <c r="B29" s="3">
        <v>6.2</v>
      </c>
      <c r="C29" s="3">
        <v>6</v>
      </c>
      <c r="D29" s="3">
        <f t="shared" si="0"/>
        <v>0.20000000000000018</v>
      </c>
      <c r="G29" s="3">
        <v>5.2</v>
      </c>
      <c r="H29" s="3">
        <v>5</v>
      </c>
      <c r="I29" s="3">
        <f t="shared" si="1"/>
        <v>0.20000000000000018</v>
      </c>
      <c r="L29" s="1">
        <v>45961</v>
      </c>
      <c r="M29" s="3">
        <v>4.5</v>
      </c>
      <c r="N29" s="3">
        <v>4.5999999999999996</v>
      </c>
      <c r="O29" s="3">
        <f t="shared" si="2"/>
        <v>9.9999999999999645E-2</v>
      </c>
    </row>
    <row r="30" spans="1:15" x14ac:dyDescent="0.35">
      <c r="A30" s="1">
        <v>44651</v>
      </c>
      <c r="B30" s="3">
        <v>7</v>
      </c>
      <c r="C30" s="3">
        <v>6.7</v>
      </c>
      <c r="D30" s="3">
        <f t="shared" si="0"/>
        <v>0.29999999999999982</v>
      </c>
      <c r="G30" s="3">
        <v>5.7</v>
      </c>
      <c r="H30" s="3">
        <v>5.3</v>
      </c>
      <c r="I30" s="3">
        <f t="shared" si="1"/>
        <v>0.40000000000000036</v>
      </c>
      <c r="L30" s="1">
        <v>45991</v>
      </c>
      <c r="M30" s="3">
        <v>4.4000000000000004</v>
      </c>
      <c r="N30" s="3">
        <v>4.5</v>
      </c>
      <c r="O30" s="3">
        <f t="shared" si="2"/>
        <v>9.9999999999999645E-2</v>
      </c>
    </row>
    <row r="31" spans="1:15" x14ac:dyDescent="0.35">
      <c r="A31" s="1">
        <v>44681</v>
      </c>
      <c r="B31" s="3">
        <v>9</v>
      </c>
      <c r="C31" s="3">
        <v>9.1</v>
      </c>
      <c r="D31" s="3">
        <f t="shared" si="0"/>
        <v>9.9999999999999645E-2</v>
      </c>
      <c r="G31" s="3">
        <v>6.2</v>
      </c>
      <c r="H31" s="3">
        <v>6.2</v>
      </c>
      <c r="I31" s="3">
        <f t="shared" si="1"/>
        <v>0</v>
      </c>
      <c r="L31" s="1">
        <v>46022</v>
      </c>
      <c r="M31" s="3">
        <v>4.5</v>
      </c>
      <c r="N31" s="3">
        <v>4.5999999999999996</v>
      </c>
      <c r="O31" s="3">
        <f t="shared" si="2"/>
        <v>9.9999999999999645E-2</v>
      </c>
    </row>
    <row r="32" spans="1:15" x14ac:dyDescent="0.35">
      <c r="A32" s="1">
        <v>44712</v>
      </c>
      <c r="B32" s="3">
        <v>9.1</v>
      </c>
      <c r="C32" s="3">
        <v>9.1</v>
      </c>
      <c r="D32" s="3">
        <f t="shared" si="0"/>
        <v>0</v>
      </c>
      <c r="G32" s="3">
        <v>5.9</v>
      </c>
      <c r="H32" s="3">
        <v>6</v>
      </c>
      <c r="I32" s="3">
        <f t="shared" si="1"/>
        <v>9.9999999999999645E-2</v>
      </c>
      <c r="L32" s="1">
        <v>46053</v>
      </c>
      <c r="M32" s="3">
        <v>4.4000000000000004</v>
      </c>
      <c r="N32" s="3">
        <v>4.2</v>
      </c>
      <c r="O32" s="3">
        <f t="shared" si="2"/>
        <v>0.20000000000000018</v>
      </c>
    </row>
    <row r="33" spans="1:15" x14ac:dyDescent="0.35">
      <c r="A33" s="1">
        <v>44742</v>
      </c>
      <c r="B33" s="3">
        <v>9.4</v>
      </c>
      <c r="C33" s="3">
        <v>9.3000000000000007</v>
      </c>
      <c r="D33" s="3">
        <f t="shared" si="0"/>
        <v>9.9999999999999645E-2</v>
      </c>
      <c r="G33" s="3">
        <v>5.8</v>
      </c>
      <c r="H33" s="3">
        <v>5.8</v>
      </c>
      <c r="I33" s="3">
        <f t="shared" si="1"/>
        <v>0</v>
      </c>
      <c r="O33" s="3"/>
    </row>
    <row r="34" spans="1:15" x14ac:dyDescent="0.35">
      <c r="A34" s="1">
        <v>44773</v>
      </c>
      <c r="B34" s="3">
        <v>10.1</v>
      </c>
      <c r="C34" s="3">
        <v>9.8000000000000007</v>
      </c>
      <c r="D34" s="3">
        <f t="shared" si="0"/>
        <v>0.29999999999999893</v>
      </c>
      <c r="G34" s="3">
        <v>6.2</v>
      </c>
      <c r="H34" s="3">
        <v>5.9</v>
      </c>
      <c r="I34" s="3">
        <f t="shared" si="1"/>
        <v>0.29999999999999982</v>
      </c>
      <c r="O34" s="3"/>
    </row>
    <row r="35" spans="1:15" x14ac:dyDescent="0.35">
      <c r="A35" s="1">
        <v>44804</v>
      </c>
      <c r="B35" s="3">
        <v>9.9</v>
      </c>
      <c r="C35" s="3">
        <v>10</v>
      </c>
      <c r="D35" s="3">
        <f t="shared" si="0"/>
        <v>9.9999999999999645E-2</v>
      </c>
      <c r="G35" s="3">
        <v>6.3</v>
      </c>
      <c r="H35" s="3">
        <v>6.2</v>
      </c>
      <c r="I35" s="3">
        <f t="shared" si="1"/>
        <v>9.9999999999999645E-2</v>
      </c>
      <c r="O35" s="3"/>
    </row>
    <row r="36" spans="1:15" x14ac:dyDescent="0.35">
      <c r="A36" s="1">
        <v>44834</v>
      </c>
      <c r="B36" s="3">
        <v>10.1</v>
      </c>
      <c r="C36" s="3">
        <v>10</v>
      </c>
      <c r="D36" s="3">
        <f t="shared" si="0"/>
        <v>9.9999999999999645E-2</v>
      </c>
      <c r="G36" s="3">
        <v>6.5</v>
      </c>
      <c r="H36" s="3">
        <v>6.4</v>
      </c>
      <c r="I36" s="3">
        <f t="shared" si="1"/>
        <v>9.9999999999999645E-2</v>
      </c>
      <c r="O36" s="3"/>
    </row>
    <row r="37" spans="1:15" x14ac:dyDescent="0.35">
      <c r="A37" s="1">
        <v>44865</v>
      </c>
      <c r="B37" s="3">
        <v>11.1</v>
      </c>
      <c r="C37" s="3">
        <v>10.7</v>
      </c>
      <c r="D37" s="3">
        <f t="shared" si="0"/>
        <v>0.40000000000000036</v>
      </c>
      <c r="G37" s="3">
        <v>6.5</v>
      </c>
      <c r="H37" s="3">
        <v>6.4</v>
      </c>
      <c r="I37" s="3">
        <f t="shared" si="1"/>
        <v>9.9999999999999645E-2</v>
      </c>
      <c r="O37" s="3"/>
    </row>
    <row r="38" spans="1:15" x14ac:dyDescent="0.35">
      <c r="A38" s="1">
        <v>44895</v>
      </c>
      <c r="B38" s="3">
        <v>10.7</v>
      </c>
      <c r="C38" s="3">
        <v>10.9</v>
      </c>
      <c r="D38" s="3">
        <f t="shared" si="0"/>
        <v>0.20000000000000107</v>
      </c>
      <c r="G38" s="3">
        <v>6.3</v>
      </c>
      <c r="H38" s="3">
        <v>6.5</v>
      </c>
      <c r="I38" s="3">
        <f t="shared" si="1"/>
        <v>0.20000000000000018</v>
      </c>
      <c r="O38" s="3"/>
    </row>
    <row r="39" spans="1:15" x14ac:dyDescent="0.35">
      <c r="A39" s="1">
        <v>44926</v>
      </c>
      <c r="B39" s="3">
        <v>10.5</v>
      </c>
      <c r="C39" s="3">
        <v>10.5</v>
      </c>
      <c r="D39" s="3">
        <f t="shared" si="0"/>
        <v>0</v>
      </c>
      <c r="G39" s="3">
        <v>6.3</v>
      </c>
      <c r="H39" s="3">
        <v>6.2</v>
      </c>
      <c r="I39" s="3">
        <f t="shared" si="1"/>
        <v>9.9999999999999645E-2</v>
      </c>
      <c r="O39" s="3"/>
    </row>
    <row r="40" spans="1:15" x14ac:dyDescent="0.35">
      <c r="A40" s="1">
        <v>44957</v>
      </c>
      <c r="B40" s="3">
        <v>10.1</v>
      </c>
      <c r="C40" s="3">
        <v>10.3</v>
      </c>
      <c r="D40" s="3">
        <f t="shared" si="0"/>
        <v>0.20000000000000107</v>
      </c>
      <c r="G40" s="3">
        <v>5.8</v>
      </c>
      <c r="H40" s="3">
        <v>6.2</v>
      </c>
      <c r="I40" s="3">
        <f t="shared" si="1"/>
        <v>0.40000000000000036</v>
      </c>
      <c r="O40" s="3"/>
    </row>
    <row r="41" spans="1:15" x14ac:dyDescent="0.35">
      <c r="A41" s="1">
        <v>44985</v>
      </c>
      <c r="B41" s="3">
        <v>10.4</v>
      </c>
      <c r="C41" s="3">
        <v>9.9</v>
      </c>
      <c r="D41" s="3">
        <f t="shared" si="0"/>
        <v>0.5</v>
      </c>
      <c r="G41" s="3">
        <v>6.2</v>
      </c>
      <c r="H41" s="3">
        <v>5.7</v>
      </c>
      <c r="I41" s="3">
        <f t="shared" si="1"/>
        <v>0.5</v>
      </c>
      <c r="O41" s="3"/>
    </row>
    <row r="42" spans="1:15" x14ac:dyDescent="0.35">
      <c r="A42" s="1">
        <v>45016</v>
      </c>
      <c r="B42" s="3">
        <v>10.1</v>
      </c>
      <c r="C42" s="3">
        <v>9.8000000000000007</v>
      </c>
      <c r="D42" s="3">
        <f t="shared" si="0"/>
        <v>0.29999999999999893</v>
      </c>
      <c r="G42" s="3">
        <v>6.2</v>
      </c>
      <c r="H42" s="3">
        <v>6</v>
      </c>
      <c r="I42" s="3">
        <f t="shared" si="1"/>
        <v>0.20000000000000018</v>
      </c>
      <c r="O42" s="3"/>
    </row>
    <row r="43" spans="1:15" x14ac:dyDescent="0.35">
      <c r="A43" s="1">
        <v>45046</v>
      </c>
      <c r="B43" s="3">
        <v>8.6999999999999993</v>
      </c>
      <c r="C43" s="3">
        <v>8.1999999999999993</v>
      </c>
      <c r="D43" s="3">
        <f t="shared" si="0"/>
        <v>0.5</v>
      </c>
      <c r="G43" s="3">
        <v>6.8</v>
      </c>
      <c r="H43" s="3">
        <v>6.2</v>
      </c>
      <c r="I43" s="3">
        <f t="shared" si="1"/>
        <v>0.59999999999999964</v>
      </c>
      <c r="O43" s="3"/>
    </row>
    <row r="44" spans="1:15" x14ac:dyDescent="0.35">
      <c r="A44" s="1">
        <v>45077</v>
      </c>
      <c r="B44" s="3">
        <v>8.6999999999999993</v>
      </c>
      <c r="C44" s="3">
        <v>8.4</v>
      </c>
      <c r="D44" s="3">
        <f t="shared" si="0"/>
        <v>0.29999999999999893</v>
      </c>
      <c r="G44" s="3">
        <v>7.1</v>
      </c>
      <c r="H44" s="3">
        <v>6.8</v>
      </c>
      <c r="I44" s="3">
        <f t="shared" si="1"/>
        <v>0.29999999999999982</v>
      </c>
      <c r="O44" s="3"/>
    </row>
    <row r="45" spans="1:15" x14ac:dyDescent="0.35">
      <c r="A45" s="1">
        <v>45107</v>
      </c>
      <c r="B45" s="3">
        <v>7.9</v>
      </c>
      <c r="C45" s="3">
        <v>8.1999999999999993</v>
      </c>
      <c r="D45" s="3">
        <f t="shared" si="0"/>
        <v>0.29999999999999893</v>
      </c>
      <c r="G45" s="3">
        <v>6.9</v>
      </c>
      <c r="H45" s="3">
        <v>7.1</v>
      </c>
      <c r="I45" s="3">
        <f t="shared" si="1"/>
        <v>0.19999999999999929</v>
      </c>
      <c r="O45" s="3"/>
    </row>
    <row r="46" spans="1:15" x14ac:dyDescent="0.35">
      <c r="A46" s="1">
        <v>45138</v>
      </c>
      <c r="B46" s="3">
        <v>6.8</v>
      </c>
      <c r="C46" s="3">
        <v>6.7</v>
      </c>
      <c r="D46" s="3">
        <f t="shared" si="0"/>
        <v>9.9999999999999645E-2</v>
      </c>
      <c r="G46" s="3">
        <v>6.9</v>
      </c>
      <c r="H46" s="3">
        <v>6.8</v>
      </c>
      <c r="I46" s="3">
        <f t="shared" si="1"/>
        <v>0.10000000000000053</v>
      </c>
      <c r="O46" s="3"/>
    </row>
    <row r="47" spans="1:15" x14ac:dyDescent="0.35">
      <c r="A47" s="1">
        <v>45169</v>
      </c>
      <c r="B47" s="3">
        <v>6.7</v>
      </c>
      <c r="C47" s="3">
        <v>7</v>
      </c>
      <c r="D47" s="3">
        <f t="shared" si="0"/>
        <v>0.29999999999999982</v>
      </c>
      <c r="G47" s="3">
        <v>6.2</v>
      </c>
      <c r="H47" s="3">
        <v>6.8</v>
      </c>
      <c r="I47" s="3">
        <f t="shared" si="1"/>
        <v>0.59999999999999964</v>
      </c>
      <c r="O47" s="3"/>
    </row>
    <row r="48" spans="1:15" x14ac:dyDescent="0.35">
      <c r="A48" s="1">
        <v>45199</v>
      </c>
      <c r="B48" s="3">
        <v>6.7</v>
      </c>
      <c r="C48" s="3">
        <v>6.6</v>
      </c>
      <c r="D48" s="3">
        <f t="shared" si="0"/>
        <v>0.10000000000000053</v>
      </c>
      <c r="G48" s="3">
        <v>6.1</v>
      </c>
      <c r="H48" s="3">
        <v>6</v>
      </c>
      <c r="I48" s="3">
        <f t="shared" si="1"/>
        <v>9.9999999999999645E-2</v>
      </c>
      <c r="O48" s="3"/>
    </row>
    <row r="49" spans="1:15" x14ac:dyDescent="0.35">
      <c r="A49" s="1">
        <v>45230</v>
      </c>
      <c r="B49" s="3">
        <v>4.5999999999999996</v>
      </c>
      <c r="C49" s="3">
        <v>4.7</v>
      </c>
      <c r="D49" s="3">
        <f t="shared" si="0"/>
        <v>0.10000000000000053</v>
      </c>
      <c r="G49" s="3">
        <v>5.7</v>
      </c>
      <c r="H49" s="3">
        <v>5.8</v>
      </c>
      <c r="I49" s="3">
        <f t="shared" si="1"/>
        <v>9.9999999999999645E-2</v>
      </c>
      <c r="O49" s="3"/>
    </row>
    <row r="50" spans="1:15" x14ac:dyDescent="0.35">
      <c r="A50" s="1">
        <v>45260</v>
      </c>
      <c r="B50" s="3">
        <v>3.9</v>
      </c>
      <c r="C50" s="3">
        <v>4.3</v>
      </c>
      <c r="D50" s="3">
        <f t="shared" si="0"/>
        <v>0.39999999999999991</v>
      </c>
      <c r="G50" s="3">
        <v>5.0999999999999996</v>
      </c>
      <c r="H50" s="3">
        <v>5.6</v>
      </c>
      <c r="I50" s="3">
        <f t="shared" si="1"/>
        <v>0.5</v>
      </c>
      <c r="O50" s="3"/>
    </row>
    <row r="51" spans="1:15" x14ac:dyDescent="0.35">
      <c r="A51" s="1">
        <v>45291</v>
      </c>
      <c r="B51" s="3">
        <v>4</v>
      </c>
      <c r="C51" s="3">
        <v>3.8</v>
      </c>
      <c r="D51" s="3">
        <f t="shared" si="0"/>
        <v>0.20000000000000018</v>
      </c>
      <c r="G51" s="3">
        <v>5.0999999999999996</v>
      </c>
      <c r="H51" s="3">
        <v>4.9000000000000004</v>
      </c>
      <c r="I51" s="3">
        <f t="shared" si="1"/>
        <v>0.19999999999999929</v>
      </c>
      <c r="O51" s="3"/>
    </row>
    <row r="52" spans="1:15" x14ac:dyDescent="0.35">
      <c r="A52" s="1">
        <v>45322</v>
      </c>
      <c r="B52" s="3">
        <v>4</v>
      </c>
      <c r="C52" s="3">
        <v>4.0999999999999996</v>
      </c>
      <c r="D52" s="3">
        <f t="shared" si="0"/>
        <v>9.9999999999999645E-2</v>
      </c>
      <c r="G52" s="3">
        <v>5.0999999999999996</v>
      </c>
      <c r="H52" s="3">
        <v>5.2</v>
      </c>
      <c r="I52" s="3">
        <f t="shared" si="1"/>
        <v>0.10000000000000053</v>
      </c>
      <c r="O52" s="3"/>
    </row>
    <row r="53" spans="1:15" x14ac:dyDescent="0.35">
      <c r="A53" s="1">
        <v>45351</v>
      </c>
      <c r="B53" s="3">
        <v>3.4</v>
      </c>
      <c r="C53" s="3">
        <v>3.5</v>
      </c>
      <c r="D53" s="3">
        <f t="shared" si="0"/>
        <v>0.10000000000000009</v>
      </c>
      <c r="G53" s="3">
        <v>4.5</v>
      </c>
      <c r="H53" s="3">
        <v>4.5999999999999996</v>
      </c>
      <c r="I53" s="3">
        <f t="shared" si="1"/>
        <v>9.9999999999999645E-2</v>
      </c>
      <c r="O53" s="3"/>
    </row>
    <row r="54" spans="1:15" x14ac:dyDescent="0.35">
      <c r="A54" s="1">
        <v>45382</v>
      </c>
      <c r="B54" s="3">
        <v>3.2</v>
      </c>
      <c r="C54" s="3">
        <v>3.1</v>
      </c>
      <c r="D54" s="3">
        <f t="shared" si="0"/>
        <v>0.10000000000000009</v>
      </c>
      <c r="G54" s="3">
        <v>4.2</v>
      </c>
      <c r="H54" s="3">
        <v>4.0999999999999996</v>
      </c>
      <c r="I54" s="3">
        <f t="shared" si="1"/>
        <v>0.10000000000000053</v>
      </c>
      <c r="O54" s="3"/>
    </row>
    <row r="55" spans="1:15" x14ac:dyDescent="0.35">
      <c r="A55" s="1">
        <v>45412</v>
      </c>
      <c r="B55" s="3">
        <v>2.2999999999999998</v>
      </c>
      <c r="C55" s="3">
        <v>2.1</v>
      </c>
      <c r="D55" s="3">
        <f t="shared" si="0"/>
        <v>0.19999999999999973</v>
      </c>
      <c r="G55" s="3">
        <v>3.9</v>
      </c>
      <c r="H55" s="3">
        <v>3.6</v>
      </c>
      <c r="I55" s="3">
        <f t="shared" si="1"/>
        <v>0.29999999999999982</v>
      </c>
      <c r="O55" s="3"/>
    </row>
    <row r="56" spans="1:15" x14ac:dyDescent="0.35">
      <c r="A56" s="1">
        <v>45443</v>
      </c>
      <c r="B56" s="3">
        <v>2</v>
      </c>
      <c r="C56" s="3">
        <v>2</v>
      </c>
      <c r="D56" s="3">
        <f t="shared" si="0"/>
        <v>0</v>
      </c>
      <c r="G56" s="3">
        <v>3.5</v>
      </c>
      <c r="H56" s="3">
        <v>3.5</v>
      </c>
      <c r="I56" s="3">
        <f t="shared" si="1"/>
        <v>0</v>
      </c>
      <c r="O56" s="3"/>
    </row>
    <row r="57" spans="1:15" x14ac:dyDescent="0.35">
      <c r="A57" s="1">
        <v>45473</v>
      </c>
      <c r="B57" s="3">
        <v>2</v>
      </c>
      <c r="C57" s="3">
        <v>1.9</v>
      </c>
      <c r="D57" s="3">
        <f t="shared" si="0"/>
        <v>0.10000000000000009</v>
      </c>
      <c r="G57" s="3">
        <v>3.5</v>
      </c>
      <c r="H57" s="3">
        <v>3.4</v>
      </c>
      <c r="I57" s="3">
        <f t="shared" si="1"/>
        <v>0.10000000000000009</v>
      </c>
      <c r="O57" s="3"/>
    </row>
    <row r="58" spans="1:15" x14ac:dyDescent="0.35">
      <c r="A58" s="1">
        <v>45504</v>
      </c>
      <c r="B58" s="3">
        <v>2.2000000000000002</v>
      </c>
      <c r="C58" s="3">
        <v>2.2999999999999998</v>
      </c>
      <c r="D58" s="3">
        <f t="shared" si="0"/>
        <v>9.9999999999999645E-2</v>
      </c>
      <c r="G58" s="3">
        <v>3.3</v>
      </c>
      <c r="H58" s="3">
        <v>3.4</v>
      </c>
      <c r="I58" s="3">
        <f t="shared" si="1"/>
        <v>0.10000000000000009</v>
      </c>
      <c r="O58" s="3"/>
    </row>
    <row r="59" spans="1:15" x14ac:dyDescent="0.35">
      <c r="A59" s="1">
        <v>45535</v>
      </c>
      <c r="B59" s="3">
        <v>2.2000000000000002</v>
      </c>
      <c r="C59" s="3">
        <v>2.2000000000000002</v>
      </c>
      <c r="D59" s="3">
        <f t="shared" si="0"/>
        <v>0</v>
      </c>
      <c r="G59" s="3">
        <v>3.6</v>
      </c>
      <c r="H59" s="3">
        <v>3.6</v>
      </c>
      <c r="I59" s="3">
        <f t="shared" si="1"/>
        <v>0</v>
      </c>
      <c r="O59" s="3"/>
    </row>
    <row r="60" spans="1:15" x14ac:dyDescent="0.35">
      <c r="A60" s="1">
        <v>45565</v>
      </c>
      <c r="B60" s="3">
        <v>1.7</v>
      </c>
      <c r="C60" s="3">
        <v>1.9</v>
      </c>
      <c r="D60" s="3">
        <f t="shared" si="0"/>
        <v>0.19999999999999996</v>
      </c>
      <c r="G60" s="3">
        <v>3.2</v>
      </c>
      <c r="H60" s="3">
        <v>3.4</v>
      </c>
      <c r="I60" s="3">
        <f t="shared" si="1"/>
        <v>0.19999999999999973</v>
      </c>
      <c r="O60" s="3"/>
    </row>
    <row r="61" spans="1:15" x14ac:dyDescent="0.35">
      <c r="A61" s="1">
        <v>45596</v>
      </c>
      <c r="B61" s="3">
        <v>2.2999999999999998</v>
      </c>
      <c r="C61" s="3">
        <v>2.2000000000000002</v>
      </c>
      <c r="D61" s="3">
        <f t="shared" si="0"/>
        <v>9.9999999999999645E-2</v>
      </c>
      <c r="G61" s="3">
        <v>3.3</v>
      </c>
      <c r="H61" s="3">
        <v>3.1</v>
      </c>
      <c r="I61" s="3">
        <f t="shared" si="1"/>
        <v>0.19999999999999973</v>
      </c>
      <c r="O61" s="3"/>
    </row>
    <row r="62" spans="1:15" x14ac:dyDescent="0.35">
      <c r="A62" s="1">
        <v>45626</v>
      </c>
      <c r="B62" s="3">
        <v>2.6</v>
      </c>
      <c r="C62" s="3">
        <v>2.6</v>
      </c>
      <c r="D62" s="3">
        <f t="shared" si="0"/>
        <v>0</v>
      </c>
      <c r="G62" s="3">
        <v>3.5</v>
      </c>
      <c r="H62" s="3">
        <v>3.6</v>
      </c>
      <c r="I62" s="3">
        <f t="shared" si="1"/>
        <v>0.10000000000000009</v>
      </c>
      <c r="O62" s="3"/>
    </row>
    <row r="63" spans="1:15" x14ac:dyDescent="0.35">
      <c r="A63" s="1">
        <v>45657</v>
      </c>
      <c r="B63" s="3">
        <v>2.5</v>
      </c>
      <c r="C63" s="3">
        <v>2.6</v>
      </c>
      <c r="D63" s="3">
        <f t="shared" si="0"/>
        <v>0.10000000000000009</v>
      </c>
      <c r="G63" s="3">
        <v>3.2</v>
      </c>
      <c r="H63" s="3">
        <v>3.4</v>
      </c>
      <c r="I63" s="3">
        <f t="shared" si="1"/>
        <v>0.19999999999999973</v>
      </c>
      <c r="O63" s="3"/>
    </row>
    <row r="64" spans="1:15" x14ac:dyDescent="0.35">
      <c r="A64" s="1">
        <v>45688</v>
      </c>
      <c r="B64" s="3">
        <v>3</v>
      </c>
      <c r="C64" s="3">
        <v>2.8</v>
      </c>
      <c r="D64" s="3">
        <f t="shared" si="0"/>
        <v>0.20000000000000018</v>
      </c>
      <c r="G64" s="3">
        <v>3.7</v>
      </c>
      <c r="H64" s="3">
        <v>3.7</v>
      </c>
      <c r="I64" s="3">
        <f t="shared" si="1"/>
        <v>0</v>
      </c>
      <c r="O64" s="3"/>
    </row>
    <row r="65" spans="1:15" x14ac:dyDescent="0.35">
      <c r="A65" s="1">
        <v>45716</v>
      </c>
      <c r="B65" s="3">
        <v>2.8</v>
      </c>
      <c r="C65" s="3">
        <v>3</v>
      </c>
      <c r="D65" s="3">
        <f t="shared" si="0"/>
        <v>0.20000000000000018</v>
      </c>
      <c r="G65" s="3">
        <v>3.5</v>
      </c>
      <c r="H65" s="3">
        <v>3.6</v>
      </c>
      <c r="I65" s="3">
        <f t="shared" si="1"/>
        <v>0.10000000000000009</v>
      </c>
      <c r="O65" s="3"/>
    </row>
    <row r="66" spans="1:15" x14ac:dyDescent="0.35">
      <c r="A66" s="1">
        <v>45747</v>
      </c>
      <c r="B66" s="3">
        <v>2.6</v>
      </c>
      <c r="C66" s="3">
        <v>2.7</v>
      </c>
      <c r="D66" s="3">
        <f t="shared" si="0"/>
        <v>0.10000000000000009</v>
      </c>
      <c r="G66" s="3">
        <v>3.4</v>
      </c>
      <c r="H66" s="3">
        <v>3.4</v>
      </c>
      <c r="I66" s="3">
        <f t="shared" si="1"/>
        <v>0</v>
      </c>
      <c r="O66" s="3"/>
    </row>
    <row r="67" spans="1:15" x14ac:dyDescent="0.35">
      <c r="A67" s="1">
        <v>45777</v>
      </c>
      <c r="B67" s="3">
        <v>3.5</v>
      </c>
      <c r="C67" s="3">
        <v>3.3</v>
      </c>
      <c r="D67" s="3">
        <f t="shared" si="0"/>
        <v>0.20000000000000018</v>
      </c>
      <c r="G67" s="3">
        <v>3.8</v>
      </c>
      <c r="H67" s="3">
        <v>3.6</v>
      </c>
      <c r="I67" s="3">
        <f t="shared" si="1"/>
        <v>0.19999999999999973</v>
      </c>
      <c r="O67" s="3"/>
    </row>
    <row r="68" spans="1:15" x14ac:dyDescent="0.35">
      <c r="A68" s="1">
        <v>45808</v>
      </c>
      <c r="B68" s="3">
        <v>3.4</v>
      </c>
      <c r="C68" s="3">
        <v>3.3</v>
      </c>
      <c r="D68" s="3">
        <f t="shared" si="0"/>
        <v>0.10000000000000009</v>
      </c>
      <c r="G68" s="3">
        <v>3.5</v>
      </c>
      <c r="H68" s="3">
        <v>3.5</v>
      </c>
      <c r="I68" s="3">
        <f t="shared" si="1"/>
        <v>0</v>
      </c>
      <c r="O68" s="3"/>
    </row>
    <row r="69" spans="1:15" x14ac:dyDescent="0.35">
      <c r="A69" s="1">
        <v>45838</v>
      </c>
      <c r="B69" s="3">
        <v>3.6</v>
      </c>
      <c r="C69" s="3">
        <v>3.4</v>
      </c>
      <c r="D69" s="3">
        <f t="shared" ref="D69:D76" si="3">ABS(B69-C69)</f>
        <v>0.20000000000000018</v>
      </c>
      <c r="G69" s="3">
        <v>3.7</v>
      </c>
      <c r="H69" s="3">
        <v>3.5</v>
      </c>
      <c r="I69" s="3">
        <f t="shared" ref="I69:I76" si="4">ABS(G69-H69)</f>
        <v>0.20000000000000018</v>
      </c>
      <c r="O69" s="3"/>
    </row>
    <row r="70" spans="1:15" x14ac:dyDescent="0.35">
      <c r="A70" s="1">
        <v>45869</v>
      </c>
      <c r="B70" s="3">
        <v>3.8</v>
      </c>
      <c r="C70" s="3">
        <v>3.7</v>
      </c>
      <c r="D70" s="3">
        <f t="shared" si="3"/>
        <v>9.9999999999999645E-2</v>
      </c>
      <c r="G70" s="3">
        <v>3.8</v>
      </c>
      <c r="H70" s="3">
        <v>3.7</v>
      </c>
      <c r="I70" s="3">
        <f t="shared" si="4"/>
        <v>9.9999999999999645E-2</v>
      </c>
      <c r="O70" s="3"/>
    </row>
    <row r="71" spans="1:15" x14ac:dyDescent="0.35">
      <c r="A71" s="1">
        <v>45900</v>
      </c>
      <c r="B71" s="3">
        <v>3.8</v>
      </c>
      <c r="C71" s="3">
        <v>3.8</v>
      </c>
      <c r="D71" s="3">
        <f t="shared" si="3"/>
        <v>0</v>
      </c>
      <c r="G71" s="3">
        <v>3.6</v>
      </c>
      <c r="H71" s="3">
        <v>3.6</v>
      </c>
      <c r="I71" s="3">
        <f t="shared" si="4"/>
        <v>0</v>
      </c>
      <c r="O71" s="3"/>
    </row>
    <row r="72" spans="1:15" x14ac:dyDescent="0.35">
      <c r="A72" s="1">
        <v>45930</v>
      </c>
      <c r="B72" s="3">
        <v>3.8</v>
      </c>
      <c r="C72" s="3">
        <v>4</v>
      </c>
      <c r="D72" s="3">
        <f t="shared" si="3"/>
        <v>0.20000000000000018</v>
      </c>
      <c r="G72" s="3">
        <v>3.5</v>
      </c>
      <c r="H72" s="3">
        <v>3.7</v>
      </c>
      <c r="I72" s="3">
        <f t="shared" si="4"/>
        <v>0.20000000000000018</v>
      </c>
      <c r="O72" s="3"/>
    </row>
    <row r="73" spans="1:15" x14ac:dyDescent="0.35">
      <c r="A73" s="1">
        <v>45961</v>
      </c>
      <c r="B73" s="3">
        <v>3.6</v>
      </c>
      <c r="C73" s="3">
        <v>3.5</v>
      </c>
      <c r="D73" s="3">
        <f t="shared" si="3"/>
        <v>0.10000000000000009</v>
      </c>
      <c r="G73" s="3">
        <v>3.4</v>
      </c>
      <c r="H73" s="3">
        <v>3.4</v>
      </c>
      <c r="I73" s="3">
        <f t="shared" si="4"/>
        <v>0</v>
      </c>
      <c r="O73" s="3"/>
    </row>
    <row r="74" spans="1:15" x14ac:dyDescent="0.35">
      <c r="A74" s="1">
        <v>45991</v>
      </c>
      <c r="B74" s="3">
        <v>3.2</v>
      </c>
      <c r="C74" s="3">
        <v>3.5</v>
      </c>
      <c r="D74" s="3">
        <f t="shared" si="3"/>
        <v>0.29999999999999982</v>
      </c>
      <c r="G74" s="3">
        <v>3.2</v>
      </c>
      <c r="H74" s="3">
        <v>3.4</v>
      </c>
      <c r="I74" s="3">
        <f t="shared" si="4"/>
        <v>0.19999999999999973</v>
      </c>
      <c r="O74" s="3"/>
    </row>
    <row r="75" spans="1:15" x14ac:dyDescent="0.35">
      <c r="A75" s="1">
        <v>46022</v>
      </c>
      <c r="B75" s="3">
        <v>3.4</v>
      </c>
      <c r="C75" s="3">
        <v>3.3</v>
      </c>
      <c r="D75" s="3">
        <f t="shared" si="3"/>
        <v>0.10000000000000009</v>
      </c>
      <c r="G75" s="3">
        <v>3.2</v>
      </c>
      <c r="H75" s="3">
        <v>3.3</v>
      </c>
      <c r="I75" s="3">
        <f t="shared" si="4"/>
        <v>9.9999999999999645E-2</v>
      </c>
      <c r="O75" s="3"/>
    </row>
    <row r="76" spans="1:15" x14ac:dyDescent="0.35">
      <c r="A76" s="1">
        <v>46053</v>
      </c>
      <c r="B76" s="3">
        <v>3</v>
      </c>
      <c r="C76" s="3">
        <v>3</v>
      </c>
      <c r="D76" s="3">
        <f t="shared" si="3"/>
        <v>0</v>
      </c>
      <c r="G76" s="3">
        <v>3.1</v>
      </c>
      <c r="H76" s="3">
        <v>3</v>
      </c>
      <c r="I76" s="3">
        <f t="shared" si="4"/>
        <v>0.10000000000000009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3FA9-A9C8-495D-BEFE-E393742B2F6F}">
  <dimension ref="A4:B322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D22" sqref="D22"/>
    </sheetView>
  </sheetViews>
  <sheetFormatPr defaultRowHeight="14.5" x14ac:dyDescent="0.35"/>
  <cols>
    <col min="2" max="2" width="19.81640625" customWidth="1"/>
  </cols>
  <sheetData>
    <row r="4" spans="1:2" x14ac:dyDescent="0.35">
      <c r="A4" s="6" t="s">
        <v>19</v>
      </c>
      <c r="B4" s="5" t="s">
        <v>18</v>
      </c>
    </row>
    <row r="5" spans="1:2" s="7" customFormat="1" ht="50" customHeight="1" x14ac:dyDescent="0.35">
      <c r="A5" s="7" t="s">
        <v>26</v>
      </c>
      <c r="B5" s="7" t="s">
        <v>32</v>
      </c>
    </row>
    <row r="6" spans="1:2" hidden="1" x14ac:dyDescent="0.35">
      <c r="A6" t="s">
        <v>25</v>
      </c>
      <c r="B6" t="s">
        <v>31</v>
      </c>
    </row>
    <row r="7" spans="1:2" ht="1.5" customHeight="1" x14ac:dyDescent="0.35">
      <c r="A7" t="s">
        <v>24</v>
      </c>
      <c r="B7" t="s">
        <v>30</v>
      </c>
    </row>
    <row r="8" spans="1:2" ht="0.5" hidden="1" customHeight="1" x14ac:dyDescent="0.35">
      <c r="A8" t="s">
        <v>23</v>
      </c>
      <c r="B8" t="s">
        <v>29</v>
      </c>
    </row>
    <row r="9" spans="1:2" ht="1" customHeight="1" x14ac:dyDescent="0.35">
      <c r="A9" t="s">
        <v>22</v>
      </c>
      <c r="B9" t="s">
        <v>28</v>
      </c>
    </row>
    <row r="10" spans="1:2" ht="10.5" hidden="1" customHeight="1" x14ac:dyDescent="0.35">
      <c r="A10" t="s">
        <v>21</v>
      </c>
      <c r="B10" t="s">
        <v>27</v>
      </c>
    </row>
    <row r="11" spans="1:2" x14ac:dyDescent="0.35">
      <c r="A11" t="s">
        <v>20</v>
      </c>
      <c r="B11" s="3">
        <v>71.900000000000006</v>
      </c>
    </row>
    <row r="12" spans="1:2" x14ac:dyDescent="0.35">
      <c r="A12" t="s">
        <v>33</v>
      </c>
      <c r="B12" s="3">
        <v>72.2</v>
      </c>
    </row>
    <row r="13" spans="1:2" x14ac:dyDescent="0.35">
      <c r="A13" t="s">
        <v>34</v>
      </c>
      <c r="B13" s="3">
        <v>72.3</v>
      </c>
    </row>
    <row r="14" spans="1:2" x14ac:dyDescent="0.35">
      <c r="A14" t="s">
        <v>35</v>
      </c>
      <c r="B14" s="3">
        <v>72.599999999999994</v>
      </c>
    </row>
    <row r="15" spans="1:2" x14ac:dyDescent="0.35">
      <c r="A15" t="s">
        <v>36</v>
      </c>
      <c r="B15" s="3">
        <v>72.8</v>
      </c>
    </row>
    <row r="16" spans="1:2" x14ac:dyDescent="0.35">
      <c r="A16" t="s">
        <v>37</v>
      </c>
      <c r="B16" s="3">
        <v>72.900000000000006</v>
      </c>
    </row>
    <row r="17" spans="1:2" x14ac:dyDescent="0.35">
      <c r="A17" t="s">
        <v>38</v>
      </c>
      <c r="B17" s="3">
        <v>72.5</v>
      </c>
    </row>
    <row r="18" spans="1:2" x14ac:dyDescent="0.35">
      <c r="A18" t="s">
        <v>39</v>
      </c>
      <c r="B18" s="3">
        <v>72.5</v>
      </c>
    </row>
    <row r="19" spans="1:2" x14ac:dyDescent="0.35">
      <c r="A19" t="s">
        <v>40</v>
      </c>
      <c r="B19" s="3">
        <v>73.099999999999994</v>
      </c>
    </row>
    <row r="20" spans="1:2" x14ac:dyDescent="0.35">
      <c r="A20" t="s">
        <v>41</v>
      </c>
      <c r="B20" s="3">
        <v>73.099999999999994</v>
      </c>
    </row>
    <row r="21" spans="1:2" x14ac:dyDescent="0.35">
      <c r="A21" t="s">
        <v>42</v>
      </c>
      <c r="B21" s="3">
        <v>73.2</v>
      </c>
    </row>
    <row r="22" spans="1:2" x14ac:dyDescent="0.35">
      <c r="A22" t="s">
        <v>43</v>
      </c>
      <c r="B22" s="3">
        <v>73.2</v>
      </c>
    </row>
    <row r="23" spans="1:2" x14ac:dyDescent="0.35">
      <c r="A23" t="s">
        <v>44</v>
      </c>
      <c r="B23" s="3">
        <v>72.599999999999994</v>
      </c>
    </row>
    <row r="24" spans="1:2" x14ac:dyDescent="0.35">
      <c r="A24" t="s">
        <v>45</v>
      </c>
      <c r="B24" s="3">
        <v>72.7</v>
      </c>
    </row>
    <row r="25" spans="1:2" x14ac:dyDescent="0.35">
      <c r="A25" t="s">
        <v>46</v>
      </c>
      <c r="B25" s="3">
        <v>73</v>
      </c>
    </row>
    <row r="26" spans="1:2" x14ac:dyDescent="0.35">
      <c r="A26" t="s">
        <v>47</v>
      </c>
      <c r="B26" s="3">
        <v>73.400000000000006</v>
      </c>
    </row>
    <row r="27" spans="1:2" x14ac:dyDescent="0.35">
      <c r="A27" t="s">
        <v>48</v>
      </c>
      <c r="B27" s="3">
        <v>74</v>
      </c>
    </row>
    <row r="28" spans="1:2" x14ac:dyDescent="0.35">
      <c r="A28" t="s">
        <v>49</v>
      </c>
      <c r="B28" s="3">
        <v>74.099999999999994</v>
      </c>
    </row>
    <row r="29" spans="1:2" x14ac:dyDescent="0.35">
      <c r="A29" t="s">
        <v>50</v>
      </c>
      <c r="B29" s="3">
        <v>73.599999999999994</v>
      </c>
    </row>
    <row r="30" spans="1:2" x14ac:dyDescent="0.35">
      <c r="A30" t="s">
        <v>51</v>
      </c>
      <c r="B30" s="3">
        <v>73.900000000000006</v>
      </c>
    </row>
    <row r="31" spans="1:2" x14ac:dyDescent="0.35">
      <c r="A31" t="s">
        <v>52</v>
      </c>
      <c r="B31" s="3">
        <v>74.099999999999994</v>
      </c>
    </row>
    <row r="32" spans="1:2" x14ac:dyDescent="0.35">
      <c r="A32" t="s">
        <v>53</v>
      </c>
      <c r="B32" s="3">
        <v>73.900000000000006</v>
      </c>
    </row>
    <row r="33" spans="1:2" x14ac:dyDescent="0.35">
      <c r="A33" t="s">
        <v>54</v>
      </c>
      <c r="B33" s="3">
        <v>73.8</v>
      </c>
    </row>
    <row r="34" spans="1:2" x14ac:dyDescent="0.35">
      <c r="A34" t="s">
        <v>55</v>
      </c>
      <c r="B34" s="3">
        <v>74</v>
      </c>
    </row>
    <row r="35" spans="1:2" x14ac:dyDescent="0.35">
      <c r="A35" t="s">
        <v>56</v>
      </c>
      <c r="B35" s="3">
        <v>73.7</v>
      </c>
    </row>
    <row r="36" spans="1:2" x14ac:dyDescent="0.35">
      <c r="A36" t="s">
        <v>57</v>
      </c>
      <c r="B36" s="3">
        <v>73.8</v>
      </c>
    </row>
    <row r="37" spans="1:2" x14ac:dyDescent="0.35">
      <c r="A37" t="s">
        <v>58</v>
      </c>
      <c r="B37" s="3">
        <v>74.099999999999994</v>
      </c>
    </row>
    <row r="38" spans="1:2" x14ac:dyDescent="0.35">
      <c r="A38" t="s">
        <v>59</v>
      </c>
      <c r="B38" s="3">
        <v>74.400000000000006</v>
      </c>
    </row>
    <row r="39" spans="1:2" x14ac:dyDescent="0.35">
      <c r="A39" t="s">
        <v>60</v>
      </c>
      <c r="B39" s="3">
        <v>74.599999999999994</v>
      </c>
    </row>
    <row r="40" spans="1:2" x14ac:dyDescent="0.35">
      <c r="A40" t="s">
        <v>61</v>
      </c>
      <c r="B40" s="3">
        <v>74.599999999999994</v>
      </c>
    </row>
    <row r="41" spans="1:2" x14ac:dyDescent="0.35">
      <c r="A41" t="s">
        <v>62</v>
      </c>
      <c r="B41" s="3">
        <v>74.400000000000006</v>
      </c>
    </row>
    <row r="42" spans="1:2" x14ac:dyDescent="0.35">
      <c r="A42" t="s">
        <v>63</v>
      </c>
      <c r="B42" s="3">
        <v>74.599999999999994</v>
      </c>
    </row>
    <row r="43" spans="1:2" x14ac:dyDescent="0.35">
      <c r="A43" t="s">
        <v>64</v>
      </c>
      <c r="B43" s="3">
        <v>74.8</v>
      </c>
    </row>
    <row r="44" spans="1:2" x14ac:dyDescent="0.35">
      <c r="A44" t="s">
        <v>65</v>
      </c>
      <c r="B44" s="3">
        <v>74.900000000000006</v>
      </c>
    </row>
    <row r="45" spans="1:2" x14ac:dyDescent="0.35">
      <c r="A45" t="s">
        <v>66</v>
      </c>
      <c r="B45" s="3">
        <v>74.900000000000006</v>
      </c>
    </row>
    <row r="46" spans="1:2" x14ac:dyDescent="0.35">
      <c r="A46" t="s">
        <v>67</v>
      </c>
      <c r="B46" s="3">
        <v>75.2</v>
      </c>
    </row>
    <row r="47" spans="1:2" x14ac:dyDescent="0.35">
      <c r="A47" t="s">
        <v>68</v>
      </c>
      <c r="B47" s="3">
        <v>74.7</v>
      </c>
    </row>
    <row r="48" spans="1:2" x14ac:dyDescent="0.35">
      <c r="A48" t="s">
        <v>69</v>
      </c>
      <c r="B48" s="3">
        <v>75</v>
      </c>
    </row>
    <row r="49" spans="1:2" x14ac:dyDescent="0.35">
      <c r="A49" t="s">
        <v>70</v>
      </c>
      <c r="B49" s="3">
        <v>75.3</v>
      </c>
    </row>
    <row r="50" spans="1:2" x14ac:dyDescent="0.35">
      <c r="A50" t="s">
        <v>71</v>
      </c>
      <c r="B50" s="3">
        <v>75.5</v>
      </c>
    </row>
    <row r="51" spans="1:2" x14ac:dyDescent="0.35">
      <c r="A51" t="s">
        <v>72</v>
      </c>
      <c r="B51" s="3">
        <v>75.5</v>
      </c>
    </row>
    <row r="52" spans="1:2" x14ac:dyDescent="0.35">
      <c r="A52" t="s">
        <v>73</v>
      </c>
      <c r="B52" s="3">
        <v>75.400000000000006</v>
      </c>
    </row>
    <row r="53" spans="1:2" x14ac:dyDescent="0.35">
      <c r="A53" t="s">
        <v>74</v>
      </c>
      <c r="B53" s="3">
        <v>75.3</v>
      </c>
    </row>
    <row r="54" spans="1:2" x14ac:dyDescent="0.35">
      <c r="A54" t="s">
        <v>75</v>
      </c>
      <c r="B54" s="3">
        <v>75.599999999999994</v>
      </c>
    </row>
    <row r="55" spans="1:2" x14ac:dyDescent="0.35">
      <c r="A55" t="s">
        <v>76</v>
      </c>
      <c r="B55" s="3">
        <v>75.900000000000006</v>
      </c>
    </row>
    <row r="56" spans="1:2" x14ac:dyDescent="0.35">
      <c r="A56" t="s">
        <v>77</v>
      </c>
      <c r="B56" s="3">
        <v>76</v>
      </c>
    </row>
    <row r="57" spans="1:2" x14ac:dyDescent="0.35">
      <c r="A57" t="s">
        <v>78</v>
      </c>
      <c r="B57" s="3">
        <v>75.900000000000006</v>
      </c>
    </row>
    <row r="58" spans="1:2" x14ac:dyDescent="0.35">
      <c r="A58" t="s">
        <v>79</v>
      </c>
      <c r="B58" s="3">
        <v>76.2</v>
      </c>
    </row>
    <row r="59" spans="1:2" x14ac:dyDescent="0.35">
      <c r="A59" t="s">
        <v>80</v>
      </c>
      <c r="B59" s="3">
        <v>75.8</v>
      </c>
    </row>
    <row r="60" spans="1:2" x14ac:dyDescent="0.35">
      <c r="A60" t="s">
        <v>81</v>
      </c>
      <c r="B60" s="3">
        <v>76</v>
      </c>
    </row>
    <row r="61" spans="1:2" x14ac:dyDescent="0.35">
      <c r="A61" t="s">
        <v>82</v>
      </c>
      <c r="B61" s="3">
        <v>76.099999999999994</v>
      </c>
    </row>
    <row r="62" spans="1:2" x14ac:dyDescent="0.35">
      <c r="A62" t="s">
        <v>83</v>
      </c>
      <c r="B62" s="3">
        <v>76.400000000000006</v>
      </c>
    </row>
    <row r="63" spans="1:2" x14ac:dyDescent="0.35">
      <c r="A63" t="s">
        <v>84</v>
      </c>
      <c r="B63" s="3">
        <v>76.599999999999994</v>
      </c>
    </row>
    <row r="64" spans="1:2" x14ac:dyDescent="0.35">
      <c r="A64" t="s">
        <v>85</v>
      </c>
      <c r="B64" s="3">
        <v>76.599999999999994</v>
      </c>
    </row>
    <row r="65" spans="1:2" x14ac:dyDescent="0.35">
      <c r="A65" t="s">
        <v>86</v>
      </c>
      <c r="B65" s="3">
        <v>76.400000000000006</v>
      </c>
    </row>
    <row r="66" spans="1:2" x14ac:dyDescent="0.35">
      <c r="A66" t="s">
        <v>87</v>
      </c>
      <c r="B66" s="3">
        <v>76.599999999999994</v>
      </c>
    </row>
    <row r="67" spans="1:2" x14ac:dyDescent="0.35">
      <c r="A67" t="s">
        <v>88</v>
      </c>
      <c r="B67" s="3">
        <v>76.7</v>
      </c>
    </row>
    <row r="68" spans="1:2" x14ac:dyDescent="0.35">
      <c r="A68" t="s">
        <v>89</v>
      </c>
      <c r="B68" s="3">
        <v>76.900000000000006</v>
      </c>
    </row>
    <row r="69" spans="1:2" x14ac:dyDescent="0.35">
      <c r="A69" t="s">
        <v>90</v>
      </c>
      <c r="B69" s="3">
        <v>77</v>
      </c>
    </row>
    <row r="70" spans="1:2" x14ac:dyDescent="0.35">
      <c r="A70" t="s">
        <v>91</v>
      </c>
      <c r="B70" s="3">
        <v>77.400000000000006</v>
      </c>
    </row>
    <row r="71" spans="1:2" x14ac:dyDescent="0.35">
      <c r="A71" t="s">
        <v>92</v>
      </c>
      <c r="B71" s="3">
        <v>77</v>
      </c>
    </row>
    <row r="72" spans="1:2" x14ac:dyDescent="0.35">
      <c r="A72" t="s">
        <v>93</v>
      </c>
      <c r="B72" s="3">
        <v>77.2</v>
      </c>
    </row>
    <row r="73" spans="1:2" x14ac:dyDescent="0.35">
      <c r="A73" t="s">
        <v>94</v>
      </c>
      <c r="B73" s="3">
        <v>77.5</v>
      </c>
    </row>
    <row r="74" spans="1:2" x14ac:dyDescent="0.35">
      <c r="A74" t="s">
        <v>95</v>
      </c>
      <c r="B74" s="3">
        <v>77.8</v>
      </c>
    </row>
    <row r="75" spans="1:2" x14ac:dyDescent="0.35">
      <c r="A75" t="s">
        <v>96</v>
      </c>
      <c r="B75" s="3">
        <v>78.099999999999994</v>
      </c>
    </row>
    <row r="76" spans="1:2" x14ac:dyDescent="0.35">
      <c r="A76" t="s">
        <v>97</v>
      </c>
      <c r="B76" s="3">
        <v>78.099999999999994</v>
      </c>
    </row>
    <row r="77" spans="1:2" x14ac:dyDescent="0.35">
      <c r="A77" t="s">
        <v>98</v>
      </c>
      <c r="B77" s="3">
        <v>78.2</v>
      </c>
    </row>
    <row r="78" spans="1:2" x14ac:dyDescent="0.35">
      <c r="A78" t="s">
        <v>99</v>
      </c>
      <c r="B78" s="3">
        <v>78.400000000000006</v>
      </c>
    </row>
    <row r="79" spans="1:2" x14ac:dyDescent="0.35">
      <c r="A79" t="s">
        <v>100</v>
      </c>
      <c r="B79" s="3">
        <v>78.599999999999994</v>
      </c>
    </row>
    <row r="80" spans="1:2" x14ac:dyDescent="0.35">
      <c r="A80" t="s">
        <v>101</v>
      </c>
      <c r="B80" s="3">
        <v>78.7</v>
      </c>
    </row>
    <row r="81" spans="1:2" x14ac:dyDescent="0.35">
      <c r="A81" t="s">
        <v>102</v>
      </c>
      <c r="B81" s="3">
        <v>78.7</v>
      </c>
    </row>
    <row r="82" spans="1:2" x14ac:dyDescent="0.35">
      <c r="A82" t="s">
        <v>103</v>
      </c>
      <c r="B82" s="3">
        <v>78.900000000000006</v>
      </c>
    </row>
    <row r="83" spans="1:2" x14ac:dyDescent="0.35">
      <c r="A83" t="s">
        <v>104</v>
      </c>
      <c r="B83" s="3">
        <v>78.5</v>
      </c>
    </row>
    <row r="84" spans="1:2" x14ac:dyDescent="0.35">
      <c r="A84" t="s">
        <v>105</v>
      </c>
      <c r="B84" s="3">
        <v>78.8</v>
      </c>
    </row>
    <row r="85" spans="1:2" x14ac:dyDescent="0.35">
      <c r="A85" t="s">
        <v>106</v>
      </c>
      <c r="B85" s="3">
        <v>78.900000000000006</v>
      </c>
    </row>
    <row r="86" spans="1:2" x14ac:dyDescent="0.35">
      <c r="A86" t="s">
        <v>107</v>
      </c>
      <c r="B86" s="3">
        <v>79.400000000000006</v>
      </c>
    </row>
    <row r="87" spans="1:2" x14ac:dyDescent="0.35">
      <c r="A87" t="s">
        <v>108</v>
      </c>
      <c r="B87" s="3">
        <v>79.900000000000006</v>
      </c>
    </row>
    <row r="88" spans="1:2" x14ac:dyDescent="0.35">
      <c r="A88" t="s">
        <v>109</v>
      </c>
      <c r="B88" s="3">
        <v>80.099999999999994</v>
      </c>
    </row>
    <row r="89" spans="1:2" x14ac:dyDescent="0.35">
      <c r="A89" t="s">
        <v>110</v>
      </c>
      <c r="B89" s="3">
        <v>80</v>
      </c>
    </row>
    <row r="90" spans="1:2" x14ac:dyDescent="0.35">
      <c r="A90" t="s">
        <v>111</v>
      </c>
      <c r="B90" s="3">
        <v>80.400000000000006</v>
      </c>
    </row>
    <row r="91" spans="1:2" x14ac:dyDescent="0.35">
      <c r="A91" t="s">
        <v>112</v>
      </c>
      <c r="B91" s="3">
        <v>80.5</v>
      </c>
    </row>
    <row r="92" spans="1:2" x14ac:dyDescent="0.35">
      <c r="A92" t="s">
        <v>113</v>
      </c>
      <c r="B92" s="3">
        <v>80.599999999999994</v>
      </c>
    </row>
    <row r="93" spans="1:2" x14ac:dyDescent="0.35">
      <c r="A93" t="s">
        <v>114</v>
      </c>
      <c r="B93" s="3">
        <v>80.8</v>
      </c>
    </row>
    <row r="94" spans="1:2" x14ac:dyDescent="0.35">
      <c r="A94" t="s">
        <v>115</v>
      </c>
      <c r="B94" s="3">
        <v>81.3</v>
      </c>
    </row>
    <row r="95" spans="1:2" x14ac:dyDescent="0.35">
      <c r="A95" t="s">
        <v>116</v>
      </c>
      <c r="B95" s="3">
        <v>80.599999999999994</v>
      </c>
    </row>
    <row r="96" spans="1:2" x14ac:dyDescent="0.35">
      <c r="A96" t="s">
        <v>117</v>
      </c>
      <c r="B96" s="3">
        <v>81</v>
      </c>
    </row>
    <row r="97" spans="1:2" x14ac:dyDescent="0.35">
      <c r="A97" t="s">
        <v>118</v>
      </c>
      <c r="B97" s="3">
        <v>81.400000000000006</v>
      </c>
    </row>
    <row r="98" spans="1:2" x14ac:dyDescent="0.35">
      <c r="A98" t="s">
        <v>119</v>
      </c>
      <c r="B98" s="3">
        <v>81.599999999999994</v>
      </c>
    </row>
    <row r="99" spans="1:2" x14ac:dyDescent="0.35">
      <c r="A99" t="s">
        <v>120</v>
      </c>
      <c r="B99" s="3">
        <v>81.8</v>
      </c>
    </row>
    <row r="100" spans="1:2" x14ac:dyDescent="0.35">
      <c r="A100" t="s">
        <v>121</v>
      </c>
      <c r="B100" s="3">
        <v>82</v>
      </c>
    </row>
    <row r="101" spans="1:2" x14ac:dyDescent="0.35">
      <c r="A101" t="s">
        <v>122</v>
      </c>
      <c r="B101" s="3">
        <v>81.5</v>
      </c>
    </row>
    <row r="102" spans="1:2" x14ac:dyDescent="0.35">
      <c r="A102" t="s">
        <v>123</v>
      </c>
      <c r="B102" s="3">
        <v>81.8</v>
      </c>
    </row>
    <row r="103" spans="1:2" x14ac:dyDescent="0.35">
      <c r="A103" t="s">
        <v>124</v>
      </c>
      <c r="B103" s="3">
        <v>81.900000000000006</v>
      </c>
    </row>
    <row r="104" spans="1:2" x14ac:dyDescent="0.35">
      <c r="A104" t="s">
        <v>125</v>
      </c>
      <c r="B104" s="3">
        <v>82.3</v>
      </c>
    </row>
    <row r="105" spans="1:2" x14ac:dyDescent="0.35">
      <c r="A105" t="s">
        <v>126</v>
      </c>
      <c r="B105" s="3">
        <v>82.5</v>
      </c>
    </row>
    <row r="106" spans="1:2" x14ac:dyDescent="0.35">
      <c r="A106" t="s">
        <v>127</v>
      </c>
      <c r="B106" s="3">
        <v>83</v>
      </c>
    </row>
    <row r="107" spans="1:2" x14ac:dyDescent="0.35">
      <c r="A107" t="s">
        <v>128</v>
      </c>
      <c r="B107" s="3">
        <v>82.4</v>
      </c>
    </row>
    <row r="108" spans="1:2" x14ac:dyDescent="0.35">
      <c r="A108" t="s">
        <v>129</v>
      </c>
      <c r="B108" s="3">
        <v>83</v>
      </c>
    </row>
    <row r="109" spans="1:2" x14ac:dyDescent="0.35">
      <c r="A109" t="s">
        <v>130</v>
      </c>
      <c r="B109" s="3">
        <v>83.4</v>
      </c>
    </row>
    <row r="110" spans="1:2" x14ac:dyDescent="0.35">
      <c r="A110" t="s">
        <v>131</v>
      </c>
      <c r="B110" s="3">
        <v>84</v>
      </c>
    </row>
    <row r="111" spans="1:2" x14ac:dyDescent="0.35">
      <c r="A111" t="s">
        <v>132</v>
      </c>
      <c r="B111" s="3">
        <v>84.6</v>
      </c>
    </row>
    <row r="112" spans="1:2" x14ac:dyDescent="0.35">
      <c r="A112" t="s">
        <v>133</v>
      </c>
      <c r="B112" s="3">
        <v>85.2</v>
      </c>
    </row>
    <row r="113" spans="1:2" x14ac:dyDescent="0.35">
      <c r="A113" t="s">
        <v>134</v>
      </c>
      <c r="B113" s="3">
        <v>85.1</v>
      </c>
    </row>
    <row r="114" spans="1:2" x14ac:dyDescent="0.35">
      <c r="A114" t="s">
        <v>135</v>
      </c>
      <c r="B114" s="3">
        <v>85.7</v>
      </c>
    </row>
    <row r="115" spans="1:2" x14ac:dyDescent="0.35">
      <c r="A115" t="s">
        <v>136</v>
      </c>
      <c r="B115" s="3">
        <v>86.1</v>
      </c>
    </row>
    <row r="116" spans="1:2" x14ac:dyDescent="0.35">
      <c r="A116" t="s">
        <v>137</v>
      </c>
      <c r="B116" s="3">
        <v>85.9</v>
      </c>
    </row>
    <row r="117" spans="1:2" x14ac:dyDescent="0.35">
      <c r="A117" t="s">
        <v>138</v>
      </c>
      <c r="B117" s="3">
        <v>85.8</v>
      </c>
    </row>
    <row r="118" spans="1:2" x14ac:dyDescent="0.35">
      <c r="A118" t="s">
        <v>139</v>
      </c>
      <c r="B118" s="3">
        <v>85.5</v>
      </c>
    </row>
    <row r="119" spans="1:2" x14ac:dyDescent="0.35">
      <c r="A119" t="s">
        <v>140</v>
      </c>
      <c r="B119" s="3">
        <v>84.9</v>
      </c>
    </row>
    <row r="120" spans="1:2" x14ac:dyDescent="0.35">
      <c r="A120" t="s">
        <v>141</v>
      </c>
      <c r="B120" s="3">
        <v>85.6</v>
      </c>
    </row>
    <row r="121" spans="1:2" x14ac:dyDescent="0.35">
      <c r="A121" t="s">
        <v>142</v>
      </c>
      <c r="B121" s="3">
        <v>85.8</v>
      </c>
    </row>
    <row r="122" spans="1:2" x14ac:dyDescent="0.35">
      <c r="A122" t="s">
        <v>143</v>
      </c>
      <c r="B122" s="3">
        <v>86</v>
      </c>
    </row>
    <row r="123" spans="1:2" x14ac:dyDescent="0.35">
      <c r="A123" t="s">
        <v>144</v>
      </c>
      <c r="B123" s="3">
        <v>86.4</v>
      </c>
    </row>
    <row r="124" spans="1:2" x14ac:dyDescent="0.35">
      <c r="A124" t="s">
        <v>145</v>
      </c>
      <c r="B124" s="3">
        <v>86.7</v>
      </c>
    </row>
    <row r="125" spans="1:2" x14ac:dyDescent="0.35">
      <c r="A125" t="s">
        <v>146</v>
      </c>
      <c r="B125" s="3">
        <v>86.7</v>
      </c>
    </row>
    <row r="126" spans="1:2" x14ac:dyDescent="0.35">
      <c r="A126" t="s">
        <v>147</v>
      </c>
      <c r="B126" s="3">
        <v>87</v>
      </c>
    </row>
    <row r="127" spans="1:2" x14ac:dyDescent="0.35">
      <c r="A127" t="s">
        <v>148</v>
      </c>
      <c r="B127" s="3">
        <v>87.1</v>
      </c>
    </row>
    <row r="128" spans="1:2" x14ac:dyDescent="0.35">
      <c r="A128" t="s">
        <v>149</v>
      </c>
      <c r="B128" s="3">
        <v>87.2</v>
      </c>
    </row>
    <row r="129" spans="1:2" x14ac:dyDescent="0.35">
      <c r="A129" t="s">
        <v>150</v>
      </c>
      <c r="B129" s="3">
        <v>87.5</v>
      </c>
    </row>
    <row r="130" spans="1:2" x14ac:dyDescent="0.35">
      <c r="A130" t="s">
        <v>151</v>
      </c>
      <c r="B130" s="3">
        <v>88</v>
      </c>
    </row>
    <row r="131" spans="1:2" x14ac:dyDescent="0.35">
      <c r="A131" t="s">
        <v>152</v>
      </c>
      <c r="B131" s="3">
        <v>87.8</v>
      </c>
    </row>
    <row r="132" spans="1:2" x14ac:dyDescent="0.35">
      <c r="A132" t="s">
        <v>153</v>
      </c>
      <c r="B132" s="3">
        <v>88.2</v>
      </c>
    </row>
    <row r="133" spans="1:2" x14ac:dyDescent="0.35">
      <c r="A133" t="s">
        <v>154</v>
      </c>
      <c r="B133" s="3">
        <v>88.7</v>
      </c>
    </row>
    <row r="134" spans="1:2" x14ac:dyDescent="0.35">
      <c r="A134" t="s">
        <v>155</v>
      </c>
      <c r="B134" s="3">
        <v>89.2</v>
      </c>
    </row>
    <row r="135" spans="1:2" x14ac:dyDescent="0.35">
      <c r="A135" t="s">
        <v>156</v>
      </c>
      <c r="B135" s="3">
        <v>89.4</v>
      </c>
    </row>
    <row r="136" spans="1:2" x14ac:dyDescent="0.35">
      <c r="A136" t="s">
        <v>157</v>
      </c>
      <c r="B136" s="3">
        <v>89.5</v>
      </c>
    </row>
    <row r="137" spans="1:2" x14ac:dyDescent="0.35">
      <c r="A137" t="s">
        <v>158</v>
      </c>
      <c r="B137" s="3">
        <v>89.3</v>
      </c>
    </row>
    <row r="138" spans="1:2" x14ac:dyDescent="0.35">
      <c r="A138" t="s">
        <v>159</v>
      </c>
      <c r="B138" s="3">
        <v>89.8</v>
      </c>
    </row>
    <row r="139" spans="1:2" x14ac:dyDescent="0.35">
      <c r="A139" t="s">
        <v>160</v>
      </c>
      <c r="B139" s="3">
        <v>89.8</v>
      </c>
    </row>
    <row r="140" spans="1:2" x14ac:dyDescent="0.35">
      <c r="A140" t="s">
        <v>161</v>
      </c>
      <c r="B140" s="3">
        <v>90</v>
      </c>
    </row>
    <row r="141" spans="1:2" x14ac:dyDescent="0.35">
      <c r="A141" t="s">
        <v>162</v>
      </c>
      <c r="B141" s="3">
        <v>90.3</v>
      </c>
    </row>
    <row r="142" spans="1:2" x14ac:dyDescent="0.35">
      <c r="A142" t="s">
        <v>163</v>
      </c>
      <c r="B142" s="3">
        <v>91.2</v>
      </c>
    </row>
    <row r="143" spans="1:2" x14ac:dyDescent="0.35">
      <c r="A143" t="s">
        <v>164</v>
      </c>
      <c r="B143" s="3">
        <v>91.3</v>
      </c>
    </row>
    <row r="144" spans="1:2" x14ac:dyDescent="0.35">
      <c r="A144" t="s">
        <v>165</v>
      </c>
      <c r="B144" s="3">
        <v>92</v>
      </c>
    </row>
    <row r="145" spans="1:2" x14ac:dyDescent="0.35">
      <c r="A145" t="s">
        <v>166</v>
      </c>
      <c r="B145" s="3">
        <v>92.2</v>
      </c>
    </row>
    <row r="146" spans="1:2" x14ac:dyDescent="0.35">
      <c r="A146" t="s">
        <v>167</v>
      </c>
      <c r="B146" s="3">
        <v>93.2</v>
      </c>
    </row>
    <row r="147" spans="1:2" x14ac:dyDescent="0.35">
      <c r="A147" t="s">
        <v>168</v>
      </c>
      <c r="B147" s="3">
        <v>93.4</v>
      </c>
    </row>
    <row r="148" spans="1:2" x14ac:dyDescent="0.35">
      <c r="A148" t="s">
        <v>169</v>
      </c>
      <c r="B148" s="3">
        <v>93.3</v>
      </c>
    </row>
    <row r="149" spans="1:2" x14ac:dyDescent="0.35">
      <c r="A149" t="s">
        <v>170</v>
      </c>
      <c r="B149" s="3">
        <v>93.3</v>
      </c>
    </row>
    <row r="150" spans="1:2" x14ac:dyDescent="0.35">
      <c r="A150" t="s">
        <v>171</v>
      </c>
      <c r="B150" s="3">
        <v>93.8</v>
      </c>
    </row>
    <row r="151" spans="1:2" x14ac:dyDescent="0.35">
      <c r="A151" t="s">
        <v>172</v>
      </c>
      <c r="B151" s="3">
        <v>94.4</v>
      </c>
    </row>
    <row r="152" spans="1:2" x14ac:dyDescent="0.35">
      <c r="A152" t="s">
        <v>173</v>
      </c>
      <c r="B152" s="3">
        <v>94.5</v>
      </c>
    </row>
    <row r="153" spans="1:2" x14ac:dyDescent="0.35">
      <c r="A153" t="s">
        <v>174</v>
      </c>
      <c r="B153" s="3">
        <v>94.6</v>
      </c>
    </row>
    <row r="154" spans="1:2" x14ac:dyDescent="0.35">
      <c r="A154" t="s">
        <v>175</v>
      </c>
      <c r="B154" s="3">
        <v>95.1</v>
      </c>
    </row>
    <row r="155" spans="1:2" x14ac:dyDescent="0.35">
      <c r="A155" t="s">
        <v>176</v>
      </c>
      <c r="B155" s="3">
        <v>94.6</v>
      </c>
    </row>
    <row r="156" spans="1:2" x14ac:dyDescent="0.35">
      <c r="A156" t="s">
        <v>177</v>
      </c>
      <c r="B156" s="3">
        <v>95.1</v>
      </c>
    </row>
    <row r="157" spans="1:2" x14ac:dyDescent="0.35">
      <c r="A157" t="s">
        <v>178</v>
      </c>
      <c r="B157" s="3">
        <v>95.4</v>
      </c>
    </row>
    <row r="158" spans="1:2" x14ac:dyDescent="0.35">
      <c r="A158" t="s">
        <v>179</v>
      </c>
      <c r="B158" s="3">
        <v>96</v>
      </c>
    </row>
    <row r="159" spans="1:2" x14ac:dyDescent="0.35">
      <c r="A159" t="s">
        <v>180</v>
      </c>
      <c r="B159" s="3">
        <v>95.9</v>
      </c>
    </row>
    <row r="160" spans="1:2" x14ac:dyDescent="0.35">
      <c r="A160" t="s">
        <v>181</v>
      </c>
      <c r="B160" s="3">
        <v>95.5</v>
      </c>
    </row>
    <row r="161" spans="1:2" x14ac:dyDescent="0.35">
      <c r="A161" t="s">
        <v>182</v>
      </c>
      <c r="B161" s="3">
        <v>95.6</v>
      </c>
    </row>
    <row r="162" spans="1:2" x14ac:dyDescent="0.35">
      <c r="A162" t="s">
        <v>183</v>
      </c>
      <c r="B162" s="3">
        <v>96.1</v>
      </c>
    </row>
    <row r="163" spans="1:2" x14ac:dyDescent="0.35">
      <c r="A163" t="s">
        <v>184</v>
      </c>
      <c r="B163" s="3">
        <v>96.5</v>
      </c>
    </row>
    <row r="164" spans="1:2" x14ac:dyDescent="0.35">
      <c r="A164" t="s">
        <v>185</v>
      </c>
      <c r="B164" s="3">
        <v>97</v>
      </c>
    </row>
    <row r="165" spans="1:2" x14ac:dyDescent="0.35">
      <c r="A165" t="s">
        <v>186</v>
      </c>
      <c r="B165" s="3">
        <v>97.2</v>
      </c>
    </row>
    <row r="166" spans="1:2" x14ac:dyDescent="0.35">
      <c r="A166" t="s">
        <v>187</v>
      </c>
      <c r="B166" s="3">
        <v>97.6</v>
      </c>
    </row>
    <row r="167" spans="1:2" x14ac:dyDescent="0.35">
      <c r="A167" t="s">
        <v>188</v>
      </c>
      <c r="B167" s="3">
        <v>97.1</v>
      </c>
    </row>
    <row r="168" spans="1:2" x14ac:dyDescent="0.35">
      <c r="A168" t="s">
        <v>189</v>
      </c>
      <c r="B168" s="3">
        <v>97.8</v>
      </c>
    </row>
    <row r="169" spans="1:2" x14ac:dyDescent="0.35">
      <c r="A169" t="s">
        <v>190</v>
      </c>
      <c r="B169" s="3">
        <v>98.1</v>
      </c>
    </row>
    <row r="170" spans="1:2" x14ac:dyDescent="0.35">
      <c r="A170" t="s">
        <v>191</v>
      </c>
      <c r="B170" s="3">
        <v>98.3</v>
      </c>
    </row>
    <row r="171" spans="1:2" x14ac:dyDescent="0.35">
      <c r="A171" t="s">
        <v>192</v>
      </c>
      <c r="B171" s="3">
        <v>98.5</v>
      </c>
    </row>
    <row r="172" spans="1:2" x14ac:dyDescent="0.35">
      <c r="A172" t="s">
        <v>193</v>
      </c>
      <c r="B172" s="3">
        <v>98.3</v>
      </c>
    </row>
    <row r="173" spans="1:2" x14ac:dyDescent="0.35">
      <c r="A173" t="s">
        <v>194</v>
      </c>
      <c r="B173" s="3">
        <v>98.3</v>
      </c>
    </row>
    <row r="174" spans="1:2" x14ac:dyDescent="0.35">
      <c r="A174" t="s">
        <v>195</v>
      </c>
      <c r="B174" s="3">
        <v>98.7</v>
      </c>
    </row>
    <row r="175" spans="1:2" x14ac:dyDescent="0.35">
      <c r="A175" t="s">
        <v>196</v>
      </c>
      <c r="B175" s="3">
        <v>99.1</v>
      </c>
    </row>
    <row r="176" spans="1:2" x14ac:dyDescent="0.35">
      <c r="A176" t="s">
        <v>197</v>
      </c>
      <c r="B176" s="3">
        <v>99.1</v>
      </c>
    </row>
    <row r="177" spans="1:2" x14ac:dyDescent="0.35">
      <c r="A177" t="s">
        <v>198</v>
      </c>
      <c r="B177" s="3">
        <v>99.2</v>
      </c>
    </row>
    <row r="178" spans="1:2" x14ac:dyDescent="0.35">
      <c r="A178" t="s">
        <v>199</v>
      </c>
      <c r="B178" s="3">
        <v>99.6</v>
      </c>
    </row>
    <row r="179" spans="1:2" x14ac:dyDescent="0.35">
      <c r="A179" t="s">
        <v>200</v>
      </c>
      <c r="B179" s="3">
        <v>99</v>
      </c>
    </row>
    <row r="180" spans="1:2" x14ac:dyDescent="0.35">
      <c r="A180" t="s">
        <v>201</v>
      </c>
      <c r="B180" s="3">
        <v>99.5</v>
      </c>
    </row>
    <row r="181" spans="1:2" x14ac:dyDescent="0.35">
      <c r="A181" t="s">
        <v>202</v>
      </c>
      <c r="B181" s="3">
        <v>99.7</v>
      </c>
    </row>
    <row r="182" spans="1:2" x14ac:dyDescent="0.35">
      <c r="A182" t="s">
        <v>203</v>
      </c>
      <c r="B182" s="3">
        <v>100.1</v>
      </c>
    </row>
    <row r="183" spans="1:2" x14ac:dyDescent="0.35">
      <c r="A183" t="s">
        <v>204</v>
      </c>
      <c r="B183" s="3">
        <v>100</v>
      </c>
    </row>
    <row r="184" spans="1:2" x14ac:dyDescent="0.35">
      <c r="A184" t="s">
        <v>205</v>
      </c>
      <c r="B184" s="3">
        <v>100.2</v>
      </c>
    </row>
    <row r="185" spans="1:2" x14ac:dyDescent="0.35">
      <c r="A185" t="s">
        <v>206</v>
      </c>
      <c r="B185" s="3">
        <v>99.9</v>
      </c>
    </row>
    <row r="186" spans="1:2" x14ac:dyDescent="0.35">
      <c r="A186" t="s">
        <v>207</v>
      </c>
      <c r="B186" s="3">
        <v>100.2</v>
      </c>
    </row>
    <row r="187" spans="1:2" x14ac:dyDescent="0.35">
      <c r="A187" t="s">
        <v>208</v>
      </c>
      <c r="B187" s="3">
        <v>100.3</v>
      </c>
    </row>
    <row r="188" spans="1:2" x14ac:dyDescent="0.35">
      <c r="A188" t="s">
        <v>209</v>
      </c>
      <c r="B188" s="3">
        <v>100.4</v>
      </c>
    </row>
    <row r="189" spans="1:2" x14ac:dyDescent="0.35">
      <c r="A189" t="s">
        <v>210</v>
      </c>
      <c r="B189" s="3">
        <v>100.1</v>
      </c>
    </row>
    <row r="190" spans="1:2" x14ac:dyDescent="0.35">
      <c r="A190" t="s">
        <v>211</v>
      </c>
      <c r="B190" s="3">
        <v>100.1</v>
      </c>
    </row>
    <row r="191" spans="1:2" x14ac:dyDescent="0.35">
      <c r="A191" t="s">
        <v>212</v>
      </c>
      <c r="B191" s="3">
        <v>99.3</v>
      </c>
    </row>
    <row r="192" spans="1:2" x14ac:dyDescent="0.35">
      <c r="A192" t="s">
        <v>213</v>
      </c>
      <c r="B192" s="3">
        <v>99.5</v>
      </c>
    </row>
    <row r="193" spans="1:2" x14ac:dyDescent="0.35">
      <c r="A193" t="s">
        <v>214</v>
      </c>
      <c r="B193" s="3">
        <v>99.7</v>
      </c>
    </row>
    <row r="194" spans="1:2" x14ac:dyDescent="0.35">
      <c r="A194" t="s">
        <v>215</v>
      </c>
      <c r="B194" s="3">
        <v>99.9</v>
      </c>
    </row>
    <row r="195" spans="1:2" x14ac:dyDescent="0.35">
      <c r="A195" t="s">
        <v>216</v>
      </c>
      <c r="B195" s="3">
        <v>100.1</v>
      </c>
    </row>
    <row r="196" spans="1:2" x14ac:dyDescent="0.35">
      <c r="A196" t="s">
        <v>217</v>
      </c>
      <c r="B196" s="3">
        <v>100.2</v>
      </c>
    </row>
    <row r="197" spans="1:2" x14ac:dyDescent="0.35">
      <c r="A197" t="s">
        <v>218</v>
      </c>
      <c r="B197" s="3">
        <v>100</v>
      </c>
    </row>
    <row r="198" spans="1:2" x14ac:dyDescent="0.35">
      <c r="A198" t="s">
        <v>219</v>
      </c>
      <c r="B198" s="3">
        <v>100.3</v>
      </c>
    </row>
    <row r="199" spans="1:2" x14ac:dyDescent="0.35">
      <c r="A199" t="s">
        <v>220</v>
      </c>
      <c r="B199" s="3">
        <v>100.2</v>
      </c>
    </row>
    <row r="200" spans="1:2" x14ac:dyDescent="0.35">
      <c r="A200" t="s">
        <v>221</v>
      </c>
      <c r="B200" s="3">
        <v>100.3</v>
      </c>
    </row>
    <row r="201" spans="1:2" x14ac:dyDescent="0.35">
      <c r="A201" t="s">
        <v>222</v>
      </c>
      <c r="B201" s="3">
        <v>100.3</v>
      </c>
    </row>
    <row r="202" spans="1:2" x14ac:dyDescent="0.35">
      <c r="A202" t="s">
        <v>223</v>
      </c>
      <c r="B202" s="3">
        <v>100.3</v>
      </c>
    </row>
    <row r="203" spans="1:2" x14ac:dyDescent="0.35">
      <c r="A203" t="s">
        <v>224</v>
      </c>
      <c r="B203" s="3">
        <v>99.5</v>
      </c>
    </row>
    <row r="204" spans="1:2" x14ac:dyDescent="0.35">
      <c r="A204" t="s">
        <v>225</v>
      </c>
      <c r="B204" s="3">
        <v>99.8</v>
      </c>
    </row>
    <row r="205" spans="1:2" x14ac:dyDescent="0.35">
      <c r="A205" t="s">
        <v>226</v>
      </c>
      <c r="B205" s="3">
        <v>100.2</v>
      </c>
    </row>
    <row r="206" spans="1:2" x14ac:dyDescent="0.35">
      <c r="A206" t="s">
        <v>227</v>
      </c>
      <c r="B206" s="3">
        <v>100.2</v>
      </c>
    </row>
    <row r="207" spans="1:2" x14ac:dyDescent="0.35">
      <c r="A207" t="s">
        <v>228</v>
      </c>
      <c r="B207" s="3">
        <v>100.4</v>
      </c>
    </row>
    <row r="208" spans="1:2" x14ac:dyDescent="0.35">
      <c r="A208" t="s">
        <v>229</v>
      </c>
      <c r="B208" s="3">
        <v>100.6</v>
      </c>
    </row>
    <row r="209" spans="1:2" x14ac:dyDescent="0.35">
      <c r="A209" t="s">
        <v>230</v>
      </c>
      <c r="B209" s="3">
        <v>100.6</v>
      </c>
    </row>
    <row r="210" spans="1:2" x14ac:dyDescent="0.35">
      <c r="A210" t="s">
        <v>231</v>
      </c>
      <c r="B210" s="3">
        <v>100.9</v>
      </c>
    </row>
    <row r="211" spans="1:2" x14ac:dyDescent="0.35">
      <c r="A211" t="s">
        <v>232</v>
      </c>
      <c r="B211" s="3">
        <v>101.1</v>
      </c>
    </row>
    <row r="212" spans="1:2" x14ac:dyDescent="0.35">
      <c r="A212" t="s">
        <v>233</v>
      </c>
      <c r="B212" s="3">
        <v>101.2</v>
      </c>
    </row>
    <row r="213" spans="1:2" x14ac:dyDescent="0.35">
      <c r="A213" t="s">
        <v>234</v>
      </c>
      <c r="B213" s="3">
        <v>101.4</v>
      </c>
    </row>
    <row r="214" spans="1:2" x14ac:dyDescent="0.35">
      <c r="A214" t="s">
        <v>235</v>
      </c>
      <c r="B214" s="3">
        <v>101.9</v>
      </c>
    </row>
    <row r="215" spans="1:2" x14ac:dyDescent="0.35">
      <c r="A215" t="s">
        <v>236</v>
      </c>
      <c r="B215" s="3">
        <v>101.4</v>
      </c>
    </row>
    <row r="216" spans="1:2" x14ac:dyDescent="0.35">
      <c r="A216" t="s">
        <v>237</v>
      </c>
      <c r="B216" s="3">
        <v>102.1</v>
      </c>
    </row>
    <row r="217" spans="1:2" x14ac:dyDescent="0.35">
      <c r="A217" t="s">
        <v>238</v>
      </c>
      <c r="B217" s="3">
        <v>102.5</v>
      </c>
    </row>
    <row r="218" spans="1:2" x14ac:dyDescent="0.35">
      <c r="A218" t="s">
        <v>239</v>
      </c>
      <c r="B218" s="3">
        <v>102.9</v>
      </c>
    </row>
    <row r="219" spans="1:2" x14ac:dyDescent="0.35">
      <c r="A219" t="s">
        <v>240</v>
      </c>
      <c r="B219" s="3">
        <v>103.3</v>
      </c>
    </row>
    <row r="220" spans="1:2" x14ac:dyDescent="0.35">
      <c r="A220" t="s">
        <v>241</v>
      </c>
      <c r="B220" s="3">
        <v>103.3</v>
      </c>
    </row>
    <row r="221" spans="1:2" x14ac:dyDescent="0.35">
      <c r="A221" t="s">
        <v>242</v>
      </c>
      <c r="B221" s="3">
        <v>103.2</v>
      </c>
    </row>
    <row r="222" spans="1:2" x14ac:dyDescent="0.35">
      <c r="A222" t="s">
        <v>243</v>
      </c>
      <c r="B222" s="3">
        <v>103.8</v>
      </c>
    </row>
    <row r="223" spans="1:2" x14ac:dyDescent="0.35">
      <c r="A223" t="s">
        <v>244</v>
      </c>
      <c r="B223" s="3">
        <v>104.1</v>
      </c>
    </row>
    <row r="224" spans="1:2" x14ac:dyDescent="0.35">
      <c r="A224" t="s">
        <v>245</v>
      </c>
      <c r="B224" s="3">
        <v>104.2</v>
      </c>
    </row>
    <row r="225" spans="1:2" x14ac:dyDescent="0.35">
      <c r="A225" t="s">
        <v>246</v>
      </c>
      <c r="B225" s="3">
        <v>104.6</v>
      </c>
    </row>
    <row r="226" spans="1:2" x14ac:dyDescent="0.35">
      <c r="A226" t="s">
        <v>247</v>
      </c>
      <c r="B226" s="3">
        <v>104.9</v>
      </c>
    </row>
    <row r="227" spans="1:2" x14ac:dyDescent="0.35">
      <c r="A227" t="s">
        <v>248</v>
      </c>
      <c r="B227" s="3">
        <v>104.4</v>
      </c>
    </row>
    <row r="228" spans="1:2" x14ac:dyDescent="0.35">
      <c r="A228" t="s">
        <v>249</v>
      </c>
      <c r="B228" s="3">
        <v>104.9</v>
      </c>
    </row>
    <row r="229" spans="1:2" x14ac:dyDescent="0.35">
      <c r="A229" t="s">
        <v>250</v>
      </c>
      <c r="B229" s="3">
        <v>105</v>
      </c>
    </row>
    <row r="230" spans="1:2" x14ac:dyDescent="0.35">
      <c r="A230" t="s">
        <v>251</v>
      </c>
      <c r="B230" s="3">
        <v>105.4</v>
      </c>
    </row>
    <row r="231" spans="1:2" x14ac:dyDescent="0.35">
      <c r="A231" t="s">
        <v>252</v>
      </c>
      <c r="B231" s="3">
        <v>105.8</v>
      </c>
    </row>
    <row r="232" spans="1:2" x14ac:dyDescent="0.35">
      <c r="A232" t="s">
        <v>253</v>
      </c>
      <c r="B232" s="3">
        <v>105.8</v>
      </c>
    </row>
    <row r="233" spans="1:2" x14ac:dyDescent="0.35">
      <c r="A233" t="s">
        <v>254</v>
      </c>
      <c r="B233" s="3">
        <v>105.8</v>
      </c>
    </row>
    <row r="234" spans="1:2" x14ac:dyDescent="0.35">
      <c r="A234" t="s">
        <v>255</v>
      </c>
      <c r="B234" s="3">
        <v>106.5</v>
      </c>
    </row>
    <row r="235" spans="1:2" x14ac:dyDescent="0.35">
      <c r="A235" t="s">
        <v>256</v>
      </c>
      <c r="B235" s="3">
        <v>106.6</v>
      </c>
    </row>
    <row r="236" spans="1:2" x14ac:dyDescent="0.35">
      <c r="A236" t="s">
        <v>257</v>
      </c>
      <c r="B236" s="3">
        <v>106.7</v>
      </c>
    </row>
    <row r="237" spans="1:2" x14ac:dyDescent="0.35">
      <c r="A237" t="s">
        <v>258</v>
      </c>
      <c r="B237" s="3">
        <v>107</v>
      </c>
    </row>
    <row r="238" spans="1:2" x14ac:dyDescent="0.35">
      <c r="A238" t="s">
        <v>259</v>
      </c>
      <c r="B238" s="3">
        <v>107.1</v>
      </c>
    </row>
    <row r="239" spans="1:2" x14ac:dyDescent="0.35">
      <c r="A239" t="s">
        <v>260</v>
      </c>
      <c r="B239" s="3">
        <v>106.3</v>
      </c>
    </row>
    <row r="240" spans="1:2" x14ac:dyDescent="0.35">
      <c r="A240" t="s">
        <v>261</v>
      </c>
      <c r="B240" s="3">
        <v>106.8</v>
      </c>
    </row>
    <row r="241" spans="1:2" x14ac:dyDescent="0.35">
      <c r="A241" t="s">
        <v>262</v>
      </c>
      <c r="B241" s="3">
        <v>107</v>
      </c>
    </row>
    <row r="242" spans="1:2" x14ac:dyDescent="0.35">
      <c r="A242" t="s">
        <v>263</v>
      </c>
      <c r="B242" s="3">
        <v>107.6</v>
      </c>
    </row>
    <row r="243" spans="1:2" x14ac:dyDescent="0.35">
      <c r="A243" t="s">
        <v>264</v>
      </c>
      <c r="B243" s="3">
        <v>107.9</v>
      </c>
    </row>
    <row r="244" spans="1:2" x14ac:dyDescent="0.35">
      <c r="A244" t="s">
        <v>265</v>
      </c>
      <c r="B244" s="3">
        <v>107.9</v>
      </c>
    </row>
    <row r="245" spans="1:2" x14ac:dyDescent="0.35">
      <c r="A245" t="s">
        <v>266</v>
      </c>
      <c r="B245" s="3">
        <v>107.9</v>
      </c>
    </row>
    <row r="246" spans="1:2" x14ac:dyDescent="0.35">
      <c r="A246" t="s">
        <v>267</v>
      </c>
      <c r="B246" s="3">
        <v>108.4</v>
      </c>
    </row>
    <row r="247" spans="1:2" x14ac:dyDescent="0.35">
      <c r="A247" t="s">
        <v>268</v>
      </c>
      <c r="B247" s="3">
        <v>108.5</v>
      </c>
    </row>
    <row r="248" spans="1:2" x14ac:dyDescent="0.35">
      <c r="A248" t="s">
        <v>269</v>
      </c>
      <c r="B248" s="3">
        <v>108.3</v>
      </c>
    </row>
    <row r="249" spans="1:2" x14ac:dyDescent="0.35">
      <c r="A249" t="s">
        <v>270</v>
      </c>
      <c r="B249" s="3">
        <v>108.5</v>
      </c>
    </row>
    <row r="250" spans="1:2" x14ac:dyDescent="0.35">
      <c r="A250" t="s">
        <v>271</v>
      </c>
      <c r="B250" s="3">
        <v>108.5</v>
      </c>
    </row>
    <row r="251" spans="1:2" x14ac:dyDescent="0.35">
      <c r="A251" t="s">
        <v>272</v>
      </c>
      <c r="B251" s="3">
        <v>108.2</v>
      </c>
    </row>
    <row r="252" spans="1:2" x14ac:dyDescent="0.35">
      <c r="A252" t="s">
        <v>273</v>
      </c>
      <c r="B252" s="3">
        <v>108.6</v>
      </c>
    </row>
    <row r="253" spans="1:2" x14ac:dyDescent="0.35">
      <c r="A253" t="s">
        <v>274</v>
      </c>
      <c r="B253" s="3">
        <v>108.6</v>
      </c>
    </row>
    <row r="254" spans="1:2" x14ac:dyDescent="0.35">
      <c r="A254" t="s">
        <v>275</v>
      </c>
      <c r="B254" s="3">
        <v>108.5</v>
      </c>
    </row>
    <row r="255" spans="1:2" x14ac:dyDescent="0.35">
      <c r="A255" t="s">
        <v>276</v>
      </c>
      <c r="B255" s="3">
        <v>108.5</v>
      </c>
    </row>
    <row r="256" spans="1:2" x14ac:dyDescent="0.35">
      <c r="A256" t="s">
        <v>277</v>
      </c>
      <c r="B256" s="3">
        <v>108.6</v>
      </c>
    </row>
    <row r="257" spans="1:2" x14ac:dyDescent="0.35">
      <c r="A257" t="s">
        <v>278</v>
      </c>
      <c r="B257" s="3">
        <v>109.1</v>
      </c>
    </row>
    <row r="258" spans="1:2" x14ac:dyDescent="0.35">
      <c r="A258" t="s">
        <v>279</v>
      </c>
      <c r="B258" s="3">
        <v>108.6</v>
      </c>
    </row>
    <row r="259" spans="1:2" x14ac:dyDescent="0.35">
      <c r="A259" t="s">
        <v>280</v>
      </c>
      <c r="B259" s="3">
        <v>109.1</v>
      </c>
    </row>
    <row r="260" spans="1:2" x14ac:dyDescent="0.35">
      <c r="A260" t="s">
        <v>281</v>
      </c>
      <c r="B260" s="3">
        <v>109.1</v>
      </c>
    </row>
    <row r="261" spans="1:2" x14ac:dyDescent="0.35">
      <c r="A261" t="s">
        <v>282</v>
      </c>
      <c r="B261" s="3">
        <v>108.9</v>
      </c>
    </row>
    <row r="262" spans="1:2" x14ac:dyDescent="0.35">
      <c r="A262" t="s">
        <v>283</v>
      </c>
      <c r="B262" s="3">
        <v>109.2</v>
      </c>
    </row>
    <row r="263" spans="1:2" x14ac:dyDescent="0.35">
      <c r="A263" t="s">
        <v>284</v>
      </c>
      <c r="B263" s="3">
        <v>109</v>
      </c>
    </row>
    <row r="264" spans="1:2" x14ac:dyDescent="0.35">
      <c r="A264" t="s">
        <v>285</v>
      </c>
      <c r="B264" s="3">
        <v>109.1</v>
      </c>
    </row>
    <row r="265" spans="1:2" x14ac:dyDescent="0.35">
      <c r="A265" t="s">
        <v>286</v>
      </c>
      <c r="B265" s="3">
        <v>109.4</v>
      </c>
    </row>
    <row r="266" spans="1:2" x14ac:dyDescent="0.35">
      <c r="A266" t="s">
        <v>287</v>
      </c>
      <c r="B266" s="3">
        <v>110.1</v>
      </c>
    </row>
    <row r="267" spans="1:2" x14ac:dyDescent="0.35">
      <c r="A267" t="s">
        <v>288</v>
      </c>
      <c r="B267" s="3">
        <v>110.8</v>
      </c>
    </row>
    <row r="268" spans="1:2" x14ac:dyDescent="0.35">
      <c r="A268" t="s">
        <v>289</v>
      </c>
      <c r="B268" s="3">
        <v>111.3</v>
      </c>
    </row>
    <row r="269" spans="1:2" x14ac:dyDescent="0.35">
      <c r="A269" t="s">
        <v>290</v>
      </c>
      <c r="B269" s="3">
        <v>111.3</v>
      </c>
    </row>
    <row r="270" spans="1:2" x14ac:dyDescent="0.35">
      <c r="A270" t="s">
        <v>291</v>
      </c>
      <c r="B270" s="3">
        <v>112.1</v>
      </c>
    </row>
    <row r="271" spans="1:2" x14ac:dyDescent="0.35">
      <c r="A271" t="s">
        <v>292</v>
      </c>
      <c r="B271" s="3">
        <v>112.4</v>
      </c>
    </row>
    <row r="272" spans="1:2" x14ac:dyDescent="0.35">
      <c r="A272" t="s">
        <v>293</v>
      </c>
      <c r="B272" s="3">
        <v>113.6</v>
      </c>
    </row>
    <row r="273" spans="1:2" x14ac:dyDescent="0.35">
      <c r="A273" t="s">
        <v>294</v>
      </c>
      <c r="B273" s="3">
        <v>114.5</v>
      </c>
    </row>
    <row r="274" spans="1:2" x14ac:dyDescent="0.35">
      <c r="A274" t="s">
        <v>295</v>
      </c>
      <c r="B274" s="3">
        <v>115.1</v>
      </c>
    </row>
    <row r="275" spans="1:2" x14ac:dyDescent="0.35">
      <c r="A275" t="s">
        <v>296</v>
      </c>
      <c r="B275" s="3">
        <v>114.9</v>
      </c>
    </row>
    <row r="276" spans="1:2" x14ac:dyDescent="0.35">
      <c r="A276" t="s">
        <v>297</v>
      </c>
      <c r="B276" s="3">
        <v>115.8</v>
      </c>
    </row>
    <row r="277" spans="1:2" x14ac:dyDescent="0.35">
      <c r="A277" t="s">
        <v>298</v>
      </c>
      <c r="B277" s="3">
        <v>117.1</v>
      </c>
    </row>
    <row r="278" spans="1:2" x14ac:dyDescent="0.35">
      <c r="A278" t="s">
        <v>299</v>
      </c>
      <c r="B278" s="3">
        <v>120</v>
      </c>
    </row>
    <row r="279" spans="1:2" x14ac:dyDescent="0.35">
      <c r="A279" t="s">
        <v>300</v>
      </c>
      <c r="B279" s="3">
        <v>120.8</v>
      </c>
    </row>
    <row r="280" spans="1:2" x14ac:dyDescent="0.35">
      <c r="A280" t="s">
        <v>301</v>
      </c>
      <c r="B280" s="3">
        <v>121.8</v>
      </c>
    </row>
    <row r="281" spans="1:2" x14ac:dyDescent="0.35">
      <c r="A281" t="s">
        <v>302</v>
      </c>
      <c r="B281" s="3">
        <v>122.5</v>
      </c>
    </row>
    <row r="282" spans="1:2" x14ac:dyDescent="0.35">
      <c r="A282" t="s">
        <v>303</v>
      </c>
      <c r="B282" s="3">
        <v>123.1</v>
      </c>
    </row>
    <row r="283" spans="1:2" x14ac:dyDescent="0.35">
      <c r="A283" t="s">
        <v>304</v>
      </c>
      <c r="B283" s="3">
        <v>123.8</v>
      </c>
    </row>
    <row r="284" spans="1:2" x14ac:dyDescent="0.35">
      <c r="A284" t="s">
        <v>305</v>
      </c>
      <c r="B284" s="3">
        <v>126.2</v>
      </c>
    </row>
    <row r="285" spans="1:2" x14ac:dyDescent="0.35">
      <c r="A285" t="s">
        <v>306</v>
      </c>
      <c r="B285" s="3">
        <v>126.7</v>
      </c>
    </row>
    <row r="286" spans="1:2" x14ac:dyDescent="0.35">
      <c r="A286" t="s">
        <v>307</v>
      </c>
      <c r="B286" s="3">
        <v>127.2</v>
      </c>
    </row>
    <row r="287" spans="1:2" x14ac:dyDescent="0.35">
      <c r="A287" t="s">
        <v>308</v>
      </c>
      <c r="B287" s="3">
        <v>126.4</v>
      </c>
    </row>
    <row r="288" spans="1:2" x14ac:dyDescent="0.35">
      <c r="A288" t="s">
        <v>309</v>
      </c>
      <c r="B288" s="3">
        <v>127.9</v>
      </c>
    </row>
    <row r="289" spans="1:2" x14ac:dyDescent="0.35">
      <c r="A289" t="s">
        <v>310</v>
      </c>
      <c r="B289" s="3">
        <v>128.9</v>
      </c>
    </row>
    <row r="290" spans="1:2" x14ac:dyDescent="0.35">
      <c r="A290" t="s">
        <v>311</v>
      </c>
      <c r="B290" s="3">
        <v>130.4</v>
      </c>
    </row>
    <row r="291" spans="1:2" x14ac:dyDescent="0.35">
      <c r="A291" t="s">
        <v>312</v>
      </c>
      <c r="B291" s="3">
        <v>131.30000000000001</v>
      </c>
    </row>
    <row r="292" spans="1:2" x14ac:dyDescent="0.35">
      <c r="A292" t="s">
        <v>313</v>
      </c>
      <c r="B292" s="3">
        <v>131.5</v>
      </c>
    </row>
    <row r="293" spans="1:2" x14ac:dyDescent="0.35">
      <c r="A293" t="s">
        <v>314</v>
      </c>
      <c r="B293" s="3">
        <v>130.9</v>
      </c>
    </row>
    <row r="294" spans="1:2" x14ac:dyDescent="0.35">
      <c r="A294" t="s">
        <v>315</v>
      </c>
      <c r="B294" s="3">
        <v>131.30000000000001</v>
      </c>
    </row>
    <row r="295" spans="1:2" x14ac:dyDescent="0.35">
      <c r="A295" t="s">
        <v>316</v>
      </c>
      <c r="B295" s="3">
        <v>132</v>
      </c>
    </row>
    <row r="296" spans="1:2" x14ac:dyDescent="0.35">
      <c r="A296" t="s">
        <v>317</v>
      </c>
      <c r="B296" s="3">
        <v>132</v>
      </c>
    </row>
    <row r="297" spans="1:2" x14ac:dyDescent="0.35">
      <c r="A297" t="s">
        <v>318</v>
      </c>
      <c r="B297" s="3">
        <v>131.69999999999999</v>
      </c>
    </row>
    <row r="298" spans="1:2" x14ac:dyDescent="0.35">
      <c r="A298" t="s">
        <v>319</v>
      </c>
      <c r="B298" s="3">
        <v>132.19999999999999</v>
      </c>
    </row>
    <row r="299" spans="1:2" x14ac:dyDescent="0.35">
      <c r="A299" t="s">
        <v>320</v>
      </c>
      <c r="B299" s="3">
        <v>131.5</v>
      </c>
    </row>
    <row r="300" spans="1:2" x14ac:dyDescent="0.35">
      <c r="A300" t="s">
        <v>321</v>
      </c>
      <c r="B300" s="3">
        <v>132.30000000000001</v>
      </c>
    </row>
    <row r="301" spans="1:2" x14ac:dyDescent="0.35">
      <c r="A301" t="s">
        <v>322</v>
      </c>
      <c r="B301" s="3">
        <v>133</v>
      </c>
    </row>
    <row r="302" spans="1:2" x14ac:dyDescent="0.35">
      <c r="A302" t="s">
        <v>323</v>
      </c>
      <c r="B302" s="3">
        <v>133.5</v>
      </c>
    </row>
    <row r="303" spans="1:2" x14ac:dyDescent="0.35">
      <c r="A303" t="s">
        <v>324</v>
      </c>
      <c r="B303" s="3">
        <v>133.9</v>
      </c>
    </row>
    <row r="304" spans="1:2" x14ac:dyDescent="0.35">
      <c r="A304" t="s">
        <v>325</v>
      </c>
      <c r="B304" s="3">
        <v>134.1</v>
      </c>
    </row>
    <row r="305" spans="1:2" x14ac:dyDescent="0.35">
      <c r="A305" t="s">
        <v>326</v>
      </c>
      <c r="B305" s="3">
        <v>133.80000000000001</v>
      </c>
    </row>
    <row r="306" spans="1:2" x14ac:dyDescent="0.35">
      <c r="A306" t="s">
        <v>327</v>
      </c>
      <c r="B306" s="3">
        <v>134.30000000000001</v>
      </c>
    </row>
    <row r="307" spans="1:2" x14ac:dyDescent="0.35">
      <c r="A307" t="s">
        <v>328</v>
      </c>
      <c r="B307" s="3">
        <v>134.19999999999999</v>
      </c>
    </row>
    <row r="308" spans="1:2" x14ac:dyDescent="0.35">
      <c r="A308" t="s">
        <v>329</v>
      </c>
      <c r="B308" s="3">
        <v>135</v>
      </c>
    </row>
    <row r="309" spans="1:2" x14ac:dyDescent="0.35">
      <c r="A309" t="s">
        <v>330</v>
      </c>
      <c r="B309" s="3">
        <v>135.1</v>
      </c>
    </row>
    <row r="310" spans="1:2" x14ac:dyDescent="0.35">
      <c r="A310" t="s">
        <v>331</v>
      </c>
      <c r="B310" s="3">
        <v>135.6</v>
      </c>
    </row>
    <row r="311" spans="1:2" x14ac:dyDescent="0.35">
      <c r="A311" t="s">
        <v>332</v>
      </c>
      <c r="B311" s="3">
        <v>135.4</v>
      </c>
    </row>
    <row r="312" spans="1:2" x14ac:dyDescent="0.35">
      <c r="A312" t="s">
        <v>333</v>
      </c>
      <c r="B312" s="3">
        <v>136</v>
      </c>
    </row>
    <row r="313" spans="1:2" x14ac:dyDescent="0.35">
      <c r="A313" t="s">
        <v>334</v>
      </c>
      <c r="B313" s="3">
        <v>136.5</v>
      </c>
    </row>
    <row r="314" spans="1:2" x14ac:dyDescent="0.35">
      <c r="A314" t="s">
        <v>335</v>
      </c>
      <c r="B314" s="3">
        <v>138.19999999999999</v>
      </c>
    </row>
    <row r="315" spans="1:2" x14ac:dyDescent="0.35">
      <c r="A315" t="s">
        <v>336</v>
      </c>
      <c r="B315" s="3">
        <v>138.4</v>
      </c>
    </row>
    <row r="316" spans="1:2" x14ac:dyDescent="0.35">
      <c r="A316" t="s">
        <v>337</v>
      </c>
      <c r="B316" s="3">
        <v>138.9</v>
      </c>
    </row>
    <row r="317" spans="1:2" x14ac:dyDescent="0.35">
      <c r="A317" t="s">
        <v>338</v>
      </c>
      <c r="B317" s="3">
        <v>139</v>
      </c>
    </row>
    <row r="318" spans="1:2" x14ac:dyDescent="0.35">
      <c r="A318" t="s">
        <v>339</v>
      </c>
      <c r="B318" s="3">
        <v>139.30000000000001</v>
      </c>
    </row>
    <row r="319" spans="1:2" x14ac:dyDescent="0.35">
      <c r="A319" t="s">
        <v>340</v>
      </c>
      <c r="B319" s="3">
        <v>139.30000000000001</v>
      </c>
    </row>
    <row r="320" spans="1:2" x14ac:dyDescent="0.35">
      <c r="A320" t="s">
        <v>341</v>
      </c>
      <c r="B320" s="3">
        <v>139.80000000000001</v>
      </c>
    </row>
    <row r="321" spans="1:2" x14ac:dyDescent="0.35">
      <c r="A321" t="s">
        <v>342</v>
      </c>
      <c r="B321" s="3">
        <v>139.5</v>
      </c>
    </row>
    <row r="322" spans="1:2" x14ac:dyDescent="0.35">
      <c r="A322" t="s">
        <v>343</v>
      </c>
      <c r="B322" s="3">
        <v>140.1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E646-A982-4A30-BF67-6AEEDE79F352}">
  <dimension ref="A4:B127"/>
  <sheetViews>
    <sheetView workbookViewId="0">
      <pane xSplit="1" ySplit="10" topLeftCell="B95" activePane="bottomRight" state="frozen"/>
      <selection pane="topRight" activeCell="B1" sqref="B1"/>
      <selection pane="bottomLeft" activeCell="A11" sqref="A11"/>
      <selection pane="bottomRight" activeCell="G105" sqref="G105"/>
    </sheetView>
  </sheetViews>
  <sheetFormatPr defaultRowHeight="14.5" x14ac:dyDescent="0.35"/>
  <cols>
    <col min="2" max="2" width="22" customWidth="1"/>
  </cols>
  <sheetData>
    <row r="4" spans="1:2" x14ac:dyDescent="0.35">
      <c r="A4" s="6" t="s">
        <v>345</v>
      </c>
      <c r="B4" s="5" t="s">
        <v>344</v>
      </c>
    </row>
    <row r="5" spans="1:2" s="7" customFormat="1" ht="54" customHeight="1" x14ac:dyDescent="0.35">
      <c r="A5" s="7" t="s">
        <v>26</v>
      </c>
      <c r="B5" s="7" t="s">
        <v>352</v>
      </c>
    </row>
    <row r="6" spans="1:2" ht="2.5" customHeight="1" x14ac:dyDescent="0.35">
      <c r="A6" t="s">
        <v>25</v>
      </c>
      <c r="B6" t="s">
        <v>351</v>
      </c>
    </row>
    <row r="7" spans="1:2" hidden="1" x14ac:dyDescent="0.35">
      <c r="A7" t="s">
        <v>24</v>
      </c>
      <c r="B7" t="s">
        <v>350</v>
      </c>
    </row>
    <row r="8" spans="1:2" ht="3" customHeight="1" x14ac:dyDescent="0.35">
      <c r="A8" t="s">
        <v>23</v>
      </c>
      <c r="B8" t="s">
        <v>349</v>
      </c>
    </row>
    <row r="9" spans="1:2" ht="2.5" hidden="1" customHeight="1" x14ac:dyDescent="0.35">
      <c r="A9" t="s">
        <v>22</v>
      </c>
      <c r="B9" t="s">
        <v>348</v>
      </c>
    </row>
    <row r="10" spans="1:2" hidden="1" x14ac:dyDescent="0.35">
      <c r="A10" t="s">
        <v>21</v>
      </c>
      <c r="B10" t="s">
        <v>347</v>
      </c>
    </row>
    <row r="11" spans="1:2" x14ac:dyDescent="0.35">
      <c r="A11" t="s">
        <v>346</v>
      </c>
      <c r="B11" s="3" t="e">
        <v>#N/A</v>
      </c>
    </row>
    <row r="12" spans="1:2" x14ac:dyDescent="0.35">
      <c r="A12" t="s">
        <v>353</v>
      </c>
      <c r="B12" s="3" t="e">
        <v>#N/A</v>
      </c>
    </row>
    <row r="13" spans="1:2" x14ac:dyDescent="0.35">
      <c r="A13" t="s">
        <v>354</v>
      </c>
      <c r="B13" s="3" t="e">
        <v>#N/A</v>
      </c>
    </row>
    <row r="14" spans="1:2" x14ac:dyDescent="0.35">
      <c r="A14" t="s">
        <v>355</v>
      </c>
      <c r="B14" s="3" t="e">
        <v>#N/A</v>
      </c>
    </row>
    <row r="15" spans="1:2" x14ac:dyDescent="0.35">
      <c r="A15" t="s">
        <v>356</v>
      </c>
      <c r="B15" s="3" t="e">
        <v>#N/A</v>
      </c>
    </row>
    <row r="16" spans="1:2" x14ac:dyDescent="0.35">
      <c r="A16" t="s">
        <v>357</v>
      </c>
      <c r="B16" s="3" t="e">
        <v>#N/A</v>
      </c>
    </row>
    <row r="17" spans="1:2" x14ac:dyDescent="0.35">
      <c r="A17" t="s">
        <v>358</v>
      </c>
      <c r="B17" s="3" t="e">
        <v>#N/A</v>
      </c>
    </row>
    <row r="18" spans="1:2" x14ac:dyDescent="0.35">
      <c r="A18" t="s">
        <v>359</v>
      </c>
      <c r="B18" s="3" t="e">
        <v>#N/A</v>
      </c>
    </row>
    <row r="19" spans="1:2" x14ac:dyDescent="0.35">
      <c r="A19" t="s">
        <v>360</v>
      </c>
      <c r="B19" s="3" t="e">
        <v>#N/A</v>
      </c>
    </row>
    <row r="20" spans="1:2" x14ac:dyDescent="0.35">
      <c r="A20" t="s">
        <v>361</v>
      </c>
      <c r="B20" s="3" t="e">
        <v>#N/A</v>
      </c>
    </row>
    <row r="21" spans="1:2" x14ac:dyDescent="0.35">
      <c r="A21" t="s">
        <v>362</v>
      </c>
      <c r="B21" s="3" t="e">
        <v>#N/A</v>
      </c>
    </row>
    <row r="22" spans="1:2" x14ac:dyDescent="0.35">
      <c r="A22" t="s">
        <v>363</v>
      </c>
      <c r="B22" s="3" t="e">
        <v>#N/A</v>
      </c>
    </row>
    <row r="23" spans="1:2" x14ac:dyDescent="0.35">
      <c r="A23" t="s">
        <v>364</v>
      </c>
      <c r="B23" s="3" t="e">
        <v>#N/A</v>
      </c>
    </row>
    <row r="24" spans="1:2" x14ac:dyDescent="0.35">
      <c r="A24" t="s">
        <v>365</v>
      </c>
      <c r="B24" s="3" t="e">
        <v>#N/A</v>
      </c>
    </row>
    <row r="25" spans="1:2" x14ac:dyDescent="0.35">
      <c r="A25" t="s">
        <v>366</v>
      </c>
      <c r="B25" s="3" t="e">
        <v>#N/A</v>
      </c>
    </row>
    <row r="26" spans="1:2" x14ac:dyDescent="0.35">
      <c r="A26" t="s">
        <v>367</v>
      </c>
      <c r="B26" s="3" t="e">
        <v>#N/A</v>
      </c>
    </row>
    <row r="27" spans="1:2" x14ac:dyDescent="0.35">
      <c r="A27" t="s">
        <v>368</v>
      </c>
      <c r="B27" s="3">
        <v>1.3</v>
      </c>
    </row>
    <row r="28" spans="1:2" x14ac:dyDescent="0.35">
      <c r="A28" t="s">
        <v>369</v>
      </c>
      <c r="B28" s="3">
        <v>1.4</v>
      </c>
    </row>
    <row r="29" spans="1:2" x14ac:dyDescent="0.35">
      <c r="A29" t="s">
        <v>370</v>
      </c>
      <c r="B29" s="3">
        <v>1.3</v>
      </c>
    </row>
    <row r="30" spans="1:2" x14ac:dyDescent="0.35">
      <c r="A30" t="s">
        <v>371</v>
      </c>
      <c r="B30" s="3">
        <v>1.4</v>
      </c>
    </row>
    <row r="31" spans="1:2" x14ac:dyDescent="0.35">
      <c r="A31" t="s">
        <v>372</v>
      </c>
      <c r="B31" s="3">
        <v>1.7</v>
      </c>
    </row>
    <row r="32" spans="1:2" x14ac:dyDescent="0.35">
      <c r="A32" t="s">
        <v>373</v>
      </c>
      <c r="B32" s="3">
        <v>2</v>
      </c>
    </row>
    <row r="33" spans="1:2" x14ac:dyDescent="0.35">
      <c r="A33" t="s">
        <v>374</v>
      </c>
      <c r="B33" s="3">
        <v>2.4</v>
      </c>
    </row>
    <row r="34" spans="1:2" x14ac:dyDescent="0.35">
      <c r="A34" t="s">
        <v>375</v>
      </c>
      <c r="B34" s="3">
        <v>2.1</v>
      </c>
    </row>
    <row r="35" spans="1:2" x14ac:dyDescent="0.35">
      <c r="A35" t="s">
        <v>376</v>
      </c>
      <c r="B35" s="3">
        <v>1.9</v>
      </c>
    </row>
    <row r="36" spans="1:2" x14ac:dyDescent="0.35">
      <c r="A36" t="s">
        <v>377</v>
      </c>
      <c r="B36" s="3">
        <v>2.2999999999999998</v>
      </c>
    </row>
    <row r="37" spans="1:2" x14ac:dyDescent="0.35">
      <c r="A37" t="s">
        <v>378</v>
      </c>
      <c r="B37" s="3">
        <v>2.4</v>
      </c>
    </row>
    <row r="38" spans="1:2" x14ac:dyDescent="0.35">
      <c r="A38" t="s">
        <v>379</v>
      </c>
      <c r="B38" s="3">
        <v>2.7</v>
      </c>
    </row>
    <row r="39" spans="1:2" x14ac:dyDescent="0.35">
      <c r="A39" t="s">
        <v>380</v>
      </c>
      <c r="B39" s="3">
        <v>2.9</v>
      </c>
    </row>
    <row r="40" spans="1:2" x14ac:dyDescent="0.35">
      <c r="A40" t="s">
        <v>381</v>
      </c>
      <c r="B40" s="3">
        <v>2.6</v>
      </c>
    </row>
    <row r="41" spans="1:2" x14ac:dyDescent="0.35">
      <c r="A41" t="s">
        <v>382</v>
      </c>
      <c r="B41" s="3">
        <v>1.8</v>
      </c>
    </row>
    <row r="42" spans="1:2" x14ac:dyDescent="0.35">
      <c r="A42" t="s">
        <v>383</v>
      </c>
      <c r="B42" s="3">
        <v>2.1</v>
      </c>
    </row>
    <row r="43" spans="1:2" x14ac:dyDescent="0.35">
      <c r="A43" t="s">
        <v>384</v>
      </c>
      <c r="B43" s="3">
        <v>2.4</v>
      </c>
    </row>
    <row r="44" spans="1:2" x14ac:dyDescent="0.35">
      <c r="A44" t="s">
        <v>385</v>
      </c>
      <c r="B44" s="3">
        <v>3.4</v>
      </c>
    </row>
    <row r="45" spans="1:2" x14ac:dyDescent="0.35">
      <c r="A45" t="s">
        <v>386</v>
      </c>
      <c r="B45" s="3">
        <v>4.8</v>
      </c>
    </row>
    <row r="46" spans="1:2" x14ac:dyDescent="0.35">
      <c r="A46" t="s">
        <v>387</v>
      </c>
      <c r="B46" s="3">
        <v>3.9</v>
      </c>
    </row>
    <row r="47" spans="1:2" x14ac:dyDescent="0.35">
      <c r="A47" t="s">
        <v>388</v>
      </c>
      <c r="B47" s="3">
        <v>3</v>
      </c>
    </row>
    <row r="48" spans="1:2" x14ac:dyDescent="0.35">
      <c r="A48" t="s">
        <v>389</v>
      </c>
      <c r="B48" s="3">
        <v>2.1</v>
      </c>
    </row>
    <row r="49" spans="1:2" x14ac:dyDescent="0.35">
      <c r="A49" t="s">
        <v>390</v>
      </c>
      <c r="B49" s="3">
        <v>1.5</v>
      </c>
    </row>
    <row r="50" spans="1:2" x14ac:dyDescent="0.35">
      <c r="A50" t="s">
        <v>391</v>
      </c>
      <c r="B50" s="3">
        <v>2.1</v>
      </c>
    </row>
    <row r="51" spans="1:2" x14ac:dyDescent="0.35">
      <c r="A51" t="s">
        <v>392</v>
      </c>
      <c r="B51" s="3">
        <v>3.3</v>
      </c>
    </row>
    <row r="52" spans="1:2" x14ac:dyDescent="0.35">
      <c r="A52" t="s">
        <v>393</v>
      </c>
      <c r="B52" s="3">
        <v>3.5</v>
      </c>
    </row>
    <row r="53" spans="1:2" x14ac:dyDescent="0.35">
      <c r="A53" t="s">
        <v>394</v>
      </c>
      <c r="B53" s="3">
        <v>3.1</v>
      </c>
    </row>
    <row r="54" spans="1:2" x14ac:dyDescent="0.35">
      <c r="A54" t="s">
        <v>395</v>
      </c>
      <c r="B54" s="3">
        <v>3.4</v>
      </c>
    </row>
    <row r="55" spans="1:2" x14ac:dyDescent="0.35">
      <c r="A55" t="s">
        <v>396</v>
      </c>
      <c r="B55" s="3">
        <v>4.0999999999999996</v>
      </c>
    </row>
    <row r="56" spans="1:2" x14ac:dyDescent="0.35">
      <c r="A56" t="s">
        <v>397</v>
      </c>
      <c r="B56" s="3">
        <v>4.4000000000000004</v>
      </c>
    </row>
    <row r="57" spans="1:2" x14ac:dyDescent="0.35">
      <c r="A57" t="s">
        <v>398</v>
      </c>
      <c r="B57" s="3">
        <v>4.7</v>
      </c>
    </row>
    <row r="58" spans="1:2" x14ac:dyDescent="0.35">
      <c r="A58" t="s">
        <v>399</v>
      </c>
      <c r="B58" s="3">
        <v>4.5999999999999996</v>
      </c>
    </row>
    <row r="59" spans="1:2" x14ac:dyDescent="0.35">
      <c r="A59" t="s">
        <v>400</v>
      </c>
      <c r="B59" s="3">
        <v>3.5</v>
      </c>
    </row>
    <row r="60" spans="1:2" x14ac:dyDescent="0.35">
      <c r="A60" t="s">
        <v>401</v>
      </c>
      <c r="B60" s="3">
        <v>2.8</v>
      </c>
    </row>
    <row r="61" spans="1:2" x14ac:dyDescent="0.35">
      <c r="A61" t="s">
        <v>402</v>
      </c>
      <c r="B61" s="3">
        <v>2.4</v>
      </c>
    </row>
    <row r="62" spans="1:2" x14ac:dyDescent="0.35">
      <c r="A62" t="s">
        <v>403</v>
      </c>
      <c r="B62" s="3">
        <v>2.7</v>
      </c>
    </row>
    <row r="63" spans="1:2" x14ac:dyDescent="0.35">
      <c r="A63" t="s">
        <v>404</v>
      </c>
      <c r="B63" s="3">
        <v>2.8</v>
      </c>
    </row>
    <row r="64" spans="1:2" x14ac:dyDescent="0.35">
      <c r="A64" t="s">
        <v>405</v>
      </c>
      <c r="B64" s="3">
        <v>2.7</v>
      </c>
    </row>
    <row r="65" spans="1:2" x14ac:dyDescent="0.35">
      <c r="A65" t="s">
        <v>406</v>
      </c>
      <c r="B65" s="3">
        <v>2.7</v>
      </c>
    </row>
    <row r="66" spans="1:2" x14ac:dyDescent="0.35">
      <c r="A66" t="s">
        <v>407</v>
      </c>
      <c r="B66" s="3">
        <v>2.1</v>
      </c>
    </row>
    <row r="67" spans="1:2" x14ac:dyDescent="0.35">
      <c r="A67" t="s">
        <v>408</v>
      </c>
      <c r="B67" s="3">
        <v>1.7</v>
      </c>
    </row>
    <row r="68" spans="1:2" x14ac:dyDescent="0.35">
      <c r="A68" t="s">
        <v>409</v>
      </c>
      <c r="B68" s="3">
        <v>1.7</v>
      </c>
    </row>
    <row r="69" spans="1:2" x14ac:dyDescent="0.35">
      <c r="A69" t="s">
        <v>410</v>
      </c>
      <c r="B69" s="3">
        <v>1.5</v>
      </c>
    </row>
    <row r="70" spans="1:2" x14ac:dyDescent="0.35">
      <c r="A70" t="s">
        <v>411</v>
      </c>
      <c r="B70" s="3">
        <v>0.9</v>
      </c>
    </row>
    <row r="71" spans="1:2" x14ac:dyDescent="0.35">
      <c r="A71" t="s">
        <v>412</v>
      </c>
      <c r="B71" s="3">
        <v>0.1</v>
      </c>
    </row>
    <row r="72" spans="1:2" x14ac:dyDescent="0.35">
      <c r="A72" t="s">
        <v>413</v>
      </c>
      <c r="B72" s="3">
        <v>0</v>
      </c>
    </row>
    <row r="73" spans="1:2" x14ac:dyDescent="0.35">
      <c r="A73" t="s">
        <v>414</v>
      </c>
      <c r="B73" s="3">
        <v>0</v>
      </c>
    </row>
    <row r="74" spans="1:2" x14ac:dyDescent="0.35">
      <c r="A74" t="s">
        <v>415</v>
      </c>
      <c r="B74" s="3">
        <v>0.1</v>
      </c>
    </row>
    <row r="75" spans="1:2" x14ac:dyDescent="0.35">
      <c r="A75" t="s">
        <v>416</v>
      </c>
      <c r="B75" s="3">
        <v>0.3</v>
      </c>
    </row>
    <row r="76" spans="1:2" x14ac:dyDescent="0.35">
      <c r="A76" t="s">
        <v>417</v>
      </c>
      <c r="B76" s="3">
        <v>0.4</v>
      </c>
    </row>
    <row r="77" spans="1:2" x14ac:dyDescent="0.35">
      <c r="A77" t="s">
        <v>418</v>
      </c>
      <c r="B77" s="3">
        <v>0.7</v>
      </c>
    </row>
    <row r="78" spans="1:2" x14ac:dyDescent="0.35">
      <c r="A78" t="s">
        <v>419</v>
      </c>
      <c r="B78" s="3">
        <v>1.2</v>
      </c>
    </row>
    <row r="79" spans="1:2" x14ac:dyDescent="0.35">
      <c r="A79" t="s">
        <v>420</v>
      </c>
      <c r="B79" s="3">
        <v>2.1</v>
      </c>
    </row>
    <row r="80" spans="1:2" x14ac:dyDescent="0.35">
      <c r="A80" t="s">
        <v>421</v>
      </c>
      <c r="B80" s="3">
        <v>2.7</v>
      </c>
    </row>
    <row r="81" spans="1:2" x14ac:dyDescent="0.35">
      <c r="A81" t="s">
        <v>422</v>
      </c>
      <c r="B81" s="3">
        <v>2.8</v>
      </c>
    </row>
    <row r="82" spans="1:2" x14ac:dyDescent="0.35">
      <c r="A82" t="s">
        <v>423</v>
      </c>
      <c r="B82" s="3">
        <v>3</v>
      </c>
    </row>
    <row r="83" spans="1:2" x14ac:dyDescent="0.35">
      <c r="A83" t="s">
        <v>424</v>
      </c>
      <c r="B83" s="3">
        <v>2.7</v>
      </c>
    </row>
    <row r="84" spans="1:2" x14ac:dyDescent="0.35">
      <c r="A84" t="s">
        <v>425</v>
      </c>
      <c r="B84" s="3">
        <v>2.4</v>
      </c>
    </row>
    <row r="85" spans="1:2" x14ac:dyDescent="0.35">
      <c r="A85" t="s">
        <v>426</v>
      </c>
      <c r="B85" s="3">
        <v>2.5</v>
      </c>
    </row>
    <row r="86" spans="1:2" x14ac:dyDescent="0.35">
      <c r="A86" t="s">
        <v>427</v>
      </c>
      <c r="B86" s="3">
        <v>2.2999999999999998</v>
      </c>
    </row>
    <row r="87" spans="1:2" x14ac:dyDescent="0.35">
      <c r="A87" t="s">
        <v>428</v>
      </c>
      <c r="B87" s="3">
        <v>1.9</v>
      </c>
    </row>
    <row r="88" spans="1:2" x14ac:dyDescent="0.35">
      <c r="A88" t="s">
        <v>429</v>
      </c>
      <c r="B88" s="3">
        <v>2</v>
      </c>
    </row>
    <row r="89" spans="1:2" x14ac:dyDescent="0.35">
      <c r="A89" t="s">
        <v>430</v>
      </c>
      <c r="B89" s="3">
        <v>1.8</v>
      </c>
    </row>
    <row r="90" spans="1:2" x14ac:dyDescent="0.35">
      <c r="A90" t="s">
        <v>431</v>
      </c>
      <c r="B90" s="3">
        <v>1.4</v>
      </c>
    </row>
    <row r="91" spans="1:2" x14ac:dyDescent="0.35">
      <c r="A91" t="s">
        <v>432</v>
      </c>
      <c r="B91" s="3">
        <v>1.7</v>
      </c>
    </row>
    <row r="92" spans="1:2" x14ac:dyDescent="0.35">
      <c r="A92" t="s">
        <v>433</v>
      </c>
      <c r="B92" s="3">
        <v>0.6</v>
      </c>
    </row>
    <row r="93" spans="1:2" x14ac:dyDescent="0.35">
      <c r="A93" t="s">
        <v>434</v>
      </c>
      <c r="B93" s="3">
        <v>0.6</v>
      </c>
    </row>
    <row r="94" spans="1:2" x14ac:dyDescent="0.35">
      <c r="A94" t="s">
        <v>435</v>
      </c>
      <c r="B94" s="3">
        <v>0.5</v>
      </c>
    </row>
    <row r="95" spans="1:2" x14ac:dyDescent="0.35">
      <c r="A95" t="s">
        <v>436</v>
      </c>
      <c r="B95" s="3">
        <v>0.6</v>
      </c>
    </row>
    <row r="96" spans="1:2" x14ac:dyDescent="0.35">
      <c r="A96" t="s">
        <v>437</v>
      </c>
      <c r="B96" s="3">
        <v>2.1</v>
      </c>
    </row>
    <row r="97" spans="1:2" x14ac:dyDescent="0.35">
      <c r="A97" t="s">
        <v>438</v>
      </c>
      <c r="B97" s="3">
        <v>2.8</v>
      </c>
    </row>
    <row r="98" spans="1:2" x14ac:dyDescent="0.35">
      <c r="A98" t="s">
        <v>439</v>
      </c>
      <c r="B98" s="3">
        <v>4.9000000000000004</v>
      </c>
    </row>
    <row r="99" spans="1:2" x14ac:dyDescent="0.35">
      <c r="A99" t="s">
        <v>440</v>
      </c>
      <c r="B99" s="3">
        <v>6.2</v>
      </c>
    </row>
    <row r="100" spans="1:2" x14ac:dyDescent="0.35">
      <c r="A100" t="s">
        <v>441</v>
      </c>
      <c r="B100" s="3">
        <v>9.1999999999999993</v>
      </c>
    </row>
    <row r="101" spans="1:2" x14ac:dyDescent="0.35">
      <c r="A101" t="s">
        <v>442</v>
      </c>
      <c r="B101" s="3">
        <v>10</v>
      </c>
    </row>
    <row r="102" spans="1:2" x14ac:dyDescent="0.35">
      <c r="A102" t="s">
        <v>443</v>
      </c>
      <c r="B102" s="3">
        <v>10.7</v>
      </c>
    </row>
    <row r="103" spans="1:2" x14ac:dyDescent="0.35">
      <c r="A103" t="s">
        <v>444</v>
      </c>
      <c r="B103" s="3">
        <v>10.199999999999999</v>
      </c>
    </row>
    <row r="104" spans="1:2" x14ac:dyDescent="0.35">
      <c r="A104" t="s">
        <v>445</v>
      </c>
      <c r="B104" s="3">
        <v>8.4</v>
      </c>
    </row>
    <row r="105" spans="1:2" x14ac:dyDescent="0.35">
      <c r="A105" t="s">
        <v>446</v>
      </c>
      <c r="B105" s="3">
        <v>6.7</v>
      </c>
    </row>
    <row r="106" spans="1:2" x14ac:dyDescent="0.35">
      <c r="A106" t="s">
        <v>447</v>
      </c>
      <c r="B106" s="3">
        <v>4.2</v>
      </c>
    </row>
    <row r="107" spans="1:2" x14ac:dyDescent="0.35">
      <c r="A107" t="s">
        <v>448</v>
      </c>
      <c r="B107" s="3">
        <v>3.5</v>
      </c>
    </row>
    <row r="108" spans="1:2" x14ac:dyDescent="0.35">
      <c r="A108" t="s">
        <v>449</v>
      </c>
      <c r="B108" s="3">
        <v>2.1</v>
      </c>
    </row>
    <row r="109" spans="1:2" x14ac:dyDescent="0.35">
      <c r="A109" t="s">
        <v>450</v>
      </c>
      <c r="B109" s="3">
        <v>2</v>
      </c>
    </row>
    <row r="110" spans="1:2" x14ac:dyDescent="0.35">
      <c r="A110" t="s">
        <v>451</v>
      </c>
      <c r="B110" s="3">
        <v>2.5</v>
      </c>
    </row>
    <row r="111" spans="1:2" x14ac:dyDescent="0.35">
      <c r="A111" t="s">
        <v>452</v>
      </c>
      <c r="B111" s="3">
        <v>2.8</v>
      </c>
    </row>
    <row r="112" spans="1:2" x14ac:dyDescent="0.35">
      <c r="A112" t="s">
        <v>453</v>
      </c>
      <c r="B112" s="3">
        <v>3.5</v>
      </c>
    </row>
    <row r="113" spans="1:2" x14ac:dyDescent="0.35">
      <c r="A113" t="s">
        <v>454</v>
      </c>
      <c r="B113" s="3">
        <v>3.8</v>
      </c>
    </row>
    <row r="114" spans="1:2" x14ac:dyDescent="0.35">
      <c r="A114" t="s">
        <v>455</v>
      </c>
      <c r="B114" s="3">
        <v>3.4</v>
      </c>
    </row>
    <row r="115" spans="1:2" x14ac:dyDescent="0.35">
      <c r="A115" t="s">
        <v>456</v>
      </c>
      <c r="B115" s="3">
        <v>3</v>
      </c>
    </row>
    <row r="116" spans="1:2" x14ac:dyDescent="0.35">
      <c r="A116" t="s">
        <v>457</v>
      </c>
      <c r="B116" s="3">
        <v>2.1</v>
      </c>
    </row>
    <row r="117" spans="1:2" x14ac:dyDescent="0.35">
      <c r="A117" t="s">
        <v>458</v>
      </c>
      <c r="B117" s="3">
        <v>2</v>
      </c>
    </row>
    <row r="118" spans="1:2" x14ac:dyDescent="0.35">
      <c r="A118" t="s">
        <v>459</v>
      </c>
      <c r="B118" s="3">
        <v>2</v>
      </c>
    </row>
    <row r="119" spans="1:2" x14ac:dyDescent="0.35">
      <c r="A119" t="s">
        <v>460</v>
      </c>
      <c r="B119" s="3">
        <v>1.7</v>
      </c>
    </row>
    <row r="120" spans="1:2" x14ac:dyDescent="0.35">
      <c r="A120" t="s">
        <v>461</v>
      </c>
      <c r="B120" s="3">
        <v>2</v>
      </c>
    </row>
    <row r="121" spans="1:2" x14ac:dyDescent="0.35">
      <c r="A121" t="s">
        <v>462</v>
      </c>
      <c r="B121" s="3">
        <v>1.9</v>
      </c>
    </row>
    <row r="122" spans="1:2" x14ac:dyDescent="0.35">
      <c r="A122" t="s">
        <v>463</v>
      </c>
      <c r="B122" s="3">
        <v>1.8</v>
      </c>
    </row>
    <row r="123" spans="1:2" x14ac:dyDescent="0.35">
      <c r="A123" t="s">
        <v>464</v>
      </c>
      <c r="B123" s="3">
        <v>1.8</v>
      </c>
    </row>
    <row r="124" spans="1:2" x14ac:dyDescent="0.35">
      <c r="A124" t="s">
        <v>465</v>
      </c>
      <c r="B124" s="3">
        <v>2</v>
      </c>
    </row>
    <row r="125" spans="1:2" x14ac:dyDescent="0.35">
      <c r="A125" t="s">
        <v>466</v>
      </c>
      <c r="B125" s="3">
        <v>2</v>
      </c>
    </row>
    <row r="126" spans="1:2" x14ac:dyDescent="0.35">
      <c r="A126" t="s">
        <v>467</v>
      </c>
      <c r="B126" s="3">
        <v>2</v>
      </c>
    </row>
    <row r="127" spans="1:2" x14ac:dyDescent="0.35">
      <c r="A127" t="s">
        <v>468</v>
      </c>
      <c r="B127" s="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20AB9-213B-4318-97E8-7A5B769E3D04}">
  <sheetPr>
    <tabColor rgb="FFC0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7778-27F5-4D2A-8835-2AB96B8456E3}">
  <dimension ref="A1:X32"/>
  <sheetViews>
    <sheetView topLeftCell="H1" workbookViewId="0">
      <selection activeCell="P4" sqref="P4:V10"/>
    </sheetView>
  </sheetViews>
  <sheetFormatPr defaultRowHeight="14.5" x14ac:dyDescent="0.35"/>
  <cols>
    <col min="4" max="4" width="8.90625" customWidth="1"/>
    <col min="6" max="6" width="12.453125" customWidth="1"/>
    <col min="7" max="8" width="2.54296875" customWidth="1"/>
    <col min="14" max="15" width="2.54296875" customWidth="1"/>
    <col min="16" max="16" width="13.54296875" customWidth="1"/>
  </cols>
  <sheetData>
    <row r="1" spans="1:24" x14ac:dyDescent="0.35">
      <c r="A1" s="2" t="s">
        <v>6</v>
      </c>
      <c r="I1" s="2" t="s">
        <v>472</v>
      </c>
      <c r="J1" s="2"/>
      <c r="P1" s="2" t="s">
        <v>474</v>
      </c>
    </row>
    <row r="4" spans="1:24" x14ac:dyDescent="0.35">
      <c r="A4" s="2" t="s">
        <v>8</v>
      </c>
      <c r="B4" t="s">
        <v>10</v>
      </c>
      <c r="C4" t="s">
        <v>11</v>
      </c>
      <c r="D4" t="s">
        <v>12</v>
      </c>
      <c r="E4" t="s">
        <v>13</v>
      </c>
      <c r="I4" t="s">
        <v>0</v>
      </c>
      <c r="J4" t="s">
        <v>469</v>
      </c>
      <c r="K4" t="s">
        <v>470</v>
      </c>
      <c r="L4" t="s">
        <v>473</v>
      </c>
      <c r="M4" t="s">
        <v>471</v>
      </c>
      <c r="Q4" t="s">
        <v>475</v>
      </c>
      <c r="R4" t="s">
        <v>476</v>
      </c>
      <c r="S4" t="s">
        <v>477</v>
      </c>
      <c r="T4" t="s">
        <v>478</v>
      </c>
      <c r="U4" t="s">
        <v>479</v>
      </c>
      <c r="V4" t="s">
        <v>480</v>
      </c>
      <c r="X4" t="s">
        <v>481</v>
      </c>
    </row>
    <row r="5" spans="1:24" x14ac:dyDescent="0.35">
      <c r="A5">
        <v>2020</v>
      </c>
      <c r="B5">
        <f>'BB consensus'!B7</f>
        <v>0.8</v>
      </c>
      <c r="C5">
        <f>'BB consensus'!C7</f>
        <v>0.9</v>
      </c>
      <c r="D5" s="3">
        <f>ABS(B5-C5)</f>
        <v>9.9999999999999978E-2</v>
      </c>
      <c r="E5" s="3">
        <f>AVERAGE('BB consensus'!D4:D6,'BB consensus'!D8:D15)</f>
        <v>0.15454545454545457</v>
      </c>
      <c r="F5" s="4">
        <f>D5/E5</f>
        <v>0.64705882352941158</v>
      </c>
      <c r="G5" s="3"/>
      <c r="H5" s="3"/>
      <c r="I5" s="8">
        <v>45292</v>
      </c>
      <c r="J5" s="3">
        <f>HAVERQ!B107</f>
        <v>3.5</v>
      </c>
      <c r="K5" s="3"/>
      <c r="L5" s="3"/>
      <c r="M5" s="3">
        <v>2</v>
      </c>
      <c r="N5" s="3"/>
      <c r="O5" s="3"/>
      <c r="P5" s="1">
        <v>45658</v>
      </c>
      <c r="Q5" s="9">
        <f>'[1]EPC calculation'!C20</f>
        <v>755</v>
      </c>
      <c r="R5" s="9">
        <f>'[1]EPC calculation'!F20</f>
        <v>370</v>
      </c>
      <c r="S5" s="9">
        <f>'[1]EPC calculation'!G20</f>
        <v>276</v>
      </c>
      <c r="T5" s="9">
        <f>'[1]EPC calculation'!K20</f>
        <v>187</v>
      </c>
      <c r="U5" s="9">
        <f>'[1]EPC calculation'!P20</f>
        <v>81.800000000000011</v>
      </c>
      <c r="V5" s="9">
        <f>SUM('[1]EPC calculation'!L20:O20)</f>
        <v>68</v>
      </c>
      <c r="X5" s="9">
        <f>SUM(Q5:V5)</f>
        <v>1737.8</v>
      </c>
    </row>
    <row r="6" spans="1:24" x14ac:dyDescent="0.35">
      <c r="A6">
        <v>2021</v>
      </c>
      <c r="B6">
        <f>'BB consensus'!B19</f>
        <v>1.5</v>
      </c>
      <c r="C6">
        <f>'BB consensus'!C19</f>
        <v>1.5</v>
      </c>
      <c r="D6" s="3">
        <f t="shared" ref="D6:D10" si="0">ABS(B6-C6)</f>
        <v>0</v>
      </c>
      <c r="E6" s="3">
        <f>AVERAGE('BB consensus'!D16:D18,'BB consensus'!D20:D27)</f>
        <v>0.24545454545454548</v>
      </c>
      <c r="F6" s="4">
        <f t="shared" ref="F6:F10" si="1">D6/E6</f>
        <v>0</v>
      </c>
      <c r="G6" s="3"/>
      <c r="H6" s="3"/>
      <c r="I6" s="8">
        <v>45383</v>
      </c>
      <c r="J6" s="3">
        <f>HAVERQ!B108</f>
        <v>2.1</v>
      </c>
      <c r="K6" s="3"/>
      <c r="L6" s="3"/>
      <c r="M6" s="3">
        <v>2</v>
      </c>
      <c r="N6" s="3"/>
      <c r="O6" s="3"/>
      <c r="P6" s="1">
        <v>45748</v>
      </c>
      <c r="Q6" s="9">
        <f>'[1]EPC calculation'!C21</f>
        <v>841</v>
      </c>
      <c r="R6" s="9">
        <f>'[1]EPC calculation'!F21</f>
        <v>372</v>
      </c>
      <c r="S6" s="9">
        <f>'[1]EPC calculation'!G21</f>
        <v>279</v>
      </c>
      <c r="T6" s="9">
        <f>'[1]EPC calculation'!K21</f>
        <v>198</v>
      </c>
      <c r="U6" s="9">
        <f>'[1]EPC calculation'!P21</f>
        <v>88.050000000000011</v>
      </c>
      <c r="V6" s="9">
        <f>SUM('[1]EPC calculation'!L21:O21)</f>
        <v>71</v>
      </c>
      <c r="X6" s="9">
        <f t="shared" ref="X6:X10" si="2">SUM(Q6:V6)</f>
        <v>1849.05</v>
      </c>
    </row>
    <row r="7" spans="1:24" x14ac:dyDescent="0.35">
      <c r="A7">
        <v>2022</v>
      </c>
      <c r="B7" s="3">
        <f>'BB consensus'!B31</f>
        <v>9</v>
      </c>
      <c r="C7" s="3">
        <f>'BB consensus'!C31</f>
        <v>9.1</v>
      </c>
      <c r="D7" s="3">
        <f t="shared" si="0"/>
        <v>9.9999999999999645E-2</v>
      </c>
      <c r="E7" s="3">
        <f>AVERAGE('BB consensus'!D28:D30,'BB consensus'!D32:D39)</f>
        <v>0.16363636363636355</v>
      </c>
      <c r="F7" s="4">
        <f t="shared" si="1"/>
        <v>0.61111111111110927</v>
      </c>
      <c r="G7" s="3"/>
      <c r="H7" s="3"/>
      <c r="I7" s="8">
        <v>45474</v>
      </c>
      <c r="J7" s="3">
        <f>HAVERQ!B109</f>
        <v>2</v>
      </c>
      <c r="K7" s="3"/>
      <c r="L7" s="3"/>
      <c r="M7" s="3">
        <v>2</v>
      </c>
      <c r="N7" s="3"/>
      <c r="O7" s="3"/>
      <c r="P7" s="1">
        <v>45839</v>
      </c>
      <c r="Q7" s="9">
        <f>'[1]EPC calculation'!C22</f>
        <v>734</v>
      </c>
      <c r="R7" s="9">
        <f>'[1]EPC calculation'!F22</f>
        <v>372</v>
      </c>
      <c r="S7" s="9">
        <f>'[1]EPC calculation'!G22</f>
        <v>264</v>
      </c>
      <c r="T7" s="9">
        <f>'[1]EPC calculation'!K22</f>
        <v>198</v>
      </c>
      <c r="U7" s="9">
        <f>'[1]EPC calculation'!P22</f>
        <v>82.850000000000009</v>
      </c>
      <c r="V7" s="9">
        <f>SUM('[1]EPC calculation'!L22:O22)</f>
        <v>69</v>
      </c>
      <c r="X7" s="9">
        <f t="shared" si="2"/>
        <v>1719.85</v>
      </c>
    </row>
    <row r="8" spans="1:24" x14ac:dyDescent="0.35">
      <c r="A8">
        <v>2023</v>
      </c>
      <c r="B8" s="3">
        <f>'BB consensus'!B43</f>
        <v>8.6999999999999993</v>
      </c>
      <c r="C8" s="3">
        <f>'BB consensus'!C43</f>
        <v>8.1999999999999993</v>
      </c>
      <c r="D8" s="3">
        <f t="shared" si="0"/>
        <v>0.5</v>
      </c>
      <c r="E8" s="3">
        <f>AVERAGE('BB consensus'!D40:D42,'BB consensus'!D44:D51)</f>
        <v>0.25454545454545441</v>
      </c>
      <c r="F8" s="4">
        <f t="shared" si="1"/>
        <v>1.9642857142857153</v>
      </c>
      <c r="G8" s="3"/>
      <c r="H8" s="3"/>
      <c r="I8" s="8">
        <v>45566</v>
      </c>
      <c r="J8" s="3">
        <f>HAVERQ!B110</f>
        <v>2.5</v>
      </c>
      <c r="K8" s="3"/>
      <c r="L8" s="3"/>
      <c r="M8" s="3">
        <v>2</v>
      </c>
      <c r="N8" s="3"/>
      <c r="O8" s="3"/>
      <c r="P8" s="1">
        <v>45931</v>
      </c>
      <c r="Q8" s="9">
        <f>'[1]EPC calculation'!C23</f>
        <v>720</v>
      </c>
      <c r="R8" s="9">
        <f>'[1]EPC calculation'!F23</f>
        <v>396</v>
      </c>
      <c r="S8" s="9">
        <f>'[1]EPC calculation'!G23</f>
        <v>270</v>
      </c>
      <c r="T8" s="9">
        <f>'[1]EPC calculation'!K23</f>
        <v>215</v>
      </c>
      <c r="U8" s="9">
        <f>'[1]EPC calculation'!P23</f>
        <v>83.550000000000011</v>
      </c>
      <c r="V8" s="9">
        <f>SUM('[1]EPC calculation'!L23:O23)</f>
        <v>70</v>
      </c>
      <c r="X8" s="9">
        <f t="shared" si="2"/>
        <v>1754.55</v>
      </c>
    </row>
    <row r="9" spans="1:24" x14ac:dyDescent="0.35">
      <c r="A9">
        <v>2024</v>
      </c>
      <c r="B9" s="3">
        <f>'BB consensus'!B67</f>
        <v>3.5</v>
      </c>
      <c r="C9" s="3">
        <f>'BB consensus'!C67</f>
        <v>3.3</v>
      </c>
      <c r="D9" s="3">
        <f t="shared" si="0"/>
        <v>0.20000000000000018</v>
      </c>
      <c r="E9" s="3">
        <f>AVERAGE('BB consensus'!D52:D54,'BB consensus'!D56:D63)</f>
        <v>8.1818181818181748E-2</v>
      </c>
      <c r="F9" s="4">
        <f t="shared" si="1"/>
        <v>2.4444444444444486</v>
      </c>
      <c r="G9" s="3"/>
      <c r="H9" s="3"/>
      <c r="I9" s="8">
        <v>45658</v>
      </c>
      <c r="J9" s="3">
        <f>HAVERQ!B111</f>
        <v>2.8</v>
      </c>
      <c r="K9" s="3"/>
      <c r="L9" s="3"/>
      <c r="M9" s="3">
        <v>2</v>
      </c>
      <c r="N9" s="3"/>
      <c r="O9" s="3"/>
      <c r="P9" s="1">
        <v>46023</v>
      </c>
      <c r="Q9" s="9">
        <f>'[1]EPC calculation'!C24</f>
        <v>690</v>
      </c>
      <c r="R9" s="9">
        <f>'[1]EPC calculation'!F24</f>
        <v>397</v>
      </c>
      <c r="S9" s="9">
        <f>'[1]EPC calculation'!G24</f>
        <v>279</v>
      </c>
      <c r="T9" s="9">
        <f>'[1]EPC calculation'!K24</f>
        <v>236</v>
      </c>
      <c r="U9" s="9">
        <f>'[1]EPC calculation'!P24</f>
        <v>83.7</v>
      </c>
      <c r="V9" s="9">
        <f>SUM('[1]EPC calculation'!L24:O24)</f>
        <v>72</v>
      </c>
      <c r="X9" s="9">
        <f t="shared" si="2"/>
        <v>1757.7</v>
      </c>
    </row>
    <row r="10" spans="1:24" x14ac:dyDescent="0.35">
      <c r="A10">
        <v>2025</v>
      </c>
      <c r="B10" s="3">
        <f>'BB consensus'!B67</f>
        <v>3.5</v>
      </c>
      <c r="C10" s="3">
        <f>'BB consensus'!C67</f>
        <v>3.3</v>
      </c>
      <c r="D10" s="3">
        <f t="shared" si="0"/>
        <v>0.20000000000000018</v>
      </c>
      <c r="E10" s="3">
        <f>AVERAGE('BB consensus'!D64:D66,'BB consensus'!D68:D76)</f>
        <v>0.13333333333333339</v>
      </c>
      <c r="F10" s="4">
        <f t="shared" si="1"/>
        <v>1.5000000000000007</v>
      </c>
      <c r="G10" s="3"/>
      <c r="H10" s="3"/>
      <c r="I10" s="8">
        <v>45748</v>
      </c>
      <c r="J10" s="3">
        <f>HAVERQ!B112</f>
        <v>3.5</v>
      </c>
      <c r="K10" s="3"/>
      <c r="L10" s="3"/>
      <c r="M10" s="3">
        <v>2</v>
      </c>
      <c r="N10" s="3"/>
      <c r="O10" s="3"/>
      <c r="P10" s="1">
        <v>46113</v>
      </c>
      <c r="Q10" s="9">
        <f>'[1]EPC calculation'!C25</f>
        <v>652</v>
      </c>
      <c r="R10" s="9">
        <f>'[1]EPC calculation'!F25</f>
        <v>463</v>
      </c>
      <c r="S10" s="9">
        <f>'[1]EPC calculation'!G25</f>
        <v>274</v>
      </c>
      <c r="T10" s="9">
        <f>'[1]EPC calculation'!K25</f>
        <v>106</v>
      </c>
      <c r="U10" s="9">
        <f>'[1]EPC calculation'!P25</f>
        <v>79.100000000000009</v>
      </c>
      <c r="V10" s="9">
        <f>SUM('[1]EPC calculation'!L25:O25)</f>
        <v>67</v>
      </c>
      <c r="X10" s="9">
        <f t="shared" si="2"/>
        <v>1641.1</v>
      </c>
    </row>
    <row r="11" spans="1:24" x14ac:dyDescent="0.35">
      <c r="I11" s="8">
        <v>45839</v>
      </c>
      <c r="J11" s="3">
        <f>HAVERQ!B113</f>
        <v>3.8</v>
      </c>
      <c r="K11" s="3"/>
      <c r="L11" s="3"/>
      <c r="M11" s="3">
        <v>2</v>
      </c>
    </row>
    <row r="12" spans="1:24" x14ac:dyDescent="0.35">
      <c r="I12" s="8">
        <v>45931</v>
      </c>
      <c r="J12" s="3">
        <f>HAVERQ!B114</f>
        <v>3.4</v>
      </c>
      <c r="K12" s="3">
        <f>'[2]CPI Forecast'!D608</f>
        <v>3.3933355845474633</v>
      </c>
      <c r="L12" s="3">
        <f>HAVERQ!B114</f>
        <v>3.4</v>
      </c>
      <c r="M12" s="3">
        <v>2</v>
      </c>
      <c r="P12" t="s">
        <v>482</v>
      </c>
      <c r="Q12" s="9">
        <f>Q10-Q9</f>
        <v>-38</v>
      </c>
      <c r="R12" s="9">
        <f t="shared" ref="R12:X12" si="3">R10-R9</f>
        <v>66</v>
      </c>
      <c r="S12" s="9">
        <f t="shared" si="3"/>
        <v>-5</v>
      </c>
      <c r="T12" s="9">
        <f t="shared" si="3"/>
        <v>-130</v>
      </c>
      <c r="U12" s="9">
        <f t="shared" si="3"/>
        <v>-4.5999999999999943</v>
      </c>
      <c r="V12" s="9">
        <f t="shared" si="3"/>
        <v>-5</v>
      </c>
      <c r="W12" s="9"/>
      <c r="X12" s="9">
        <f t="shared" si="3"/>
        <v>-116.60000000000014</v>
      </c>
    </row>
    <row r="13" spans="1:24" x14ac:dyDescent="0.35">
      <c r="A13" s="2" t="s">
        <v>9</v>
      </c>
      <c r="B13" t="s">
        <v>10</v>
      </c>
      <c r="C13" t="s">
        <v>11</v>
      </c>
      <c r="D13" t="s">
        <v>12</v>
      </c>
      <c r="E13" t="s">
        <v>13</v>
      </c>
      <c r="I13" s="8">
        <v>46023</v>
      </c>
      <c r="J13" s="8"/>
      <c r="K13" s="3">
        <f>'[2]CPI Forecast'!D609</f>
        <v>2.9787964765775277</v>
      </c>
      <c r="L13" s="3">
        <f>HAVERQ!B115</f>
        <v>3</v>
      </c>
      <c r="M13" s="3">
        <v>2</v>
      </c>
    </row>
    <row r="14" spans="1:24" x14ac:dyDescent="0.35">
      <c r="A14">
        <v>2020</v>
      </c>
      <c r="B14">
        <f>'BB consensus'!G7</f>
        <v>1.4</v>
      </c>
      <c r="C14">
        <f>'BB consensus'!H7</f>
        <v>1.4</v>
      </c>
      <c r="D14" s="3">
        <f>ABS(B14-C14)</f>
        <v>0</v>
      </c>
      <c r="E14" s="3">
        <f>AVERAGE('BB consensus'!I4:I6,'BB consensus'!I8:I15)</f>
        <v>0.19999999999999993</v>
      </c>
      <c r="F14" s="4">
        <f>D14/E14</f>
        <v>0</v>
      </c>
      <c r="I14" s="8">
        <v>46113</v>
      </c>
      <c r="J14" s="8"/>
      <c r="K14" s="3">
        <f>'[2]CPI Forecast'!D610</f>
        <v>2.3078119030886413</v>
      </c>
      <c r="L14" s="3">
        <f>HAVERQ!B116</f>
        <v>2.1</v>
      </c>
      <c r="M14" s="3">
        <v>2</v>
      </c>
    </row>
    <row r="15" spans="1:24" x14ac:dyDescent="0.35">
      <c r="A15">
        <v>2021</v>
      </c>
      <c r="B15">
        <f>'BB consensus'!G19</f>
        <v>1.3</v>
      </c>
      <c r="C15">
        <f>'BB consensus'!H19</f>
        <v>1.3</v>
      </c>
      <c r="D15" s="3">
        <f t="shared" ref="D15:D19" si="4">ABS(B15-C15)</f>
        <v>0</v>
      </c>
      <c r="E15" s="3">
        <f>AVERAGE('BB consensus'!I16:I18,'BB consensus'!I20:I27)</f>
        <v>0.25454545454545446</v>
      </c>
      <c r="F15" s="4">
        <f t="shared" ref="F15:F19" si="5">D15/E15</f>
        <v>0</v>
      </c>
      <c r="I15" s="8">
        <v>46204</v>
      </c>
      <c r="J15" s="8"/>
      <c r="K15" s="3">
        <f>'[2]CPI Forecast'!D611</f>
        <v>2.4838163302669303</v>
      </c>
      <c r="L15" s="3">
        <f>HAVERQ!B117</f>
        <v>2</v>
      </c>
      <c r="M15" s="3">
        <v>2</v>
      </c>
    </row>
    <row r="16" spans="1:24" x14ac:dyDescent="0.35">
      <c r="A16">
        <v>2022</v>
      </c>
      <c r="B16" s="3">
        <f>'BB consensus'!G31</f>
        <v>6.2</v>
      </c>
      <c r="C16" s="3">
        <f>'BB consensus'!H31</f>
        <v>6.2</v>
      </c>
      <c r="D16" s="3">
        <f t="shared" si="4"/>
        <v>0</v>
      </c>
      <c r="E16" s="3">
        <f>AVERAGE('BB consensus'!I28:I30,'BB consensus'!I32:I39)</f>
        <v>0.15454545454545449</v>
      </c>
      <c r="F16" s="4">
        <f t="shared" si="5"/>
        <v>0</v>
      </c>
      <c r="I16" s="8">
        <v>46296</v>
      </c>
      <c r="J16" s="8"/>
      <c r="K16" s="3">
        <f>'[2]CPI Forecast'!D612</f>
        <v>2.6488055735396587</v>
      </c>
      <c r="L16" s="3">
        <f>HAVERQ!B118</f>
        <v>2</v>
      </c>
      <c r="M16" s="3">
        <v>2</v>
      </c>
    </row>
    <row r="17" spans="1:13" x14ac:dyDescent="0.35">
      <c r="A17">
        <v>2023</v>
      </c>
      <c r="B17" s="3">
        <f>'BB consensus'!G43</f>
        <v>6.8</v>
      </c>
      <c r="C17" s="3">
        <f>'BB consensus'!H43</f>
        <v>6.2</v>
      </c>
      <c r="D17" s="3">
        <f t="shared" si="4"/>
        <v>0.59999999999999964</v>
      </c>
      <c r="E17" s="3">
        <f>AVERAGE('BB consensus'!I40:I42,'BB consensus'!I44:I51)</f>
        <v>0.29090909090909078</v>
      </c>
      <c r="F17" s="4">
        <f t="shared" si="5"/>
        <v>2.0624999999999996</v>
      </c>
      <c r="I17" s="8">
        <v>46388</v>
      </c>
      <c r="J17" s="8"/>
      <c r="K17" s="3">
        <f>'[2]CPI Forecast'!D613</f>
        <v>2.6396295849800078</v>
      </c>
      <c r="L17" s="3">
        <f>HAVERQ!B119</f>
        <v>1.7</v>
      </c>
      <c r="M17" s="3">
        <v>2</v>
      </c>
    </row>
    <row r="18" spans="1:13" x14ac:dyDescent="0.35">
      <c r="A18">
        <v>2024</v>
      </c>
      <c r="B18" s="3">
        <f>'BB consensus'!G67</f>
        <v>3.8</v>
      </c>
      <c r="C18" s="3">
        <f>'BB consensus'!H67</f>
        <v>3.6</v>
      </c>
      <c r="D18" s="3">
        <f t="shared" si="4"/>
        <v>0.19999999999999973</v>
      </c>
      <c r="E18" s="3">
        <f>AVERAGE('BB consensus'!I52:I54,'BB consensus'!I56:I63)</f>
        <v>0.10909090909090911</v>
      </c>
      <c r="F18" s="4">
        <f t="shared" si="5"/>
        <v>1.8333333333333306</v>
      </c>
      <c r="I18" s="8">
        <v>46478</v>
      </c>
      <c r="J18" s="8"/>
      <c r="K18" s="3">
        <f>'[2]CPI Forecast'!D614</f>
        <v>2.6822885723962964</v>
      </c>
      <c r="L18" s="3">
        <f>HAVERQ!B120</f>
        <v>2</v>
      </c>
      <c r="M18" s="3">
        <v>2</v>
      </c>
    </row>
    <row r="19" spans="1:13" x14ac:dyDescent="0.35">
      <c r="A19">
        <v>2025</v>
      </c>
      <c r="B19" s="3">
        <f>'BB consensus'!G67</f>
        <v>3.8</v>
      </c>
      <c r="C19" s="3">
        <f>'BB consensus'!H67</f>
        <v>3.6</v>
      </c>
      <c r="D19" s="3">
        <f t="shared" si="4"/>
        <v>0.19999999999999973</v>
      </c>
      <c r="E19" s="3">
        <f>AVERAGE('BB consensus'!I64:I66,'BB consensus'!I68:I76)</f>
        <v>8.3333333333333301E-2</v>
      </c>
      <c r="F19" s="4">
        <f t="shared" si="5"/>
        <v>2.3999999999999977</v>
      </c>
      <c r="I19" s="8">
        <v>46569</v>
      </c>
      <c r="J19" s="8"/>
      <c r="K19" s="3">
        <f>'[2]CPI Forecast'!D615</f>
        <v>2.5150681789890994</v>
      </c>
      <c r="L19" s="3">
        <f>HAVERQ!B121</f>
        <v>1.9</v>
      </c>
      <c r="M19" s="3">
        <v>2</v>
      </c>
    </row>
    <row r="20" spans="1:13" x14ac:dyDescent="0.35">
      <c r="I20" s="8">
        <v>46661</v>
      </c>
      <c r="J20" s="8"/>
      <c r="K20" s="3">
        <f>'[2]CPI Forecast'!D616</f>
        <v>2.3760329220240184</v>
      </c>
      <c r="L20" s="3">
        <f>HAVERQ!B122</f>
        <v>1.8</v>
      </c>
      <c r="M20" s="3">
        <v>2</v>
      </c>
    </row>
    <row r="21" spans="1:13" x14ac:dyDescent="0.35">
      <c r="I21" s="8">
        <v>46753</v>
      </c>
      <c r="J21" s="8"/>
      <c r="K21" s="3">
        <f>'[2]CPI Forecast'!D617</f>
        <v>2.3475678213707996</v>
      </c>
      <c r="L21" s="3">
        <f>HAVERQ!B123</f>
        <v>1.8</v>
      </c>
      <c r="M21" s="3">
        <v>2</v>
      </c>
    </row>
    <row r="22" spans="1:13" x14ac:dyDescent="0.35">
      <c r="B22" t="s">
        <v>16</v>
      </c>
      <c r="C22" t="s">
        <v>17</v>
      </c>
      <c r="I22" s="8">
        <v>46844</v>
      </c>
      <c r="J22" s="8"/>
      <c r="K22" s="3">
        <f>'[2]CPI Forecast'!D618</f>
        <v>2.10516747261702</v>
      </c>
      <c r="L22" s="3">
        <f>HAVERQ!B124</f>
        <v>2</v>
      </c>
      <c r="M22" s="3">
        <v>2</v>
      </c>
    </row>
    <row r="23" spans="1:13" x14ac:dyDescent="0.35">
      <c r="A23">
        <v>2023</v>
      </c>
      <c r="B23" s="3">
        <f>D8</f>
        <v>0.5</v>
      </c>
      <c r="C23" s="3">
        <f>E8</f>
        <v>0.25454545454545441</v>
      </c>
      <c r="I23" s="8">
        <v>46935</v>
      </c>
      <c r="J23" s="8"/>
      <c r="K23" s="3">
        <f>'[2]CPI Forecast'!D619</f>
        <v>2.1499042359957699</v>
      </c>
      <c r="L23" s="3">
        <f>HAVERQ!B125</f>
        <v>2</v>
      </c>
      <c r="M23" s="3">
        <v>2</v>
      </c>
    </row>
    <row r="24" spans="1:13" x14ac:dyDescent="0.35">
      <c r="A24">
        <v>2024</v>
      </c>
      <c r="B24" s="3">
        <f t="shared" ref="B24:B25" si="6">D9</f>
        <v>0.20000000000000018</v>
      </c>
      <c r="C24" s="3">
        <f>E9</f>
        <v>8.1818181818181748E-2</v>
      </c>
      <c r="I24" s="8">
        <v>47027</v>
      </c>
      <c r="J24" s="8"/>
      <c r="K24" s="3">
        <f>'[2]CPI Forecast'!D620</f>
        <v>2.1824155341270801</v>
      </c>
      <c r="L24" s="3">
        <f>HAVERQ!B126</f>
        <v>2</v>
      </c>
      <c r="M24" s="3">
        <v>2</v>
      </c>
    </row>
    <row r="25" spans="1:13" x14ac:dyDescent="0.35">
      <c r="A25">
        <v>2025</v>
      </c>
      <c r="B25" s="3">
        <f t="shared" si="6"/>
        <v>0.20000000000000018</v>
      </c>
      <c r="C25" s="3">
        <f>E10</f>
        <v>0.13333333333333339</v>
      </c>
      <c r="I25" s="8"/>
      <c r="J25" s="8"/>
    </row>
    <row r="26" spans="1:13" x14ac:dyDescent="0.35">
      <c r="I26" s="8"/>
      <c r="J26" s="8"/>
    </row>
    <row r="27" spans="1:13" x14ac:dyDescent="0.35">
      <c r="B27" t="s">
        <v>14</v>
      </c>
      <c r="C27" t="s">
        <v>15</v>
      </c>
      <c r="I27" s="8"/>
      <c r="J27" s="8"/>
    </row>
    <row r="28" spans="1:13" x14ac:dyDescent="0.35">
      <c r="A28">
        <v>2023</v>
      </c>
      <c r="B28" s="3">
        <f t="shared" ref="B28:C30" si="7">D17</f>
        <v>0.59999999999999964</v>
      </c>
      <c r="C28" s="3">
        <f t="shared" si="7"/>
        <v>0.29090909090909078</v>
      </c>
      <c r="I28" s="8"/>
      <c r="J28" s="8"/>
    </row>
    <row r="29" spans="1:13" x14ac:dyDescent="0.35">
      <c r="A29">
        <v>2024</v>
      </c>
      <c r="B29" s="3">
        <f t="shared" si="7"/>
        <v>0.19999999999999973</v>
      </c>
      <c r="C29" s="3">
        <f t="shared" si="7"/>
        <v>0.10909090909090911</v>
      </c>
      <c r="I29" s="8"/>
      <c r="J29" s="8"/>
    </row>
    <row r="30" spans="1:13" x14ac:dyDescent="0.35">
      <c r="A30">
        <v>2025</v>
      </c>
      <c r="B30" s="3">
        <f t="shared" si="7"/>
        <v>0.19999999999999973</v>
      </c>
      <c r="C30" s="3">
        <f t="shared" si="7"/>
        <v>8.3333333333333301E-2</v>
      </c>
      <c r="I30" s="8"/>
      <c r="J30" s="8"/>
    </row>
    <row r="31" spans="1:13" x14ac:dyDescent="0.35">
      <c r="I31" s="8"/>
      <c r="J31" s="8"/>
    </row>
    <row r="32" spans="1:13" x14ac:dyDescent="0.35">
      <c r="I32" s="8"/>
      <c r="J32" s="8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30BE-E182-46D7-AA18-3C4AA4205153}">
  <sheetPr>
    <tabColor rgb="FFC00000"/>
  </sheetPr>
  <dimension ref="A1"/>
  <sheetViews>
    <sheetView workbookViewId="0">
      <selection activeCell="J36" sqref="J36:K3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7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Data &gt;&gt;</vt:lpstr>
      <vt:lpstr>BB consensus</vt:lpstr>
      <vt:lpstr>HAVERM</vt:lpstr>
      <vt:lpstr>HAVERQ</vt:lpstr>
      <vt:lpstr>Calculations &gt;&gt;</vt:lpstr>
      <vt:lpstr>Chart data</vt:lpstr>
      <vt:lpstr>Charts &gt;&gt;</vt:lpstr>
      <vt:lpstr>Chart - April fcast errors</vt:lpstr>
      <vt:lpstr>Chart - OE &amp; BoE CPI fcasts</vt:lpstr>
      <vt:lpstr>Chart - Ofgem EPC</vt:lpstr>
      <vt:lpstr>_DLX1.INC</vt:lpstr>
      <vt:lpstr>_DLX2.INC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Allenby</dc:creator>
  <cp:lastModifiedBy>Edward Allenby</cp:lastModifiedBy>
  <dcterms:created xsi:type="dcterms:W3CDTF">2026-02-11T11:44:05Z</dcterms:created>
  <dcterms:modified xsi:type="dcterms:W3CDTF">2026-02-25T15:16:22Z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2026-02-11T11:47:36Z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118386f6-f078-4c77-9f5b-78d86d5d7fdd</vt:lpwstr>
  </property>
  <property fmtid="{D5CDD505-2E9C-101B-9397-08002B2CF9AE}" pid="8" name="MSIP_Label_231f5784-19ed-4d1e-9a93-4ea41014d730_ContentBits">
    <vt:lpwstr>0</vt:lpwstr>
  </property>
  <property fmtid="{D5CDD505-2E9C-101B-9397-08002B2CF9AE}" pid="9" name="MSIP_Label_231f5784-19ed-4d1e-9a93-4ea41014d730_Tag">
    <vt:lpwstr>10, 0, 1, 1</vt:lpwstr>
  </property>
</Properties>
</file>