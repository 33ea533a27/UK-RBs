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6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5D749F6F-3509-4321-8BE6-4AAD2A91AE64}" xr6:coauthVersionLast="47" xr6:coauthVersionMax="47" xr10:uidLastSave="{00000000-0000-0000-0000-000000000000}"/>
  <bookViews>
    <workbookView xWindow="-110" yWindow="-110" windowWidth="19420" windowHeight="10300" tabRatio="877" activeTab="5" xr2:uid="{953F9223-5CC7-4E6D-B31A-D9CC9D92A355}"/>
  </bookViews>
  <sheets>
    <sheet name="Data &gt;&gt;" sheetId="12" r:id="rId1"/>
    <sheet name="HAVERD" sheetId="1" r:id="rId2"/>
    <sheet name="HAVERQ" sheetId="9" r:id="rId3"/>
    <sheet name="Chart Data" sheetId="2" r:id="rId4"/>
    <sheet name="Charts &gt;&gt;" sheetId="13" r:id="rId5"/>
    <sheet name="Chart 1" sheetId="17" r:id="rId6"/>
    <sheet name="Chart 2" sheetId="6" r:id="rId7"/>
    <sheet name="Chart2" sheetId="18" r:id="rId8"/>
    <sheet name="Chart 4" sheetId="3" r:id="rId9"/>
    <sheet name="Other charts &gt;&gt;" sheetId="11" r:id="rId10"/>
    <sheet name="Chart 1 - gas" sheetId="15" r:id="rId11"/>
    <sheet name="Chart 1 - oil" sheetId="14" r:id="rId12"/>
    <sheet name="Chart 2 (alternative)" sheetId="10" r:id="rId13"/>
  </sheets>
  <externalReferences>
    <externalReference r:id="rId14"/>
    <externalReference r:id="rId15"/>
  </externalReferences>
  <definedNames>
    <definedName name="_DLX1.INC">HAVERD!$A$1:$J$6</definedName>
    <definedName name="_DLX2.INC">HAVERQ!$1:$7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N12" i="2"/>
  <c r="N13" i="2"/>
  <c r="N14" i="2"/>
  <c r="N15" i="2"/>
  <c r="N16" i="2"/>
  <c r="N17" i="2"/>
  <c r="N18" i="2"/>
  <c r="F61" i="2"/>
  <c r="B61" i="2" s="1"/>
  <c r="G61" i="2"/>
  <c r="C61" i="2" s="1"/>
  <c r="F62" i="2"/>
  <c r="B62" i="2" s="1"/>
  <c r="G62" i="2"/>
  <c r="C62" i="2" s="1"/>
  <c r="L4" i="2"/>
  <c r="L5" i="2"/>
  <c r="L6" i="2"/>
  <c r="L7" i="2"/>
  <c r="L8" i="2"/>
  <c r="L9" i="2"/>
  <c r="L10" i="2"/>
  <c r="L3" i="2"/>
  <c r="K4" i="2"/>
  <c r="N4" i="2" s="1"/>
  <c r="K5" i="2"/>
  <c r="N5" i="2" s="1"/>
  <c r="K6" i="2"/>
  <c r="N6" i="2" s="1"/>
  <c r="K7" i="2"/>
  <c r="N7" i="2" s="1"/>
  <c r="K8" i="2"/>
  <c r="N8" i="2" s="1"/>
  <c r="K9" i="2"/>
  <c r="N9" i="2" s="1"/>
  <c r="K10" i="2"/>
  <c r="N10" i="2" s="1"/>
  <c r="K3" i="2"/>
  <c r="N3" i="2" s="1"/>
  <c r="L11" i="2" l="1"/>
  <c r="L12" i="2" l="1"/>
  <c r="L13" i="2" l="1"/>
  <c r="L14" i="2" l="1"/>
  <c r="L15" i="2" l="1"/>
  <c r="L16" i="2" l="1"/>
  <c r="L17" i="2" l="1"/>
  <c r="L18" i="2" l="1"/>
  <c r="K11" i="2" l="1"/>
  <c r="K12" i="2" l="1"/>
  <c r="K13" i="2" l="1"/>
  <c r="K14" i="2" l="1"/>
  <c r="K15" i="2" l="1"/>
  <c r="K16" i="2" l="1"/>
  <c r="K17" i="2" l="1"/>
  <c r="K18" i="2" l="1"/>
  <c r="F57" i="2" l="1"/>
  <c r="G57" i="2"/>
  <c r="F58" i="2"/>
  <c r="G58" i="2"/>
  <c r="F59" i="2"/>
  <c r="B59" i="2" s="1"/>
  <c r="G59" i="2"/>
  <c r="C59" i="2" s="1"/>
  <c r="F60" i="2"/>
  <c r="B60" i="2" s="1"/>
  <c r="G60" i="2"/>
  <c r="C60" i="2" s="1"/>
  <c r="B57" i="2"/>
  <c r="C57" i="2"/>
  <c r="B58" i="2"/>
  <c r="C58" i="2"/>
  <c r="F56" i="2"/>
  <c r="B56" i="2" s="1"/>
  <c r="G56" i="2"/>
  <c r="C56" i="2" s="1"/>
  <c r="F55" i="2"/>
  <c r="B55" i="2" s="1"/>
  <c r="F6" i="2"/>
  <c r="G6" i="2"/>
  <c r="F7" i="2"/>
  <c r="G7" i="2"/>
  <c r="F53" i="2"/>
  <c r="B53" i="2" s="1"/>
  <c r="G53" i="2"/>
  <c r="C53" i="2" s="1"/>
  <c r="F54" i="2"/>
  <c r="B54" i="2" s="1"/>
  <c r="G54" i="2"/>
  <c r="C54" i="2" s="1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B51" i="2" s="1"/>
  <c r="G51" i="2"/>
  <c r="C51" i="2" s="1"/>
  <c r="F52" i="2"/>
  <c r="B52" i="2" s="1"/>
  <c r="G52" i="2"/>
  <c r="C52" i="2" s="1"/>
  <c r="G42" i="2"/>
  <c r="F42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G55" i="2" l="1"/>
  <c r="C55" i="2" s="1"/>
  <c r="A12" i="2"/>
  <c r="A11" i="2"/>
  <c r="B50" i="2" l="1"/>
  <c r="C50" i="2"/>
  <c r="C33" i="2"/>
  <c r="B36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B34" i="2"/>
  <c r="C34" i="2"/>
  <c r="B35" i="2"/>
  <c r="C35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A16" i="2"/>
  <c r="A21" i="2" s="1"/>
  <c r="A26" i="2" s="1"/>
  <c r="A31" i="2" s="1"/>
  <c r="A36" i="2" s="1"/>
  <c r="A41" i="2" s="1"/>
  <c r="A46" i="2" s="1"/>
  <c r="A51" i="2" s="1"/>
  <c r="A56" i="2" s="1"/>
  <c r="A61" i="2" s="1"/>
  <c r="A17" i="2"/>
  <c r="A22" i="2" s="1"/>
  <c r="A27" i="2" s="1"/>
  <c r="A32" i="2" s="1"/>
  <c r="A37" i="2" s="1"/>
  <c r="A42" i="2" s="1"/>
  <c r="A47" i="2" s="1"/>
  <c r="A52" i="2" s="1"/>
  <c r="A57" i="2" s="1"/>
  <c r="A62" i="2" s="1"/>
  <c r="A13" i="2"/>
  <c r="A18" i="2" s="1"/>
  <c r="A23" i="2" s="1"/>
  <c r="A28" i="2" s="1"/>
  <c r="A33" i="2" s="1"/>
  <c r="A38" i="2" s="1"/>
  <c r="A43" i="2" s="1"/>
  <c r="A48" i="2" s="1"/>
  <c r="A53" i="2" s="1"/>
  <c r="A58" i="2" s="1"/>
  <c r="A14" i="2"/>
  <c r="A19" i="2" s="1"/>
  <c r="A24" i="2" s="1"/>
  <c r="A29" i="2" s="1"/>
  <c r="A34" i="2" s="1"/>
  <c r="A39" i="2" s="1"/>
  <c r="A44" i="2" s="1"/>
  <c r="A49" i="2" s="1"/>
  <c r="A54" i="2" s="1"/>
  <c r="A59" i="2" s="1"/>
  <c r="A15" i="2"/>
  <c r="A20" i="2" s="1"/>
  <c r="A25" i="2" s="1"/>
  <c r="A30" i="2" s="1"/>
  <c r="A35" i="2" s="1"/>
  <c r="A40" i="2" s="1"/>
  <c r="A45" i="2" s="1"/>
  <c r="A50" i="2" s="1"/>
  <c r="A55" i="2" s="1"/>
  <c r="A60" i="2" s="1"/>
</calcChain>
</file>

<file path=xl/sharedStrings.xml><?xml version="1.0" encoding="utf-8"?>
<sst xmlns="http://schemas.openxmlformats.org/spreadsheetml/2006/main" count="410" uniqueCount="388">
  <si>
    <t>R112LOS@INTDAILY</t>
  </si>
  <si>
    <t>M112MOT@INTDAILY</t>
  </si>
  <si>
    <t>M112MTH@INTDAILY</t>
  </si>
  <si>
    <t>M112MHF@INTDAILY</t>
  </si>
  <si>
    <t>M112MHV@INTDAILY</t>
  </si>
  <si>
    <t>20250501 !D</t>
  </si>
  <si>
    <t>20250501</t>
  </si>
  <si>
    <t>.DTLM</t>
  </si>
  <si>
    <t>.LSOURCE</t>
  </si>
  <si>
    <t>.TN</t>
  </si>
  <si>
    <t>.T1</t>
  </si>
  <si>
    <t>.DESC</t>
  </si>
  <si>
    <t>Bank of England</t>
  </si>
  <si>
    <t>02-Jan-1997</t>
  </si>
  <si>
    <t>UK:Lending Rate: Sterling Overnight Interbank Average [SONIA]  (% pa)</t>
  </si>
  <si>
    <t>Tullett Prebon Information/Haver Analytics</t>
  </si>
  <si>
    <t>16-May-2007</t>
  </si>
  <si>
    <t>UK: Forward OIS: MPC Mtg Date # 1 vs MPC Mtg Date # 2: Mid Rate (% p.a.)</t>
  </si>
  <si>
    <t>UK: Forward OIS: MPC Mtg Date # 2 vs MPC Mtg Date # 3: Mid Rate (% p.a.)</t>
  </si>
  <si>
    <t>UK: Forward OIS: MPC Mtg Date # 3 vs MPC Mtg Date # 4: Mid Rate (% p.a.)</t>
  </si>
  <si>
    <t>UK: Forward OIS: MPC Mtg Date # 4 vs MPC Mtg Date # 5: Mid Rate (% p.a.)</t>
  </si>
  <si>
    <t>20250502</t>
  </si>
  <si>
    <t>20250505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</si>
  <si>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</si>
  <si>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</si>
  <si>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</si>
  <si>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</si>
  <si>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</si>
  <si>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</si>
  <si>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</si>
  <si>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</si>
  <si>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</si>
  <si>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</si>
  <si>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</si>
  <si>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</si>
  <si>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</si>
  <si>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</si>
  <si>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</si>
  <si>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</si>
  <si>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</si>
  <si>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</si>
  <si>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</si>
  <si>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20250602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</si>
  <si>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</si>
  <si>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</si>
  <si>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</si>
  <si>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</si>
  <si>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</si>
  <si>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</si>
  <si>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</si>
  <si>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</si>
  <si>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</si>
  <si>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</si>
  <si>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</si>
  <si>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</si>
  <si>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</si>
  <si>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</si>
  <si>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</si>
  <si>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</si>
  <si>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</si>
  <si>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</si>
  <si>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</si>
  <si>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</si>
  <si>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</si>
  <si>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</si>
  <si>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</si>
  <si>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</si>
  <si>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</si>
  <si>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</si>
  <si>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</si>
  <si>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</si>
  <si>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</si>
  <si>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</si>
  <si>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</si>
  <si>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</si>
  <si>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</si>
  <si>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</si>
  <si>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</si>
  <si>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</si>
  <si>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</si>
  <si>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</si>
  <si>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</si>
  <si>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</si>
  <si>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</si>
  <si>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</si>
  <si>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</si>
  <si>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</si>
  <si>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</si>
  <si>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</si>
  <si>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</si>
  <si>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</si>
  <si>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</si>
  <si>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</si>
  <si>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</si>
  <si>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</si>
  <si>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</si>
  <si>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</si>
  <si>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</si>
  <si>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</si>
  <si>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</si>
  <si>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</si>
  <si>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</si>
  <si>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</si>
  <si>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</si>
  <si>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</si>
  <si>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</si>
  <si>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</si>
  <si>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</si>
  <si>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</si>
  <si>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</si>
  <si>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</si>
  <si>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</si>
  <si>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</si>
  <si>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</si>
  <si>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</si>
  <si>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</si>
  <si>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</si>
  <si>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</si>
  <si>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</si>
  <si>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</si>
  <si>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</si>
  <si>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</si>
  <si>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</si>
  <si>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</si>
  <si>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</si>
  <si>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</si>
  <si>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</si>
  <si>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</si>
  <si>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</si>
  <si>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</si>
  <si>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</si>
  <si>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20251003</t>
  </si>
  <si>
    <t>20251006</t>
  </si>
  <si>
    <t>20251007</t>
  </si>
  <si>
    <t>20251008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</si>
  <si>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</si>
  <si>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</si>
  <si>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</si>
  <si>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</si>
  <si>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</si>
  <si>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</si>
  <si>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</si>
  <si>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</si>
  <si>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</si>
  <si>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</si>
  <si>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</si>
  <si>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</si>
  <si>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</si>
  <si>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</si>
  <si>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</si>
  <si>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Implied probability of rate cut by meeting</t>
  </si>
  <si>
    <t>Change compared with today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</si>
  <si>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</si>
  <si>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</si>
  <si>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</si>
  <si>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</si>
  <si>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</si>
  <si>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</si>
  <si>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</si>
  <si>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</si>
  <si>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</si>
  <si>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</si>
  <si>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</si>
  <si>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</si>
  <si>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</si>
  <si>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</si>
  <si>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</si>
  <si>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</si>
  <si>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</si>
  <si>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</si>
  <si>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</si>
  <si>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</si>
  <si>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</si>
  <si>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</si>
  <si>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</si>
  <si>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</si>
  <si>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</si>
  <si>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</si>
  <si>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</si>
  <si>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</si>
  <si>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</si>
  <si>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</si>
  <si>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</si>
  <si>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</si>
  <si>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</si>
  <si>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</si>
  <si>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</si>
  <si>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</si>
  <si>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</si>
  <si>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</si>
  <si>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</si>
  <si>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</si>
  <si>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</si>
  <si>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</si>
  <si>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</si>
  <si>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</si>
  <si>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</si>
  <si>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20260101</t>
  </si>
  <si>
    <t>20260102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</si>
  <si>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</si>
  <si>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</si>
  <si>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</si>
  <si>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</si>
  <si>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</si>
  <si>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</si>
  <si>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</si>
  <si>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</si>
  <si>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</si>
  <si>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</si>
  <si>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</si>
  <si>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</si>
  <si>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</si>
  <si>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</si>
  <si>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</si>
  <si>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</si>
  <si>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</si>
  <si>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</si>
  <si>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</si>
  <si>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</si>
  <si>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</si>
  <si>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</si>
  <si>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</si>
  <si>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</si>
  <si>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</si>
  <si>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</si>
  <si>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</si>
  <si>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</si>
  <si>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</si>
  <si>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</si>
  <si>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20260216</t>
  </si>
  <si>
    <t>20260217</t>
  </si>
  <si>
    <t>20260218</t>
  </si>
  <si>
    <t>20260219</t>
  </si>
  <si>
    <t>20260220</t>
  </si>
  <si>
    <t>20260223</t>
  </si>
  <si>
    <t>20260224</t>
  </si>
  <si>
    <t>March</t>
  </si>
  <si>
    <t>April</t>
  </si>
  <si>
    <t>20260225</t>
  </si>
  <si>
    <t>20260226</t>
  </si>
  <si>
    <t>20260227</t>
  </si>
  <si>
    <t>20260302</t>
  </si>
  <si>
    <t>20260303</t>
  </si>
  <si>
    <t>20260304</t>
  </si>
  <si>
    <t>CPI inflation forecast (new vs pre-conflict baseline)</t>
  </si>
  <si>
    <t>2% line</t>
  </si>
  <si>
    <t>Mar-06-2026 19:07</t>
  </si>
  <si>
    <t>06-Mar-2026</t>
  </si>
  <si>
    <t>20260305</t>
  </si>
  <si>
    <t>20260306</t>
  </si>
  <si>
    <t>UNQMPCPI@UK</t>
  </si>
  <si>
    <t>Feb-05-2026 12:04</t>
  </si>
  <si>
    <t>Q1-2029</t>
  </si>
  <si>
    <t>Q1-2004</t>
  </si>
  <si>
    <t>UK: BoE MPR Bank Staff Projections: CPI (Y/Y % Change)</t>
  </si>
  <si>
    <t>20001 !Q</t>
  </si>
  <si>
    <t>20001</t>
  </si>
  <si>
    <t>.FRQ</t>
  </si>
  <si>
    <t>Quarterly</t>
  </si>
  <si>
    <t>20002</t>
  </si>
  <si>
    <t>20003</t>
  </si>
  <si>
    <t>20004</t>
  </si>
  <si>
    <t>20011</t>
  </si>
  <si>
    <t>20012</t>
  </si>
  <si>
    <t>20013</t>
  </si>
  <si>
    <t>20014</t>
  </si>
  <si>
    <t>20021</t>
  </si>
  <si>
    <t>20022</t>
  </si>
  <si>
    <t>20023</t>
  </si>
  <si>
    <t>20024</t>
  </si>
  <si>
    <t>20031</t>
  </si>
  <si>
    <t>20032</t>
  </si>
  <si>
    <t>20033</t>
  </si>
  <si>
    <t>20034</t>
  </si>
  <si>
    <t>20041</t>
  </si>
  <si>
    <t>20042</t>
  </si>
  <si>
    <t>20043</t>
  </si>
  <si>
    <t>20044</t>
  </si>
  <si>
    <t>20051</t>
  </si>
  <si>
    <t>20052</t>
  </si>
  <si>
    <t>20053</t>
  </si>
  <si>
    <t>20054</t>
  </si>
  <si>
    <t>20061</t>
  </si>
  <si>
    <t>20062</t>
  </si>
  <si>
    <t>20063</t>
  </si>
  <si>
    <t>20064</t>
  </si>
  <si>
    <t>20071</t>
  </si>
  <si>
    <t>20072</t>
  </si>
  <si>
    <t>20073</t>
  </si>
  <si>
    <t>20074</t>
  </si>
  <si>
    <t>20081</t>
  </si>
  <si>
    <t>20082</t>
  </si>
  <si>
    <t>20083</t>
  </si>
  <si>
    <t>20084</t>
  </si>
  <si>
    <t>20091</t>
  </si>
  <si>
    <t>20092</t>
  </si>
  <si>
    <t>20093</t>
  </si>
  <si>
    <t>20094</t>
  </si>
  <si>
    <t>20101</t>
  </si>
  <si>
    <t>20102</t>
  </si>
  <si>
    <t>20103</t>
  </si>
  <si>
    <t>20104</t>
  </si>
  <si>
    <t>20111</t>
  </si>
  <si>
    <t>20112</t>
  </si>
  <si>
    <t>20113</t>
  </si>
  <si>
    <t>20114</t>
  </si>
  <si>
    <t>20121</t>
  </si>
  <si>
    <t>20122</t>
  </si>
  <si>
    <t>20123</t>
  </si>
  <si>
    <t>20124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</si>
  <si>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</si>
  <si>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</si>
  <si>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</si>
  <si>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</si>
  <si>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</si>
  <si>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</si>
  <si>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</si>
  <si>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</si>
  <si>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</si>
  <si>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</si>
  <si>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</si>
  <si>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</si>
  <si>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</si>
  <si>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</si>
  <si>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</si>
  <si>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</si>
  <si>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</si>
  <si>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</si>
  <si>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</si>
  <si>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</si>
  <si>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</si>
  <si>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</si>
  <si>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</si>
  <si>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</si>
  <si>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</si>
  <si>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</si>
  <si>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</si>
  <si>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</si>
  <si>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</si>
  <si>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</si>
  <si>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</si>
  <si>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</si>
  <si>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</si>
  <si>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</si>
  <si>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</si>
  <si>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</si>
  <si>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</si>
  <si>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</si>
  <si>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</si>
  <si>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</si>
  <si>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20231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</si>
  <si>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</si>
  <si>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</si>
  <si>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</si>
  <si>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</si>
  <si>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</si>
  <si>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</si>
  <si>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</si>
  <si>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</si>
  <si>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</si>
  <si>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20253</t>
  </si>
  <si>
    <t>20254</t>
  </si>
  <si>
    <t>20261</t>
  </si>
  <si>
    <t>20262</t>
  </si>
  <si>
    <t>20263</t>
  </si>
  <si>
    <t>20264</t>
  </si>
  <si>
    <t>20271</t>
  </si>
  <si>
    <t>20272</t>
  </si>
  <si>
    <t>20273</t>
  </si>
  <si>
    <t>20274</t>
  </si>
  <si>
    <t>20281</t>
  </si>
  <si>
    <t>20282</t>
  </si>
  <si>
    <t>20283</t>
  </si>
  <si>
    <t>20284</t>
  </si>
  <si>
    <t>20291</t>
  </si>
  <si>
    <t>BoE February forecast*</t>
  </si>
  <si>
    <t>OE pre-conflict baseline</t>
  </si>
  <si>
    <t>OE March baseline</t>
  </si>
  <si>
    <t>Oil</t>
  </si>
  <si>
    <t>Gas</t>
  </si>
  <si>
    <t>Febuary 2026 MPR</t>
  </si>
  <si>
    <t>Mar-09-2026 09:30</t>
  </si>
  <si>
    <t>05-Mar-2026</t>
  </si>
  <si>
    <t>5-10 years ahead</t>
  </si>
  <si>
    <t>12-month ahead avg</t>
  </si>
  <si>
    <t>5-10 years ahead avg</t>
  </si>
  <si>
    <t>12-months ahead</t>
  </si>
  <si>
    <t>March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</si>
</sst>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9" fontId="0" fillId="0" borderId="0" xfId="0" applyNumberFormat="1"/>
    <xf numFmtId="17" fontId="0" fillId="0" borderId="0" xfId="0" applyNumberFormat="1"/>
    <xf numFmtId="0" fontId="2" fillId="0" borderId="0" xfId="1"/>
    <xf numFmtId="165" fontId="0" fillId="0" borderId="0" xfId="0" applyNumberFormat="1"/>
    <xf numFmtId="17" fontId="0" fillId="0" borderId="0" xfId="0" quotePrefix="1" applyNumberForma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chartsheet" Target="chartsheets/sheet7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2.xml"/><Relationship Id="rId12" Type="http://schemas.openxmlformats.org/officeDocument/2006/relationships/chartsheet" Target="chartsheets/sheet6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chartsheet" Target="chartsheets/sheet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6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4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3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5.xml"/><Relationship Id="rId1" Type="http://schemas.openxmlformats.org/officeDocument/2006/relationships/themeOverride" Target="../theme/themeOverrid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633555420957001E-2"/>
          <c:y val="0.18709360999062263"/>
          <c:w val="0.39661821118514035"/>
          <c:h val="0.6855057082892993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Data'!$R$2</c:f>
              <c:strCache>
                <c:ptCount val="1"/>
                <c:pt idx="0">
                  <c:v>Febuary 2026 MPR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Data'!$Q$3:$Q$11</c15:sqref>
                  </c15:fullRef>
                </c:ext>
              </c:extLst>
              <c:f>'Chart Data'!$Q$3:$Q$10</c:f>
              <c:numCache>
                <c:formatCode>mmm\-yy</c:formatCode>
                <c:ptCount val="8"/>
                <c:pt idx="0">
                  <c:v>46023</c:v>
                </c:pt>
                <c:pt idx="1">
                  <c:v>46113</c:v>
                </c:pt>
                <c:pt idx="2">
                  <c:v>46204</c:v>
                </c:pt>
                <c:pt idx="3">
                  <c:v>46296</c:v>
                </c:pt>
                <c:pt idx="4">
                  <c:v>46388</c:v>
                </c:pt>
                <c:pt idx="5">
                  <c:v>46478</c:v>
                </c:pt>
                <c:pt idx="6">
                  <c:v>46569</c:v>
                </c:pt>
                <c:pt idx="7">
                  <c:v>46661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Data'!$R$3:$R$11</c15:sqref>
                  </c15:fullRef>
                </c:ext>
              </c:extLst>
              <c:f>'Chart Data'!$R$3:$R$10</c:f>
              <c:numCache>
                <c:formatCode>0.0</c:formatCode>
                <c:ptCount val="8"/>
                <c:pt idx="0">
                  <c:v>64.415999999999997</c:v>
                </c:pt>
                <c:pt idx="1">
                  <c:v>63.322666666666677</c:v>
                </c:pt>
                <c:pt idx="2">
                  <c:v>62.746000000000002</c:v>
                </c:pt>
                <c:pt idx="3">
                  <c:v>62.535666666666671</c:v>
                </c:pt>
                <c:pt idx="4">
                  <c:v>62.325333333333333</c:v>
                </c:pt>
                <c:pt idx="5">
                  <c:v>62.539333333333339</c:v>
                </c:pt>
                <c:pt idx="6">
                  <c:v>62.753333333333345</c:v>
                </c:pt>
                <c:pt idx="7">
                  <c:v>62.96733333333335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3-4D24-9B07-B45931C7C887}"/>
            </c:ext>
          </c:extLst>
        </c:ser>
        <c:ser>
          <c:idx val="1"/>
          <c:order val="1"/>
          <c:tx>
            <c:strRef>
              <c:f>'Chart Data'!$S$2</c:f>
              <c:strCache>
                <c:ptCount val="1"/>
                <c:pt idx="0">
                  <c:v>March 10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Data'!$Q$3:$Q$11</c15:sqref>
                  </c15:fullRef>
                </c:ext>
              </c:extLst>
              <c:f>'Chart Data'!$Q$3:$Q$10</c:f>
              <c:numCache>
                <c:formatCode>mmm\-yy</c:formatCode>
                <c:ptCount val="8"/>
                <c:pt idx="0">
                  <c:v>46023</c:v>
                </c:pt>
                <c:pt idx="1">
                  <c:v>46113</c:v>
                </c:pt>
                <c:pt idx="2">
                  <c:v>46204</c:v>
                </c:pt>
                <c:pt idx="3">
                  <c:v>46296</c:v>
                </c:pt>
                <c:pt idx="4">
                  <c:v>46388</c:v>
                </c:pt>
                <c:pt idx="5">
                  <c:v>46478</c:v>
                </c:pt>
                <c:pt idx="6">
                  <c:v>46569</c:v>
                </c:pt>
                <c:pt idx="7">
                  <c:v>46661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Data'!$S$3:$S$11</c15:sqref>
                  </c15:fullRef>
                </c:ext>
              </c:extLst>
              <c:f>'Chart Data'!$S$3:$S$10</c:f>
              <c:numCache>
                <c:formatCode>0.0</c:formatCode>
                <c:ptCount val="8"/>
                <c:pt idx="0">
                  <c:v>87.8</c:v>
                </c:pt>
                <c:pt idx="1">
                  <c:v>82.6</c:v>
                </c:pt>
                <c:pt idx="2">
                  <c:v>76.91</c:v>
                </c:pt>
                <c:pt idx="3">
                  <c:v>74.47999999999999</c:v>
                </c:pt>
                <c:pt idx="4">
                  <c:v>72.05</c:v>
                </c:pt>
                <c:pt idx="5">
                  <c:v>71.552499999999995</c:v>
                </c:pt>
                <c:pt idx="6">
                  <c:v>71.054999999999993</c:v>
                </c:pt>
                <c:pt idx="7">
                  <c:v>70.55749999999999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B3-4D24-9B07-B45931C7C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2"/>
        <c:tickMarkSkip val="2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832567309176851"/>
          <c:y val="7.456871530000149E-2"/>
          <c:w val="0.65884241279794775"/>
          <c:h val="5.804444576753047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494934202575197"/>
          <c:y val="0.19465504666359051"/>
          <c:w val="0.76480062825735673"/>
          <c:h val="0.6780481669469955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Data'!$T$2</c:f>
              <c:strCache>
                <c:ptCount val="1"/>
                <c:pt idx="0">
                  <c:v>Febuary 2026 MPR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Data'!$Q$3:$Q$11</c15:sqref>
                  </c15:fullRef>
                </c:ext>
              </c:extLst>
              <c:f>'Chart Data'!$Q$3:$Q$10</c:f>
              <c:numCache>
                <c:formatCode>mmm\-yy</c:formatCode>
                <c:ptCount val="8"/>
                <c:pt idx="0">
                  <c:v>46023</c:v>
                </c:pt>
                <c:pt idx="1">
                  <c:v>46113</c:v>
                </c:pt>
                <c:pt idx="2">
                  <c:v>46204</c:v>
                </c:pt>
                <c:pt idx="3">
                  <c:v>46296</c:v>
                </c:pt>
                <c:pt idx="4">
                  <c:v>46388</c:v>
                </c:pt>
                <c:pt idx="5">
                  <c:v>46478</c:v>
                </c:pt>
                <c:pt idx="6">
                  <c:v>46569</c:v>
                </c:pt>
                <c:pt idx="7">
                  <c:v>46661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Data'!$T$3:$T$11</c15:sqref>
                  </c15:fullRef>
                </c:ext>
              </c:extLst>
              <c:f>'Chart Data'!$T$3:$T$10</c:f>
              <c:numCache>
                <c:formatCode>0.0</c:formatCode>
                <c:ptCount val="8"/>
                <c:pt idx="0">
                  <c:v>81.227111111111114</c:v>
                </c:pt>
                <c:pt idx="1">
                  <c:v>68.946444444444452</c:v>
                </c:pt>
                <c:pt idx="2">
                  <c:v>68.603333333333339</c:v>
                </c:pt>
                <c:pt idx="3">
                  <c:v>73.668222222222241</c:v>
                </c:pt>
                <c:pt idx="4">
                  <c:v>70.086666666666659</c:v>
                </c:pt>
                <c:pt idx="5">
                  <c:v>58.123777777777775</c:v>
                </c:pt>
                <c:pt idx="6">
                  <c:v>59.818222222222225</c:v>
                </c:pt>
                <c:pt idx="7">
                  <c:v>67.562222222222218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A4-48B9-AF62-B61C15459DB3}"/>
            </c:ext>
          </c:extLst>
        </c:ser>
        <c:ser>
          <c:idx val="1"/>
          <c:order val="1"/>
          <c:tx>
            <c:strRef>
              <c:f>'Chart Data'!$U$2</c:f>
              <c:strCache>
                <c:ptCount val="1"/>
                <c:pt idx="0">
                  <c:v>March 10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Data'!$Q$3:$Q$11</c15:sqref>
                  </c15:fullRef>
                </c:ext>
              </c:extLst>
              <c:f>'Chart Data'!$Q$3:$Q$10</c:f>
              <c:numCache>
                <c:formatCode>mmm\-yy</c:formatCode>
                <c:ptCount val="8"/>
                <c:pt idx="0">
                  <c:v>46023</c:v>
                </c:pt>
                <c:pt idx="1">
                  <c:v>46113</c:v>
                </c:pt>
                <c:pt idx="2">
                  <c:v>46204</c:v>
                </c:pt>
                <c:pt idx="3">
                  <c:v>46296</c:v>
                </c:pt>
                <c:pt idx="4">
                  <c:v>46388</c:v>
                </c:pt>
                <c:pt idx="5">
                  <c:v>46478</c:v>
                </c:pt>
                <c:pt idx="6">
                  <c:v>46569</c:v>
                </c:pt>
                <c:pt idx="7">
                  <c:v>46661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Data'!$U$3:$U$11</c15:sqref>
                  </c15:fullRef>
                </c:ext>
              </c:extLst>
              <c:f>'Chart Data'!$U$3:$U$10</c:f>
              <c:numCache>
                <c:formatCode>0.0</c:formatCode>
                <c:ptCount val="8"/>
                <c:pt idx="0">
                  <c:v>120.63</c:v>
                </c:pt>
                <c:pt idx="1">
                  <c:v>114.47333333333331</c:v>
                </c:pt>
                <c:pt idx="2">
                  <c:v>109.87</c:v>
                </c:pt>
                <c:pt idx="3">
                  <c:v>111.99333333333334</c:v>
                </c:pt>
                <c:pt idx="4">
                  <c:v>101.41333333333334</c:v>
                </c:pt>
                <c:pt idx="5">
                  <c:v>78.543333333333337</c:v>
                </c:pt>
                <c:pt idx="6">
                  <c:v>77.56</c:v>
                </c:pt>
                <c:pt idx="7">
                  <c:v>81.596666666666664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A4-48B9-AF62-B61C15459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2"/>
        <c:tickMarkSkip val="2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5245187111792016E-2"/>
          <c:y val="0.15306714496226725"/>
          <c:w val="0.89642890226956928"/>
          <c:h val="0.70062858163523511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Data'!$K$2</c:f>
              <c:strCache>
                <c:ptCount val="1"/>
                <c:pt idx="0">
                  <c:v>OE pre-conflict 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Data'!$J$3:$J$18</c:f>
              <c:numCache>
                <c:formatCode>mmm\-yy</c:formatCode>
                <c:ptCount val="1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  <c:pt idx="12">
                  <c:v>46388</c:v>
                </c:pt>
                <c:pt idx="13">
                  <c:v>46478</c:v>
                </c:pt>
                <c:pt idx="14">
                  <c:v>46569</c:v>
                </c:pt>
                <c:pt idx="15">
                  <c:v>46661</c:v>
                </c:pt>
              </c:numCache>
            </c:numRef>
          </c:cat>
          <c:val>
            <c:numRef>
              <c:f>'Chart Data'!$K$3:$K$18</c:f>
              <c:numCache>
                <c:formatCode>0.00</c:formatCode>
                <c:ptCount val="16"/>
                <c:pt idx="0">
                  <c:v>3.5377561591716011</c:v>
                </c:pt>
                <c:pt idx="1">
                  <c:v>2.0988784618906076</c:v>
                </c:pt>
                <c:pt idx="2">
                  <c:v>2.042876565004792</c:v>
                </c:pt>
                <c:pt idx="3">
                  <c:v>2.4685994852664539</c:v>
                </c:pt>
                <c:pt idx="4">
                  <c:v>2.8036676529743287</c:v>
                </c:pt>
                <c:pt idx="5">
                  <c:v>3.48724539994969</c:v>
                </c:pt>
                <c:pt idx="6">
                  <c:v>3.8001302504089063</c:v>
                </c:pt>
                <c:pt idx="7">
                  <c:v>3.3933355845474633</c:v>
                </c:pt>
                <c:pt idx="8">
                  <c:v>2.8855185613096079</c:v>
                </c:pt>
                <c:pt idx="9">
                  <c:v>2.0807736464132143</c:v>
                </c:pt>
                <c:pt idx="10">
                  <c:v>2.1144005505330687</c:v>
                </c:pt>
                <c:pt idx="11">
                  <c:v>2.1117125894258182</c:v>
                </c:pt>
                <c:pt idx="12">
                  <c:v>2.1963121172453137</c:v>
                </c:pt>
                <c:pt idx="13">
                  <c:v>2.2973714120832156</c:v>
                </c:pt>
                <c:pt idx="14">
                  <c:v>2.2781117101507098</c:v>
                </c:pt>
                <c:pt idx="15">
                  <c:v>2.2931388718659518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Data'!$L$2</c:f>
              <c:strCache>
                <c:ptCount val="1"/>
                <c:pt idx="0">
                  <c:v>OE March baseline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Data'!$J$3:$J$18</c:f>
              <c:numCache>
                <c:formatCode>mmm\-yy</c:formatCode>
                <c:ptCount val="1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  <c:pt idx="12">
                  <c:v>46388</c:v>
                </c:pt>
                <c:pt idx="13">
                  <c:v>46478</c:v>
                </c:pt>
                <c:pt idx="14">
                  <c:v>46569</c:v>
                </c:pt>
                <c:pt idx="15">
                  <c:v>46661</c:v>
                </c:pt>
              </c:numCache>
            </c:numRef>
          </c:cat>
          <c:val>
            <c:numRef>
              <c:f>'Chart Data'!$L$3:$L$18</c:f>
              <c:numCache>
                <c:formatCode>0.00</c:formatCode>
                <c:ptCount val="16"/>
                <c:pt idx="0">
                  <c:v>3.5377561591716011</c:v>
                </c:pt>
                <c:pt idx="1">
                  <c:v>2.0988784618906076</c:v>
                </c:pt>
                <c:pt idx="2">
                  <c:v>2.042876565004792</c:v>
                </c:pt>
                <c:pt idx="3">
                  <c:v>2.4685994852664539</c:v>
                </c:pt>
                <c:pt idx="4">
                  <c:v>2.8036676529743287</c:v>
                </c:pt>
                <c:pt idx="5">
                  <c:v>3.48724539994969</c:v>
                </c:pt>
                <c:pt idx="6">
                  <c:v>3.8001302504089063</c:v>
                </c:pt>
                <c:pt idx="7">
                  <c:v>3.3933355845474633</c:v>
                </c:pt>
                <c:pt idx="8">
                  <c:v>2.8946770229653529</c:v>
                </c:pt>
                <c:pt idx="9">
                  <c:v>2.4987705977833619</c:v>
                </c:pt>
                <c:pt idx="10">
                  <c:v>2.8524327199954458</c:v>
                </c:pt>
                <c:pt idx="11">
                  <c:v>2.6221744546280679</c:v>
                </c:pt>
                <c:pt idx="12">
                  <c:v>2.5834042053156869</c:v>
                </c:pt>
                <c:pt idx="13">
                  <c:v>2.1828434382329842</c:v>
                </c:pt>
                <c:pt idx="14">
                  <c:v>1.8117808573972827</c:v>
                </c:pt>
                <c:pt idx="15">
                  <c:v>2.0345023379969129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Data'!$M$2</c:f>
              <c:strCache>
                <c:ptCount val="1"/>
                <c:pt idx="0">
                  <c:v>2% line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Data'!$J$3:$J$18</c:f>
              <c:numCache>
                <c:formatCode>mmm\-yy</c:formatCode>
                <c:ptCount val="1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  <c:pt idx="12">
                  <c:v>46388</c:v>
                </c:pt>
                <c:pt idx="13">
                  <c:v>46478</c:v>
                </c:pt>
                <c:pt idx="14">
                  <c:v>46569</c:v>
                </c:pt>
                <c:pt idx="15">
                  <c:v>46661</c:v>
                </c:pt>
              </c:numCache>
            </c:numRef>
          </c:cat>
          <c:val>
            <c:numRef>
              <c:f>'Chart Data'!$M$3:$M$18</c:f>
              <c:numCache>
                <c:formatCode>0.00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5734670609612714"/>
          <c:y val="7.2678356131759519E-2"/>
          <c:w val="0.66370826949798711"/>
          <c:h val="5.80444457675304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331825037707393E-3"/>
          <c:y val="0.12476370510396975"/>
          <c:w val="0.98101138941342736"/>
          <c:h val="0.8090737240075613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Data'!$Y$2</c:f>
              <c:strCache>
                <c:ptCount val="1"/>
                <c:pt idx="0">
                  <c:v>12-months ahead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Data'!$X$3:$X$114</c:f>
              <c:numCache>
                <c:formatCode>mmm\-yy</c:formatCode>
                <c:ptCount val="112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  <c:pt idx="97">
                  <c:v>45689</c:v>
                </c:pt>
                <c:pt idx="98">
                  <c:v>45717</c:v>
                </c:pt>
                <c:pt idx="99">
                  <c:v>45748</c:v>
                </c:pt>
                <c:pt idx="100">
                  <c:v>45778</c:v>
                </c:pt>
                <c:pt idx="101">
                  <c:v>45809</c:v>
                </c:pt>
                <c:pt idx="102">
                  <c:v>45839</c:v>
                </c:pt>
                <c:pt idx="103">
                  <c:v>45870</c:v>
                </c:pt>
                <c:pt idx="104">
                  <c:v>45901</c:v>
                </c:pt>
                <c:pt idx="105">
                  <c:v>45931</c:v>
                </c:pt>
                <c:pt idx="106">
                  <c:v>45962</c:v>
                </c:pt>
                <c:pt idx="107">
                  <c:v>45992</c:v>
                </c:pt>
                <c:pt idx="108">
                  <c:v>46023</c:v>
                </c:pt>
                <c:pt idx="109">
                  <c:v>46054</c:v>
                </c:pt>
                <c:pt idx="110">
                  <c:v>46082</c:v>
                </c:pt>
                <c:pt idx="111">
                  <c:v>46113</c:v>
                </c:pt>
              </c:numCache>
            </c:numRef>
          </c:cat>
          <c:val>
            <c:numRef>
              <c:f>'Chart Data'!$Y$3:$Y$114</c:f>
              <c:numCache>
                <c:formatCode>0.0</c:formatCode>
                <c:ptCount val="112"/>
                <c:pt idx="0">
                  <c:v>2.6</c:v>
                </c:pt>
                <c:pt idx="1">
                  <c:v>2.6</c:v>
                </c:pt>
                <c:pt idx="2">
                  <c:v>2.5</c:v>
                </c:pt>
                <c:pt idx="3">
                  <c:v>2.5</c:v>
                </c:pt>
                <c:pt idx="4">
                  <c:v>2.6</c:v>
                </c:pt>
                <c:pt idx="5">
                  <c:v>2.6</c:v>
                </c:pt>
                <c:pt idx="6">
                  <c:v>2.5</c:v>
                </c:pt>
                <c:pt idx="7">
                  <c:v>2.6</c:v>
                </c:pt>
                <c:pt idx="8">
                  <c:v>2.5</c:v>
                </c:pt>
                <c:pt idx="9">
                  <c:v>2.8</c:v>
                </c:pt>
                <c:pt idx="10">
                  <c:v>2.6</c:v>
                </c:pt>
                <c:pt idx="11">
                  <c:v>2.7</c:v>
                </c:pt>
                <c:pt idx="12">
                  <c:v>2.5</c:v>
                </c:pt>
                <c:pt idx="13">
                  <c:v>2.4</c:v>
                </c:pt>
                <c:pt idx="14">
                  <c:v>2.4</c:v>
                </c:pt>
                <c:pt idx="15">
                  <c:v>2.4</c:v>
                </c:pt>
                <c:pt idx="16">
                  <c:v>2.5</c:v>
                </c:pt>
                <c:pt idx="17">
                  <c:v>2.6</c:v>
                </c:pt>
                <c:pt idx="18">
                  <c:v>2.5</c:v>
                </c:pt>
                <c:pt idx="19">
                  <c:v>2.7</c:v>
                </c:pt>
                <c:pt idx="20">
                  <c:v>2.9</c:v>
                </c:pt>
                <c:pt idx="21">
                  <c:v>2.6</c:v>
                </c:pt>
                <c:pt idx="22">
                  <c:v>2.7</c:v>
                </c:pt>
                <c:pt idx="23">
                  <c:v>2.9</c:v>
                </c:pt>
                <c:pt idx="24">
                  <c:v>2.6</c:v>
                </c:pt>
                <c:pt idx="25">
                  <c:v>2.9</c:v>
                </c:pt>
                <c:pt idx="26">
                  <c:v>2.7</c:v>
                </c:pt>
                <c:pt idx="27">
                  <c:v>2.7</c:v>
                </c:pt>
                <c:pt idx="28">
                  <c:v>2.6</c:v>
                </c:pt>
                <c:pt idx="29">
                  <c:v>2.6</c:v>
                </c:pt>
                <c:pt idx="30">
                  <c:v>2.9</c:v>
                </c:pt>
                <c:pt idx="31">
                  <c:v>3.2</c:v>
                </c:pt>
                <c:pt idx="32">
                  <c:v>2.9</c:v>
                </c:pt>
                <c:pt idx="33">
                  <c:v>2.7</c:v>
                </c:pt>
                <c:pt idx="34">
                  <c:v>2.6</c:v>
                </c:pt>
                <c:pt idx="35">
                  <c:v>2.2999999999999998</c:v>
                </c:pt>
                <c:pt idx="36">
                  <c:v>2.5</c:v>
                </c:pt>
                <c:pt idx="37">
                  <c:v>2.2999999999999998</c:v>
                </c:pt>
                <c:pt idx="38">
                  <c:v>3.2</c:v>
                </c:pt>
                <c:pt idx="39">
                  <c:v>3.2</c:v>
                </c:pt>
                <c:pt idx="40">
                  <c:v>3.1</c:v>
                </c:pt>
                <c:pt idx="41">
                  <c:v>3</c:v>
                </c:pt>
                <c:pt idx="42">
                  <c:v>3.2</c:v>
                </c:pt>
                <c:pt idx="43">
                  <c:v>3</c:v>
                </c:pt>
                <c:pt idx="44">
                  <c:v>3.2</c:v>
                </c:pt>
                <c:pt idx="45">
                  <c:v>3.2</c:v>
                </c:pt>
                <c:pt idx="46">
                  <c:v>3.3</c:v>
                </c:pt>
                <c:pt idx="47">
                  <c:v>3.8</c:v>
                </c:pt>
                <c:pt idx="48">
                  <c:v>3.3</c:v>
                </c:pt>
                <c:pt idx="49">
                  <c:v>2.9</c:v>
                </c:pt>
                <c:pt idx="50">
                  <c:v>2.7</c:v>
                </c:pt>
                <c:pt idx="51">
                  <c:v>2.8</c:v>
                </c:pt>
                <c:pt idx="52">
                  <c:v>2.7</c:v>
                </c:pt>
                <c:pt idx="53">
                  <c:v>2.8</c:v>
                </c:pt>
                <c:pt idx="54">
                  <c:v>3.1</c:v>
                </c:pt>
                <c:pt idx="55">
                  <c:v>3.1</c:v>
                </c:pt>
                <c:pt idx="56">
                  <c:v>4.0999999999999996</c:v>
                </c:pt>
                <c:pt idx="57">
                  <c:v>4.4000000000000004</c:v>
                </c:pt>
                <c:pt idx="58">
                  <c:v>4</c:v>
                </c:pt>
                <c:pt idx="59">
                  <c:v>4</c:v>
                </c:pt>
                <c:pt idx="60">
                  <c:v>4.8</c:v>
                </c:pt>
                <c:pt idx="61">
                  <c:v>5.6</c:v>
                </c:pt>
                <c:pt idx="62">
                  <c:v>6.1</c:v>
                </c:pt>
                <c:pt idx="63">
                  <c:v>6</c:v>
                </c:pt>
                <c:pt idx="64">
                  <c:v>6.1</c:v>
                </c:pt>
                <c:pt idx="65">
                  <c:v>6.1</c:v>
                </c:pt>
                <c:pt idx="66">
                  <c:v>6</c:v>
                </c:pt>
                <c:pt idx="67">
                  <c:v>6.3</c:v>
                </c:pt>
                <c:pt idx="68">
                  <c:v>6.2</c:v>
                </c:pt>
                <c:pt idx="69">
                  <c:v>6.2</c:v>
                </c:pt>
                <c:pt idx="70">
                  <c:v>6.1</c:v>
                </c:pt>
                <c:pt idx="71">
                  <c:v>5.7</c:v>
                </c:pt>
                <c:pt idx="72">
                  <c:v>5.4</c:v>
                </c:pt>
                <c:pt idx="73">
                  <c:v>5.6</c:v>
                </c:pt>
                <c:pt idx="74">
                  <c:v>5.4</c:v>
                </c:pt>
                <c:pt idx="75">
                  <c:v>5.2</c:v>
                </c:pt>
                <c:pt idx="76">
                  <c:v>4.7</c:v>
                </c:pt>
                <c:pt idx="77">
                  <c:v>5</c:v>
                </c:pt>
                <c:pt idx="78">
                  <c:v>4.3</c:v>
                </c:pt>
                <c:pt idx="79">
                  <c:v>4.4000000000000004</c:v>
                </c:pt>
                <c:pt idx="80">
                  <c:v>4.2</c:v>
                </c:pt>
                <c:pt idx="81">
                  <c:v>4.2</c:v>
                </c:pt>
                <c:pt idx="82">
                  <c:v>3.9</c:v>
                </c:pt>
                <c:pt idx="83">
                  <c:v>3.5</c:v>
                </c:pt>
                <c:pt idx="84">
                  <c:v>3.9</c:v>
                </c:pt>
                <c:pt idx="85">
                  <c:v>3.6</c:v>
                </c:pt>
                <c:pt idx="86">
                  <c:v>3.3</c:v>
                </c:pt>
                <c:pt idx="87">
                  <c:v>3.3</c:v>
                </c:pt>
                <c:pt idx="88">
                  <c:v>3.1</c:v>
                </c:pt>
                <c:pt idx="89">
                  <c:v>2.6</c:v>
                </c:pt>
                <c:pt idx="90">
                  <c:v>2.7</c:v>
                </c:pt>
                <c:pt idx="91">
                  <c:v>3.1</c:v>
                </c:pt>
                <c:pt idx="92">
                  <c:v>3.2</c:v>
                </c:pt>
                <c:pt idx="93">
                  <c:v>3.3</c:v>
                </c:pt>
                <c:pt idx="94">
                  <c:v>3.5</c:v>
                </c:pt>
                <c:pt idx="95">
                  <c:v>3.7</c:v>
                </c:pt>
                <c:pt idx="96">
                  <c:v>3.5</c:v>
                </c:pt>
                <c:pt idx="97">
                  <c:v>3.9</c:v>
                </c:pt>
                <c:pt idx="98">
                  <c:v>4</c:v>
                </c:pt>
                <c:pt idx="99">
                  <c:v>4.2</c:v>
                </c:pt>
                <c:pt idx="100">
                  <c:v>4</c:v>
                </c:pt>
                <c:pt idx="101">
                  <c:v>3.9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4.2</c:v>
                </c:pt>
                <c:pt idx="106">
                  <c:v>3.7</c:v>
                </c:pt>
                <c:pt idx="107">
                  <c:v>3.6</c:v>
                </c:pt>
                <c:pt idx="108">
                  <c:v>3.778</c:v>
                </c:pt>
                <c:pt idx="109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Data'!$Z$2</c:f>
              <c:strCache>
                <c:ptCount val="1"/>
                <c:pt idx="0">
                  <c:v>5-10 years ahead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Data'!$X$3:$X$114</c:f>
              <c:numCache>
                <c:formatCode>mmm\-yy</c:formatCode>
                <c:ptCount val="112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  <c:pt idx="97">
                  <c:v>45689</c:v>
                </c:pt>
                <c:pt idx="98">
                  <c:v>45717</c:v>
                </c:pt>
                <c:pt idx="99">
                  <c:v>45748</c:v>
                </c:pt>
                <c:pt idx="100">
                  <c:v>45778</c:v>
                </c:pt>
                <c:pt idx="101">
                  <c:v>45809</c:v>
                </c:pt>
                <c:pt idx="102">
                  <c:v>45839</c:v>
                </c:pt>
                <c:pt idx="103">
                  <c:v>45870</c:v>
                </c:pt>
                <c:pt idx="104">
                  <c:v>45901</c:v>
                </c:pt>
                <c:pt idx="105">
                  <c:v>45931</c:v>
                </c:pt>
                <c:pt idx="106">
                  <c:v>45962</c:v>
                </c:pt>
                <c:pt idx="107">
                  <c:v>45992</c:v>
                </c:pt>
                <c:pt idx="108">
                  <c:v>46023</c:v>
                </c:pt>
                <c:pt idx="109">
                  <c:v>46054</c:v>
                </c:pt>
                <c:pt idx="110">
                  <c:v>46082</c:v>
                </c:pt>
                <c:pt idx="111">
                  <c:v>46113</c:v>
                </c:pt>
              </c:numCache>
            </c:numRef>
          </c:cat>
          <c:val>
            <c:numRef>
              <c:f>'Chart Data'!$Z$3:$Z$114</c:f>
              <c:numCache>
                <c:formatCode>0.0</c:formatCode>
                <c:ptCount val="112"/>
                <c:pt idx="0">
                  <c:v>3</c:v>
                </c:pt>
                <c:pt idx="1">
                  <c:v>3.2</c:v>
                </c:pt>
                <c:pt idx="2">
                  <c:v>3</c:v>
                </c:pt>
                <c:pt idx="3">
                  <c:v>2.9</c:v>
                </c:pt>
                <c:pt idx="4">
                  <c:v>3</c:v>
                </c:pt>
                <c:pt idx="5">
                  <c:v>3.1</c:v>
                </c:pt>
                <c:pt idx="6">
                  <c:v>3.1</c:v>
                </c:pt>
                <c:pt idx="7">
                  <c:v>3.2</c:v>
                </c:pt>
                <c:pt idx="8">
                  <c:v>3.1</c:v>
                </c:pt>
                <c:pt idx="9">
                  <c:v>3.2</c:v>
                </c:pt>
                <c:pt idx="10">
                  <c:v>3.2</c:v>
                </c:pt>
                <c:pt idx="11">
                  <c:v>3.3</c:v>
                </c:pt>
                <c:pt idx="12">
                  <c:v>3.1</c:v>
                </c:pt>
                <c:pt idx="13">
                  <c:v>3.1</c:v>
                </c:pt>
                <c:pt idx="14">
                  <c:v>3</c:v>
                </c:pt>
                <c:pt idx="15">
                  <c:v>3.1</c:v>
                </c:pt>
                <c:pt idx="16">
                  <c:v>3.2</c:v>
                </c:pt>
                <c:pt idx="17">
                  <c:v>3.35</c:v>
                </c:pt>
                <c:pt idx="18">
                  <c:v>3.3</c:v>
                </c:pt>
                <c:pt idx="19">
                  <c:v>3.3</c:v>
                </c:pt>
                <c:pt idx="20">
                  <c:v>3.4</c:v>
                </c:pt>
                <c:pt idx="21">
                  <c:v>3.2</c:v>
                </c:pt>
                <c:pt idx="22">
                  <c:v>3.1</c:v>
                </c:pt>
                <c:pt idx="23">
                  <c:v>3.3</c:v>
                </c:pt>
                <c:pt idx="24">
                  <c:v>3</c:v>
                </c:pt>
                <c:pt idx="25">
                  <c:v>3.2</c:v>
                </c:pt>
                <c:pt idx="26">
                  <c:v>3</c:v>
                </c:pt>
                <c:pt idx="27">
                  <c:v>3.2</c:v>
                </c:pt>
                <c:pt idx="28">
                  <c:v>3.2</c:v>
                </c:pt>
                <c:pt idx="29">
                  <c:v>3.3</c:v>
                </c:pt>
                <c:pt idx="30">
                  <c:v>3.4</c:v>
                </c:pt>
                <c:pt idx="31">
                  <c:v>3.1</c:v>
                </c:pt>
                <c:pt idx="32">
                  <c:v>3</c:v>
                </c:pt>
                <c:pt idx="33">
                  <c:v>3.1</c:v>
                </c:pt>
                <c:pt idx="34">
                  <c:v>3</c:v>
                </c:pt>
                <c:pt idx="35">
                  <c:v>2.9</c:v>
                </c:pt>
                <c:pt idx="36">
                  <c:v>3.1</c:v>
                </c:pt>
                <c:pt idx="37">
                  <c:v>3</c:v>
                </c:pt>
                <c:pt idx="38">
                  <c:v>3.1</c:v>
                </c:pt>
                <c:pt idx="39">
                  <c:v>2.9</c:v>
                </c:pt>
                <c:pt idx="40">
                  <c:v>3</c:v>
                </c:pt>
                <c:pt idx="41">
                  <c:v>3.2</c:v>
                </c:pt>
                <c:pt idx="42">
                  <c:v>3.3</c:v>
                </c:pt>
                <c:pt idx="43">
                  <c:v>3.2</c:v>
                </c:pt>
                <c:pt idx="44">
                  <c:v>3.6</c:v>
                </c:pt>
                <c:pt idx="45">
                  <c:v>3.5</c:v>
                </c:pt>
                <c:pt idx="46">
                  <c:v>3.4</c:v>
                </c:pt>
                <c:pt idx="47">
                  <c:v>3.4</c:v>
                </c:pt>
                <c:pt idx="48">
                  <c:v>3.4</c:v>
                </c:pt>
                <c:pt idx="49">
                  <c:v>3.3</c:v>
                </c:pt>
                <c:pt idx="50">
                  <c:v>3.1</c:v>
                </c:pt>
                <c:pt idx="51">
                  <c:v>3.3</c:v>
                </c:pt>
                <c:pt idx="52">
                  <c:v>3.4</c:v>
                </c:pt>
                <c:pt idx="53">
                  <c:v>3.4</c:v>
                </c:pt>
                <c:pt idx="54">
                  <c:v>3.4</c:v>
                </c:pt>
                <c:pt idx="55">
                  <c:v>3.5</c:v>
                </c:pt>
                <c:pt idx="56">
                  <c:v>3.8</c:v>
                </c:pt>
                <c:pt idx="57">
                  <c:v>3.7</c:v>
                </c:pt>
                <c:pt idx="58">
                  <c:v>3.7</c:v>
                </c:pt>
                <c:pt idx="59">
                  <c:v>3.8</c:v>
                </c:pt>
                <c:pt idx="60">
                  <c:v>3.8</c:v>
                </c:pt>
                <c:pt idx="61">
                  <c:v>4.0999999999999996</c:v>
                </c:pt>
                <c:pt idx="62">
                  <c:v>4.4000000000000004</c:v>
                </c:pt>
                <c:pt idx="63">
                  <c:v>4.2</c:v>
                </c:pt>
                <c:pt idx="64">
                  <c:v>4.2</c:v>
                </c:pt>
                <c:pt idx="65">
                  <c:v>4</c:v>
                </c:pt>
                <c:pt idx="66">
                  <c:v>3.8</c:v>
                </c:pt>
                <c:pt idx="67">
                  <c:v>4.8</c:v>
                </c:pt>
                <c:pt idx="68">
                  <c:v>4.3</c:v>
                </c:pt>
                <c:pt idx="69">
                  <c:v>4.2</c:v>
                </c:pt>
                <c:pt idx="70">
                  <c:v>3.9</c:v>
                </c:pt>
                <c:pt idx="71">
                  <c:v>3.6</c:v>
                </c:pt>
                <c:pt idx="72">
                  <c:v>3.5</c:v>
                </c:pt>
                <c:pt idx="73">
                  <c:v>3.8</c:v>
                </c:pt>
                <c:pt idx="74">
                  <c:v>3.7</c:v>
                </c:pt>
                <c:pt idx="75">
                  <c:v>3.6</c:v>
                </c:pt>
                <c:pt idx="76">
                  <c:v>3.5</c:v>
                </c:pt>
                <c:pt idx="77">
                  <c:v>3.3</c:v>
                </c:pt>
                <c:pt idx="78">
                  <c:v>3.2</c:v>
                </c:pt>
                <c:pt idx="79">
                  <c:v>3.3</c:v>
                </c:pt>
                <c:pt idx="80">
                  <c:v>3.3</c:v>
                </c:pt>
                <c:pt idx="81">
                  <c:v>3.5</c:v>
                </c:pt>
                <c:pt idx="82">
                  <c:v>3.4</c:v>
                </c:pt>
                <c:pt idx="83">
                  <c:v>3.4</c:v>
                </c:pt>
                <c:pt idx="84">
                  <c:v>3.6</c:v>
                </c:pt>
                <c:pt idx="85">
                  <c:v>3.5</c:v>
                </c:pt>
                <c:pt idx="86">
                  <c:v>3.4</c:v>
                </c:pt>
                <c:pt idx="87">
                  <c:v>3.5</c:v>
                </c:pt>
                <c:pt idx="88">
                  <c:v>3.2</c:v>
                </c:pt>
                <c:pt idx="89">
                  <c:v>3</c:v>
                </c:pt>
                <c:pt idx="90">
                  <c:v>3.1</c:v>
                </c:pt>
                <c:pt idx="91">
                  <c:v>3.1</c:v>
                </c:pt>
                <c:pt idx="92">
                  <c:v>3.6</c:v>
                </c:pt>
                <c:pt idx="93">
                  <c:v>3.8</c:v>
                </c:pt>
                <c:pt idx="94">
                  <c:v>3.6</c:v>
                </c:pt>
                <c:pt idx="95">
                  <c:v>3.9</c:v>
                </c:pt>
                <c:pt idx="96">
                  <c:v>3.7</c:v>
                </c:pt>
                <c:pt idx="97">
                  <c:v>3.9</c:v>
                </c:pt>
                <c:pt idx="98">
                  <c:v>4.2</c:v>
                </c:pt>
                <c:pt idx="99">
                  <c:v>4.2</c:v>
                </c:pt>
                <c:pt idx="100">
                  <c:v>4.2</c:v>
                </c:pt>
                <c:pt idx="101">
                  <c:v>4.3</c:v>
                </c:pt>
                <c:pt idx="102">
                  <c:v>4.2</c:v>
                </c:pt>
                <c:pt idx="103">
                  <c:v>3.9</c:v>
                </c:pt>
                <c:pt idx="104">
                  <c:v>4.0999999999999996</c:v>
                </c:pt>
                <c:pt idx="105">
                  <c:v>4.2</c:v>
                </c:pt>
                <c:pt idx="106">
                  <c:v>3.9</c:v>
                </c:pt>
                <c:pt idx="107">
                  <c:v>3.8</c:v>
                </c:pt>
                <c:pt idx="108">
                  <c:v>4.117</c:v>
                </c:pt>
                <c:pt idx="109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Data'!$AA$2</c:f>
              <c:strCache>
                <c:ptCount val="1"/>
                <c:pt idx="0">
                  <c:v>12-month ahead avg</c:v>
                </c:pt>
              </c:strCache>
            </c:strRef>
          </c:tx>
          <c:spPr>
            <a:ln w="31750">
              <a:solidFill>
                <a:srgbClr val="BD1B21"/>
              </a:solidFill>
              <a:prstDash val="dash"/>
            </a:ln>
          </c:spPr>
          <c:marker>
            <c:symbol val="none"/>
          </c:marker>
          <c:cat>
            <c:numRef>
              <c:f>'Chart Data'!$X$3:$X$114</c:f>
              <c:numCache>
                <c:formatCode>mmm\-yy</c:formatCode>
                <c:ptCount val="112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  <c:pt idx="97">
                  <c:v>45689</c:v>
                </c:pt>
                <c:pt idx="98">
                  <c:v>45717</c:v>
                </c:pt>
                <c:pt idx="99">
                  <c:v>45748</c:v>
                </c:pt>
                <c:pt idx="100">
                  <c:v>45778</c:v>
                </c:pt>
                <c:pt idx="101">
                  <c:v>45809</c:v>
                </c:pt>
                <c:pt idx="102">
                  <c:v>45839</c:v>
                </c:pt>
                <c:pt idx="103">
                  <c:v>45870</c:v>
                </c:pt>
                <c:pt idx="104">
                  <c:v>45901</c:v>
                </c:pt>
                <c:pt idx="105">
                  <c:v>45931</c:v>
                </c:pt>
                <c:pt idx="106">
                  <c:v>45962</c:v>
                </c:pt>
                <c:pt idx="107">
                  <c:v>45992</c:v>
                </c:pt>
                <c:pt idx="108">
                  <c:v>46023</c:v>
                </c:pt>
                <c:pt idx="109">
                  <c:v>46054</c:v>
                </c:pt>
                <c:pt idx="110">
                  <c:v>46082</c:v>
                </c:pt>
                <c:pt idx="111">
                  <c:v>46113</c:v>
                </c:pt>
              </c:numCache>
            </c:numRef>
          </c:cat>
          <c:val>
            <c:numRef>
              <c:f>'Chart Data'!$AA$3:$AA$114</c:f>
              <c:numCache>
                <c:formatCode>0.00</c:formatCode>
                <c:ptCount val="112"/>
                <c:pt idx="0">
                  <c:v>2.4608333333333325</c:v>
                </c:pt>
                <c:pt idx="1">
                  <c:v>2.4608333333333325</c:v>
                </c:pt>
                <c:pt idx="2">
                  <c:v>2.4608333333333325</c:v>
                </c:pt>
                <c:pt idx="3">
                  <c:v>2.4608333333333325</c:v>
                </c:pt>
                <c:pt idx="4">
                  <c:v>2.4608333333333325</c:v>
                </c:pt>
                <c:pt idx="5">
                  <c:v>2.4608333333333325</c:v>
                </c:pt>
                <c:pt idx="6">
                  <c:v>2.4608333333333325</c:v>
                </c:pt>
                <c:pt idx="7">
                  <c:v>2.4608333333333325</c:v>
                </c:pt>
                <c:pt idx="8">
                  <c:v>2.4608333333333325</c:v>
                </c:pt>
                <c:pt idx="9">
                  <c:v>2.4608333333333325</c:v>
                </c:pt>
                <c:pt idx="10">
                  <c:v>2.4608333333333325</c:v>
                </c:pt>
                <c:pt idx="11">
                  <c:v>2.4608333333333325</c:v>
                </c:pt>
                <c:pt idx="12">
                  <c:v>2.4608333333333325</c:v>
                </c:pt>
                <c:pt idx="13">
                  <c:v>2.4608333333333325</c:v>
                </c:pt>
                <c:pt idx="14">
                  <c:v>2.4608333333333325</c:v>
                </c:pt>
                <c:pt idx="15">
                  <c:v>2.4608333333333325</c:v>
                </c:pt>
                <c:pt idx="16">
                  <c:v>2.4608333333333325</c:v>
                </c:pt>
                <c:pt idx="17">
                  <c:v>2.4608333333333325</c:v>
                </c:pt>
                <c:pt idx="18">
                  <c:v>2.4608333333333325</c:v>
                </c:pt>
                <c:pt idx="19">
                  <c:v>2.4608333333333325</c:v>
                </c:pt>
                <c:pt idx="20">
                  <c:v>2.4608333333333325</c:v>
                </c:pt>
                <c:pt idx="21">
                  <c:v>2.4608333333333325</c:v>
                </c:pt>
                <c:pt idx="22">
                  <c:v>2.4608333333333325</c:v>
                </c:pt>
                <c:pt idx="23">
                  <c:v>2.4608333333333325</c:v>
                </c:pt>
                <c:pt idx="24">
                  <c:v>2.4608333333333325</c:v>
                </c:pt>
                <c:pt idx="25">
                  <c:v>2.4608333333333325</c:v>
                </c:pt>
                <c:pt idx="26">
                  <c:v>2.4608333333333325</c:v>
                </c:pt>
                <c:pt idx="27">
                  <c:v>2.4608333333333325</c:v>
                </c:pt>
                <c:pt idx="28">
                  <c:v>2.4608333333333325</c:v>
                </c:pt>
                <c:pt idx="29">
                  <c:v>2.4608333333333325</c:v>
                </c:pt>
                <c:pt idx="30">
                  <c:v>2.4608333333333325</c:v>
                </c:pt>
                <c:pt idx="31">
                  <c:v>2.4608333333333325</c:v>
                </c:pt>
                <c:pt idx="32">
                  <c:v>2.4608333333333325</c:v>
                </c:pt>
                <c:pt idx="33">
                  <c:v>2.4608333333333325</c:v>
                </c:pt>
                <c:pt idx="34">
                  <c:v>2.4608333333333325</c:v>
                </c:pt>
                <c:pt idx="35">
                  <c:v>2.4608333333333325</c:v>
                </c:pt>
                <c:pt idx="36">
                  <c:v>2.4608333333333325</c:v>
                </c:pt>
                <c:pt idx="37">
                  <c:v>2.4608333333333325</c:v>
                </c:pt>
                <c:pt idx="38">
                  <c:v>2.4608333333333325</c:v>
                </c:pt>
                <c:pt idx="39">
                  <c:v>2.4608333333333325</c:v>
                </c:pt>
                <c:pt idx="40">
                  <c:v>2.4608333333333325</c:v>
                </c:pt>
                <c:pt idx="41">
                  <c:v>2.4608333333333325</c:v>
                </c:pt>
                <c:pt idx="42">
                  <c:v>2.4608333333333325</c:v>
                </c:pt>
                <c:pt idx="43">
                  <c:v>2.4608333333333325</c:v>
                </c:pt>
                <c:pt idx="44">
                  <c:v>2.4608333333333325</c:v>
                </c:pt>
                <c:pt idx="45">
                  <c:v>2.4608333333333325</c:v>
                </c:pt>
                <c:pt idx="46">
                  <c:v>2.4608333333333325</c:v>
                </c:pt>
                <c:pt idx="47">
                  <c:v>2.4608333333333325</c:v>
                </c:pt>
                <c:pt idx="48">
                  <c:v>2.4608333333333325</c:v>
                </c:pt>
                <c:pt idx="49">
                  <c:v>2.4608333333333325</c:v>
                </c:pt>
                <c:pt idx="50">
                  <c:v>2.4608333333333325</c:v>
                </c:pt>
                <c:pt idx="51">
                  <c:v>2.4608333333333325</c:v>
                </c:pt>
                <c:pt idx="52">
                  <c:v>2.4608333333333325</c:v>
                </c:pt>
                <c:pt idx="53">
                  <c:v>2.4608333333333325</c:v>
                </c:pt>
                <c:pt idx="54">
                  <c:v>2.4608333333333325</c:v>
                </c:pt>
                <c:pt idx="55">
                  <c:v>2.4608333333333325</c:v>
                </c:pt>
                <c:pt idx="56">
                  <c:v>2.4608333333333325</c:v>
                </c:pt>
                <c:pt idx="57">
                  <c:v>2.4608333333333325</c:v>
                </c:pt>
                <c:pt idx="58">
                  <c:v>2.4608333333333325</c:v>
                </c:pt>
                <c:pt idx="59">
                  <c:v>2.4608333333333325</c:v>
                </c:pt>
                <c:pt idx="60">
                  <c:v>2.4608333333333325</c:v>
                </c:pt>
                <c:pt idx="61">
                  <c:v>2.4608333333333325</c:v>
                </c:pt>
                <c:pt idx="62">
                  <c:v>2.4608333333333325</c:v>
                </c:pt>
                <c:pt idx="63">
                  <c:v>2.4608333333333325</c:v>
                </c:pt>
                <c:pt idx="64">
                  <c:v>2.4608333333333325</c:v>
                </c:pt>
                <c:pt idx="65">
                  <c:v>2.4608333333333325</c:v>
                </c:pt>
                <c:pt idx="66">
                  <c:v>2.4608333333333325</c:v>
                </c:pt>
                <c:pt idx="67">
                  <c:v>2.4608333333333325</c:v>
                </c:pt>
                <c:pt idx="68">
                  <c:v>2.4608333333333325</c:v>
                </c:pt>
                <c:pt idx="69">
                  <c:v>2.4608333333333325</c:v>
                </c:pt>
                <c:pt idx="70">
                  <c:v>2.4608333333333325</c:v>
                </c:pt>
                <c:pt idx="71">
                  <c:v>2.4608333333333325</c:v>
                </c:pt>
                <c:pt idx="72">
                  <c:v>2.4608333333333325</c:v>
                </c:pt>
                <c:pt idx="73">
                  <c:v>2.4608333333333325</c:v>
                </c:pt>
                <c:pt idx="74">
                  <c:v>2.4608333333333325</c:v>
                </c:pt>
                <c:pt idx="75">
                  <c:v>2.4608333333333325</c:v>
                </c:pt>
                <c:pt idx="76">
                  <c:v>2.4608333333333325</c:v>
                </c:pt>
                <c:pt idx="77">
                  <c:v>2.4608333333333325</c:v>
                </c:pt>
                <c:pt idx="78">
                  <c:v>2.4608333333333325</c:v>
                </c:pt>
                <c:pt idx="79">
                  <c:v>2.4608333333333325</c:v>
                </c:pt>
                <c:pt idx="80">
                  <c:v>2.4608333333333325</c:v>
                </c:pt>
                <c:pt idx="81">
                  <c:v>2.4608333333333325</c:v>
                </c:pt>
                <c:pt idx="82">
                  <c:v>2.4608333333333325</c:v>
                </c:pt>
                <c:pt idx="83">
                  <c:v>2.4608333333333325</c:v>
                </c:pt>
                <c:pt idx="84">
                  <c:v>2.4608333333333325</c:v>
                </c:pt>
                <c:pt idx="85">
                  <c:v>2.4608333333333325</c:v>
                </c:pt>
                <c:pt idx="86">
                  <c:v>2.4608333333333325</c:v>
                </c:pt>
                <c:pt idx="87">
                  <c:v>2.4608333333333325</c:v>
                </c:pt>
                <c:pt idx="88">
                  <c:v>2.4608333333333325</c:v>
                </c:pt>
                <c:pt idx="89">
                  <c:v>2.4608333333333325</c:v>
                </c:pt>
                <c:pt idx="90">
                  <c:v>2.4608333333333325</c:v>
                </c:pt>
                <c:pt idx="91">
                  <c:v>2.4608333333333325</c:v>
                </c:pt>
                <c:pt idx="92">
                  <c:v>2.4608333333333325</c:v>
                </c:pt>
                <c:pt idx="93">
                  <c:v>2.4608333333333325</c:v>
                </c:pt>
                <c:pt idx="94">
                  <c:v>2.4608333333333325</c:v>
                </c:pt>
                <c:pt idx="95">
                  <c:v>2.4608333333333325</c:v>
                </c:pt>
                <c:pt idx="96">
                  <c:v>2.4608333333333325</c:v>
                </c:pt>
                <c:pt idx="97">
                  <c:v>2.4608333333333325</c:v>
                </c:pt>
                <c:pt idx="98">
                  <c:v>2.4608333333333325</c:v>
                </c:pt>
                <c:pt idx="99">
                  <c:v>2.4608333333333325</c:v>
                </c:pt>
                <c:pt idx="100">
                  <c:v>2.4608333333333325</c:v>
                </c:pt>
                <c:pt idx="101">
                  <c:v>2.4608333333333325</c:v>
                </c:pt>
                <c:pt idx="102">
                  <c:v>2.4608333333333325</c:v>
                </c:pt>
                <c:pt idx="103">
                  <c:v>2.4608333333333325</c:v>
                </c:pt>
                <c:pt idx="104">
                  <c:v>2.4608333333333325</c:v>
                </c:pt>
                <c:pt idx="105">
                  <c:v>2.4608333333333325</c:v>
                </c:pt>
                <c:pt idx="106">
                  <c:v>2.4608333333333325</c:v>
                </c:pt>
                <c:pt idx="107">
                  <c:v>2.4608333333333325</c:v>
                </c:pt>
                <c:pt idx="108">
                  <c:v>2.4608333333333325</c:v>
                </c:pt>
                <c:pt idx="109">
                  <c:v>2.4608333333333325</c:v>
                </c:pt>
                <c:pt idx="110">
                  <c:v>2.4608333333333299</c:v>
                </c:pt>
                <c:pt idx="111">
                  <c:v>2.4608333333333299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2C-4DD4-8701-73E81798E4C3}"/>
            </c:ext>
          </c:extLst>
        </c:ser>
        <c:ser>
          <c:idx val="3"/>
          <c:order val="3"/>
          <c:tx>
            <c:strRef>
              <c:f>'Chart Data'!$AB$2</c:f>
              <c:strCache>
                <c:ptCount val="1"/>
                <c:pt idx="0">
                  <c:v>5-10 years ahead avg</c:v>
                </c:pt>
              </c:strCache>
            </c:strRef>
          </c:tx>
          <c:spPr>
            <a:ln w="31750">
              <a:solidFill>
                <a:srgbClr val="003469"/>
              </a:solidFill>
              <a:prstDash val="dash"/>
            </a:ln>
          </c:spPr>
          <c:marker>
            <c:symbol val="none"/>
          </c:marker>
          <c:cat>
            <c:numRef>
              <c:f>'Chart Data'!$X$3:$X$114</c:f>
              <c:numCache>
                <c:formatCode>mmm\-yy</c:formatCode>
                <c:ptCount val="112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  <c:pt idx="97">
                  <c:v>45689</c:v>
                </c:pt>
                <c:pt idx="98">
                  <c:v>45717</c:v>
                </c:pt>
                <c:pt idx="99">
                  <c:v>45748</c:v>
                </c:pt>
                <c:pt idx="100">
                  <c:v>45778</c:v>
                </c:pt>
                <c:pt idx="101">
                  <c:v>45809</c:v>
                </c:pt>
                <c:pt idx="102">
                  <c:v>45839</c:v>
                </c:pt>
                <c:pt idx="103">
                  <c:v>45870</c:v>
                </c:pt>
                <c:pt idx="104">
                  <c:v>45901</c:v>
                </c:pt>
                <c:pt idx="105">
                  <c:v>45931</c:v>
                </c:pt>
                <c:pt idx="106">
                  <c:v>45962</c:v>
                </c:pt>
                <c:pt idx="107">
                  <c:v>45992</c:v>
                </c:pt>
                <c:pt idx="108">
                  <c:v>46023</c:v>
                </c:pt>
                <c:pt idx="109">
                  <c:v>46054</c:v>
                </c:pt>
                <c:pt idx="110">
                  <c:v>46082</c:v>
                </c:pt>
                <c:pt idx="111">
                  <c:v>46113</c:v>
                </c:pt>
              </c:numCache>
            </c:numRef>
          </c:cat>
          <c:val>
            <c:numRef>
              <c:f>'Chart Data'!$AB$3:$AB$114</c:f>
              <c:numCache>
                <c:formatCode>0.00</c:formatCode>
                <c:ptCount val="112"/>
                <c:pt idx="0">
                  <c:v>3.1545833333333348</c:v>
                </c:pt>
                <c:pt idx="1">
                  <c:v>3.1545833333333348</c:v>
                </c:pt>
                <c:pt idx="2">
                  <c:v>3.1545833333333348</c:v>
                </c:pt>
                <c:pt idx="3">
                  <c:v>3.1545833333333348</c:v>
                </c:pt>
                <c:pt idx="4">
                  <c:v>3.1545833333333348</c:v>
                </c:pt>
                <c:pt idx="5">
                  <c:v>3.1545833333333348</c:v>
                </c:pt>
                <c:pt idx="6">
                  <c:v>3.1545833333333348</c:v>
                </c:pt>
                <c:pt idx="7">
                  <c:v>3.1545833333333348</c:v>
                </c:pt>
                <c:pt idx="8">
                  <c:v>3.1545833333333348</c:v>
                </c:pt>
                <c:pt idx="9">
                  <c:v>3.1545833333333348</c:v>
                </c:pt>
                <c:pt idx="10">
                  <c:v>3.1545833333333348</c:v>
                </c:pt>
                <c:pt idx="11">
                  <c:v>3.1545833333333348</c:v>
                </c:pt>
                <c:pt idx="12">
                  <c:v>3.1545833333333348</c:v>
                </c:pt>
                <c:pt idx="13">
                  <c:v>3.1545833333333348</c:v>
                </c:pt>
                <c:pt idx="14">
                  <c:v>3.1545833333333348</c:v>
                </c:pt>
                <c:pt idx="15">
                  <c:v>3.1545833333333348</c:v>
                </c:pt>
                <c:pt idx="16">
                  <c:v>3.1545833333333348</c:v>
                </c:pt>
                <c:pt idx="17">
                  <c:v>3.1545833333333348</c:v>
                </c:pt>
                <c:pt idx="18">
                  <c:v>3.1545833333333348</c:v>
                </c:pt>
                <c:pt idx="19">
                  <c:v>3.1545833333333348</c:v>
                </c:pt>
                <c:pt idx="20">
                  <c:v>3.1545833333333348</c:v>
                </c:pt>
                <c:pt idx="21">
                  <c:v>3.1545833333333348</c:v>
                </c:pt>
                <c:pt idx="22">
                  <c:v>3.1545833333333348</c:v>
                </c:pt>
                <c:pt idx="23">
                  <c:v>3.1545833333333348</c:v>
                </c:pt>
                <c:pt idx="24">
                  <c:v>3.1545833333333348</c:v>
                </c:pt>
                <c:pt idx="25">
                  <c:v>3.1545833333333348</c:v>
                </c:pt>
                <c:pt idx="26">
                  <c:v>3.1545833333333348</c:v>
                </c:pt>
                <c:pt idx="27">
                  <c:v>3.1545833333333348</c:v>
                </c:pt>
                <c:pt idx="28">
                  <c:v>3.1545833333333348</c:v>
                </c:pt>
                <c:pt idx="29">
                  <c:v>3.1545833333333348</c:v>
                </c:pt>
                <c:pt idx="30">
                  <c:v>3.1545833333333348</c:v>
                </c:pt>
                <c:pt idx="31">
                  <c:v>3.1545833333333348</c:v>
                </c:pt>
                <c:pt idx="32">
                  <c:v>3.1545833333333348</c:v>
                </c:pt>
                <c:pt idx="33">
                  <c:v>3.1545833333333348</c:v>
                </c:pt>
                <c:pt idx="34">
                  <c:v>3.1545833333333348</c:v>
                </c:pt>
                <c:pt idx="35">
                  <c:v>3.1545833333333348</c:v>
                </c:pt>
                <c:pt idx="36">
                  <c:v>3.1545833333333348</c:v>
                </c:pt>
                <c:pt idx="37">
                  <c:v>3.1545833333333348</c:v>
                </c:pt>
                <c:pt idx="38">
                  <c:v>3.1545833333333348</c:v>
                </c:pt>
                <c:pt idx="39">
                  <c:v>3.1545833333333348</c:v>
                </c:pt>
                <c:pt idx="40">
                  <c:v>3.1545833333333348</c:v>
                </c:pt>
                <c:pt idx="41">
                  <c:v>3.1545833333333348</c:v>
                </c:pt>
                <c:pt idx="42">
                  <c:v>3.1545833333333348</c:v>
                </c:pt>
                <c:pt idx="43">
                  <c:v>3.1545833333333348</c:v>
                </c:pt>
                <c:pt idx="44">
                  <c:v>3.1545833333333348</c:v>
                </c:pt>
                <c:pt idx="45">
                  <c:v>3.1545833333333348</c:v>
                </c:pt>
                <c:pt idx="46">
                  <c:v>3.1545833333333348</c:v>
                </c:pt>
                <c:pt idx="47">
                  <c:v>3.1545833333333348</c:v>
                </c:pt>
                <c:pt idx="48">
                  <c:v>3.1545833333333348</c:v>
                </c:pt>
                <c:pt idx="49">
                  <c:v>3.1545833333333348</c:v>
                </c:pt>
                <c:pt idx="50">
                  <c:v>3.1545833333333348</c:v>
                </c:pt>
                <c:pt idx="51">
                  <c:v>3.1545833333333348</c:v>
                </c:pt>
                <c:pt idx="52">
                  <c:v>3.1545833333333348</c:v>
                </c:pt>
                <c:pt idx="53">
                  <c:v>3.1545833333333348</c:v>
                </c:pt>
                <c:pt idx="54">
                  <c:v>3.1545833333333348</c:v>
                </c:pt>
                <c:pt idx="55">
                  <c:v>3.1545833333333348</c:v>
                </c:pt>
                <c:pt idx="56">
                  <c:v>3.1545833333333348</c:v>
                </c:pt>
                <c:pt idx="57">
                  <c:v>3.1545833333333348</c:v>
                </c:pt>
                <c:pt idx="58">
                  <c:v>3.1545833333333348</c:v>
                </c:pt>
                <c:pt idx="59">
                  <c:v>3.1545833333333348</c:v>
                </c:pt>
                <c:pt idx="60">
                  <c:v>3.1545833333333348</c:v>
                </c:pt>
                <c:pt idx="61">
                  <c:v>3.1545833333333348</c:v>
                </c:pt>
                <c:pt idx="62">
                  <c:v>3.1545833333333348</c:v>
                </c:pt>
                <c:pt idx="63">
                  <c:v>3.1545833333333348</c:v>
                </c:pt>
                <c:pt idx="64">
                  <c:v>3.1545833333333348</c:v>
                </c:pt>
                <c:pt idx="65">
                  <c:v>3.1545833333333348</c:v>
                </c:pt>
                <c:pt idx="66">
                  <c:v>3.1545833333333348</c:v>
                </c:pt>
                <c:pt idx="67">
                  <c:v>3.1545833333333348</c:v>
                </c:pt>
                <c:pt idx="68">
                  <c:v>3.1545833333333348</c:v>
                </c:pt>
                <c:pt idx="69">
                  <c:v>3.1545833333333348</c:v>
                </c:pt>
                <c:pt idx="70">
                  <c:v>3.1545833333333348</c:v>
                </c:pt>
                <c:pt idx="71">
                  <c:v>3.1545833333333348</c:v>
                </c:pt>
                <c:pt idx="72">
                  <c:v>3.1545833333333348</c:v>
                </c:pt>
                <c:pt idx="73">
                  <c:v>3.1545833333333348</c:v>
                </c:pt>
                <c:pt idx="74">
                  <c:v>3.1545833333333348</c:v>
                </c:pt>
                <c:pt idx="75">
                  <c:v>3.1545833333333348</c:v>
                </c:pt>
                <c:pt idx="76">
                  <c:v>3.1545833333333348</c:v>
                </c:pt>
                <c:pt idx="77">
                  <c:v>3.1545833333333348</c:v>
                </c:pt>
                <c:pt idx="78">
                  <c:v>3.1545833333333348</c:v>
                </c:pt>
                <c:pt idx="79">
                  <c:v>3.1545833333333348</c:v>
                </c:pt>
                <c:pt idx="80">
                  <c:v>3.1545833333333348</c:v>
                </c:pt>
                <c:pt idx="81">
                  <c:v>3.1545833333333348</c:v>
                </c:pt>
                <c:pt idx="82">
                  <c:v>3.1545833333333348</c:v>
                </c:pt>
                <c:pt idx="83">
                  <c:v>3.1545833333333348</c:v>
                </c:pt>
                <c:pt idx="84">
                  <c:v>3.1545833333333348</c:v>
                </c:pt>
                <c:pt idx="85">
                  <c:v>3.1545833333333348</c:v>
                </c:pt>
                <c:pt idx="86">
                  <c:v>3.1545833333333348</c:v>
                </c:pt>
                <c:pt idx="87">
                  <c:v>3.1545833333333348</c:v>
                </c:pt>
                <c:pt idx="88">
                  <c:v>3.1545833333333348</c:v>
                </c:pt>
                <c:pt idx="89">
                  <c:v>3.1545833333333348</c:v>
                </c:pt>
                <c:pt idx="90">
                  <c:v>3.1545833333333348</c:v>
                </c:pt>
                <c:pt idx="91">
                  <c:v>3.1545833333333348</c:v>
                </c:pt>
                <c:pt idx="92">
                  <c:v>3.1545833333333348</c:v>
                </c:pt>
                <c:pt idx="93">
                  <c:v>3.1545833333333348</c:v>
                </c:pt>
                <c:pt idx="94">
                  <c:v>3.1545833333333348</c:v>
                </c:pt>
                <c:pt idx="95">
                  <c:v>3.1545833333333348</c:v>
                </c:pt>
                <c:pt idx="96">
                  <c:v>3.1545833333333348</c:v>
                </c:pt>
                <c:pt idx="97">
                  <c:v>3.1545833333333348</c:v>
                </c:pt>
                <c:pt idx="98">
                  <c:v>3.1545833333333348</c:v>
                </c:pt>
                <c:pt idx="99">
                  <c:v>3.1545833333333348</c:v>
                </c:pt>
                <c:pt idx="100">
                  <c:v>3.1545833333333348</c:v>
                </c:pt>
                <c:pt idx="101">
                  <c:v>3.1545833333333348</c:v>
                </c:pt>
                <c:pt idx="102">
                  <c:v>3.1545833333333348</c:v>
                </c:pt>
                <c:pt idx="103">
                  <c:v>3.1545833333333348</c:v>
                </c:pt>
                <c:pt idx="104">
                  <c:v>3.1545833333333348</c:v>
                </c:pt>
                <c:pt idx="105">
                  <c:v>3.1545833333333348</c:v>
                </c:pt>
                <c:pt idx="106">
                  <c:v>3.1545833333333348</c:v>
                </c:pt>
                <c:pt idx="107">
                  <c:v>3.1545833333333348</c:v>
                </c:pt>
                <c:pt idx="108">
                  <c:v>3.1545833333333348</c:v>
                </c:pt>
                <c:pt idx="109">
                  <c:v>3.1545833333333348</c:v>
                </c:pt>
                <c:pt idx="110">
                  <c:v>3.15458333333333</c:v>
                </c:pt>
                <c:pt idx="111">
                  <c:v>3.15458333333333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02C-4DD4-8701-73E81798E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12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8.2685003741048188E-2"/>
          <c:y val="0.17097703288034174"/>
          <c:w val="0.41922269331718148"/>
          <c:h val="0.152562404179628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6423328439877"/>
          <c:y val="0.14911730093144299"/>
          <c:w val="0.84269276509927782"/>
          <c:h val="0.7111773899549683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March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Data'!$A$3:$A$62</c15:sqref>
                  </c15:fullRef>
                </c:ext>
              </c:extLst>
              <c:f>'Chart Data'!$A$16:$A$62</c:f>
              <c:numCache>
                <c:formatCode>m/d/yyyy</c:formatCode>
                <c:ptCount val="4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Data'!$B$3:$B$62</c15:sqref>
                  </c15:fullRef>
                </c:ext>
              </c:extLst>
              <c:f>'Chart Data'!$B$16:$B$62</c:f>
              <c:numCache>
                <c:formatCode>General</c:formatCode>
                <c:ptCount val="47"/>
                <c:pt idx="0" formatCode="0%">
                  <c:v>#N/A</c:v>
                </c:pt>
                <c:pt idx="1" formatCode="0%">
                  <c:v>0.40920000000000023</c:v>
                </c:pt>
                <c:pt idx="2" formatCode="0%">
                  <c:v>0.42439999999999856</c:v>
                </c:pt>
                <c:pt idx="3" formatCode="0%">
                  <c:v>0.41000000000000014</c:v>
                </c:pt>
                <c:pt idx="4" formatCode="0%">
                  <c:v>0.43120000000000047</c:v>
                </c:pt>
                <c:pt idx="5" formatCode="0%">
                  <c:v>0.41559999999999953</c:v>
                </c:pt>
                <c:pt idx="6" formatCode="0%">
                  <c:v>0.426400000000001</c:v>
                </c:pt>
                <c:pt idx="7" formatCode="0%">
                  <c:v>0.39440000000000097</c:v>
                </c:pt>
                <c:pt idx="8" formatCode="0%">
                  <c:v>0.38400000000000034</c:v>
                </c:pt>
                <c:pt idx="9" formatCode="0%">
                  <c:v>0.39920000000000044</c:v>
                </c:pt>
                <c:pt idx="10" formatCode="0%">
                  <c:v>0.31959999999999944</c:v>
                </c:pt>
                <c:pt idx="11" formatCode="0%">
                  <c:v>0.28919999999999924</c:v>
                </c:pt>
                <c:pt idx="12" formatCode="0%">
                  <c:v>0.32160000000000011</c:v>
                </c:pt>
                <c:pt idx="13" formatCode="0%">
                  <c:v>0.29240000000000066</c:v>
                </c:pt>
                <c:pt idx="14" formatCode="0%">
                  <c:v>0.29039999999999999</c:v>
                </c:pt>
                <c:pt idx="15" formatCode="0%">
                  <c:v>0.27999999999999936</c:v>
                </c:pt>
                <c:pt idx="16" formatCode="0%">
                  <c:v>0.15000000000000036</c:v>
                </c:pt>
                <c:pt idx="17" formatCode="0%">
                  <c:v>0.13160000000000061</c:v>
                </c:pt>
                <c:pt idx="18" formatCode="0%">
                  <c:v>0.12640000000000029</c:v>
                </c:pt>
                <c:pt idx="19" formatCode="0%">
                  <c:v>0.13920000000000066</c:v>
                </c:pt>
                <c:pt idx="20" formatCode="0%">
                  <c:v>0.18679999999999986</c:v>
                </c:pt>
                <c:pt idx="21" formatCode="0%">
                  <c:v>0.17360000000000042</c:v>
                </c:pt>
                <c:pt idx="22" formatCode="0%">
                  <c:v>0.16799999999999926</c:v>
                </c:pt>
                <c:pt idx="23" formatCode="0%">
                  <c:v>0.1720000000000006</c:v>
                </c:pt>
                <c:pt idx="24" formatCode="0%">
                  <c:v>0.19400000000000084</c:v>
                </c:pt>
                <c:pt idx="25" formatCode="0%">
                  <c:v>0.5951999999999984</c:v>
                </c:pt>
                <c:pt idx="26" formatCode="0%">
                  <c:v>0.68360000000000021</c:v>
                </c:pt>
                <c:pt idx="27" formatCode="0%">
                  <c:v>0.676400000000001</c:v>
                </c:pt>
                <c:pt idx="28" formatCode="0%">
                  <c:v>0.67600000000000016</c:v>
                </c:pt>
                <c:pt idx="29" formatCode="0%">
                  <c:v>0.68159999999999954</c:v>
                </c:pt>
                <c:pt idx="30" formatCode="0%">
                  <c:v>0.70479999999999876</c:v>
                </c:pt>
                <c:pt idx="31" formatCode="0%">
                  <c:v>0.70279999999999987</c:v>
                </c:pt>
                <c:pt idx="32" formatCode="0%">
                  <c:v>0.71039999999999992</c:v>
                </c:pt>
                <c:pt idx="33" formatCode="0%">
                  <c:v>0.76639999999999908</c:v>
                </c:pt>
                <c:pt idx="34" formatCode="0%">
                  <c:v>0.7948000000000004</c:v>
                </c:pt>
                <c:pt idx="35" formatCode="0%">
                  <c:v>0.80640000000000001</c:v>
                </c:pt>
                <c:pt idx="36" formatCode="0%">
                  <c:v>0.78080000000000105</c:v>
                </c:pt>
                <c:pt idx="37" formatCode="0%">
                  <c:v>0.77200000000000024</c:v>
                </c:pt>
                <c:pt idx="38" formatCode="0%">
                  <c:v>0.72719999999999985</c:v>
                </c:pt>
                <c:pt idx="39" formatCode="0%">
                  <c:v>0.71439999999999948</c:v>
                </c:pt>
                <c:pt idx="40" formatCode="0%">
                  <c:v>0.80640000000000001</c:v>
                </c:pt>
                <c:pt idx="41" formatCode="0%">
                  <c:v>0.81479999999999997</c:v>
                </c:pt>
                <c:pt idx="42" formatCode="0%">
                  <c:v>0.48840000000000039</c:v>
                </c:pt>
                <c:pt idx="43" formatCode="0%">
                  <c:v>0.2544000000000004</c:v>
                </c:pt>
                <c:pt idx="44" formatCode="0%">
                  <c:v>0.24440000000000062</c:v>
                </c:pt>
                <c:pt idx="45" formatCode="0%">
                  <c:v>0.1532</c:v>
                </c:pt>
                <c:pt idx="46" formatCode="0%">
                  <c:v>8.9199999999999946E-2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April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Data'!$A$3:$A$62</c15:sqref>
                  </c15:fullRef>
                </c:ext>
              </c:extLst>
              <c:f>'Chart Data'!$A$16:$A$62</c:f>
              <c:numCache>
                <c:formatCode>m/d/yyyy</c:formatCode>
                <c:ptCount val="4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Data'!$C$3:$C$62</c15:sqref>
                  </c15:fullRef>
                </c:ext>
              </c:extLst>
              <c:f>'Chart Data'!$C$16:$C$62</c:f>
              <c:numCache>
                <c:formatCode>General</c:formatCode>
                <c:ptCount val="47"/>
                <c:pt idx="0" formatCode="0%">
                  <c:v>#N/A</c:v>
                </c:pt>
                <c:pt idx="1" formatCode="0%">
                  <c:v>0.84920000000000151</c:v>
                </c:pt>
                <c:pt idx="2" formatCode="0%">
                  <c:v>0.87239999999999895</c:v>
                </c:pt>
                <c:pt idx="3" formatCode="0%">
                  <c:v>0.83799999999999919</c:v>
                </c:pt>
                <c:pt idx="4" formatCode="0%">
                  <c:v>0.86720000000000041</c:v>
                </c:pt>
                <c:pt idx="5" formatCode="0%">
                  <c:v>0.8835999999999995</c:v>
                </c:pt>
                <c:pt idx="6" formatCode="0%">
                  <c:v>0.91040000000000099</c:v>
                </c:pt>
                <c:pt idx="7" formatCode="0%">
                  <c:v>0.8664000000000005</c:v>
                </c:pt>
                <c:pt idx="8" formatCode="0%">
                  <c:v>0.85599999999999987</c:v>
                </c:pt>
                <c:pt idx="9" formatCode="0%">
                  <c:v>0.9112000000000009</c:v>
                </c:pt>
                <c:pt idx="10" formatCode="0%">
                  <c:v>0.81559999999999988</c:v>
                </c:pt>
                <c:pt idx="11" formatCode="0%">
                  <c:v>0.77720000000000056</c:v>
                </c:pt>
                <c:pt idx="12" formatCode="0%">
                  <c:v>0.80560000000000009</c:v>
                </c:pt>
                <c:pt idx="13" formatCode="0%">
                  <c:v>0.80840000000000067</c:v>
                </c:pt>
                <c:pt idx="14" formatCode="0%">
                  <c:v>0.84640000000000093</c:v>
                </c:pt>
                <c:pt idx="15" formatCode="0%">
                  <c:v>0.8279999999999994</c:v>
                </c:pt>
                <c:pt idx="16" formatCode="0%">
                  <c:v>0.72200000000000131</c:v>
                </c:pt>
                <c:pt idx="17" formatCode="0%">
                  <c:v>0.69560000000000066</c:v>
                </c:pt>
                <c:pt idx="18" formatCode="0%">
                  <c:v>0.66639999999999944</c:v>
                </c:pt>
                <c:pt idx="19" formatCode="0%">
                  <c:v>0.67520000000000024</c:v>
                </c:pt>
                <c:pt idx="20" formatCode="0%">
                  <c:v>0.71079999999999899</c:v>
                </c:pt>
                <c:pt idx="21" formatCode="0%">
                  <c:v>0.69359999999999999</c:v>
                </c:pt>
                <c:pt idx="22" formatCode="0%">
                  <c:v>0.70400000000000063</c:v>
                </c:pt>
                <c:pt idx="23" formatCode="0%">
                  <c:v>0.72000000000000064</c:v>
                </c:pt>
                <c:pt idx="24" formatCode="0%">
                  <c:v>0.70199999999999996</c:v>
                </c:pt>
                <c:pt idx="25" formatCode="0%">
                  <c:v>0.89519999999999911</c:v>
                </c:pt>
                <c:pt idx="26" formatCode="0%">
                  <c:v>0.93960000000000043</c:v>
                </c:pt>
                <c:pt idx="27" formatCode="0%">
                  <c:v>0.91239999999999988</c:v>
                </c:pt>
                <c:pt idx="28" formatCode="0%">
                  <c:v>0.90399999999999991</c:v>
                </c:pt>
                <c:pt idx="29" formatCode="0%">
                  <c:v>0.91359999999999886</c:v>
                </c:pt>
                <c:pt idx="30" formatCode="0%">
                  <c:v>0.91279999999999895</c:v>
                </c:pt>
                <c:pt idx="31" formatCode="0%">
                  <c:v>0.95480000000000054</c:v>
                </c:pt>
                <c:pt idx="32" formatCode="0%">
                  <c:v>0.95039999999999836</c:v>
                </c:pt>
                <c:pt idx="33" formatCode="0%">
                  <c:v>0.93839999999999968</c:v>
                </c:pt>
                <c:pt idx="34" formatCode="0%">
                  <c:v>0.95480000000000054</c:v>
                </c:pt>
                <c:pt idx="35" formatCode="0%">
                  <c:v>0.95039999999999836</c:v>
                </c:pt>
                <c:pt idx="36" formatCode="0%">
                  <c:v>0.9328000000000003</c:v>
                </c:pt>
                <c:pt idx="37" formatCode="0%">
                  <c:v>0.92800000000000082</c:v>
                </c:pt>
                <c:pt idx="38" formatCode="0%">
                  <c:v>0.91919999999999824</c:v>
                </c:pt>
                <c:pt idx="39" formatCode="0%">
                  <c:v>0.93439999999999834</c:v>
                </c:pt>
                <c:pt idx="40" formatCode="0%">
                  <c:v>0.96640000000000015</c:v>
                </c:pt>
                <c:pt idx="41" formatCode="0%">
                  <c:v>0.98680000000000057</c:v>
                </c:pt>
                <c:pt idx="42" formatCode="0%">
                  <c:v>0.71240000000000059</c:v>
                </c:pt>
                <c:pt idx="43" formatCode="0%">
                  <c:v>0.56639999999999979</c:v>
                </c:pt>
                <c:pt idx="44" formatCode="0%">
                  <c:v>0.61240000000000094</c:v>
                </c:pt>
                <c:pt idx="45" formatCode="0%">
                  <c:v>0.44519999999999982</c:v>
                </c:pt>
                <c:pt idx="46" formatCode="0%">
                  <c:v>0.28120000000000012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50%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Data'!$A$3:$A$62</c15:sqref>
                  </c15:fullRef>
                </c:ext>
              </c:extLst>
              <c:f>'Chart Data'!$A$16:$A$62</c:f>
              <c:numCache>
                <c:formatCode>m/d/yyyy</c:formatCode>
                <c:ptCount val="4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Data'!$D$3:$D$62</c15:sqref>
                  </c15:fullRef>
                </c:ext>
              </c:extLst>
              <c:f>'Chart Data'!$D$16:$D$62</c:f>
              <c:numCache>
                <c:formatCode>0%</c:formatCode>
                <c:ptCount val="4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00-4198-B739-49277A5CF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/>
      </c:lineChart>
      <c:dateAx>
        <c:axId val="263607040"/>
        <c:scaling>
          <c:orientation val="minMax"/>
        </c:scaling>
        <c:delete val="0"/>
        <c:axPos val="b"/>
        <c:numFmt formatCode="d\-mmm" sourceLinked="0"/>
        <c:majorTickMark val="out"/>
        <c:minorTickMark val="out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14"/>
        <c:majorTimeUnit val="days"/>
      </c:dateAx>
      <c:valAx>
        <c:axId val="26360857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2017716276179136"/>
          <c:y val="0.67961771111649982"/>
          <c:w val="0.19750178626897236"/>
          <c:h val="0.13090244907505375"/>
        </c:manualLayout>
      </c:layout>
      <c:overlay val="0"/>
      <c:txPr>
        <a:bodyPr/>
        <a:lstStyle/>
        <a:p>
          <a:pPr>
            <a:defRPr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76370510396975"/>
          <c:w val="1"/>
          <c:h val="0.8090737240075613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Data'!$T$2</c:f>
              <c:strCache>
                <c:ptCount val="1"/>
                <c:pt idx="0">
                  <c:v>Febuary 2026 MPR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Data'!$Q$3:$Q$11</c:f>
              <c:numCache>
                <c:formatCode>mmm\-yy</c:formatCode>
                <c:ptCount val="9"/>
                <c:pt idx="0">
                  <c:v>46023</c:v>
                </c:pt>
                <c:pt idx="1">
                  <c:v>46113</c:v>
                </c:pt>
                <c:pt idx="2">
                  <c:v>46204</c:v>
                </c:pt>
                <c:pt idx="3">
                  <c:v>46296</c:v>
                </c:pt>
                <c:pt idx="4">
                  <c:v>46388</c:v>
                </c:pt>
                <c:pt idx="5">
                  <c:v>46478</c:v>
                </c:pt>
                <c:pt idx="6">
                  <c:v>46569</c:v>
                </c:pt>
                <c:pt idx="7">
                  <c:v>46661</c:v>
                </c:pt>
                <c:pt idx="8">
                  <c:v>46753</c:v>
                </c:pt>
              </c:numCache>
            </c:numRef>
          </c:cat>
          <c:val>
            <c:numRef>
              <c:f>'Chart Data'!$T$3:$T$11</c:f>
              <c:numCache>
                <c:formatCode>0.0</c:formatCode>
                <c:ptCount val="9"/>
                <c:pt idx="0">
                  <c:v>81.227111111111114</c:v>
                </c:pt>
                <c:pt idx="1">
                  <c:v>68.946444444444452</c:v>
                </c:pt>
                <c:pt idx="2">
                  <c:v>68.603333333333339</c:v>
                </c:pt>
                <c:pt idx="3">
                  <c:v>73.668222222222241</c:v>
                </c:pt>
                <c:pt idx="4">
                  <c:v>70.086666666666659</c:v>
                </c:pt>
                <c:pt idx="5">
                  <c:v>58.123777777777775</c:v>
                </c:pt>
                <c:pt idx="6">
                  <c:v>59.818222222222225</c:v>
                </c:pt>
                <c:pt idx="7">
                  <c:v>67.562222222222218</c:v>
                </c:pt>
                <c:pt idx="8">
                  <c:v>65.158888888888896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Data'!$U$2</c:f>
              <c:strCache>
                <c:ptCount val="1"/>
                <c:pt idx="0">
                  <c:v>March 10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Data'!$Q$3:$Q$11</c:f>
              <c:numCache>
                <c:formatCode>mmm\-yy</c:formatCode>
                <c:ptCount val="9"/>
                <c:pt idx="0">
                  <c:v>46023</c:v>
                </c:pt>
                <c:pt idx="1">
                  <c:v>46113</c:v>
                </c:pt>
                <c:pt idx="2">
                  <c:v>46204</c:v>
                </c:pt>
                <c:pt idx="3">
                  <c:v>46296</c:v>
                </c:pt>
                <c:pt idx="4">
                  <c:v>46388</c:v>
                </c:pt>
                <c:pt idx="5">
                  <c:v>46478</c:v>
                </c:pt>
                <c:pt idx="6">
                  <c:v>46569</c:v>
                </c:pt>
                <c:pt idx="7">
                  <c:v>46661</c:v>
                </c:pt>
                <c:pt idx="8">
                  <c:v>46753</c:v>
                </c:pt>
              </c:numCache>
            </c:numRef>
          </c:cat>
          <c:val>
            <c:numRef>
              <c:f>'Chart Data'!$U$3:$U$11</c:f>
              <c:numCache>
                <c:formatCode>0.0</c:formatCode>
                <c:ptCount val="9"/>
                <c:pt idx="0">
                  <c:v>120.63</c:v>
                </c:pt>
                <c:pt idx="1">
                  <c:v>114.47333333333331</c:v>
                </c:pt>
                <c:pt idx="2">
                  <c:v>109.87</c:v>
                </c:pt>
                <c:pt idx="3">
                  <c:v>111.99333333333334</c:v>
                </c:pt>
                <c:pt idx="4">
                  <c:v>101.41333333333334</c:v>
                </c:pt>
                <c:pt idx="5">
                  <c:v>78.543333333333337</c:v>
                </c:pt>
                <c:pt idx="6">
                  <c:v>77.56</c:v>
                </c:pt>
                <c:pt idx="7">
                  <c:v>81.596666666666664</c:v>
                </c:pt>
                <c:pt idx="8">
                  <c:v>75.043333333333337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2"/>
        <c:tickMarkSkip val="2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6993211259149791"/>
          <c:y val="7.2678334941254058E-2"/>
          <c:w val="0.47332205080699746"/>
          <c:h val="5.6154086599288514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5.2707212503414445E-3"/>
          <c:y val="0.12476370510396975"/>
          <c:w val="0.99472927874965855"/>
          <c:h val="0.8090737240075613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Data'!$R$2</c:f>
              <c:strCache>
                <c:ptCount val="1"/>
                <c:pt idx="0">
                  <c:v>Febuary 2026 MPR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Data'!$Q$3:$Q$11</c:f>
              <c:numCache>
                <c:formatCode>mmm\-yy</c:formatCode>
                <c:ptCount val="9"/>
                <c:pt idx="0">
                  <c:v>46023</c:v>
                </c:pt>
                <c:pt idx="1">
                  <c:v>46113</c:v>
                </c:pt>
                <c:pt idx="2">
                  <c:v>46204</c:v>
                </c:pt>
                <c:pt idx="3">
                  <c:v>46296</c:v>
                </c:pt>
                <c:pt idx="4">
                  <c:v>46388</c:v>
                </c:pt>
                <c:pt idx="5">
                  <c:v>46478</c:v>
                </c:pt>
                <c:pt idx="6">
                  <c:v>46569</c:v>
                </c:pt>
                <c:pt idx="7">
                  <c:v>46661</c:v>
                </c:pt>
                <c:pt idx="8">
                  <c:v>46753</c:v>
                </c:pt>
              </c:numCache>
            </c:numRef>
          </c:cat>
          <c:val>
            <c:numRef>
              <c:f>'Chart Data'!$R$3:$R$11</c:f>
              <c:numCache>
                <c:formatCode>0.0</c:formatCode>
                <c:ptCount val="9"/>
                <c:pt idx="0">
                  <c:v>64.415999999999997</c:v>
                </c:pt>
                <c:pt idx="1">
                  <c:v>63.322666666666677</c:v>
                </c:pt>
                <c:pt idx="2">
                  <c:v>62.746000000000002</c:v>
                </c:pt>
                <c:pt idx="3">
                  <c:v>62.535666666666671</c:v>
                </c:pt>
                <c:pt idx="4">
                  <c:v>62.325333333333333</c:v>
                </c:pt>
                <c:pt idx="5">
                  <c:v>62.539333333333339</c:v>
                </c:pt>
                <c:pt idx="6">
                  <c:v>62.753333333333345</c:v>
                </c:pt>
                <c:pt idx="7">
                  <c:v>62.96733333333335</c:v>
                </c:pt>
                <c:pt idx="8">
                  <c:v>63.181333333333349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Data'!$S$2</c:f>
              <c:strCache>
                <c:ptCount val="1"/>
                <c:pt idx="0">
                  <c:v>March 10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Data'!$Q$3:$Q$11</c:f>
              <c:numCache>
                <c:formatCode>mmm\-yy</c:formatCode>
                <c:ptCount val="9"/>
                <c:pt idx="0">
                  <c:v>46023</c:v>
                </c:pt>
                <c:pt idx="1">
                  <c:v>46113</c:v>
                </c:pt>
                <c:pt idx="2">
                  <c:v>46204</c:v>
                </c:pt>
                <c:pt idx="3">
                  <c:v>46296</c:v>
                </c:pt>
                <c:pt idx="4">
                  <c:v>46388</c:v>
                </c:pt>
                <c:pt idx="5">
                  <c:v>46478</c:v>
                </c:pt>
                <c:pt idx="6">
                  <c:v>46569</c:v>
                </c:pt>
                <c:pt idx="7">
                  <c:v>46661</c:v>
                </c:pt>
                <c:pt idx="8">
                  <c:v>46753</c:v>
                </c:pt>
              </c:numCache>
            </c:numRef>
          </c:cat>
          <c:val>
            <c:numRef>
              <c:f>'Chart Data'!$S$3:$S$11</c:f>
              <c:numCache>
                <c:formatCode>0.0</c:formatCode>
                <c:ptCount val="9"/>
                <c:pt idx="0">
                  <c:v>87.8</c:v>
                </c:pt>
                <c:pt idx="1">
                  <c:v>82.6</c:v>
                </c:pt>
                <c:pt idx="2">
                  <c:v>76.91</c:v>
                </c:pt>
                <c:pt idx="3">
                  <c:v>74.47999999999999</c:v>
                </c:pt>
                <c:pt idx="4">
                  <c:v>72.05</c:v>
                </c:pt>
                <c:pt idx="5">
                  <c:v>71.552499999999995</c:v>
                </c:pt>
                <c:pt idx="6">
                  <c:v>71.054999999999993</c:v>
                </c:pt>
                <c:pt idx="7">
                  <c:v>70.55749999999999</c:v>
                </c:pt>
                <c:pt idx="8">
                  <c:v>70.06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2"/>
        <c:tickMarkSkip val="2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3861119449511629"/>
          <c:y val="7.2678334941254058E-2"/>
          <c:w val="0.47332205080699746"/>
          <c:h val="5.6154086599288514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76370510396975"/>
          <c:w val="1"/>
          <c:h val="0.80907372400756139"/>
        </c:manualLayout>
      </c:layout>
      <c:lineChart>
        <c:grouping val="standard"/>
        <c:varyColors val="0"/>
        <c:ser>
          <c:idx val="3"/>
          <c:order val="0"/>
          <c:tx>
            <c:strRef>
              <c:f>'Chart Data'!$N$2</c:f>
              <c:strCache>
                <c:ptCount val="1"/>
                <c:pt idx="0">
                  <c:v>BoE February forecast*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Data'!$J$3:$J$18</c:f>
              <c:numCache>
                <c:formatCode>mmm\-yy</c:formatCode>
                <c:ptCount val="1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  <c:pt idx="12">
                  <c:v>46388</c:v>
                </c:pt>
                <c:pt idx="13">
                  <c:v>46478</c:v>
                </c:pt>
                <c:pt idx="14">
                  <c:v>46569</c:v>
                </c:pt>
                <c:pt idx="15">
                  <c:v>46661</c:v>
                </c:pt>
              </c:numCache>
            </c:numRef>
          </c:cat>
          <c:val>
            <c:numRef>
              <c:f>'Chart Data'!$N$3:$N$18</c:f>
              <c:numCache>
                <c:formatCode>0.0</c:formatCode>
                <c:ptCount val="16"/>
                <c:pt idx="0">
                  <c:v>3.5377561591716011</c:v>
                </c:pt>
                <c:pt idx="1">
                  <c:v>2.0988784618906076</c:v>
                </c:pt>
                <c:pt idx="2">
                  <c:v>2.042876565004792</c:v>
                </c:pt>
                <c:pt idx="3">
                  <c:v>2.4685994852664539</c:v>
                </c:pt>
                <c:pt idx="4">
                  <c:v>2.8036676529743287</c:v>
                </c:pt>
                <c:pt idx="5">
                  <c:v>3.48724539994969</c:v>
                </c:pt>
                <c:pt idx="6">
                  <c:v>3.8001302504089063</c:v>
                </c:pt>
                <c:pt idx="7">
                  <c:v>3.3933355845474633</c:v>
                </c:pt>
                <c:pt idx="8">
                  <c:v>3</c:v>
                </c:pt>
                <c:pt idx="9">
                  <c:v>2.1</c:v>
                </c:pt>
                <c:pt idx="10">
                  <c:v>2</c:v>
                </c:pt>
                <c:pt idx="11">
                  <c:v>2</c:v>
                </c:pt>
                <c:pt idx="12">
                  <c:v>1.7</c:v>
                </c:pt>
                <c:pt idx="13">
                  <c:v>2</c:v>
                </c:pt>
                <c:pt idx="14">
                  <c:v>1.9</c:v>
                </c:pt>
                <c:pt idx="15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0"/>
          <c:order val="1"/>
          <c:tx>
            <c:strRef>
              <c:f>'Chart Data'!$K$2</c:f>
              <c:strCache>
                <c:ptCount val="1"/>
                <c:pt idx="0">
                  <c:v>OE pre-conflict 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Data'!$J$3:$J$18</c:f>
              <c:numCache>
                <c:formatCode>mmm\-yy</c:formatCode>
                <c:ptCount val="1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  <c:pt idx="12">
                  <c:v>46388</c:v>
                </c:pt>
                <c:pt idx="13">
                  <c:v>46478</c:v>
                </c:pt>
                <c:pt idx="14">
                  <c:v>46569</c:v>
                </c:pt>
                <c:pt idx="15">
                  <c:v>46661</c:v>
                </c:pt>
              </c:numCache>
            </c:numRef>
          </c:cat>
          <c:val>
            <c:numRef>
              <c:f>'Chart Data'!$K$3:$K$18</c:f>
              <c:numCache>
                <c:formatCode>0.00</c:formatCode>
                <c:ptCount val="16"/>
                <c:pt idx="0">
                  <c:v>3.5377561591716011</c:v>
                </c:pt>
                <c:pt idx="1">
                  <c:v>2.0988784618906076</c:v>
                </c:pt>
                <c:pt idx="2">
                  <c:v>2.042876565004792</c:v>
                </c:pt>
                <c:pt idx="3">
                  <c:v>2.4685994852664539</c:v>
                </c:pt>
                <c:pt idx="4">
                  <c:v>2.8036676529743287</c:v>
                </c:pt>
                <c:pt idx="5">
                  <c:v>3.48724539994969</c:v>
                </c:pt>
                <c:pt idx="6">
                  <c:v>3.8001302504089063</c:v>
                </c:pt>
                <c:pt idx="7">
                  <c:v>3.3933355845474633</c:v>
                </c:pt>
                <c:pt idx="8">
                  <c:v>2.8855185613096079</c:v>
                </c:pt>
                <c:pt idx="9">
                  <c:v>2.0807736464132143</c:v>
                </c:pt>
                <c:pt idx="10">
                  <c:v>2.1144005505330687</c:v>
                </c:pt>
                <c:pt idx="11">
                  <c:v>2.1117125894258182</c:v>
                </c:pt>
                <c:pt idx="12">
                  <c:v>2.1963121172453137</c:v>
                </c:pt>
                <c:pt idx="13">
                  <c:v>2.2973714120832156</c:v>
                </c:pt>
                <c:pt idx="14">
                  <c:v>2.2781117101507098</c:v>
                </c:pt>
                <c:pt idx="15">
                  <c:v>2.2931388718659518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2"/>
          <c:tx>
            <c:strRef>
              <c:f>'Chart Data'!$L$2</c:f>
              <c:strCache>
                <c:ptCount val="1"/>
                <c:pt idx="0">
                  <c:v>OE March baseline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Data'!$J$3:$J$18</c:f>
              <c:numCache>
                <c:formatCode>mmm\-yy</c:formatCode>
                <c:ptCount val="1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  <c:pt idx="12">
                  <c:v>46388</c:v>
                </c:pt>
                <c:pt idx="13">
                  <c:v>46478</c:v>
                </c:pt>
                <c:pt idx="14">
                  <c:v>46569</c:v>
                </c:pt>
                <c:pt idx="15">
                  <c:v>46661</c:v>
                </c:pt>
              </c:numCache>
            </c:numRef>
          </c:cat>
          <c:val>
            <c:numRef>
              <c:f>'Chart Data'!$L$3:$L$18</c:f>
              <c:numCache>
                <c:formatCode>0.00</c:formatCode>
                <c:ptCount val="16"/>
                <c:pt idx="0">
                  <c:v>3.5377561591716011</c:v>
                </c:pt>
                <c:pt idx="1">
                  <c:v>2.0988784618906076</c:v>
                </c:pt>
                <c:pt idx="2">
                  <c:v>2.042876565004792</c:v>
                </c:pt>
                <c:pt idx="3">
                  <c:v>2.4685994852664539</c:v>
                </c:pt>
                <c:pt idx="4">
                  <c:v>2.8036676529743287</c:v>
                </c:pt>
                <c:pt idx="5">
                  <c:v>3.48724539994969</c:v>
                </c:pt>
                <c:pt idx="6">
                  <c:v>3.8001302504089063</c:v>
                </c:pt>
                <c:pt idx="7">
                  <c:v>3.3933355845474633</c:v>
                </c:pt>
                <c:pt idx="8">
                  <c:v>2.8946770229653529</c:v>
                </c:pt>
                <c:pt idx="9">
                  <c:v>2.4987705977833619</c:v>
                </c:pt>
                <c:pt idx="10">
                  <c:v>2.8524327199954458</c:v>
                </c:pt>
                <c:pt idx="11">
                  <c:v>2.6221744546280679</c:v>
                </c:pt>
                <c:pt idx="12">
                  <c:v>2.5834042053156869</c:v>
                </c:pt>
                <c:pt idx="13">
                  <c:v>2.1828434382329842</c:v>
                </c:pt>
                <c:pt idx="14">
                  <c:v>1.8117808573972827</c:v>
                </c:pt>
                <c:pt idx="15">
                  <c:v>2.0345023379969129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3"/>
          <c:tx>
            <c:strRef>
              <c:f>'Chart Data'!$M$2</c:f>
              <c:strCache>
                <c:ptCount val="1"/>
                <c:pt idx="0">
                  <c:v>2% line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Data'!$J$3:$J$18</c:f>
              <c:numCache>
                <c:formatCode>mmm\-yy</c:formatCode>
                <c:ptCount val="1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  <c:pt idx="12">
                  <c:v>46388</c:v>
                </c:pt>
                <c:pt idx="13">
                  <c:v>46478</c:v>
                </c:pt>
                <c:pt idx="14">
                  <c:v>46569</c:v>
                </c:pt>
                <c:pt idx="15">
                  <c:v>46661</c:v>
                </c:pt>
              </c:numCache>
            </c:numRef>
          </c:cat>
          <c:val>
            <c:numRef>
              <c:f>'Chart Data'!$M$3:$M$18</c:f>
              <c:numCache>
                <c:formatCode>0.00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54773755656108591"/>
          <c:y val="4.4322968608130023E-2"/>
          <c:w val="0.41508141233477036"/>
          <c:h val="0.1639045591890805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6475292-34A2-420D-881C-F3C304F43784}">
  <sheetPr/>
  <sheetViews>
    <sheetView tabSelected="1"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074FF3-A690-4667-88C6-9C31C4FACFB0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4C3EA27-9CCD-413B-B01A-3A19373242A5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207B9C-5C58-48EE-A5F8-6788E04EB509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C5821C1-CB49-4EB6-9029-6BD6A34CA4E5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4529C7C-2866-4189-8679-7394526F3389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144516B-148E-4A35-A70F-854CED521903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065541-5107-BF43-4616-9B759A26C3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D67AA77-02DD-BC6E-762E-5CB3FC1123D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Commodity price futures</a:t>
          </a:r>
        </a:p>
      </cdr:txBody>
    </cdr:sp>
  </cdr:relSizeAnchor>
  <cdr:relSizeAnchor xmlns:cdr="http://schemas.openxmlformats.org/drawingml/2006/chartDrawing">
    <cdr:from>
      <cdr:x>5.20417E-18</cdr:x>
      <cdr:y>0.93923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825389B-CFDA-3CB0-042F-3A456882D635}"/>
            </a:ext>
          </a:extLst>
        </cdr:cNvPr>
        <cdr:cNvSpPr/>
      </cdr:nvSpPr>
      <cdr:spPr>
        <a:xfrm xmlns:a="http://schemas.openxmlformats.org/drawingml/2006/main">
          <a:off x="50800" y="5908463"/>
          <a:ext cx="86614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</a:t>
          </a:r>
        </a:p>
      </cdr:txBody>
    </cdr:sp>
  </cdr:relSizeAnchor>
  <cdr:relSizeAnchor xmlns:cdr="http://schemas.openxmlformats.org/drawingml/2006/chartDrawing">
    <cdr:from>
      <cdr:x>0</cdr:x>
      <cdr:y>0.11177</cdr:y>
    </cdr:from>
    <cdr:to>
      <cdr:x>1</cdr:x>
      <cdr:y>0.16285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D73CD0A-2ACF-32B5-E281-7F7EB7BFF3BF}"/>
            </a:ext>
          </a:extLst>
        </cdr:cNvPr>
        <cdr:cNvSpPr txBox="1"/>
      </cdr:nvSpPr>
      <cdr:spPr>
        <a:xfrm xmlns:a="http://schemas.openxmlformats.org/drawingml/2006/main">
          <a:off x="0" y="750895"/>
          <a:ext cx="8420100" cy="3431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 per barrel</a:t>
          </a:r>
        </a:p>
      </cdr:txBody>
    </cdr:sp>
  </cdr:relSizeAnchor>
  <cdr:relSizeAnchor xmlns:cdr="http://schemas.openxmlformats.org/drawingml/2006/chartDrawing">
    <cdr:from>
      <cdr:x>0.49225</cdr:x>
      <cdr:y>0</cdr:y>
    </cdr:from>
    <cdr:to>
      <cdr:x>1</cdr:x>
      <cdr:y>1</cdr:y>
    </cdr:to>
    <cdr:graphicFrame macro="">
      <cdr:nvGraphicFramePr>
        <cdr:cNvPr id="4" name="Chart 1">
          <a:extLst xmlns:a="http://schemas.openxmlformats.org/drawingml/2006/main">
            <a:ext uri="{FF2B5EF4-FFF2-40B4-BE49-F238E27FC236}">
              <a16:creationId xmlns:a16="http://schemas.microsoft.com/office/drawing/2014/main" id="{1760B090-1FC6-D148-367A-2349605222B7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0.21802</cdr:x>
      <cdr:y>0.16738</cdr:y>
    </cdr:from>
    <cdr:to>
      <cdr:x>0.41684</cdr:x>
      <cdr:y>0.23715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7403C12-CDEE-A3D3-4F78-DFCD0E7573B0}"/>
            </a:ext>
          </a:extLst>
        </cdr:cNvPr>
        <cdr:cNvSpPr txBox="1"/>
      </cdr:nvSpPr>
      <cdr:spPr>
        <a:xfrm xmlns:a="http://schemas.openxmlformats.org/drawingml/2006/main">
          <a:off x="1835726" y="1124526"/>
          <a:ext cx="1674092" cy="4687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Oil futures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F15FA2A-2F07-C905-B0BE-C8D10E232019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endParaRPr lang="en-GB" sz="24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0.12036</cdr:y>
    </cdr:from>
    <cdr:to>
      <cdr:x>1</cdr:x>
      <cdr:y>0.17144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41A68F19-D13A-F303-F0C9-F1C223B9B50D}"/>
            </a:ext>
          </a:extLst>
        </cdr:cNvPr>
        <cdr:cNvSpPr txBox="1"/>
      </cdr:nvSpPr>
      <cdr:spPr>
        <a:xfrm xmlns:a="http://schemas.openxmlformats.org/drawingml/2006/main">
          <a:off x="0" y="808623"/>
          <a:ext cx="4275282" cy="3431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Pence</a:t>
          </a:r>
          <a:r>
            <a:rPr lang="en-GB" sz="18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per therm</a:t>
          </a:r>
          <a:endParaRPr lang="en-GB" sz="18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0.4232</cdr:x>
      <cdr:y>0.17426</cdr:y>
    </cdr:from>
    <cdr:to>
      <cdr:x>0.83951</cdr:x>
      <cdr:y>0.24403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3C2B8F3-20F4-D344-C2A6-1F74EB927657}"/>
            </a:ext>
          </a:extLst>
        </cdr:cNvPr>
        <cdr:cNvSpPr txBox="1"/>
      </cdr:nvSpPr>
      <cdr:spPr>
        <a:xfrm xmlns:a="http://schemas.openxmlformats.org/drawingml/2006/main">
          <a:off x="1701800" y="1170709"/>
          <a:ext cx="1674092" cy="4687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Gas futures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ADB69E-EA28-5A33-43EE-C5996D0D85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8C89650-D5C5-8BB0-934A-3225EB387DB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 forecast</a:t>
          </a:r>
        </a:p>
      </cdr:txBody>
    </cdr:sp>
  </cdr:relSizeAnchor>
  <cdr:relSizeAnchor xmlns:cdr="http://schemas.openxmlformats.org/drawingml/2006/chartDrawing">
    <cdr:from>
      <cdr:x>5.20417E-18</cdr:x>
      <cdr:y>0.93923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848D579-05D2-D529-97D2-5776F4F1A797}"/>
            </a:ext>
          </a:extLst>
        </cdr:cNvPr>
        <cdr:cNvSpPr/>
      </cdr:nvSpPr>
      <cdr:spPr>
        <a:xfrm xmlns:a="http://schemas.openxmlformats.org/drawingml/2006/main">
          <a:off x="50800" y="5908463"/>
          <a:ext cx="86614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0.48566</cdr:x>
      <cdr:y>0.15638</cdr:y>
    </cdr:from>
    <cdr:to>
      <cdr:x>0.48814</cdr:x>
      <cdr:y>0.85119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C0AA882F-A6D4-6BA5-4789-B16F4BDAD432}"/>
            </a:ext>
          </a:extLst>
        </cdr:cNvPr>
        <cdr:cNvCxnSpPr/>
      </cdr:nvCxnSpPr>
      <cdr:spPr>
        <a:xfrm xmlns:a="http://schemas.openxmlformats.org/drawingml/2006/main" flipH="1">
          <a:off x="4089271" y="1050636"/>
          <a:ext cx="20911" cy="4667937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0.69751</cdr:x>
      <cdr:y>0.20407</cdr:y>
    </cdr:from>
    <cdr:to>
      <cdr:x>0.84854</cdr:x>
      <cdr:y>0.28353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2DC28F9-D17D-9E82-51E9-59BB3B1A794B}"/>
            </a:ext>
          </a:extLst>
        </cdr:cNvPr>
        <cdr:cNvSpPr txBox="1"/>
      </cdr:nvSpPr>
      <cdr:spPr>
        <a:xfrm xmlns:a="http://schemas.openxmlformats.org/drawingml/2006/main">
          <a:off x="5873127" y="1370999"/>
          <a:ext cx="1271644" cy="5338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0.07052</cdr:y>
    </cdr:from>
    <cdr:to>
      <cdr:x>1</cdr:x>
      <cdr:y>0.1216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C688763-7D0C-D730-40C8-5DC36124D26F}"/>
            </a:ext>
          </a:extLst>
        </cdr:cNvPr>
        <cdr:cNvSpPr txBox="1"/>
      </cdr:nvSpPr>
      <cdr:spPr>
        <a:xfrm xmlns:a="http://schemas.openxmlformats.org/drawingml/2006/main">
          <a:off x="0" y="473776"/>
          <a:ext cx="8420100" cy="3431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0.25833</cdr:x>
      <cdr:y>0.51624</cdr:y>
    </cdr:from>
    <cdr:to>
      <cdr:x>0.40935</cdr:x>
      <cdr:y>0.5957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0A4BCD1-D490-52C1-9512-CC21EFB1FE90}"/>
            </a:ext>
          </a:extLst>
        </cdr:cNvPr>
        <cdr:cNvSpPr txBox="1"/>
      </cdr:nvSpPr>
      <cdr:spPr>
        <a:xfrm xmlns:a="http://schemas.openxmlformats.org/drawingml/2006/main">
          <a:off x="2175164" y="3468255"/>
          <a:ext cx="1271644" cy="5338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420100" cy="6718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F439B-925B-CB99-32AD-8CB67F807A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A43DB89-C163-8D4C-E861-A0C1928E038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Median household inflation expectations</a:t>
          </a:r>
        </a:p>
      </cdr:txBody>
    </cdr:sp>
  </cdr:relSizeAnchor>
  <cdr:relSizeAnchor xmlns:cdr="http://schemas.openxmlformats.org/drawingml/2006/chartDrawing">
    <cdr:from>
      <cdr:x>5.20417E-18</cdr:x>
      <cdr:y>0.93923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499BD39-E483-8F71-A775-4F5270DC4A00}"/>
            </a:ext>
          </a:extLst>
        </cdr:cNvPr>
        <cdr:cNvSpPr/>
      </cdr:nvSpPr>
      <cdr:spPr>
        <a:xfrm xmlns:a="http://schemas.openxmlformats.org/drawingml/2006/main">
          <a:off x="50800" y="5908463"/>
          <a:ext cx="86614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Citi/YouGov survey of inflation expectations </a:t>
          </a:r>
        </a:p>
      </cdr:txBody>
    </cdr:sp>
  </cdr:relSizeAnchor>
  <cdr:relSizeAnchor xmlns:cdr="http://schemas.openxmlformats.org/drawingml/2006/chartDrawing">
    <cdr:from>
      <cdr:x>0</cdr:x>
      <cdr:y>0.07568</cdr:y>
    </cdr:from>
    <cdr:to>
      <cdr:x>1</cdr:x>
      <cdr:y>0.12676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2B3E08A-4458-E30C-757C-9421493C3B36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0.07267</cdr:x>
      <cdr:y>0.72349</cdr:y>
    </cdr:from>
    <cdr:to>
      <cdr:x>0.34005</cdr:x>
      <cdr:y>0.82488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745CF5BD-22C6-D5C9-B6A6-08C9C2DDF14D}"/>
            </a:ext>
          </a:extLst>
        </cdr:cNvPr>
        <cdr:cNvSpPr txBox="1"/>
      </cdr:nvSpPr>
      <cdr:spPr>
        <a:xfrm xmlns:a="http://schemas.openxmlformats.org/drawingml/2006/main">
          <a:off x="611909" y="4860637"/>
          <a:ext cx="2251364" cy="6811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*Dotted</a:t>
          </a:r>
          <a:r>
            <a:rPr lang="en-GB" sz="18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lines reflect 2010-2019 average</a:t>
          </a:r>
          <a:endParaRPr lang="en-GB" sz="18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6F943-DB75-715A-585C-79082ED01C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03FFFB6-9FE3-1C45-838F-6DE8D3CCC49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Probability of a Bank Rate cut by future MPC meetings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DC62A28-C8A0-33F9-809D-9FFDE4262732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0.55072</cdr:x>
      <cdr:y>0.13237</cdr:y>
    </cdr:from>
    <cdr:to>
      <cdr:x>0.55134</cdr:x>
      <cdr:y>0.85978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A195EB8-2C87-3E51-248A-923EF0C0BE30}"/>
            </a:ext>
          </a:extLst>
        </cdr:cNvPr>
        <cdr:cNvCxnSpPr/>
      </cdr:nvCxnSpPr>
      <cdr:spPr>
        <a:xfrm xmlns:a="http://schemas.openxmlformats.org/drawingml/2006/main">
          <a:off x="4641529" y="892541"/>
          <a:ext cx="5226" cy="4904595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0.34227</cdr:x>
      <cdr:y>0.15334</cdr:y>
    </cdr:from>
    <cdr:to>
      <cdr:x>0.53063</cdr:x>
      <cdr:y>0.27041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742B3FE-A84E-0BFC-C182-BD18138CBA9C}"/>
            </a:ext>
          </a:extLst>
        </cdr:cNvPr>
        <cdr:cNvSpPr txBox="1"/>
      </cdr:nvSpPr>
      <cdr:spPr>
        <a:xfrm xmlns:a="http://schemas.openxmlformats.org/drawingml/2006/main">
          <a:off x="2884713" y="1033904"/>
          <a:ext cx="1587501" cy="7893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February</a:t>
          </a:r>
          <a:r>
            <a:rPr lang="en-GB" sz="1800" kern="1200" baseline="0">
              <a:solidFill>
                <a:srgbClr val="495057"/>
              </a:solidFill>
              <a:latin typeface="Segoe UI" panose="020B0502040204020203" pitchFamily="34" charset="0"/>
            </a:rPr>
            <a:t> MPC meeting</a:t>
          </a:r>
          <a:endParaRPr lang="en-GB" sz="18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0.76723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A8856FC-2BA6-553E-89EF-44545BFB33C6}"/>
            </a:ext>
          </a:extLst>
        </cdr:cNvPr>
        <cdr:cNvSpPr txBox="1"/>
      </cdr:nvSpPr>
      <cdr:spPr>
        <a:xfrm xmlns:a="http://schemas.openxmlformats.org/drawingml/2006/main">
          <a:off x="0" y="508632"/>
          <a:ext cx="6467475" cy="3433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Probability</a:t>
          </a:r>
          <a:r>
            <a:rPr lang="en-GB" sz="18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of a Bank Rate cut implied by market pricing</a:t>
          </a:r>
          <a:endParaRPr lang="en-GB" sz="18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0.50922</cdr:x>
      <cdr:y>0.19981</cdr:y>
    </cdr:from>
    <cdr:to>
      <cdr:x>0.55192</cdr:x>
      <cdr:y>0.19981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A1A2D403-B247-70AB-0781-27494DAAC1C4}"/>
            </a:ext>
          </a:extLst>
        </cdr:cNvPr>
        <cdr:cNvCxnSpPr/>
      </cdr:nvCxnSpPr>
      <cdr:spPr>
        <a:xfrm xmlns:a="http://schemas.openxmlformats.org/drawingml/2006/main">
          <a:off x="4291776" y="1347235"/>
          <a:ext cx="359883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0.85485</cdr:x>
      <cdr:y>0.12645</cdr:y>
    </cdr:from>
    <cdr:to>
      <cdr:x>0.85586</cdr:x>
      <cdr:y>0.85931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FB8E7D03-E0B4-8BE0-35C0-91E44077A31F}"/>
            </a:ext>
          </a:extLst>
        </cdr:cNvPr>
        <cdr:cNvCxnSpPr/>
      </cdr:nvCxnSpPr>
      <cdr:spPr>
        <a:xfrm xmlns:a="http://schemas.openxmlformats.org/drawingml/2006/main">
          <a:off x="7204825" y="852595"/>
          <a:ext cx="8513" cy="4941341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0.64575</cdr:x>
      <cdr:y>0.56062</cdr:y>
    </cdr:from>
    <cdr:to>
      <cdr:x>0.83411</cdr:x>
      <cdr:y>0.62671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002811E-D97D-B224-F662-9D0871A74427}"/>
            </a:ext>
          </a:extLst>
        </cdr:cNvPr>
        <cdr:cNvSpPr txBox="1"/>
      </cdr:nvSpPr>
      <cdr:spPr>
        <a:xfrm xmlns:a="http://schemas.openxmlformats.org/drawingml/2006/main">
          <a:off x="5442527" y="3779983"/>
          <a:ext cx="1587501" cy="4456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Iran conflict</a:t>
          </a:r>
        </a:p>
      </cdr:txBody>
    </cdr:sp>
  </cdr:relSizeAnchor>
  <cdr:relSizeAnchor xmlns:cdr="http://schemas.openxmlformats.org/drawingml/2006/chartDrawing">
    <cdr:from>
      <cdr:x>0.82072</cdr:x>
      <cdr:y>0.58919</cdr:y>
    </cdr:from>
    <cdr:to>
      <cdr:x>0.86342</cdr:x>
      <cdr:y>0.58919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34636CB2-C38C-FE32-69CC-9CC80E08ED64}"/>
            </a:ext>
          </a:extLst>
        </cdr:cNvPr>
        <cdr:cNvCxnSpPr/>
      </cdr:nvCxnSpPr>
      <cdr:spPr>
        <a:xfrm xmlns:a="http://schemas.openxmlformats.org/drawingml/2006/main">
          <a:off x="6917212" y="3972672"/>
          <a:ext cx="359883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BD768-4882-907C-0207-AAEACB6E56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F15FA2A-2F07-C905-B0BE-C8D10E232019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Gas futures</a:t>
          </a:r>
        </a:p>
      </cdr:txBody>
    </cdr:sp>
  </cdr:relSizeAnchor>
  <cdr:relSizeAnchor xmlns:cdr="http://schemas.openxmlformats.org/drawingml/2006/chartDrawing">
    <cdr:from>
      <cdr:x>5.20417E-18</cdr:x>
      <cdr:y>0.93923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6C62118-AB88-C2AE-F25E-2EC666EDD39B}"/>
            </a:ext>
          </a:extLst>
        </cdr:cNvPr>
        <cdr:cNvSpPr/>
      </cdr:nvSpPr>
      <cdr:spPr>
        <a:xfrm xmlns:a="http://schemas.openxmlformats.org/drawingml/2006/main">
          <a:off x="50800" y="5908463"/>
          <a:ext cx="86614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</a:t>
          </a:r>
        </a:p>
      </cdr:txBody>
    </cdr:sp>
  </cdr:relSizeAnchor>
  <cdr:relSizeAnchor xmlns:cdr="http://schemas.openxmlformats.org/drawingml/2006/chartDrawing">
    <cdr:from>
      <cdr:x>0</cdr:x>
      <cdr:y>0.07568</cdr:y>
    </cdr:from>
    <cdr:to>
      <cdr:x>1</cdr:x>
      <cdr:y>0.12676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41A68F19-D13A-F303-F0C9-F1C223B9B50D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Pence</a:t>
          </a:r>
          <a:r>
            <a:rPr lang="en-GB" sz="18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per therm</a:t>
          </a:r>
          <a:endParaRPr lang="en-GB" sz="18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AD93B-BAD0-C704-9428-AFD016006A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D67AA77-02DD-BC6E-762E-5CB3FC1123D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</a:t>
          </a:r>
          <a:r>
            <a:rPr lang="en-GB" sz="24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Oil futures</a:t>
          </a:r>
          <a:endParaRPr lang="en-GB" sz="24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5.20417E-18</cdr:x>
      <cdr:y>0.93923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825389B-CFDA-3CB0-042F-3A456882D635}"/>
            </a:ext>
          </a:extLst>
        </cdr:cNvPr>
        <cdr:cNvSpPr/>
      </cdr:nvSpPr>
      <cdr:spPr>
        <a:xfrm xmlns:a="http://schemas.openxmlformats.org/drawingml/2006/main">
          <a:off x="50800" y="5908463"/>
          <a:ext cx="86614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</a:t>
          </a:r>
        </a:p>
      </cdr:txBody>
    </cdr:sp>
  </cdr:relSizeAnchor>
  <cdr:relSizeAnchor xmlns:cdr="http://schemas.openxmlformats.org/drawingml/2006/chartDrawing">
    <cdr:from>
      <cdr:x>0</cdr:x>
      <cdr:y>0.07568</cdr:y>
    </cdr:from>
    <cdr:to>
      <cdr:x>1</cdr:x>
      <cdr:y>0.12676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D73CD0A-2ACF-32B5-E281-7F7EB7BFF3BF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 per barrel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420100" cy="6718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65F4D9-96F4-ACA4-DCE6-E2F8ACE825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141555C-0902-5941-DEC4-EA306301C13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 forecast</a:t>
          </a:r>
        </a:p>
      </cdr:txBody>
    </cdr:sp>
  </cdr:relSizeAnchor>
  <cdr:relSizeAnchor xmlns:cdr="http://schemas.openxmlformats.org/drawingml/2006/chartDrawing">
    <cdr:from>
      <cdr:x>5.20417E-18</cdr:x>
      <cdr:y>0.93923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87D29A9-BF66-A6FA-04F0-FEC6FF060BF9}"/>
            </a:ext>
          </a:extLst>
        </cdr:cNvPr>
        <cdr:cNvSpPr/>
      </cdr:nvSpPr>
      <cdr:spPr>
        <a:xfrm xmlns:a="http://schemas.openxmlformats.org/drawingml/2006/main">
          <a:off x="50800" y="5908463"/>
          <a:ext cx="86614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Bank of England Monetary Policy Report</a:t>
          </a:r>
        </a:p>
      </cdr:txBody>
    </cdr:sp>
  </cdr:relSizeAnchor>
  <cdr:relSizeAnchor xmlns:cdr="http://schemas.openxmlformats.org/drawingml/2006/chartDrawing">
    <cdr:from>
      <cdr:x>0.48677</cdr:x>
      <cdr:y>0.14092</cdr:y>
    </cdr:from>
    <cdr:to>
      <cdr:x>0.4884</cdr:x>
      <cdr:y>0.85979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4C1693A3-B12D-FDC7-729A-D1AE2B910265}"/>
            </a:ext>
          </a:extLst>
        </cdr:cNvPr>
        <cdr:cNvCxnSpPr/>
      </cdr:nvCxnSpPr>
      <cdr:spPr>
        <a:xfrm xmlns:a="http://schemas.openxmlformats.org/drawingml/2006/main">
          <a:off x="4098636" y="946727"/>
          <a:ext cx="13726" cy="4829573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0.6838</cdr:x>
      <cdr:y>0.23328</cdr:y>
    </cdr:from>
    <cdr:to>
      <cdr:x>0.83483</cdr:x>
      <cdr:y>0.31274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2679F81-EA5B-0AAF-F0E5-809406DE05AE}"/>
            </a:ext>
          </a:extLst>
        </cdr:cNvPr>
        <cdr:cNvSpPr txBox="1"/>
      </cdr:nvSpPr>
      <cdr:spPr>
        <a:xfrm xmlns:a="http://schemas.openxmlformats.org/drawingml/2006/main">
          <a:off x="5757672" y="1567273"/>
          <a:ext cx="1271644" cy="5338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0.07568</cdr:y>
    </cdr:from>
    <cdr:to>
      <cdr:x>1</cdr:x>
      <cdr:y>0.12676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52BC83E0-5C74-1ECC-B084-0F0273822C30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0.26107</cdr:x>
      <cdr:y>0.50421</cdr:y>
    </cdr:from>
    <cdr:to>
      <cdr:x>0.41224</cdr:x>
      <cdr:y>0.58396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0387E781-F835-E14B-F3E9-8F23BA195BA1}"/>
            </a:ext>
          </a:extLst>
        </cdr:cNvPr>
        <cdr:cNvSpPr txBox="1"/>
      </cdr:nvSpPr>
      <cdr:spPr>
        <a:xfrm xmlns:a="http://schemas.openxmlformats.org/drawingml/2006/main">
          <a:off x="2198255" y="3387436"/>
          <a:ext cx="1272824" cy="5357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  <cdr:relSizeAnchor xmlns:cdr="http://schemas.openxmlformats.org/drawingml/2006/chartDrawing">
    <cdr:from>
      <cdr:x>0.06719</cdr:x>
      <cdr:y>0.73552</cdr:y>
    </cdr:from>
    <cdr:to>
      <cdr:x>0.51008</cdr:x>
      <cdr:y>0.84035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099E289B-AFF7-B78A-881B-46DC5D6B5471}"/>
            </a:ext>
          </a:extLst>
        </cdr:cNvPr>
        <cdr:cNvSpPr txBox="1"/>
      </cdr:nvSpPr>
      <cdr:spPr>
        <a:xfrm xmlns:a="http://schemas.openxmlformats.org/drawingml/2006/main">
          <a:off x="565727" y="4941455"/>
          <a:ext cx="3729182" cy="704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650" kern="1200">
              <a:solidFill>
                <a:srgbClr val="495057"/>
              </a:solidFill>
              <a:latin typeface="Segoe UI" panose="020B0502040204020203" pitchFamily="34" charset="0"/>
            </a:rPr>
            <a:t>*BoE</a:t>
          </a:r>
          <a:r>
            <a:rPr lang="en-GB" sz="1650" kern="1200" baseline="0">
              <a:solidFill>
                <a:srgbClr val="495057"/>
              </a:solidFill>
              <a:latin typeface="Segoe UI" panose="020B0502040204020203" pitchFamily="34" charset="0"/>
            </a:rPr>
            <a:t> forecast based on market interest rate expectations at the time</a:t>
          </a:r>
          <a:endParaRPr lang="en-GB" sz="165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60225%20Inflation%20Forecast.xlsx" TargetMode="External"/><Relationship Id="rId1" Type="http://schemas.openxmlformats.org/officeDocument/2006/relationships/externalLinkPath" Target="/UK%20Team/Inflation%20Model/20260225%20Inflation%20Forecas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60304%20Inflation%20Forecast.xlsx" TargetMode="External"/><Relationship Id="rId1" Type="http://schemas.openxmlformats.org/officeDocument/2006/relationships/externalLinkPath" Target="/UK%20Team/Inflation%20Model/20260304%20Inflation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fcst chart (3)"/>
      <sheetName val="Conts to CPI goods"/>
      <sheetName val="Conts to CPI fcst, FD, EN, FU"/>
      <sheetName val="Conts to CPI fcst, EN &amp;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>
        <row r="601">
          <cell r="D601">
            <v>3.5377561591716011</v>
          </cell>
        </row>
        <row r="602">
          <cell r="D602">
            <v>2.0988784618906076</v>
          </cell>
        </row>
        <row r="603">
          <cell r="D603">
            <v>2.042876565004792</v>
          </cell>
        </row>
        <row r="604">
          <cell r="D604">
            <v>2.4685994852664539</v>
          </cell>
        </row>
        <row r="605">
          <cell r="D605">
            <v>2.8036676529743287</v>
          </cell>
        </row>
        <row r="606">
          <cell r="D606">
            <v>3.48724539994969</v>
          </cell>
        </row>
        <row r="607">
          <cell r="D607">
            <v>3.8001302504089063</v>
          </cell>
        </row>
        <row r="608">
          <cell r="D608">
            <v>3.3933355845474633</v>
          </cell>
        </row>
        <row r="609">
          <cell r="D609">
            <v>2.8855185613096079</v>
          </cell>
        </row>
        <row r="610">
          <cell r="D610">
            <v>2.0807736464132143</v>
          </cell>
        </row>
        <row r="611">
          <cell r="D611">
            <v>2.1144005505330687</v>
          </cell>
        </row>
        <row r="612">
          <cell r="D612">
            <v>2.1117125894258182</v>
          </cell>
        </row>
        <row r="613">
          <cell r="D613">
            <v>2.1963121172453137</v>
          </cell>
        </row>
        <row r="614">
          <cell r="D614">
            <v>2.2973714120832156</v>
          </cell>
        </row>
        <row r="615">
          <cell r="D615">
            <v>2.2781117101507098</v>
          </cell>
        </row>
        <row r="616">
          <cell r="D616">
            <v>2.2931388718659518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fcst chart (3)"/>
      <sheetName val="Conts to CPI goods"/>
      <sheetName val="Conts to CPI fcst, FD, EN, FU"/>
      <sheetName val="Conts to CPI fcst, EN &amp;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>
        <row r="601">
          <cell r="D601">
            <v>3.5377561591716011</v>
          </cell>
        </row>
        <row r="602">
          <cell r="D602">
            <v>2.0988784618906076</v>
          </cell>
        </row>
        <row r="603">
          <cell r="D603">
            <v>2.042876565004792</v>
          </cell>
        </row>
        <row r="604">
          <cell r="D604">
            <v>2.4685994852664539</v>
          </cell>
        </row>
        <row r="605">
          <cell r="D605">
            <v>2.8036676529743287</v>
          </cell>
        </row>
        <row r="606">
          <cell r="D606">
            <v>3.48724539994969</v>
          </cell>
        </row>
        <row r="607">
          <cell r="D607">
            <v>3.8001302504089063</v>
          </cell>
        </row>
        <row r="608">
          <cell r="D608">
            <v>3.3933355845474633</v>
          </cell>
        </row>
        <row r="609">
          <cell r="D609">
            <v>2.8946770229653529</v>
          </cell>
        </row>
        <row r="610">
          <cell r="D610">
            <v>2.4987705977833619</v>
          </cell>
        </row>
        <row r="611">
          <cell r="D611">
            <v>2.8524327199954458</v>
          </cell>
        </row>
        <row r="612">
          <cell r="D612">
            <v>2.6221744546280679</v>
          </cell>
        </row>
        <row r="613">
          <cell r="D613">
            <v>2.5834042053156869</v>
          </cell>
        </row>
        <row r="614">
          <cell r="D614">
            <v>2.1828434382329842</v>
          </cell>
        </row>
        <row r="615">
          <cell r="D615">
            <v>1.8117808573972827</v>
          </cell>
        </row>
        <row r="616">
          <cell r="D616">
            <v>2.0345023379969129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UNQMPCPI@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95E9-9E1D-4287-A255-9A63924D605B}">
  <sheetPr>
    <tabColor rgb="FFC0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EB58-D21F-421B-97FE-121274FA0CD0}">
  <dimension ref="A1:F228"/>
  <sheetViews>
    <sheetView zoomScale="85" zoomScaleNormal="85" workbookViewId="0">
      <pane xSplit="1" ySplit="6" topLeftCell="B221" activePane="bottomRight" state="frozen"/>
      <selection pane="topRight" activeCell="B1" sqref="B1"/>
      <selection pane="bottomLeft" activeCell="A7" sqref="A7"/>
      <selection pane="bottomRight" activeCell="C233" sqref="C233:C234"/>
    </sheetView>
  </sheetViews>
  <sheetFormatPr defaultRowHeight="14.5" x14ac:dyDescent="0.35"/>
  <cols>
    <col min="2" max="6" width="24.7265625" customWidth="1"/>
  </cols>
  <sheetData>
    <row r="1" spans="1:6" x14ac:dyDescent="0.35">
      <c r="A1" s="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s="3" customFormat="1" ht="43.5" x14ac:dyDescent="0.35">
      <c r="A2" s="3" t="s">
        <v>11</v>
      </c>
      <c r="B2" s="3" t="s">
        <v>14</v>
      </c>
      <c r="C2" s="3" t="s">
        <v>17</v>
      </c>
      <c r="D2" s="3" t="s">
        <v>18</v>
      </c>
      <c r="E2" s="3" t="s">
        <v>19</v>
      </c>
      <c r="F2" s="3" t="s">
        <v>20</v>
      </c>
    </row>
    <row r="3" spans="1:6" x14ac:dyDescent="0.35">
      <c r="A3" t="s">
        <v>10</v>
      </c>
      <c r="B3" t="s">
        <v>13</v>
      </c>
      <c r="C3" t="s">
        <v>16</v>
      </c>
      <c r="D3" t="s">
        <v>16</v>
      </c>
      <c r="E3" t="s">
        <v>16</v>
      </c>
      <c r="F3" t="s">
        <v>16</v>
      </c>
    </row>
    <row r="4" spans="1:6" x14ac:dyDescent="0.35">
      <c r="A4" t="s">
        <v>9</v>
      </c>
      <c r="B4" t="s">
        <v>382</v>
      </c>
      <c r="C4" t="s">
        <v>247</v>
      </c>
      <c r="D4" t="s">
        <v>247</v>
      </c>
      <c r="E4" t="s">
        <v>247</v>
      </c>
      <c r="F4" t="s">
        <v>247</v>
      </c>
    </row>
    <row r="5" spans="1:6" x14ac:dyDescent="0.35">
      <c r="A5" t="s">
        <v>8</v>
      </c>
      <c r="B5" t="s">
        <v>12</v>
      </c>
      <c r="C5" t="s">
        <v>15</v>
      </c>
      <c r="D5" t="s">
        <v>15</v>
      </c>
      <c r="E5" t="s">
        <v>15</v>
      </c>
      <c r="F5" t="s">
        <v>15</v>
      </c>
    </row>
    <row r="6" spans="1:6" x14ac:dyDescent="0.35">
      <c r="A6" t="s">
        <v>7</v>
      </c>
      <c r="B6" t="s">
        <v>381</v>
      </c>
      <c r="C6" t="s">
        <v>246</v>
      </c>
      <c r="D6" t="s">
        <v>246</v>
      </c>
      <c r="E6" t="s">
        <v>246</v>
      </c>
      <c r="F6" t="s">
        <v>246</v>
      </c>
    </row>
    <row r="7" spans="1:6" x14ac:dyDescent="0.35">
      <c r="A7" t="s">
        <v>6</v>
      </c>
      <c r="B7" s="2">
        <v>4.4585999999999997</v>
      </c>
      <c r="C7" s="2">
        <v>4.2</v>
      </c>
      <c r="D7" s="2">
        <v>4.0620000000000003</v>
      </c>
      <c r="E7" s="2">
        <v>3.8519999999999999</v>
      </c>
      <c r="F7" s="2">
        <v>3.7149999999999999</v>
      </c>
    </row>
    <row r="8" spans="1:6" x14ac:dyDescent="0.35">
      <c r="A8" t="s">
        <v>21</v>
      </c>
      <c r="B8" s="2">
        <v>4.4593999999999996</v>
      </c>
      <c r="C8" s="2">
        <v>4.2039999999999997</v>
      </c>
      <c r="D8" s="2">
        <v>4.0750000000000002</v>
      </c>
      <c r="E8" s="2">
        <v>3.8730000000000002</v>
      </c>
      <c r="F8" s="2">
        <v>3.7349999999999999</v>
      </c>
    </row>
    <row r="9" spans="1:6" x14ac:dyDescent="0.35">
      <c r="A9" t="s">
        <v>22</v>
      </c>
      <c r="B9" s="2" t="e">
        <v>#N/A</v>
      </c>
      <c r="C9" s="2">
        <v>4.2080000000000002</v>
      </c>
      <c r="D9" s="2">
        <v>4.0780000000000003</v>
      </c>
      <c r="E9" s="2">
        <v>3.875</v>
      </c>
      <c r="F9" s="2">
        <v>3.74</v>
      </c>
    </row>
    <row r="10" spans="1:6" x14ac:dyDescent="0.35">
      <c r="A10" t="s">
        <v>23</v>
      </c>
      <c r="B10" s="2">
        <v>4.4589999999999996</v>
      </c>
      <c r="C10" s="2">
        <v>4.2</v>
      </c>
      <c r="D10" s="2">
        <v>4.0679999999999996</v>
      </c>
      <c r="E10" s="2">
        <v>3.8660000000000001</v>
      </c>
      <c r="F10" s="2">
        <v>3.7250000000000001</v>
      </c>
    </row>
    <row r="11" spans="1:6" x14ac:dyDescent="0.35">
      <c r="A11" t="s">
        <v>24</v>
      </c>
      <c r="B11" s="2">
        <v>4.4600999999999997</v>
      </c>
      <c r="C11" s="2">
        <v>4.2039999999999997</v>
      </c>
      <c r="D11" s="2">
        <v>4.0730000000000004</v>
      </c>
      <c r="E11" s="2">
        <v>3.8719999999999999</v>
      </c>
      <c r="F11" s="2">
        <v>3.726</v>
      </c>
    </row>
    <row r="12" spans="1:6" x14ac:dyDescent="0.35">
      <c r="A12" t="s">
        <v>25</v>
      </c>
      <c r="B12" s="2">
        <v>4.21</v>
      </c>
      <c r="C12" s="2">
        <v>4.2190000000000003</v>
      </c>
      <c r="D12" s="2">
        <v>4.1719999999999997</v>
      </c>
      <c r="E12" s="2">
        <v>3.9870000000000001</v>
      </c>
      <c r="F12" s="2">
        <v>3.8759999999999999</v>
      </c>
    </row>
    <row r="13" spans="1:6" x14ac:dyDescent="0.35">
      <c r="A13" t="s">
        <v>26</v>
      </c>
      <c r="B13" s="2">
        <v>4.2103000000000002</v>
      </c>
      <c r="C13" s="2">
        <v>4.1660000000000004</v>
      </c>
      <c r="D13" s="2">
        <v>3.976</v>
      </c>
      <c r="E13" s="2">
        <v>3.8730000000000002</v>
      </c>
      <c r="F13" s="2">
        <v>3.7120000000000002</v>
      </c>
    </row>
    <row r="14" spans="1:6" x14ac:dyDescent="0.35">
      <c r="A14" t="s">
        <v>27</v>
      </c>
      <c r="B14" s="2">
        <v>4.21</v>
      </c>
      <c r="C14" s="2">
        <v>4.1900000000000004</v>
      </c>
      <c r="D14" s="2">
        <v>4.01</v>
      </c>
      <c r="E14" s="2">
        <v>3.9340000000000002</v>
      </c>
      <c r="F14" s="2">
        <v>3.7919999999999998</v>
      </c>
    </row>
    <row r="15" spans="1:6" x14ac:dyDescent="0.35">
      <c r="A15" t="s">
        <v>28</v>
      </c>
      <c r="B15" s="2">
        <v>4.2106000000000003</v>
      </c>
      <c r="C15" s="2">
        <v>4.1950000000000003</v>
      </c>
      <c r="D15" s="2">
        <v>4.0179999999999998</v>
      </c>
      <c r="E15" s="2">
        <v>3.9460000000000002</v>
      </c>
      <c r="F15" s="2">
        <v>3.798</v>
      </c>
    </row>
    <row r="16" spans="1:6" x14ac:dyDescent="0.35">
      <c r="A16" t="s">
        <v>29</v>
      </c>
      <c r="B16" s="2">
        <v>4.2107999999999999</v>
      </c>
      <c r="C16" s="2">
        <v>4.1989999999999998</v>
      </c>
      <c r="D16" s="2">
        <v>4.0410000000000004</v>
      </c>
      <c r="E16" s="2">
        <v>3.984</v>
      </c>
      <c r="F16" s="2">
        <v>3.8530000000000002</v>
      </c>
    </row>
    <row r="17" spans="1:6" x14ac:dyDescent="0.35">
      <c r="A17" t="s">
        <v>30</v>
      </c>
      <c r="B17" s="2">
        <v>4.2111000000000001</v>
      </c>
      <c r="C17" s="2">
        <v>4.1989999999999998</v>
      </c>
      <c r="D17" s="2">
        <v>4.0380000000000003</v>
      </c>
      <c r="E17" s="2">
        <v>3.9710000000000001</v>
      </c>
      <c r="F17" s="2">
        <v>3.8330000000000002</v>
      </c>
    </row>
    <row r="18" spans="1:6" x14ac:dyDescent="0.35">
      <c r="A18" t="s">
        <v>31</v>
      </c>
      <c r="B18" s="2">
        <v>4.2106000000000003</v>
      </c>
      <c r="C18" s="2">
        <v>4.202</v>
      </c>
      <c r="D18" s="2">
        <v>4.0490000000000004</v>
      </c>
      <c r="E18" s="2">
        <v>3.98</v>
      </c>
      <c r="F18" s="2">
        <v>3.8460000000000001</v>
      </c>
    </row>
    <row r="19" spans="1:6" x14ac:dyDescent="0.35">
      <c r="A19" t="s">
        <v>32</v>
      </c>
      <c r="B19" s="2">
        <v>4.2108999999999996</v>
      </c>
      <c r="C19" s="2">
        <v>4.1989999999999998</v>
      </c>
      <c r="D19" s="2">
        <v>4.0410000000000004</v>
      </c>
      <c r="E19" s="2">
        <v>3.9809999999999999</v>
      </c>
      <c r="F19" s="2">
        <v>3.8530000000000002</v>
      </c>
    </row>
    <row r="20" spans="1:6" x14ac:dyDescent="0.35">
      <c r="A20" t="s">
        <v>33</v>
      </c>
      <c r="B20" s="2">
        <v>4.2107999999999999</v>
      </c>
      <c r="C20" s="2">
        <v>4.2030000000000003</v>
      </c>
      <c r="D20" s="2">
        <v>4.056</v>
      </c>
      <c r="E20" s="2">
        <v>3.996</v>
      </c>
      <c r="F20" s="2">
        <v>3.8719999999999999</v>
      </c>
    </row>
    <row r="21" spans="1:6" x14ac:dyDescent="0.35">
      <c r="A21" t="s">
        <v>34</v>
      </c>
      <c r="B21" s="2">
        <v>4.2115</v>
      </c>
      <c r="C21" s="2">
        <v>4.2130000000000001</v>
      </c>
      <c r="D21" s="2">
        <v>4.0949999999999998</v>
      </c>
      <c r="E21" s="2">
        <v>4.0350000000000001</v>
      </c>
      <c r="F21" s="2">
        <v>3.9079999999999999</v>
      </c>
    </row>
    <row r="22" spans="1:6" x14ac:dyDescent="0.35">
      <c r="A22" t="s">
        <v>35</v>
      </c>
      <c r="B22" s="2">
        <v>4.2114000000000003</v>
      </c>
      <c r="C22" s="2">
        <v>4.2130000000000001</v>
      </c>
      <c r="D22" s="2">
        <v>4.09</v>
      </c>
      <c r="E22" s="2">
        <v>4.0250000000000004</v>
      </c>
      <c r="F22" s="2">
        <v>3.89</v>
      </c>
    </row>
    <row r="23" spans="1:6" x14ac:dyDescent="0.35">
      <c r="A23" t="s">
        <v>36</v>
      </c>
      <c r="B23" s="2">
        <v>4.2107999999999999</v>
      </c>
      <c r="C23" s="2">
        <v>4.2149999999999999</v>
      </c>
      <c r="D23" s="2">
        <v>4.0880000000000001</v>
      </c>
      <c r="E23" s="2">
        <v>4.0279999999999996</v>
      </c>
      <c r="F23" s="2">
        <v>3.8839999999999999</v>
      </c>
    </row>
    <row r="24" spans="1:6" x14ac:dyDescent="0.35">
      <c r="A24" t="s">
        <v>37</v>
      </c>
      <c r="B24" s="2" t="e">
        <v>#N/A</v>
      </c>
      <c r="C24" s="2">
        <v>4.218</v>
      </c>
      <c r="D24" s="2">
        <v>4.093</v>
      </c>
      <c r="E24" s="2">
        <v>4.0330000000000004</v>
      </c>
      <c r="F24" s="2">
        <v>3.8839999999999999</v>
      </c>
    </row>
    <row r="25" spans="1:6" x14ac:dyDescent="0.35">
      <c r="A25" t="s">
        <v>38</v>
      </c>
      <c r="B25" s="2">
        <v>4.2107000000000001</v>
      </c>
      <c r="C25" s="2">
        <v>4.218</v>
      </c>
      <c r="D25" s="2">
        <v>4.1020000000000003</v>
      </c>
      <c r="E25" s="2">
        <v>4.0519999999999996</v>
      </c>
      <c r="F25" s="2">
        <v>3.9119999999999999</v>
      </c>
    </row>
    <row r="26" spans="1:6" x14ac:dyDescent="0.35">
      <c r="A26" t="s">
        <v>39</v>
      </c>
      <c r="B26" s="2">
        <v>4.2103999999999999</v>
      </c>
      <c r="C26" s="2">
        <v>4.2190000000000003</v>
      </c>
      <c r="D26" s="2">
        <v>4.1040000000000001</v>
      </c>
      <c r="E26" s="2">
        <v>4.0609999999999999</v>
      </c>
      <c r="F26" s="2">
        <v>3.9239999999999999</v>
      </c>
    </row>
    <row r="27" spans="1:6" x14ac:dyDescent="0.35">
      <c r="A27" t="s">
        <v>40</v>
      </c>
      <c r="B27" s="2">
        <v>4.2107000000000001</v>
      </c>
      <c r="C27" s="2">
        <v>4.2169999999999996</v>
      </c>
      <c r="D27" s="2">
        <v>4.101</v>
      </c>
      <c r="E27" s="2">
        <v>4.056</v>
      </c>
      <c r="F27" s="2">
        <v>3.907</v>
      </c>
    </row>
    <row r="28" spans="1:6" x14ac:dyDescent="0.35">
      <c r="A28" t="s">
        <v>41</v>
      </c>
      <c r="B28" s="2">
        <v>4.2111000000000001</v>
      </c>
      <c r="C28" s="2">
        <v>4.21</v>
      </c>
      <c r="D28" s="2">
        <v>4.0979999999999999</v>
      </c>
      <c r="E28" s="2">
        <v>4.0529999999999999</v>
      </c>
      <c r="F28" s="2">
        <v>3.9089999999999998</v>
      </c>
    </row>
    <row r="29" spans="1:6" x14ac:dyDescent="0.35">
      <c r="A29" t="s">
        <v>42</v>
      </c>
      <c r="B29" s="2">
        <v>4.2111999999999998</v>
      </c>
      <c r="C29" s="2">
        <v>4.2160000000000002</v>
      </c>
      <c r="D29" s="2">
        <v>4.0999999999999996</v>
      </c>
      <c r="E29" s="2">
        <v>4.056</v>
      </c>
      <c r="F29" s="2">
        <v>3.9159999999999999</v>
      </c>
    </row>
    <row r="30" spans="1:6" x14ac:dyDescent="0.35">
      <c r="A30" t="s">
        <v>43</v>
      </c>
      <c r="B30" s="2">
        <v>4.2111999999999998</v>
      </c>
      <c r="C30" s="2">
        <v>4.2169999999999996</v>
      </c>
      <c r="D30" s="2">
        <v>4.0739999999999998</v>
      </c>
      <c r="E30" s="2">
        <v>4.0279999999999996</v>
      </c>
      <c r="F30" s="2">
        <v>3.8889999999999998</v>
      </c>
    </row>
    <row r="31" spans="1:6" x14ac:dyDescent="0.35">
      <c r="A31" t="s">
        <v>44</v>
      </c>
      <c r="B31" s="2">
        <v>4.2111000000000001</v>
      </c>
      <c r="C31" s="2">
        <v>4.2130000000000001</v>
      </c>
      <c r="D31" s="2">
        <v>4.0650000000000004</v>
      </c>
      <c r="E31" s="2">
        <v>4.016</v>
      </c>
      <c r="F31" s="2">
        <v>3.8690000000000002</v>
      </c>
    </row>
    <row r="32" spans="1:6" x14ac:dyDescent="0.35">
      <c r="A32" t="s">
        <v>45</v>
      </c>
      <c r="B32" s="2">
        <v>4.2119</v>
      </c>
      <c r="C32" s="2">
        <v>4.2169999999999996</v>
      </c>
      <c r="D32" s="2">
        <v>4.0629999999999997</v>
      </c>
      <c r="E32" s="2">
        <v>4.0190000000000001</v>
      </c>
      <c r="F32" s="2">
        <v>3.8769999999999998</v>
      </c>
    </row>
    <row r="33" spans="1:6" x14ac:dyDescent="0.35">
      <c r="A33" t="s">
        <v>46</v>
      </c>
      <c r="B33" s="2">
        <v>4.2118000000000002</v>
      </c>
      <c r="C33" s="2">
        <v>4.2160000000000002</v>
      </c>
      <c r="D33" s="2">
        <v>4.0620000000000003</v>
      </c>
      <c r="E33" s="2">
        <v>4.0250000000000004</v>
      </c>
      <c r="F33" s="2">
        <v>3.891</v>
      </c>
    </row>
    <row r="34" spans="1:6" x14ac:dyDescent="0.35">
      <c r="A34" t="s">
        <v>47</v>
      </c>
      <c r="B34" s="2">
        <v>4.2127999999999997</v>
      </c>
      <c r="C34" s="2">
        <v>4.2140000000000004</v>
      </c>
      <c r="D34" s="2">
        <v>4.0540000000000003</v>
      </c>
      <c r="E34" s="2">
        <v>4.01</v>
      </c>
      <c r="F34" s="2">
        <v>3.867</v>
      </c>
    </row>
    <row r="35" spans="1:6" x14ac:dyDescent="0.35">
      <c r="A35" t="s">
        <v>48</v>
      </c>
      <c r="B35" s="2">
        <v>4.2126000000000001</v>
      </c>
      <c r="C35" s="2">
        <v>4.2069999999999999</v>
      </c>
      <c r="D35" s="2">
        <v>4.0170000000000003</v>
      </c>
      <c r="E35" s="2">
        <v>3.9569999999999999</v>
      </c>
      <c r="F35" s="2">
        <v>3.802</v>
      </c>
    </row>
    <row r="36" spans="1:6" x14ac:dyDescent="0.35">
      <c r="A36" t="s">
        <v>49</v>
      </c>
      <c r="B36" s="2">
        <v>4.2129000000000003</v>
      </c>
      <c r="C36" s="2">
        <v>4.2080000000000002</v>
      </c>
      <c r="D36" s="2">
        <v>4.0179999999999998</v>
      </c>
      <c r="E36" s="2">
        <v>3.956</v>
      </c>
      <c r="F36" s="2">
        <v>3.8010000000000002</v>
      </c>
    </row>
    <row r="37" spans="1:6" x14ac:dyDescent="0.35">
      <c r="A37" t="s">
        <v>50</v>
      </c>
      <c r="B37" s="2">
        <v>4.2126000000000001</v>
      </c>
      <c r="C37" s="2">
        <v>4.2050000000000001</v>
      </c>
      <c r="D37" s="2">
        <v>4.01</v>
      </c>
      <c r="E37" s="2">
        <v>3.9430000000000001</v>
      </c>
      <c r="F37" s="2">
        <v>3.778</v>
      </c>
    </row>
    <row r="38" spans="1:6" x14ac:dyDescent="0.35">
      <c r="A38" t="s">
        <v>51</v>
      </c>
      <c r="B38" s="2">
        <v>4.2126999999999999</v>
      </c>
      <c r="C38" s="2">
        <v>4.2089999999999996</v>
      </c>
      <c r="D38" s="2">
        <v>4.0170000000000003</v>
      </c>
      <c r="E38" s="2">
        <v>3.9649999999999999</v>
      </c>
      <c r="F38" s="2">
        <v>3.8149999999999999</v>
      </c>
    </row>
    <row r="39" spans="1:6" x14ac:dyDescent="0.35">
      <c r="A39" t="s">
        <v>52</v>
      </c>
      <c r="B39" s="2">
        <v>4.2148000000000003</v>
      </c>
      <c r="C39" s="2">
        <v>4.2119999999999997</v>
      </c>
      <c r="D39" s="2">
        <v>4.024</v>
      </c>
      <c r="E39" s="2">
        <v>3.9630000000000001</v>
      </c>
      <c r="F39" s="2">
        <v>3.8050000000000002</v>
      </c>
    </row>
    <row r="40" spans="1:6" x14ac:dyDescent="0.35">
      <c r="A40" t="s">
        <v>53</v>
      </c>
      <c r="B40" s="2">
        <v>4.2160000000000002</v>
      </c>
      <c r="C40" s="2">
        <v>4.2140000000000004</v>
      </c>
      <c r="D40" s="2">
        <v>4.0250000000000004</v>
      </c>
      <c r="E40" s="2">
        <v>3.9660000000000002</v>
      </c>
      <c r="F40" s="2">
        <v>3.8109999999999999</v>
      </c>
    </row>
    <row r="41" spans="1:6" x14ac:dyDescent="0.35">
      <c r="A41" t="s">
        <v>54</v>
      </c>
      <c r="B41" s="2">
        <v>4.2163000000000004</v>
      </c>
      <c r="C41" s="2">
        <v>4.2220000000000004</v>
      </c>
      <c r="D41" s="2">
        <v>4.0309999999999997</v>
      </c>
      <c r="E41" s="2">
        <v>3.9769999999999999</v>
      </c>
      <c r="F41" s="2">
        <v>3.8239999999999998</v>
      </c>
    </row>
    <row r="42" spans="1:6" x14ac:dyDescent="0.35">
      <c r="A42" t="s">
        <v>55</v>
      </c>
      <c r="B42" s="2">
        <v>4.2168999999999999</v>
      </c>
      <c r="C42" s="2">
        <v>4.226</v>
      </c>
      <c r="D42" s="2">
        <v>4.03</v>
      </c>
      <c r="E42" s="2">
        <v>3.968</v>
      </c>
      <c r="F42" s="2">
        <v>3.8109999999999999</v>
      </c>
    </row>
    <row r="43" spans="1:6" x14ac:dyDescent="0.35">
      <c r="A43" t="s">
        <v>56</v>
      </c>
      <c r="B43" s="2">
        <v>4.2164000000000001</v>
      </c>
      <c r="C43" s="2">
        <v>4.0270000000000001</v>
      </c>
      <c r="D43" s="2">
        <v>3.9630000000000001</v>
      </c>
      <c r="E43" s="2">
        <v>3.8039999999999998</v>
      </c>
      <c r="F43" s="2">
        <v>3.7330000000000001</v>
      </c>
    </row>
    <row r="44" spans="1:6" x14ac:dyDescent="0.35">
      <c r="A44" t="s">
        <v>57</v>
      </c>
      <c r="B44" s="2">
        <v>4.2165999999999997</v>
      </c>
      <c r="C44" s="2">
        <v>4.0220000000000002</v>
      </c>
      <c r="D44" s="2">
        <v>3.9649999999999999</v>
      </c>
      <c r="E44" s="2">
        <v>3.802</v>
      </c>
      <c r="F44" s="2">
        <v>3.72</v>
      </c>
    </row>
    <row r="45" spans="1:6" x14ac:dyDescent="0.35">
      <c r="A45" t="s">
        <v>58</v>
      </c>
      <c r="B45" s="2">
        <v>4.2169999999999996</v>
      </c>
      <c r="C45" s="2">
        <v>4.0190000000000001</v>
      </c>
      <c r="D45" s="2">
        <v>3.9540000000000002</v>
      </c>
      <c r="E45" s="2">
        <v>3.7850000000000001</v>
      </c>
      <c r="F45" s="2">
        <v>3.7029999999999998</v>
      </c>
    </row>
    <row r="46" spans="1:6" x14ac:dyDescent="0.35">
      <c r="A46" t="s">
        <v>59</v>
      </c>
      <c r="B46" s="2">
        <v>4.2172000000000001</v>
      </c>
      <c r="C46" s="2">
        <v>4.0129999999999999</v>
      </c>
      <c r="D46" s="2">
        <v>3.9430000000000001</v>
      </c>
      <c r="E46" s="2">
        <v>3.7690000000000001</v>
      </c>
      <c r="F46" s="2">
        <v>3.6789999999999998</v>
      </c>
    </row>
    <row r="47" spans="1:6" x14ac:dyDescent="0.35">
      <c r="A47" t="s">
        <v>60</v>
      </c>
      <c r="B47" s="2">
        <v>4.2169999999999996</v>
      </c>
      <c r="C47" s="2">
        <v>4.0149999999999997</v>
      </c>
      <c r="D47" s="2">
        <v>3.9489999999999998</v>
      </c>
      <c r="E47" s="2">
        <v>3.7719999999999998</v>
      </c>
      <c r="F47" s="2">
        <v>3.6739999999999999</v>
      </c>
    </row>
    <row r="48" spans="1:6" x14ac:dyDescent="0.35">
      <c r="A48" t="s">
        <v>61</v>
      </c>
      <c r="B48" s="2">
        <v>4.2172000000000001</v>
      </c>
      <c r="C48" s="2">
        <v>4.016</v>
      </c>
      <c r="D48" s="2">
        <v>3.9529999999999998</v>
      </c>
      <c r="E48" s="2">
        <v>3.7829999999999999</v>
      </c>
      <c r="F48" s="2">
        <v>3.6869999999999998</v>
      </c>
    </row>
    <row r="49" spans="1:6" x14ac:dyDescent="0.35">
      <c r="A49" t="s">
        <v>62</v>
      </c>
      <c r="B49" s="2">
        <v>4.2171000000000003</v>
      </c>
      <c r="C49" s="2">
        <v>4.0119999999999996</v>
      </c>
      <c r="D49" s="2">
        <v>3.9359999999999999</v>
      </c>
      <c r="E49" s="2">
        <v>3.7629999999999999</v>
      </c>
      <c r="F49" s="2">
        <v>3.6619999999999999</v>
      </c>
    </row>
    <row r="50" spans="1:6" x14ac:dyDescent="0.35">
      <c r="A50" t="s">
        <v>63</v>
      </c>
      <c r="B50" s="2">
        <v>4.2176</v>
      </c>
      <c r="C50" s="2">
        <v>4.0069999999999997</v>
      </c>
      <c r="D50" s="2">
        <v>3.9350000000000001</v>
      </c>
      <c r="E50" s="2">
        <v>3.7629999999999999</v>
      </c>
      <c r="F50" s="2">
        <v>3.6720000000000002</v>
      </c>
    </row>
    <row r="51" spans="1:6" x14ac:dyDescent="0.35">
      <c r="A51" t="s">
        <v>64</v>
      </c>
      <c r="B51" s="2">
        <v>4.2171000000000003</v>
      </c>
      <c r="C51" s="2">
        <v>4.008</v>
      </c>
      <c r="D51" s="2">
        <v>3.9430000000000001</v>
      </c>
      <c r="E51" s="2">
        <v>3.774</v>
      </c>
      <c r="F51" s="2">
        <v>3.6909999999999998</v>
      </c>
    </row>
    <row r="52" spans="1:6" x14ac:dyDescent="0.35">
      <c r="A52" t="s">
        <v>65</v>
      </c>
      <c r="B52" s="2">
        <v>4.2172999999999998</v>
      </c>
      <c r="C52" s="2">
        <v>4.0039999999999996</v>
      </c>
      <c r="D52" s="2">
        <v>3.9359999999999999</v>
      </c>
      <c r="E52" s="2">
        <v>3.7650000000000001</v>
      </c>
      <c r="F52" s="2">
        <v>3.6819999999999999</v>
      </c>
    </row>
    <row r="53" spans="1:6" x14ac:dyDescent="0.35">
      <c r="A53" t="s">
        <v>66</v>
      </c>
      <c r="B53" s="2">
        <v>4.2172999999999998</v>
      </c>
      <c r="C53" s="2">
        <v>4.0060000000000002</v>
      </c>
      <c r="D53" s="2">
        <v>3.9380000000000002</v>
      </c>
      <c r="E53" s="2">
        <v>3.7629999999999999</v>
      </c>
      <c r="F53" s="2">
        <v>3.6749999999999998</v>
      </c>
    </row>
    <row r="54" spans="1:6" x14ac:dyDescent="0.35">
      <c r="A54" t="s">
        <v>67</v>
      </c>
      <c r="B54" s="2">
        <v>4.2169999999999996</v>
      </c>
      <c r="C54" s="2">
        <v>4.0039999999999996</v>
      </c>
      <c r="D54" s="2">
        <v>3.9420000000000002</v>
      </c>
      <c r="E54" s="2">
        <v>3.7709999999999999</v>
      </c>
      <c r="F54" s="2">
        <v>3.6850000000000001</v>
      </c>
    </row>
    <row r="55" spans="1:6" x14ac:dyDescent="0.35">
      <c r="A55" t="s">
        <v>68</v>
      </c>
      <c r="B55" s="2">
        <v>4.2169999999999996</v>
      </c>
      <c r="C55" s="2">
        <v>4.01</v>
      </c>
      <c r="D55" s="2">
        <v>3.95</v>
      </c>
      <c r="E55" s="2">
        <v>3.7829999999999999</v>
      </c>
      <c r="F55" s="2">
        <v>3.7010000000000001</v>
      </c>
    </row>
    <row r="56" spans="1:6" x14ac:dyDescent="0.35">
      <c r="A56" t="s">
        <v>69</v>
      </c>
      <c r="B56" s="2">
        <v>4.2168999999999999</v>
      </c>
      <c r="C56" s="2">
        <v>4.008</v>
      </c>
      <c r="D56" s="2">
        <v>3.9510000000000001</v>
      </c>
      <c r="E56" s="2">
        <v>3.7839999999999998</v>
      </c>
      <c r="F56" s="2">
        <v>3.7029999999999998</v>
      </c>
    </row>
    <row r="57" spans="1:6" x14ac:dyDescent="0.35">
      <c r="A57" t="s">
        <v>70</v>
      </c>
      <c r="B57" s="2">
        <v>4.2175000000000002</v>
      </c>
      <c r="C57" s="2">
        <v>4.0060000000000002</v>
      </c>
      <c r="D57" s="2">
        <v>3.948</v>
      </c>
      <c r="E57" s="2">
        <v>3.78</v>
      </c>
      <c r="F57" s="2">
        <v>3.6989999999999998</v>
      </c>
    </row>
    <row r="58" spans="1:6" x14ac:dyDescent="0.35">
      <c r="A58" t="s">
        <v>71</v>
      </c>
      <c r="B58" s="2">
        <v>4.2172000000000001</v>
      </c>
      <c r="C58" s="2">
        <v>4.008</v>
      </c>
      <c r="D58" s="2">
        <v>3.95</v>
      </c>
      <c r="E58" s="2">
        <v>3.7850000000000001</v>
      </c>
      <c r="F58" s="2">
        <v>3.7050000000000001</v>
      </c>
    </row>
    <row r="59" spans="1:6" x14ac:dyDescent="0.35">
      <c r="A59" t="s">
        <v>72</v>
      </c>
      <c r="B59" s="2">
        <v>4.2171000000000003</v>
      </c>
      <c r="C59" s="2">
        <v>3.992</v>
      </c>
      <c r="D59" s="2">
        <v>3.9209999999999998</v>
      </c>
      <c r="E59" s="2">
        <v>3.742</v>
      </c>
      <c r="F59" s="2">
        <v>3.6560000000000001</v>
      </c>
    </row>
    <row r="60" spans="1:6" x14ac:dyDescent="0.35">
      <c r="A60" t="s">
        <v>73</v>
      </c>
      <c r="B60" s="2">
        <v>4.2172000000000001</v>
      </c>
      <c r="C60" s="2">
        <v>4.0010000000000003</v>
      </c>
      <c r="D60" s="2">
        <v>3.93</v>
      </c>
      <c r="E60" s="2">
        <v>3.7629999999999999</v>
      </c>
      <c r="F60" s="2">
        <v>3.6760000000000002</v>
      </c>
    </row>
    <row r="61" spans="1:6" x14ac:dyDescent="0.35">
      <c r="A61" t="s">
        <v>74</v>
      </c>
      <c r="B61" s="2">
        <v>4.2169999999999996</v>
      </c>
      <c r="C61" s="2">
        <v>4.008</v>
      </c>
      <c r="D61" s="2">
        <v>3.9580000000000002</v>
      </c>
      <c r="E61" s="2">
        <v>3.79</v>
      </c>
      <c r="F61" s="2">
        <v>3.702</v>
      </c>
    </row>
    <row r="62" spans="1:6" x14ac:dyDescent="0.35">
      <c r="A62" t="s">
        <v>75</v>
      </c>
      <c r="B62" s="2">
        <v>4.2175000000000002</v>
      </c>
      <c r="C62" s="2">
        <v>4.0049999999999999</v>
      </c>
      <c r="D62" s="2">
        <v>3.9710000000000001</v>
      </c>
      <c r="E62" s="2">
        <v>3.8159999999999998</v>
      </c>
      <c r="F62" s="2">
        <v>3.7549999999999999</v>
      </c>
    </row>
    <row r="63" spans="1:6" x14ac:dyDescent="0.35">
      <c r="A63" t="s">
        <v>76</v>
      </c>
      <c r="B63" s="2">
        <v>4.2173999999999996</v>
      </c>
      <c r="C63" s="2">
        <v>4.0010000000000003</v>
      </c>
      <c r="D63" s="2">
        <v>3.9660000000000002</v>
      </c>
      <c r="E63" s="2">
        <v>3.8109999999999999</v>
      </c>
      <c r="F63" s="2">
        <v>3.746</v>
      </c>
    </row>
    <row r="64" spans="1:6" x14ac:dyDescent="0.35">
      <c r="A64" t="s">
        <v>77</v>
      </c>
      <c r="B64" s="2">
        <v>4.2168000000000001</v>
      </c>
      <c r="C64" s="2">
        <v>3.9950000000000001</v>
      </c>
      <c r="D64" s="2">
        <v>3.9620000000000002</v>
      </c>
      <c r="E64" s="2">
        <v>3.8109999999999999</v>
      </c>
      <c r="F64" s="2">
        <v>3.7429999999999999</v>
      </c>
    </row>
    <row r="65" spans="1:6" x14ac:dyDescent="0.35">
      <c r="A65" t="s">
        <v>78</v>
      </c>
      <c r="B65" s="2">
        <v>4.2172000000000001</v>
      </c>
      <c r="C65" s="2">
        <v>3.9929999999999999</v>
      </c>
      <c r="D65" s="2">
        <v>3.952</v>
      </c>
      <c r="E65" s="2">
        <v>3.7919999999999998</v>
      </c>
      <c r="F65" s="2">
        <v>3.722</v>
      </c>
    </row>
    <row r="66" spans="1:6" x14ac:dyDescent="0.35">
      <c r="A66" t="s">
        <v>79</v>
      </c>
      <c r="B66" s="2">
        <v>4.2172000000000001</v>
      </c>
      <c r="C66" s="2">
        <v>3.9910000000000001</v>
      </c>
      <c r="D66" s="2">
        <v>3.9540000000000002</v>
      </c>
      <c r="E66" s="2">
        <v>3.802</v>
      </c>
      <c r="F66" s="2">
        <v>3.738</v>
      </c>
    </row>
    <row r="67" spans="1:6" x14ac:dyDescent="0.35">
      <c r="A67" t="s">
        <v>80</v>
      </c>
      <c r="B67" s="2">
        <v>4.2173999999999996</v>
      </c>
      <c r="C67" s="2">
        <v>3.992</v>
      </c>
      <c r="D67" s="2">
        <v>3.9529999999999998</v>
      </c>
      <c r="E67" s="2">
        <v>3.7970000000000002</v>
      </c>
      <c r="F67" s="2">
        <v>3.7330000000000001</v>
      </c>
    </row>
    <row r="68" spans="1:6" x14ac:dyDescent="0.35">
      <c r="A68" t="s">
        <v>81</v>
      </c>
      <c r="B68" s="2">
        <v>4.2173999999999996</v>
      </c>
      <c r="C68" s="2">
        <v>3.992</v>
      </c>
      <c r="D68" s="2">
        <v>3.9620000000000002</v>
      </c>
      <c r="E68" s="2">
        <v>3.8109999999999999</v>
      </c>
      <c r="F68" s="2">
        <v>3.758</v>
      </c>
    </row>
    <row r="69" spans="1:6" x14ac:dyDescent="0.35">
      <c r="A69" t="s">
        <v>82</v>
      </c>
      <c r="B69" s="2">
        <v>4.2171000000000003</v>
      </c>
      <c r="C69" s="2">
        <v>3.9910000000000001</v>
      </c>
      <c r="D69" s="2">
        <v>3.96</v>
      </c>
      <c r="E69" s="2">
        <v>3.8069999999999999</v>
      </c>
      <c r="F69" s="2">
        <v>3.7589999999999999</v>
      </c>
    </row>
    <row r="70" spans="1:6" x14ac:dyDescent="0.35">
      <c r="A70" t="s">
        <v>83</v>
      </c>
      <c r="B70" s="2">
        <v>4.2171000000000003</v>
      </c>
      <c r="C70" s="2">
        <v>3.9940000000000002</v>
      </c>
      <c r="D70" s="2">
        <v>3.9630000000000001</v>
      </c>
      <c r="E70" s="2">
        <v>3.8119999999999998</v>
      </c>
      <c r="F70" s="2">
        <v>3.7549999999999999</v>
      </c>
    </row>
    <row r="71" spans="1:6" x14ac:dyDescent="0.35">
      <c r="A71" t="s">
        <v>84</v>
      </c>
      <c r="B71" s="2">
        <v>4.2171000000000003</v>
      </c>
      <c r="C71" s="2">
        <v>3.9929999999999999</v>
      </c>
      <c r="D71" s="2">
        <v>3.9620000000000002</v>
      </c>
      <c r="E71" s="2">
        <v>3.8140000000000001</v>
      </c>
      <c r="F71" s="2">
        <v>3.7610000000000001</v>
      </c>
    </row>
    <row r="72" spans="1:6" x14ac:dyDescent="0.35">
      <c r="A72" t="s">
        <v>85</v>
      </c>
      <c r="B72" s="2">
        <v>4.2169999999999996</v>
      </c>
      <c r="C72" s="2">
        <v>3.9910000000000001</v>
      </c>
      <c r="D72" s="2">
        <v>3.9620000000000002</v>
      </c>
      <c r="E72" s="2">
        <v>3.8119999999999998</v>
      </c>
      <c r="F72" s="2">
        <v>3.7549999999999999</v>
      </c>
    </row>
    <row r="73" spans="1:6" x14ac:dyDescent="0.35">
      <c r="A73" t="s">
        <v>86</v>
      </c>
      <c r="B73" s="2">
        <v>4.2176</v>
      </c>
      <c r="C73" s="2">
        <v>3.984</v>
      </c>
      <c r="D73" s="2">
        <v>3.94</v>
      </c>
      <c r="E73" s="2">
        <v>3.77</v>
      </c>
      <c r="F73" s="2">
        <v>3.6909999999999998</v>
      </c>
    </row>
    <row r="74" spans="1:6" x14ac:dyDescent="0.35">
      <c r="A74" t="s">
        <v>87</v>
      </c>
      <c r="B74" s="2">
        <v>4.2168999999999999</v>
      </c>
      <c r="C74" s="2">
        <v>3.9830000000000001</v>
      </c>
      <c r="D74" s="2">
        <v>3.9449999999999998</v>
      </c>
      <c r="E74" s="2">
        <v>3.786</v>
      </c>
      <c r="F74" s="2">
        <v>3.7160000000000002</v>
      </c>
    </row>
    <row r="75" spans="1:6" x14ac:dyDescent="0.35">
      <c r="A75" t="s">
        <v>88</v>
      </c>
      <c r="B75" s="2">
        <v>4.2168000000000001</v>
      </c>
      <c r="C75" s="2">
        <v>3.984</v>
      </c>
      <c r="D75" s="2">
        <v>3.95</v>
      </c>
      <c r="E75" s="2">
        <v>3.802</v>
      </c>
      <c r="F75" s="2">
        <v>3.7349999999999999</v>
      </c>
    </row>
    <row r="76" spans="1:6" x14ac:dyDescent="0.35">
      <c r="A76" t="s">
        <v>89</v>
      </c>
      <c r="B76" s="2">
        <v>4.2169999999999996</v>
      </c>
      <c r="C76" s="2">
        <v>3.9849999999999999</v>
      </c>
      <c r="D76" s="2">
        <v>3.9449999999999998</v>
      </c>
      <c r="E76" s="2">
        <v>3.7949999999999999</v>
      </c>
      <c r="F76" s="2">
        <v>3.7290000000000001</v>
      </c>
    </row>
    <row r="77" spans="1:6" x14ac:dyDescent="0.35">
      <c r="A77" t="s">
        <v>90</v>
      </c>
      <c r="B77" s="2">
        <v>3.9676</v>
      </c>
      <c r="C77" s="2">
        <v>3.976</v>
      </c>
      <c r="D77" s="2">
        <v>3.964</v>
      </c>
      <c r="E77" s="2">
        <v>3.8460000000000001</v>
      </c>
      <c r="F77" s="2">
        <v>3.786</v>
      </c>
    </row>
    <row r="78" spans="1:6" x14ac:dyDescent="0.35">
      <c r="A78" t="s">
        <v>91</v>
      </c>
      <c r="B78" s="2">
        <v>3.9672000000000001</v>
      </c>
      <c r="C78" s="2">
        <v>3.9689999999999999</v>
      </c>
      <c r="D78" s="2">
        <v>3.863</v>
      </c>
      <c r="E78" s="2">
        <v>3.8039999999999998</v>
      </c>
      <c r="F78" s="2">
        <v>3.7050000000000001</v>
      </c>
    </row>
    <row r="79" spans="1:6" x14ac:dyDescent="0.35">
      <c r="A79" t="s">
        <v>92</v>
      </c>
      <c r="B79" s="2">
        <v>3.9668999999999999</v>
      </c>
      <c r="C79" s="2">
        <v>3.9590000000000001</v>
      </c>
      <c r="D79" s="2">
        <v>3.8460000000000001</v>
      </c>
      <c r="E79" s="2">
        <v>3.782</v>
      </c>
      <c r="F79" s="2">
        <v>3.6789999999999998</v>
      </c>
    </row>
    <row r="80" spans="1:6" x14ac:dyDescent="0.35">
      <c r="A80" t="s">
        <v>93</v>
      </c>
      <c r="B80" s="2">
        <v>3.9670000000000001</v>
      </c>
      <c r="C80" s="2">
        <v>3.9670000000000001</v>
      </c>
      <c r="D80" s="2">
        <v>3.8639999999999999</v>
      </c>
      <c r="E80" s="2">
        <v>3.8069999999999999</v>
      </c>
      <c r="F80" s="2">
        <v>3.7040000000000002</v>
      </c>
    </row>
    <row r="81" spans="1:6" x14ac:dyDescent="0.35">
      <c r="A81" t="s">
        <v>94</v>
      </c>
      <c r="B81" s="2">
        <v>3.9672000000000001</v>
      </c>
      <c r="C81" s="2">
        <v>3.9710000000000001</v>
      </c>
      <c r="D81" s="2">
        <v>3.8679999999999999</v>
      </c>
      <c r="E81" s="2">
        <v>3.806</v>
      </c>
      <c r="F81" s="2">
        <v>3.6970000000000001</v>
      </c>
    </row>
    <row r="82" spans="1:6" x14ac:dyDescent="0.35">
      <c r="A82" t="s">
        <v>95</v>
      </c>
      <c r="B82" s="2">
        <v>3.9674</v>
      </c>
      <c r="C82" s="2">
        <v>3.972</v>
      </c>
      <c r="D82" s="2">
        <v>3.883</v>
      </c>
      <c r="E82" s="2">
        <v>3.8250000000000002</v>
      </c>
      <c r="F82" s="2">
        <v>3.72</v>
      </c>
    </row>
    <row r="83" spans="1:6" x14ac:dyDescent="0.35">
      <c r="A83" t="s">
        <v>96</v>
      </c>
      <c r="B83" s="2">
        <v>3.9670999999999998</v>
      </c>
      <c r="C83" s="2">
        <v>3.9740000000000002</v>
      </c>
      <c r="D83" s="2">
        <v>3.89</v>
      </c>
      <c r="E83" s="2">
        <v>3.8359999999999999</v>
      </c>
      <c r="F83" s="2">
        <v>3.7309999999999999</v>
      </c>
    </row>
    <row r="84" spans="1:6" x14ac:dyDescent="0.35">
      <c r="A84" t="s">
        <v>97</v>
      </c>
      <c r="B84" s="2">
        <v>3.9668999999999999</v>
      </c>
      <c r="C84" s="2">
        <v>3.9710000000000001</v>
      </c>
      <c r="D84" s="2">
        <v>3.895</v>
      </c>
      <c r="E84" s="2">
        <v>3.8439999999999999</v>
      </c>
      <c r="F84" s="2">
        <v>3.7450000000000001</v>
      </c>
    </row>
    <row r="85" spans="1:6" x14ac:dyDescent="0.35">
      <c r="A85" t="s">
        <v>98</v>
      </c>
      <c r="B85" s="2">
        <v>3.9670999999999998</v>
      </c>
      <c r="C85" s="2">
        <v>3.9710000000000001</v>
      </c>
      <c r="D85" s="2">
        <v>3.8929999999999998</v>
      </c>
      <c r="E85" s="2">
        <v>3.85</v>
      </c>
      <c r="F85" s="2">
        <v>3.7530000000000001</v>
      </c>
    </row>
    <row r="86" spans="1:6" x14ac:dyDescent="0.35">
      <c r="A86" t="s">
        <v>99</v>
      </c>
      <c r="B86" s="2">
        <v>3.9672999999999998</v>
      </c>
      <c r="C86" s="2">
        <v>3.972</v>
      </c>
      <c r="D86" s="2">
        <v>3.8980000000000001</v>
      </c>
      <c r="E86" s="2">
        <v>3.8460000000000001</v>
      </c>
      <c r="F86" s="2">
        <v>3.7440000000000002</v>
      </c>
    </row>
    <row r="87" spans="1:6" x14ac:dyDescent="0.35">
      <c r="A87" t="s">
        <v>100</v>
      </c>
      <c r="B87" s="2">
        <v>3.9674999999999998</v>
      </c>
      <c r="C87" s="2">
        <v>3.9740000000000002</v>
      </c>
      <c r="D87" s="2">
        <v>3.92</v>
      </c>
      <c r="E87" s="2">
        <v>3.8759999999999999</v>
      </c>
      <c r="F87" s="2">
        <v>3.7839999999999998</v>
      </c>
    </row>
    <row r="88" spans="1:6" x14ac:dyDescent="0.35">
      <c r="A88" t="s">
        <v>101</v>
      </c>
      <c r="B88" s="2">
        <v>3.9670999999999998</v>
      </c>
      <c r="C88" s="2">
        <v>3.9729999999999999</v>
      </c>
      <c r="D88" s="2">
        <v>3.9140000000000001</v>
      </c>
      <c r="E88" s="2">
        <v>3.8660000000000001</v>
      </c>
      <c r="F88" s="2">
        <v>3.7690000000000001</v>
      </c>
    </row>
    <row r="89" spans="1:6" x14ac:dyDescent="0.35">
      <c r="A89" t="s">
        <v>102</v>
      </c>
      <c r="B89" s="2" t="e">
        <v>#N/A</v>
      </c>
      <c r="C89" s="2">
        <v>3.9750000000000001</v>
      </c>
      <c r="D89" s="2">
        <v>3.9140000000000001</v>
      </c>
      <c r="E89" s="2">
        <v>3.863</v>
      </c>
      <c r="F89" s="2">
        <v>3.7639999999999998</v>
      </c>
    </row>
    <row r="90" spans="1:6" x14ac:dyDescent="0.35">
      <c r="A90" t="s">
        <v>103</v>
      </c>
      <c r="B90" s="2">
        <v>3.9674</v>
      </c>
      <c r="C90" s="2">
        <v>3.9750000000000001</v>
      </c>
      <c r="D90" s="2">
        <v>3.9180000000000001</v>
      </c>
      <c r="E90" s="2">
        <v>3.87</v>
      </c>
      <c r="F90" s="2">
        <v>3.7749999999999999</v>
      </c>
    </row>
    <row r="91" spans="1:6" x14ac:dyDescent="0.35">
      <c r="A91" t="s">
        <v>104</v>
      </c>
      <c r="B91" s="2">
        <v>3.9674999999999998</v>
      </c>
      <c r="C91" s="2">
        <v>3.9769999999999999</v>
      </c>
      <c r="D91" s="2">
        <v>3.9239999999999999</v>
      </c>
      <c r="E91" s="2">
        <v>3.879</v>
      </c>
      <c r="F91" s="2">
        <v>3.7839999999999998</v>
      </c>
    </row>
    <row r="92" spans="1:6" x14ac:dyDescent="0.35">
      <c r="A92" t="s">
        <v>105</v>
      </c>
      <c r="B92" s="2">
        <v>3.9674999999999998</v>
      </c>
      <c r="C92" s="2">
        <v>3.9740000000000002</v>
      </c>
      <c r="D92" s="2">
        <v>3.9239999999999999</v>
      </c>
      <c r="E92" s="2">
        <v>3.8719999999999999</v>
      </c>
      <c r="F92" s="2">
        <v>3.7730000000000001</v>
      </c>
    </row>
    <row r="93" spans="1:6" x14ac:dyDescent="0.35">
      <c r="A93" t="s">
        <v>106</v>
      </c>
      <c r="B93" s="2">
        <v>3.9664999999999999</v>
      </c>
      <c r="C93" s="2">
        <v>3.9740000000000002</v>
      </c>
      <c r="D93" s="2">
        <v>3.9279999999999999</v>
      </c>
      <c r="E93" s="2">
        <v>3.8740000000000001</v>
      </c>
      <c r="F93" s="2">
        <v>3.778</v>
      </c>
    </row>
    <row r="94" spans="1:6" x14ac:dyDescent="0.35">
      <c r="A94" t="s">
        <v>107</v>
      </c>
      <c r="B94" s="2">
        <v>3.9668999999999999</v>
      </c>
      <c r="C94" s="2">
        <v>3.9740000000000002</v>
      </c>
      <c r="D94" s="2">
        <v>3.9249999999999998</v>
      </c>
      <c r="E94" s="2">
        <v>3.8740000000000001</v>
      </c>
      <c r="F94" s="2">
        <v>3.7789999999999999</v>
      </c>
    </row>
    <row r="95" spans="1:6" x14ac:dyDescent="0.35">
      <c r="A95" t="s">
        <v>108</v>
      </c>
      <c r="B95" s="2">
        <v>3.9668999999999999</v>
      </c>
      <c r="C95" s="2">
        <v>3.9729999999999999</v>
      </c>
      <c r="D95" s="2">
        <v>3.927</v>
      </c>
      <c r="E95" s="2">
        <v>3.883</v>
      </c>
      <c r="F95" s="2">
        <v>3.7919999999999998</v>
      </c>
    </row>
    <row r="96" spans="1:6" x14ac:dyDescent="0.35">
      <c r="A96" t="s">
        <v>109</v>
      </c>
      <c r="B96" s="2">
        <v>3.9670000000000001</v>
      </c>
      <c r="C96" s="2">
        <v>3.9740000000000002</v>
      </c>
      <c r="D96" s="2">
        <v>3.9239999999999999</v>
      </c>
      <c r="E96" s="2">
        <v>3.8769999999999998</v>
      </c>
      <c r="F96" s="2">
        <v>3.7810000000000001</v>
      </c>
    </row>
    <row r="97" spans="1:6" x14ac:dyDescent="0.35">
      <c r="A97" t="s">
        <v>110</v>
      </c>
      <c r="B97" s="2">
        <v>3.9670999999999998</v>
      </c>
      <c r="C97" s="2">
        <v>3.9729999999999999</v>
      </c>
      <c r="D97" s="2">
        <v>3.927</v>
      </c>
      <c r="E97" s="2">
        <v>3.871</v>
      </c>
      <c r="F97" s="2">
        <v>3.77</v>
      </c>
    </row>
    <row r="98" spans="1:6" x14ac:dyDescent="0.35">
      <c r="A98" t="s">
        <v>111</v>
      </c>
      <c r="B98" s="2">
        <v>3.9668999999999999</v>
      </c>
      <c r="C98" s="2">
        <v>3.9710000000000001</v>
      </c>
      <c r="D98" s="2">
        <v>3.9169999999999998</v>
      </c>
      <c r="E98" s="2">
        <v>3.8570000000000002</v>
      </c>
      <c r="F98" s="2">
        <v>3.7440000000000002</v>
      </c>
    </row>
    <row r="99" spans="1:6" x14ac:dyDescent="0.35">
      <c r="A99" t="s">
        <v>112</v>
      </c>
      <c r="B99" s="2">
        <v>3.9670000000000001</v>
      </c>
      <c r="C99" s="2">
        <v>3.9750000000000001</v>
      </c>
      <c r="D99" s="2">
        <v>3.9159999999999999</v>
      </c>
      <c r="E99" s="2">
        <v>3.859</v>
      </c>
      <c r="F99" s="2">
        <v>3.7429999999999999</v>
      </c>
    </row>
    <row r="100" spans="1:6" x14ac:dyDescent="0.35">
      <c r="A100" t="s">
        <v>113</v>
      </c>
      <c r="B100" s="2">
        <v>3.9670000000000001</v>
      </c>
      <c r="C100" s="2">
        <v>3.9740000000000002</v>
      </c>
      <c r="D100" s="2">
        <v>3.9159999999999999</v>
      </c>
      <c r="E100" s="2">
        <v>3.8639999999999999</v>
      </c>
      <c r="F100" s="2">
        <v>3.7519999999999998</v>
      </c>
    </row>
    <row r="101" spans="1:6" x14ac:dyDescent="0.35">
      <c r="A101" t="s">
        <v>114</v>
      </c>
      <c r="B101" s="2">
        <v>3.9670000000000001</v>
      </c>
      <c r="C101" s="2">
        <v>3.9729999999999999</v>
      </c>
      <c r="D101" s="2">
        <v>3.92</v>
      </c>
      <c r="E101" s="2">
        <v>3.87</v>
      </c>
      <c r="F101" s="2">
        <v>3.7629999999999999</v>
      </c>
    </row>
    <row r="102" spans="1:6" x14ac:dyDescent="0.35">
      <c r="A102" t="s">
        <v>115</v>
      </c>
      <c r="B102" s="2">
        <v>3.9670000000000001</v>
      </c>
      <c r="C102" s="2">
        <v>3.9740000000000002</v>
      </c>
      <c r="D102" s="2">
        <v>3.92</v>
      </c>
      <c r="E102" s="2">
        <v>3.8660000000000001</v>
      </c>
      <c r="F102" s="2">
        <v>3.7570000000000001</v>
      </c>
    </row>
    <row r="103" spans="1:6" x14ac:dyDescent="0.35">
      <c r="A103" t="s">
        <v>116</v>
      </c>
      <c r="B103" s="2">
        <v>3.9672000000000001</v>
      </c>
      <c r="C103" s="2">
        <v>3.976</v>
      </c>
      <c r="D103" s="2">
        <v>3.94</v>
      </c>
      <c r="E103" s="2">
        <v>3.891</v>
      </c>
      <c r="F103" s="2">
        <v>3.7789999999999999</v>
      </c>
    </row>
    <row r="104" spans="1:6" x14ac:dyDescent="0.35">
      <c r="A104" t="s">
        <v>117</v>
      </c>
      <c r="B104" s="2">
        <v>3.9676</v>
      </c>
      <c r="C104" s="2">
        <v>3.972</v>
      </c>
      <c r="D104" s="2">
        <v>3.9289999999999998</v>
      </c>
      <c r="E104" s="2">
        <v>3.8839999999999999</v>
      </c>
      <c r="F104" s="2">
        <v>3.7749999999999999</v>
      </c>
    </row>
    <row r="105" spans="1:6" x14ac:dyDescent="0.35">
      <c r="A105" t="s">
        <v>118</v>
      </c>
      <c r="B105" s="2">
        <v>3.9672999999999998</v>
      </c>
      <c r="C105" s="2">
        <v>3.976</v>
      </c>
      <c r="D105" s="2">
        <v>3.931</v>
      </c>
      <c r="E105" s="2">
        <v>3.8889999999999998</v>
      </c>
      <c r="F105" s="2">
        <v>3.7839999999999998</v>
      </c>
    </row>
    <row r="106" spans="1:6" x14ac:dyDescent="0.35">
      <c r="A106" t="s">
        <v>119</v>
      </c>
      <c r="B106" s="2">
        <v>3.9674</v>
      </c>
      <c r="C106" s="2">
        <v>3.9780000000000002</v>
      </c>
      <c r="D106" s="2">
        <v>3.9409999999999998</v>
      </c>
      <c r="E106" s="2">
        <v>3.9</v>
      </c>
      <c r="F106" s="2">
        <v>3.7970000000000002</v>
      </c>
    </row>
    <row r="107" spans="1:6" x14ac:dyDescent="0.35">
      <c r="A107" t="s">
        <v>120</v>
      </c>
      <c r="B107" s="2">
        <v>3.9674</v>
      </c>
      <c r="C107" s="2">
        <v>3.9780000000000002</v>
      </c>
      <c r="D107" s="2">
        <v>3.944</v>
      </c>
      <c r="E107" s="2">
        <v>3.9009999999999998</v>
      </c>
      <c r="F107" s="2">
        <v>3.7959999999999998</v>
      </c>
    </row>
    <row r="108" spans="1:6" x14ac:dyDescent="0.35">
      <c r="A108" t="s">
        <v>121</v>
      </c>
      <c r="B108" s="2">
        <v>3.9672999999999998</v>
      </c>
      <c r="C108" s="2">
        <v>3.9540000000000002</v>
      </c>
      <c r="D108" s="2">
        <v>3.907</v>
      </c>
      <c r="E108" s="2">
        <v>3.8</v>
      </c>
      <c r="F108" s="2">
        <v>3.7650000000000001</v>
      </c>
    </row>
    <row r="109" spans="1:6" x14ac:dyDescent="0.35">
      <c r="A109" t="s">
        <v>122</v>
      </c>
      <c r="B109" s="2">
        <v>3.9670999999999998</v>
      </c>
      <c r="C109" s="2">
        <v>3.9540000000000002</v>
      </c>
      <c r="D109" s="2">
        <v>3.907</v>
      </c>
      <c r="E109" s="2">
        <v>3.8010000000000002</v>
      </c>
      <c r="F109" s="2">
        <v>3.7669999999999999</v>
      </c>
    </row>
    <row r="110" spans="1:6" x14ac:dyDescent="0.35">
      <c r="A110" t="s">
        <v>123</v>
      </c>
      <c r="B110" s="2">
        <v>3.9678</v>
      </c>
      <c r="C110" s="2">
        <v>3.9510000000000001</v>
      </c>
      <c r="D110" s="2">
        <v>3.9060000000000001</v>
      </c>
      <c r="E110" s="2">
        <v>3.7909999999999999</v>
      </c>
      <c r="F110" s="2">
        <v>3.7509999999999999</v>
      </c>
    </row>
    <row r="111" spans="1:6" x14ac:dyDescent="0.35">
      <c r="A111" t="s">
        <v>124</v>
      </c>
      <c r="B111" s="2">
        <v>3.9676999999999998</v>
      </c>
      <c r="C111" s="2">
        <v>3.9510000000000001</v>
      </c>
      <c r="D111" s="2">
        <v>3.907</v>
      </c>
      <c r="E111" s="2">
        <v>3.7890000000000001</v>
      </c>
      <c r="F111" s="2">
        <v>3.7480000000000002</v>
      </c>
    </row>
    <row r="112" spans="1:6" x14ac:dyDescent="0.35">
      <c r="A112" t="s">
        <v>125</v>
      </c>
      <c r="B112" s="2">
        <v>3.9674999999999998</v>
      </c>
      <c r="C112" s="2">
        <v>3.956</v>
      </c>
      <c r="D112" s="2">
        <v>3.9180000000000001</v>
      </c>
      <c r="E112" s="2">
        <v>3.8079999999999998</v>
      </c>
      <c r="F112" s="2">
        <v>3.7789999999999999</v>
      </c>
    </row>
    <row r="113" spans="1:6" x14ac:dyDescent="0.35">
      <c r="A113" t="s">
        <v>126</v>
      </c>
      <c r="B113" s="2">
        <v>3.9668999999999999</v>
      </c>
      <c r="C113" s="2">
        <v>3.9590000000000001</v>
      </c>
      <c r="D113" s="2">
        <v>3.92</v>
      </c>
      <c r="E113" s="2">
        <v>3.8149999999999999</v>
      </c>
      <c r="F113" s="2">
        <v>3.7850000000000001</v>
      </c>
    </row>
    <row r="114" spans="1:6" x14ac:dyDescent="0.35">
      <c r="A114" t="s">
        <v>127</v>
      </c>
      <c r="B114" s="2">
        <v>3.9666999999999999</v>
      </c>
      <c r="C114" s="2">
        <v>3.9590000000000001</v>
      </c>
      <c r="D114" s="2">
        <v>3.92</v>
      </c>
      <c r="E114" s="2">
        <v>3.8130000000000002</v>
      </c>
      <c r="F114" s="2">
        <v>3.7810000000000001</v>
      </c>
    </row>
    <row r="115" spans="1:6" x14ac:dyDescent="0.35">
      <c r="A115" t="s">
        <v>128</v>
      </c>
      <c r="B115" s="2">
        <v>3.9670999999999998</v>
      </c>
      <c r="C115" s="2">
        <v>3.9550000000000001</v>
      </c>
      <c r="D115" s="2">
        <v>3.919</v>
      </c>
      <c r="E115" s="2">
        <v>3.8119999999999998</v>
      </c>
      <c r="F115" s="2">
        <v>3.778</v>
      </c>
    </row>
    <row r="116" spans="1:6" x14ac:dyDescent="0.35">
      <c r="A116" t="s">
        <v>129</v>
      </c>
      <c r="B116" s="2">
        <v>3.9674</v>
      </c>
      <c r="C116" s="2">
        <v>3.9529999999999998</v>
      </c>
      <c r="D116" s="2">
        <v>3.9119999999999999</v>
      </c>
      <c r="E116" s="2">
        <v>3.802</v>
      </c>
      <c r="F116" s="2">
        <v>3.7690000000000001</v>
      </c>
    </row>
    <row r="117" spans="1:6" x14ac:dyDescent="0.35">
      <c r="A117" t="s">
        <v>130</v>
      </c>
      <c r="B117" s="2">
        <v>3.9674</v>
      </c>
      <c r="C117" s="2">
        <v>3.9620000000000002</v>
      </c>
      <c r="D117" s="2">
        <v>3.9220000000000002</v>
      </c>
      <c r="E117" s="2">
        <v>3.8170000000000002</v>
      </c>
      <c r="F117" s="2">
        <v>3.7829999999999999</v>
      </c>
    </row>
    <row r="118" spans="1:6" x14ac:dyDescent="0.35">
      <c r="A118" t="s">
        <v>131</v>
      </c>
      <c r="B118" s="2">
        <v>3.9672000000000001</v>
      </c>
      <c r="C118" s="2">
        <v>3.9609999999999999</v>
      </c>
      <c r="D118" s="2">
        <v>3.9159999999999999</v>
      </c>
      <c r="E118" s="2">
        <v>3.8069999999999999</v>
      </c>
      <c r="F118" s="2">
        <v>3.7719999999999998</v>
      </c>
    </row>
    <row r="119" spans="1:6" x14ac:dyDescent="0.35">
      <c r="A119" t="s">
        <v>132</v>
      </c>
      <c r="B119" s="2">
        <v>3.9674</v>
      </c>
      <c r="C119" s="2">
        <v>3.96</v>
      </c>
      <c r="D119" s="2">
        <v>3.9159999999999999</v>
      </c>
      <c r="E119" s="2">
        <v>3.8109999999999999</v>
      </c>
      <c r="F119" s="2">
        <v>3.782</v>
      </c>
    </row>
    <row r="120" spans="1:6" x14ac:dyDescent="0.35">
      <c r="A120" t="s">
        <v>133</v>
      </c>
      <c r="B120" s="2">
        <v>3.9676</v>
      </c>
      <c r="C120" s="2">
        <v>3.9609999999999999</v>
      </c>
      <c r="D120" s="2">
        <v>3.92</v>
      </c>
      <c r="E120" s="2">
        <v>3.8149999999999999</v>
      </c>
      <c r="F120" s="2">
        <v>3.7850000000000001</v>
      </c>
    </row>
    <row r="121" spans="1:6" x14ac:dyDescent="0.35">
      <c r="A121" t="s">
        <v>134</v>
      </c>
      <c r="B121" s="2">
        <v>3.9676999999999998</v>
      </c>
      <c r="C121" s="2">
        <v>3.9590000000000001</v>
      </c>
      <c r="D121" s="2">
        <v>3.92</v>
      </c>
      <c r="E121" s="2">
        <v>3.8159999999999998</v>
      </c>
      <c r="F121" s="2">
        <v>3.7829999999999999</v>
      </c>
    </row>
    <row r="122" spans="1:6" x14ac:dyDescent="0.35">
      <c r="A122" t="s">
        <v>135</v>
      </c>
      <c r="B122" s="2">
        <v>3.9678</v>
      </c>
      <c r="C122" s="2">
        <v>3.9609999999999999</v>
      </c>
      <c r="D122" s="2">
        <v>3.9249999999999998</v>
      </c>
      <c r="E122" s="2">
        <v>3.823</v>
      </c>
      <c r="F122" s="2">
        <v>3.7930000000000001</v>
      </c>
    </row>
    <row r="123" spans="1:6" x14ac:dyDescent="0.35">
      <c r="A123" t="s">
        <v>136</v>
      </c>
      <c r="B123" s="2">
        <v>3.9678</v>
      </c>
      <c r="C123" s="2">
        <v>3.9620000000000002</v>
      </c>
      <c r="D123" s="2">
        <v>3.9180000000000001</v>
      </c>
      <c r="E123" s="2">
        <v>3.8119999999999998</v>
      </c>
      <c r="F123" s="2">
        <v>3.7749999999999999</v>
      </c>
    </row>
    <row r="124" spans="1:6" x14ac:dyDescent="0.35">
      <c r="A124" t="s">
        <v>137</v>
      </c>
      <c r="B124" s="2">
        <v>3.9672000000000001</v>
      </c>
      <c r="C124" s="2">
        <v>3.956</v>
      </c>
      <c r="D124" s="2">
        <v>3.91</v>
      </c>
      <c r="E124" s="2">
        <v>3.7989999999999999</v>
      </c>
      <c r="F124" s="2">
        <v>3.76</v>
      </c>
    </row>
    <row r="125" spans="1:6" x14ac:dyDescent="0.35">
      <c r="A125" t="s">
        <v>138</v>
      </c>
      <c r="B125" s="2">
        <v>3.9674</v>
      </c>
      <c r="C125" s="2">
        <v>3.9430000000000001</v>
      </c>
      <c r="D125" s="2">
        <v>3.883</v>
      </c>
      <c r="E125" s="2">
        <v>3.7549999999999999</v>
      </c>
      <c r="F125" s="2">
        <v>3.71</v>
      </c>
    </row>
    <row r="126" spans="1:6" x14ac:dyDescent="0.35">
      <c r="A126" t="s">
        <v>139</v>
      </c>
      <c r="B126" s="2">
        <v>3.9670999999999998</v>
      </c>
      <c r="C126" s="2">
        <v>3.9449999999999998</v>
      </c>
      <c r="D126" s="2">
        <v>3.8780000000000001</v>
      </c>
      <c r="E126" s="2">
        <v>3.7450000000000001</v>
      </c>
      <c r="F126" s="2">
        <v>3.7</v>
      </c>
    </row>
    <row r="127" spans="1:6" x14ac:dyDescent="0.35">
      <c r="A127" t="s">
        <v>140</v>
      </c>
      <c r="B127" s="2">
        <v>3.9676</v>
      </c>
      <c r="C127" s="2">
        <v>3.9449999999999998</v>
      </c>
      <c r="D127" s="2">
        <v>3.8660000000000001</v>
      </c>
      <c r="E127" s="2">
        <v>3.7229999999999999</v>
      </c>
      <c r="F127" s="2">
        <v>3.6669999999999998</v>
      </c>
    </row>
    <row r="128" spans="1:6" x14ac:dyDescent="0.35">
      <c r="A128" t="s">
        <v>141</v>
      </c>
      <c r="B128" s="2">
        <v>3.9681999999999999</v>
      </c>
      <c r="C128" s="2">
        <v>3.9460000000000002</v>
      </c>
      <c r="D128" s="2">
        <v>3.8740000000000001</v>
      </c>
      <c r="E128" s="2">
        <v>3.738</v>
      </c>
      <c r="F128" s="2">
        <v>3.6829999999999998</v>
      </c>
    </row>
    <row r="129" spans="1:6" x14ac:dyDescent="0.35">
      <c r="A129" t="s">
        <v>142</v>
      </c>
      <c r="B129" s="2">
        <v>3.9681999999999999</v>
      </c>
      <c r="C129" s="2">
        <v>3.9409999999999998</v>
      </c>
      <c r="D129" s="2">
        <v>3.87</v>
      </c>
      <c r="E129" s="2">
        <v>3.7330000000000001</v>
      </c>
      <c r="F129" s="2">
        <v>3.6789999999999998</v>
      </c>
    </row>
    <row r="130" spans="1:6" x14ac:dyDescent="0.35">
      <c r="A130" t="s">
        <v>143</v>
      </c>
      <c r="B130" s="2">
        <v>3.9687999999999999</v>
      </c>
      <c r="C130" s="2">
        <v>3.9430000000000001</v>
      </c>
      <c r="D130" s="2">
        <v>3.875</v>
      </c>
      <c r="E130" s="2">
        <v>3.74</v>
      </c>
      <c r="F130" s="2">
        <v>3.6890000000000001</v>
      </c>
    </row>
    <row r="131" spans="1:6" x14ac:dyDescent="0.35">
      <c r="A131" t="s">
        <v>144</v>
      </c>
      <c r="B131" s="2">
        <v>3.9687000000000001</v>
      </c>
      <c r="C131" s="2">
        <v>3.88</v>
      </c>
      <c r="D131" s="2">
        <v>3.7959999999999998</v>
      </c>
      <c r="E131" s="2">
        <v>3.649</v>
      </c>
      <c r="F131" s="2">
        <v>3.5870000000000002</v>
      </c>
    </row>
    <row r="132" spans="1:6" x14ac:dyDescent="0.35">
      <c r="A132" t="s">
        <v>145</v>
      </c>
      <c r="B132" s="2">
        <v>3.9691000000000001</v>
      </c>
      <c r="C132" s="2">
        <v>3.8919999999999999</v>
      </c>
      <c r="D132" s="2">
        <v>3.8010000000000002</v>
      </c>
      <c r="E132" s="2">
        <v>3.649</v>
      </c>
      <c r="F132" s="2">
        <v>3.5870000000000002</v>
      </c>
    </row>
    <row r="133" spans="1:6" x14ac:dyDescent="0.35">
      <c r="A133" t="s">
        <v>146</v>
      </c>
      <c r="B133" s="2">
        <v>3.9691000000000001</v>
      </c>
      <c r="C133" s="2">
        <v>3.9180000000000001</v>
      </c>
      <c r="D133" s="2">
        <v>3.819</v>
      </c>
      <c r="E133" s="2">
        <v>3.6619999999999999</v>
      </c>
      <c r="F133" s="2">
        <v>3.6040000000000001</v>
      </c>
    </row>
    <row r="134" spans="1:6" x14ac:dyDescent="0.35">
      <c r="A134" t="s">
        <v>147</v>
      </c>
      <c r="B134" s="2">
        <v>3.9693000000000001</v>
      </c>
      <c r="C134" s="2">
        <v>3.9140000000000001</v>
      </c>
      <c r="D134" s="2">
        <v>3.8210000000000002</v>
      </c>
      <c r="E134" s="2">
        <v>3.669</v>
      </c>
      <c r="F134" s="2">
        <v>3.6110000000000002</v>
      </c>
    </row>
    <row r="135" spans="1:6" x14ac:dyDescent="0.35">
      <c r="A135" t="s">
        <v>148</v>
      </c>
      <c r="B135" s="2">
        <v>3.9693999999999998</v>
      </c>
      <c r="C135" s="2">
        <v>3.9</v>
      </c>
      <c r="D135" s="2">
        <v>3.806</v>
      </c>
      <c r="E135" s="2">
        <v>3.653</v>
      </c>
      <c r="F135" s="2">
        <v>3.589</v>
      </c>
    </row>
    <row r="136" spans="1:6" x14ac:dyDescent="0.35">
      <c r="A136" t="s">
        <v>149</v>
      </c>
      <c r="B136" s="2">
        <v>3.9693000000000001</v>
      </c>
      <c r="C136" s="2">
        <v>3.9060000000000001</v>
      </c>
      <c r="D136" s="2">
        <v>3.8119999999999998</v>
      </c>
      <c r="E136" s="2">
        <v>3.657</v>
      </c>
      <c r="F136" s="2">
        <v>3.59</v>
      </c>
    </row>
    <row r="137" spans="1:6" x14ac:dyDescent="0.35">
      <c r="A137" t="s">
        <v>152</v>
      </c>
      <c r="B137" s="2">
        <v>3.9693000000000001</v>
      </c>
      <c r="C137" s="2">
        <v>3.9119999999999999</v>
      </c>
      <c r="D137" s="2">
        <v>3.82</v>
      </c>
      <c r="E137" s="2">
        <v>3.67</v>
      </c>
      <c r="F137" s="2">
        <v>3.609</v>
      </c>
    </row>
    <row r="138" spans="1:6" x14ac:dyDescent="0.35">
      <c r="A138" t="s">
        <v>153</v>
      </c>
      <c r="B138" s="2">
        <v>3.9689000000000001</v>
      </c>
      <c r="C138" s="2">
        <v>3.9049999999999998</v>
      </c>
      <c r="D138" s="2">
        <v>3.8090000000000002</v>
      </c>
      <c r="E138" s="2">
        <v>3.6589999999999998</v>
      </c>
      <c r="F138" s="2">
        <v>3.5960000000000001</v>
      </c>
    </row>
    <row r="139" spans="1:6" x14ac:dyDescent="0.35">
      <c r="A139" t="s">
        <v>154</v>
      </c>
      <c r="B139" s="2">
        <v>3.9693999999999998</v>
      </c>
      <c r="C139" s="2">
        <v>3.9039999999999999</v>
      </c>
      <c r="D139" s="2">
        <v>3.8109999999999999</v>
      </c>
      <c r="E139" s="2">
        <v>3.6739999999999999</v>
      </c>
      <c r="F139" s="2">
        <v>3.6150000000000002</v>
      </c>
    </row>
    <row r="140" spans="1:6" x14ac:dyDescent="0.35">
      <c r="A140" t="s">
        <v>155</v>
      </c>
      <c r="B140" s="2">
        <v>3.9693999999999998</v>
      </c>
      <c r="C140" s="2">
        <v>3.9</v>
      </c>
      <c r="D140" s="2">
        <v>3.802</v>
      </c>
      <c r="E140" s="2">
        <v>3.665</v>
      </c>
      <c r="F140" s="2">
        <v>3.6019999999999999</v>
      </c>
    </row>
    <row r="141" spans="1:6" x14ac:dyDescent="0.35">
      <c r="A141" t="s">
        <v>156</v>
      </c>
      <c r="B141" s="2">
        <v>3.9693999999999998</v>
      </c>
      <c r="C141" s="2">
        <v>3.9159999999999999</v>
      </c>
      <c r="D141" s="2">
        <v>3.8170000000000002</v>
      </c>
      <c r="E141" s="2">
        <v>3.6859999999999999</v>
      </c>
      <c r="F141" s="2">
        <v>3.633</v>
      </c>
    </row>
    <row r="142" spans="1:6" x14ac:dyDescent="0.35">
      <c r="A142" t="s">
        <v>157</v>
      </c>
      <c r="B142" s="2">
        <v>3.9693000000000001</v>
      </c>
      <c r="C142" s="2">
        <v>3.9790000000000001</v>
      </c>
      <c r="D142" s="2">
        <v>3.8010000000000002</v>
      </c>
      <c r="E142" s="2">
        <v>3.6930000000000001</v>
      </c>
      <c r="F142" s="2">
        <v>3.6230000000000002</v>
      </c>
    </row>
    <row r="143" spans="1:6" x14ac:dyDescent="0.35">
      <c r="A143" t="s">
        <v>158</v>
      </c>
      <c r="B143" s="2">
        <v>3.9697</v>
      </c>
      <c r="C143" s="2">
        <v>3.7989999999999999</v>
      </c>
      <c r="D143" s="2">
        <v>3.7050000000000001</v>
      </c>
      <c r="E143" s="2">
        <v>3.633</v>
      </c>
      <c r="F143" s="2">
        <v>3.5329999999999999</v>
      </c>
    </row>
    <row r="144" spans="1:6" x14ac:dyDescent="0.35">
      <c r="A144" t="s">
        <v>159</v>
      </c>
      <c r="B144" s="2">
        <v>3.9693999999999998</v>
      </c>
      <c r="C144" s="2">
        <v>3.7989999999999999</v>
      </c>
      <c r="D144" s="2">
        <v>3.7130000000000001</v>
      </c>
      <c r="E144" s="2">
        <v>3.637</v>
      </c>
      <c r="F144" s="2">
        <v>3.5329999999999999</v>
      </c>
    </row>
    <row r="145" spans="1:6" x14ac:dyDescent="0.35">
      <c r="A145" t="s">
        <v>160</v>
      </c>
      <c r="B145" s="2">
        <v>3.9693999999999998</v>
      </c>
      <c r="C145" s="2">
        <v>3.762</v>
      </c>
      <c r="D145" s="2">
        <v>3.657</v>
      </c>
      <c r="E145" s="2">
        <v>3.5649999999999999</v>
      </c>
      <c r="F145" s="2">
        <v>3.45</v>
      </c>
    </row>
    <row r="146" spans="1:6" x14ac:dyDescent="0.35">
      <c r="A146" t="s">
        <v>161</v>
      </c>
      <c r="B146" s="2">
        <v>3.9691999999999998</v>
      </c>
      <c r="C146" s="2">
        <v>3.7650000000000001</v>
      </c>
      <c r="D146" s="2">
        <v>3.6560000000000001</v>
      </c>
      <c r="E146" s="2">
        <v>3.5609999999999999</v>
      </c>
      <c r="F146" s="2">
        <v>3.448</v>
      </c>
    </row>
    <row r="147" spans="1:6" x14ac:dyDescent="0.35">
      <c r="A147" t="s">
        <v>162</v>
      </c>
      <c r="B147" s="2">
        <v>3.9698000000000002</v>
      </c>
      <c r="C147" s="2">
        <v>3.7679999999999998</v>
      </c>
      <c r="D147" s="2">
        <v>3.6709999999999998</v>
      </c>
      <c r="E147" s="2">
        <v>3.5739999999999998</v>
      </c>
      <c r="F147" s="2">
        <v>3.4689999999999999</v>
      </c>
    </row>
    <row r="148" spans="1:6" x14ac:dyDescent="0.35">
      <c r="A148" t="s">
        <v>163</v>
      </c>
      <c r="B148" s="2">
        <v>3.9693999999999998</v>
      </c>
      <c r="C148" s="2">
        <v>3.782</v>
      </c>
      <c r="D148" s="2">
        <v>3.6960000000000002</v>
      </c>
      <c r="E148" s="2">
        <v>3.6219999999999999</v>
      </c>
      <c r="F148" s="2">
        <v>3.5310000000000001</v>
      </c>
    </row>
    <row r="149" spans="1:6" x14ac:dyDescent="0.35">
      <c r="A149" t="s">
        <v>164</v>
      </c>
      <c r="B149" s="2">
        <v>3.9691999999999998</v>
      </c>
      <c r="C149" s="2">
        <v>3.7869999999999999</v>
      </c>
      <c r="D149" s="2">
        <v>3.7029999999999998</v>
      </c>
      <c r="E149" s="2">
        <v>3.6269999999999998</v>
      </c>
      <c r="F149" s="2">
        <v>3.5289999999999999</v>
      </c>
    </row>
    <row r="150" spans="1:6" x14ac:dyDescent="0.35">
      <c r="A150" t="s">
        <v>165</v>
      </c>
      <c r="B150" s="2">
        <v>3.9693999999999998</v>
      </c>
      <c r="C150" s="2">
        <v>3.78</v>
      </c>
      <c r="D150" s="2">
        <v>3.694</v>
      </c>
      <c r="E150" s="2">
        <v>3.6150000000000002</v>
      </c>
      <c r="F150" s="2">
        <v>3.5110000000000001</v>
      </c>
    </row>
    <row r="151" spans="1:6" x14ac:dyDescent="0.35">
      <c r="A151" t="s">
        <v>166</v>
      </c>
      <c r="B151" s="2">
        <v>3.9693000000000001</v>
      </c>
      <c r="C151" s="2">
        <v>3.7629999999999999</v>
      </c>
      <c r="D151" s="2">
        <v>3.6949999999999998</v>
      </c>
      <c r="E151" s="2">
        <v>3.6179999999999999</v>
      </c>
      <c r="F151" s="2">
        <v>3.5259999999999998</v>
      </c>
    </row>
    <row r="152" spans="1:6" x14ac:dyDescent="0.35">
      <c r="A152" t="s">
        <v>167</v>
      </c>
      <c r="B152" s="2">
        <v>3.9689999999999999</v>
      </c>
      <c r="C152" s="2">
        <v>3.7639999999999998</v>
      </c>
      <c r="D152" s="2">
        <v>3.6930000000000001</v>
      </c>
      <c r="E152" s="2">
        <v>3.6070000000000002</v>
      </c>
      <c r="F152" s="2">
        <v>3.5070000000000001</v>
      </c>
    </row>
    <row r="153" spans="1:6" x14ac:dyDescent="0.35">
      <c r="A153" t="s">
        <v>168</v>
      </c>
      <c r="B153" s="2">
        <v>3.9689999999999999</v>
      </c>
      <c r="C153" s="2">
        <v>3.758</v>
      </c>
      <c r="D153" s="2">
        <v>3.6819999999999999</v>
      </c>
      <c r="E153" s="2">
        <v>3.5920000000000001</v>
      </c>
      <c r="F153" s="2">
        <v>3.49</v>
      </c>
    </row>
    <row r="154" spans="1:6" x14ac:dyDescent="0.35">
      <c r="A154" t="s">
        <v>169</v>
      </c>
      <c r="B154" s="2">
        <v>3.9687999999999999</v>
      </c>
      <c r="C154" s="2">
        <v>3.76</v>
      </c>
      <c r="D154" s="2">
        <v>3.698</v>
      </c>
      <c r="E154" s="2">
        <v>3.6040000000000001</v>
      </c>
      <c r="F154" s="2">
        <v>3.5009999999999999</v>
      </c>
    </row>
    <row r="155" spans="1:6" x14ac:dyDescent="0.35">
      <c r="A155" t="s">
        <v>170</v>
      </c>
      <c r="B155" s="2">
        <v>3.9687999999999999</v>
      </c>
      <c r="C155" s="2">
        <v>3.758</v>
      </c>
      <c r="D155" s="2">
        <v>3.6880000000000002</v>
      </c>
      <c r="E155" s="2">
        <v>3.5990000000000002</v>
      </c>
      <c r="F155" s="2">
        <v>3.4950000000000001</v>
      </c>
    </row>
    <row r="156" spans="1:6" x14ac:dyDescent="0.35">
      <c r="A156" t="s">
        <v>171</v>
      </c>
      <c r="B156" s="2">
        <v>3.9689999999999999</v>
      </c>
      <c r="C156" s="2">
        <v>3.7490000000000001</v>
      </c>
      <c r="D156" s="2">
        <v>3.681</v>
      </c>
      <c r="E156" s="2">
        <v>3.5870000000000002</v>
      </c>
      <c r="F156" s="2">
        <v>3.4780000000000002</v>
      </c>
    </row>
    <row r="157" spans="1:6" x14ac:dyDescent="0.35">
      <c r="A157" t="s">
        <v>172</v>
      </c>
      <c r="B157" s="2">
        <v>3.9687999999999999</v>
      </c>
      <c r="C157" s="2">
        <v>3.7469999999999999</v>
      </c>
      <c r="D157" s="2">
        <v>3.681</v>
      </c>
      <c r="E157" s="2">
        <v>3.59</v>
      </c>
      <c r="F157" s="2">
        <v>3.484</v>
      </c>
    </row>
    <row r="158" spans="1:6" x14ac:dyDescent="0.35">
      <c r="A158" t="s">
        <v>173</v>
      </c>
      <c r="B158" s="2">
        <v>3.9693000000000001</v>
      </c>
      <c r="C158" s="2">
        <v>3.746</v>
      </c>
      <c r="D158" s="2">
        <v>3.68</v>
      </c>
      <c r="E158" s="2">
        <v>3.5910000000000002</v>
      </c>
      <c r="F158" s="2">
        <v>3.488</v>
      </c>
    </row>
    <row r="159" spans="1:6" x14ac:dyDescent="0.35">
      <c r="A159" t="s">
        <v>174</v>
      </c>
      <c r="B159" s="2">
        <v>3.9702000000000002</v>
      </c>
      <c r="C159" s="2">
        <v>3.7509999999999999</v>
      </c>
      <c r="D159" s="2">
        <v>3.6840000000000002</v>
      </c>
      <c r="E159" s="2">
        <v>3.5990000000000002</v>
      </c>
      <c r="F159" s="2">
        <v>3.4910000000000001</v>
      </c>
    </row>
    <row r="160" spans="1:6" x14ac:dyDescent="0.35">
      <c r="A160" t="s">
        <v>175</v>
      </c>
      <c r="B160" s="2">
        <v>3.9712999999999998</v>
      </c>
      <c r="C160" s="2">
        <v>3.75</v>
      </c>
      <c r="D160" s="2">
        <v>3.6840000000000002</v>
      </c>
      <c r="E160" s="2">
        <v>3.5990000000000002</v>
      </c>
      <c r="F160" s="2">
        <v>3.49</v>
      </c>
    </row>
    <row r="161" spans="1:6" x14ac:dyDescent="0.35">
      <c r="A161" t="s">
        <v>176</v>
      </c>
      <c r="B161" s="2">
        <v>3.9716</v>
      </c>
      <c r="C161" s="2">
        <v>3.75</v>
      </c>
      <c r="D161" s="2">
        <v>3.6829999999999998</v>
      </c>
      <c r="E161" s="2">
        <v>3.593</v>
      </c>
      <c r="F161" s="2">
        <v>3.4809999999999999</v>
      </c>
    </row>
    <row r="162" spans="1:6" x14ac:dyDescent="0.35">
      <c r="A162" t="s">
        <v>177</v>
      </c>
      <c r="B162" s="2">
        <v>3.9731999999999998</v>
      </c>
      <c r="C162" s="2">
        <v>3.75</v>
      </c>
      <c r="D162" s="2">
        <v>3.6779999999999999</v>
      </c>
      <c r="E162" s="2">
        <v>3.5910000000000002</v>
      </c>
      <c r="F162" s="2">
        <v>3.4820000000000002</v>
      </c>
    </row>
    <row r="163" spans="1:6" x14ac:dyDescent="0.35">
      <c r="A163" t="s">
        <v>178</v>
      </c>
      <c r="B163" s="2">
        <v>3.9741</v>
      </c>
      <c r="C163" s="2">
        <v>3.7549999999999999</v>
      </c>
      <c r="D163" s="2">
        <v>3.6859999999999999</v>
      </c>
      <c r="E163" s="2">
        <v>3.6070000000000002</v>
      </c>
      <c r="F163" s="2">
        <v>3.51</v>
      </c>
    </row>
    <row r="164" spans="1:6" x14ac:dyDescent="0.35">
      <c r="A164" t="s">
        <v>179</v>
      </c>
      <c r="B164" s="2">
        <v>3.9740000000000002</v>
      </c>
      <c r="C164" s="2">
        <v>3.76</v>
      </c>
      <c r="D164" s="2">
        <v>3.702</v>
      </c>
      <c r="E164" s="2">
        <v>3.6320000000000001</v>
      </c>
      <c r="F164" s="2">
        <v>3.5409999999999999</v>
      </c>
    </row>
    <row r="165" spans="1:6" x14ac:dyDescent="0.35">
      <c r="A165" t="s">
        <v>180</v>
      </c>
      <c r="B165" s="2">
        <v>3.9748999999999999</v>
      </c>
      <c r="C165" s="2">
        <v>3.7549999999999999</v>
      </c>
      <c r="D165" s="2">
        <v>3.6949999999999998</v>
      </c>
      <c r="E165" s="2">
        <v>3.6219999999999999</v>
      </c>
      <c r="F165" s="2">
        <v>3.532</v>
      </c>
    </row>
    <row r="166" spans="1:6" x14ac:dyDescent="0.35">
      <c r="A166" t="s">
        <v>181</v>
      </c>
      <c r="B166" s="2">
        <v>3.9742999999999999</v>
      </c>
      <c r="C166" s="2">
        <v>3.754</v>
      </c>
      <c r="D166" s="2">
        <v>3.7</v>
      </c>
      <c r="E166" s="2">
        <v>3.625</v>
      </c>
      <c r="F166" s="2">
        <v>3.5310000000000001</v>
      </c>
    </row>
    <row r="167" spans="1:6" x14ac:dyDescent="0.35">
      <c r="A167" t="s">
        <v>182</v>
      </c>
      <c r="B167" s="2">
        <v>3.9750000000000001</v>
      </c>
      <c r="C167" s="2">
        <v>3.7570000000000001</v>
      </c>
      <c r="D167" s="2">
        <v>3.6989999999999998</v>
      </c>
      <c r="E167" s="2">
        <v>3.62</v>
      </c>
      <c r="F167" s="2">
        <v>3.5190000000000001</v>
      </c>
    </row>
    <row r="168" spans="1:6" x14ac:dyDescent="0.35">
      <c r="A168" t="s">
        <v>183</v>
      </c>
      <c r="B168" s="2">
        <v>3.9742999999999999</v>
      </c>
      <c r="C168" s="2">
        <v>3.7570000000000001</v>
      </c>
      <c r="D168" s="2">
        <v>3.6920000000000002</v>
      </c>
      <c r="E168" s="2">
        <v>3.6030000000000002</v>
      </c>
      <c r="F168" s="2">
        <v>3.4910000000000001</v>
      </c>
    </row>
    <row r="169" spans="1:6" x14ac:dyDescent="0.35">
      <c r="A169" t="s">
        <v>184</v>
      </c>
      <c r="B169" s="2">
        <v>3.9746000000000001</v>
      </c>
      <c r="C169" s="2">
        <v>3.758</v>
      </c>
      <c r="D169" s="2">
        <v>3.6920000000000002</v>
      </c>
      <c r="E169" s="2">
        <v>3.6</v>
      </c>
      <c r="F169" s="2">
        <v>3.4940000000000002</v>
      </c>
    </row>
    <row r="170" spans="1:6" x14ac:dyDescent="0.35">
      <c r="A170" t="s">
        <v>185</v>
      </c>
      <c r="B170" s="2">
        <v>3.9748000000000001</v>
      </c>
      <c r="C170" s="2">
        <v>3.7530000000000001</v>
      </c>
      <c r="D170" s="2">
        <v>3.71</v>
      </c>
      <c r="E170" s="2">
        <v>3.625</v>
      </c>
      <c r="F170" s="2">
        <v>3.528</v>
      </c>
    </row>
    <row r="171" spans="1:6" x14ac:dyDescent="0.35">
      <c r="A171" t="s">
        <v>186</v>
      </c>
      <c r="B171" s="2">
        <v>3.9748999999999999</v>
      </c>
      <c r="C171" s="2">
        <v>3.7389999999999999</v>
      </c>
      <c r="D171" s="2">
        <v>3.6669999999999998</v>
      </c>
      <c r="E171" s="2">
        <v>3.57</v>
      </c>
      <c r="F171" s="2">
        <v>3.4609999999999999</v>
      </c>
    </row>
    <row r="172" spans="1:6" x14ac:dyDescent="0.35">
      <c r="A172" t="s">
        <v>187</v>
      </c>
      <c r="B172" s="2">
        <v>3.7263999999999999</v>
      </c>
      <c r="C172" s="2">
        <v>3.7370000000000001</v>
      </c>
      <c r="D172" s="2">
        <v>3.702</v>
      </c>
      <c r="E172" s="2">
        <v>3.6179999999999999</v>
      </c>
      <c r="F172" s="2">
        <v>3.5030000000000001</v>
      </c>
    </row>
    <row r="173" spans="1:6" x14ac:dyDescent="0.35">
      <c r="A173" t="s">
        <v>188</v>
      </c>
      <c r="B173" s="2">
        <v>3.7235999999999998</v>
      </c>
      <c r="C173" s="2">
        <v>3.7080000000000002</v>
      </c>
      <c r="D173" s="2">
        <v>3.6280000000000001</v>
      </c>
      <c r="E173" s="2">
        <v>3.52</v>
      </c>
      <c r="F173" s="2">
        <v>3.4580000000000002</v>
      </c>
    </row>
    <row r="174" spans="1:6" x14ac:dyDescent="0.35">
      <c r="A174" t="s">
        <v>189</v>
      </c>
      <c r="B174" s="2">
        <v>3.7231000000000001</v>
      </c>
      <c r="C174" s="2">
        <v>3.7109999999999999</v>
      </c>
      <c r="D174" s="2">
        <v>3.6259999999999999</v>
      </c>
      <c r="E174" s="2">
        <v>3.5169999999999999</v>
      </c>
      <c r="F174" s="2">
        <v>3.448</v>
      </c>
    </row>
    <row r="175" spans="1:6" x14ac:dyDescent="0.35">
      <c r="A175" t="s">
        <v>190</v>
      </c>
      <c r="B175" s="2">
        <v>3.7248000000000001</v>
      </c>
      <c r="C175" s="2">
        <v>3.7120000000000002</v>
      </c>
      <c r="D175" s="2">
        <v>3.629</v>
      </c>
      <c r="E175" s="2">
        <v>3.5219999999999998</v>
      </c>
      <c r="F175" s="2">
        <v>3.456</v>
      </c>
    </row>
    <row r="176" spans="1:6" x14ac:dyDescent="0.35">
      <c r="A176" t="s">
        <v>191</v>
      </c>
      <c r="B176" s="2">
        <v>3.7250000000000001</v>
      </c>
      <c r="C176" s="2">
        <v>3.7109999999999999</v>
      </c>
      <c r="D176" s="2">
        <v>3.629</v>
      </c>
      <c r="E176" s="2">
        <v>3.5179999999999998</v>
      </c>
      <c r="F176" s="2">
        <v>3.4580000000000002</v>
      </c>
    </row>
    <row r="177" spans="1:6" x14ac:dyDescent="0.35">
      <c r="A177" t="s">
        <v>192</v>
      </c>
      <c r="B177" s="2" t="e">
        <v>#N/A</v>
      </c>
      <c r="C177" s="2">
        <v>3.7109999999999999</v>
      </c>
      <c r="D177" s="2">
        <v>3.629</v>
      </c>
      <c r="E177" s="2">
        <v>3.5179999999999998</v>
      </c>
      <c r="F177" s="2">
        <v>3.4580000000000002</v>
      </c>
    </row>
    <row r="178" spans="1:6" x14ac:dyDescent="0.35">
      <c r="A178" t="s">
        <v>193</v>
      </c>
      <c r="B178" s="2" t="e">
        <v>#N/A</v>
      </c>
      <c r="C178" s="2">
        <v>3.7160000000000002</v>
      </c>
      <c r="D178" s="2">
        <v>3.629</v>
      </c>
      <c r="E178" s="2">
        <v>3.5129999999999999</v>
      </c>
      <c r="F178" s="2">
        <v>3.4550000000000001</v>
      </c>
    </row>
    <row r="179" spans="1:6" x14ac:dyDescent="0.35">
      <c r="A179" t="s">
        <v>194</v>
      </c>
      <c r="B179" s="2">
        <v>3.7250999999999999</v>
      </c>
      <c r="C179" s="2">
        <v>3.7120000000000002</v>
      </c>
      <c r="D179" s="2">
        <v>3.625</v>
      </c>
      <c r="E179" s="2">
        <v>3.5110000000000001</v>
      </c>
      <c r="F179" s="2">
        <v>3.444</v>
      </c>
    </row>
    <row r="180" spans="1:6" x14ac:dyDescent="0.35">
      <c r="A180" t="s">
        <v>195</v>
      </c>
      <c r="B180" s="2">
        <v>3.7254</v>
      </c>
      <c r="C180" s="2">
        <v>3.7120000000000002</v>
      </c>
      <c r="D180" s="2">
        <v>3.6219999999999999</v>
      </c>
      <c r="E180" s="2">
        <v>3.5089999999999999</v>
      </c>
      <c r="F180" s="2">
        <v>3.444</v>
      </c>
    </row>
    <row r="181" spans="1:6" x14ac:dyDescent="0.35">
      <c r="A181" t="s">
        <v>196</v>
      </c>
      <c r="B181" s="2">
        <v>3.7256999999999998</v>
      </c>
      <c r="C181" s="2">
        <v>3.7109999999999999</v>
      </c>
      <c r="D181" s="2">
        <v>3.621</v>
      </c>
      <c r="E181" s="2">
        <v>3.5070000000000001</v>
      </c>
      <c r="F181" s="2">
        <v>3.4380000000000002</v>
      </c>
    </row>
    <row r="182" spans="1:6" x14ac:dyDescent="0.35">
      <c r="A182" t="s">
        <v>197</v>
      </c>
      <c r="B182" s="2" t="e">
        <v>#N/A</v>
      </c>
      <c r="C182" s="2">
        <v>3.7109999999999999</v>
      </c>
      <c r="D182" s="2">
        <v>3.621</v>
      </c>
      <c r="E182" s="2">
        <v>3.5070000000000001</v>
      </c>
      <c r="F182" s="2">
        <v>3.4380000000000002</v>
      </c>
    </row>
    <row r="183" spans="1:6" x14ac:dyDescent="0.35">
      <c r="A183" t="s">
        <v>198</v>
      </c>
      <c r="B183" s="2">
        <v>3.7263000000000002</v>
      </c>
      <c r="C183" s="2">
        <v>3.7109999999999999</v>
      </c>
      <c r="D183" s="2">
        <v>3.6240000000000001</v>
      </c>
      <c r="E183" s="2">
        <v>3.5139999999999998</v>
      </c>
      <c r="F183" s="2">
        <v>3.4470000000000001</v>
      </c>
    </row>
    <row r="184" spans="1:6" x14ac:dyDescent="0.35">
      <c r="A184" t="s">
        <v>199</v>
      </c>
      <c r="B184" s="2">
        <v>3.7250999999999999</v>
      </c>
      <c r="C184" s="2">
        <v>3.7090000000000001</v>
      </c>
      <c r="D184" s="2">
        <v>3.6190000000000002</v>
      </c>
      <c r="E184" s="2">
        <v>3.5070000000000001</v>
      </c>
      <c r="F184" s="2">
        <v>3.4420000000000002</v>
      </c>
    </row>
    <row r="185" spans="1:6" x14ac:dyDescent="0.35">
      <c r="A185" t="s">
        <v>200</v>
      </c>
      <c r="B185" s="2">
        <v>3.7244999999999999</v>
      </c>
      <c r="C185" s="2">
        <v>3.7109999999999999</v>
      </c>
      <c r="D185" s="2">
        <v>3.6219999999999999</v>
      </c>
      <c r="E185" s="2">
        <v>3.5150000000000001</v>
      </c>
      <c r="F185" s="2">
        <v>3.4460000000000002</v>
      </c>
    </row>
    <row r="186" spans="1:6" x14ac:dyDescent="0.35">
      <c r="A186" t="s">
        <v>201</v>
      </c>
      <c r="B186" s="2">
        <v>3.7248000000000001</v>
      </c>
      <c r="C186" s="2">
        <v>3.71</v>
      </c>
      <c r="D186" s="2">
        <v>3.617</v>
      </c>
      <c r="E186" s="2">
        <v>3.508</v>
      </c>
      <c r="F186" s="2">
        <v>3.4380000000000002</v>
      </c>
    </row>
    <row r="187" spans="1:6" x14ac:dyDescent="0.35">
      <c r="A187" t="s">
        <v>202</v>
      </c>
      <c r="B187" s="2">
        <v>3.7248999999999999</v>
      </c>
      <c r="C187" s="2">
        <v>3.7109999999999999</v>
      </c>
      <c r="D187" s="2">
        <v>3.621</v>
      </c>
      <c r="E187" s="2">
        <v>3.504</v>
      </c>
      <c r="F187" s="2">
        <v>3.4350000000000001</v>
      </c>
    </row>
    <row r="188" spans="1:6" x14ac:dyDescent="0.35">
      <c r="A188" t="s">
        <v>203</v>
      </c>
      <c r="B188" s="2">
        <v>3.7246000000000001</v>
      </c>
      <c r="C188" s="2">
        <v>3.7109999999999999</v>
      </c>
      <c r="D188" s="2">
        <v>3.6179999999999999</v>
      </c>
      <c r="E188" s="2">
        <v>3.4969999999999999</v>
      </c>
      <c r="F188" s="2">
        <v>3.4260000000000002</v>
      </c>
    </row>
    <row r="189" spans="1:6" x14ac:dyDescent="0.35">
      <c r="A189" t="s">
        <v>204</v>
      </c>
      <c r="B189" s="2">
        <v>3.7246000000000001</v>
      </c>
      <c r="C189" s="2">
        <v>3.7130000000000001</v>
      </c>
      <c r="D189" s="2">
        <v>3.6259999999999999</v>
      </c>
      <c r="E189" s="2">
        <v>3.508</v>
      </c>
      <c r="F189" s="2">
        <v>3.4380000000000002</v>
      </c>
    </row>
    <row r="190" spans="1:6" x14ac:dyDescent="0.35">
      <c r="A190" t="s">
        <v>205</v>
      </c>
      <c r="B190" s="2">
        <v>3.7250000000000001</v>
      </c>
      <c r="C190" s="2">
        <v>3.7170000000000001</v>
      </c>
      <c r="D190" s="2">
        <v>3.629</v>
      </c>
      <c r="E190" s="2">
        <v>3.5110000000000001</v>
      </c>
      <c r="F190" s="2">
        <v>3.444</v>
      </c>
    </row>
    <row r="191" spans="1:6" x14ac:dyDescent="0.35">
      <c r="A191" t="s">
        <v>206</v>
      </c>
      <c r="B191" s="2">
        <v>3.7248000000000001</v>
      </c>
      <c r="C191" s="2">
        <v>3.7149999999999999</v>
      </c>
      <c r="D191" s="2">
        <v>3.625</v>
      </c>
      <c r="E191" s="2">
        <v>3.4969999999999999</v>
      </c>
      <c r="F191" s="2">
        <v>3.4260000000000002</v>
      </c>
    </row>
    <row r="192" spans="1:6" x14ac:dyDescent="0.35">
      <c r="A192" t="s">
        <v>207</v>
      </c>
      <c r="B192" s="2">
        <v>3.7239</v>
      </c>
      <c r="C192" s="2">
        <v>3.7189999999999999</v>
      </c>
      <c r="D192" s="2">
        <v>3.6440000000000001</v>
      </c>
      <c r="E192" s="2">
        <v>3.52</v>
      </c>
      <c r="F192" s="2">
        <v>3.456</v>
      </c>
    </row>
    <row r="193" spans="1:6" x14ac:dyDescent="0.35">
      <c r="A193" t="s">
        <v>208</v>
      </c>
      <c r="B193" s="2">
        <v>3.7242999999999999</v>
      </c>
      <c r="C193" s="2">
        <v>3.7210000000000001</v>
      </c>
      <c r="D193" s="2">
        <v>3.6520000000000001</v>
      </c>
      <c r="E193" s="2">
        <v>3.53</v>
      </c>
      <c r="F193" s="2">
        <v>3.464</v>
      </c>
    </row>
    <row r="194" spans="1:6" x14ac:dyDescent="0.35">
      <c r="A194" t="s">
        <v>209</v>
      </c>
      <c r="B194" s="2">
        <v>3.7244000000000002</v>
      </c>
      <c r="C194" s="2">
        <v>3.7170000000000001</v>
      </c>
      <c r="D194" s="2">
        <v>3.6440000000000001</v>
      </c>
      <c r="E194" s="2">
        <v>3.5230000000000001</v>
      </c>
      <c r="F194" s="2">
        <v>3.4550000000000001</v>
      </c>
    </row>
    <row r="195" spans="1:6" x14ac:dyDescent="0.35">
      <c r="A195" t="s">
        <v>210</v>
      </c>
      <c r="B195" s="2">
        <v>3.7241</v>
      </c>
      <c r="C195" s="2">
        <v>3.7240000000000002</v>
      </c>
      <c r="D195" s="2">
        <v>3.6509999999999998</v>
      </c>
      <c r="E195" s="2">
        <v>3.5219999999999998</v>
      </c>
      <c r="F195" s="2">
        <v>3.4569999999999999</v>
      </c>
    </row>
    <row r="196" spans="1:6" x14ac:dyDescent="0.35">
      <c r="A196" t="s">
        <v>211</v>
      </c>
      <c r="B196" s="2">
        <v>3.7246000000000001</v>
      </c>
      <c r="C196" s="2">
        <v>3.7269999999999999</v>
      </c>
      <c r="D196" s="2">
        <v>3.6520000000000001</v>
      </c>
      <c r="E196" s="2">
        <v>3.5129999999999999</v>
      </c>
      <c r="F196" s="2">
        <v>3.4319999999999999</v>
      </c>
    </row>
    <row r="197" spans="1:6" x14ac:dyDescent="0.35">
      <c r="A197" t="s">
        <v>212</v>
      </c>
      <c r="B197" s="2">
        <v>3.726</v>
      </c>
      <c r="C197" s="2">
        <v>3.7269999999999999</v>
      </c>
      <c r="D197" s="2">
        <v>3.6560000000000001</v>
      </c>
      <c r="E197" s="2">
        <v>3.5190000000000001</v>
      </c>
      <c r="F197" s="2">
        <v>3.4460000000000002</v>
      </c>
    </row>
    <row r="198" spans="1:6" x14ac:dyDescent="0.35">
      <c r="A198" t="s">
        <v>213</v>
      </c>
      <c r="B198" s="2">
        <v>3.7265000000000001</v>
      </c>
      <c r="C198" s="2">
        <v>3.7309999999999999</v>
      </c>
      <c r="D198" s="2">
        <v>3.6890000000000001</v>
      </c>
      <c r="E198" s="2">
        <v>3.5459999999999998</v>
      </c>
      <c r="F198" s="2">
        <v>3.48</v>
      </c>
    </row>
    <row r="199" spans="1:6" x14ac:dyDescent="0.35">
      <c r="A199" t="s">
        <v>214</v>
      </c>
      <c r="B199" s="2">
        <v>3.7259000000000002</v>
      </c>
      <c r="C199" s="2">
        <v>3.7320000000000002</v>
      </c>
      <c r="D199" s="2">
        <v>3.6930000000000001</v>
      </c>
      <c r="E199" s="2">
        <v>3.552</v>
      </c>
      <c r="F199" s="2">
        <v>3.4940000000000002</v>
      </c>
    </row>
    <row r="200" spans="1:6" x14ac:dyDescent="0.35">
      <c r="A200" t="s">
        <v>215</v>
      </c>
      <c r="B200" s="2">
        <v>3.7256</v>
      </c>
      <c r="C200" s="2">
        <v>3.7320000000000002</v>
      </c>
      <c r="D200" s="2">
        <v>3.694</v>
      </c>
      <c r="E200" s="2">
        <v>3.5590000000000002</v>
      </c>
      <c r="F200" s="2">
        <v>3.5059999999999998</v>
      </c>
    </row>
    <row r="201" spans="1:6" x14ac:dyDescent="0.35">
      <c r="A201" t="s">
        <v>216</v>
      </c>
      <c r="B201" s="2">
        <v>3.7248000000000001</v>
      </c>
      <c r="C201" s="2">
        <v>3.7309999999999999</v>
      </c>
      <c r="D201" s="2">
        <v>3.69</v>
      </c>
      <c r="E201" s="2">
        <v>3.556</v>
      </c>
      <c r="F201" s="2">
        <v>3.5070000000000001</v>
      </c>
    </row>
    <row r="202" spans="1:6" x14ac:dyDescent="0.35">
      <c r="A202" t="s">
        <v>217</v>
      </c>
      <c r="B202" s="2">
        <v>3.7246999999999999</v>
      </c>
      <c r="C202" s="2">
        <v>3.73</v>
      </c>
      <c r="D202" s="2">
        <v>3.6779999999999999</v>
      </c>
      <c r="E202" s="2">
        <v>3.5470000000000002</v>
      </c>
      <c r="F202" s="2">
        <v>3.492</v>
      </c>
    </row>
    <row r="203" spans="1:6" x14ac:dyDescent="0.35">
      <c r="A203" t="s">
        <v>218</v>
      </c>
      <c r="B203" s="2">
        <v>3.7254</v>
      </c>
      <c r="C203" s="2">
        <v>3.7320000000000002</v>
      </c>
      <c r="D203" s="2">
        <v>3.6819999999999999</v>
      </c>
      <c r="E203" s="2">
        <v>3.552</v>
      </c>
      <c r="F203" s="2">
        <v>3.496</v>
      </c>
    </row>
    <row r="204" spans="1:6" x14ac:dyDescent="0.35">
      <c r="A204" t="s">
        <v>219</v>
      </c>
      <c r="B204" s="2">
        <v>3.726</v>
      </c>
      <c r="C204" s="2">
        <v>3.73</v>
      </c>
      <c r="D204" s="2">
        <v>3.6840000000000002</v>
      </c>
      <c r="E204" s="2">
        <v>3.55</v>
      </c>
      <c r="F204" s="2">
        <v>3.4929999999999999</v>
      </c>
    </row>
    <row r="205" spans="1:6" x14ac:dyDescent="0.35">
      <c r="A205" t="s">
        <v>220</v>
      </c>
      <c r="B205" s="2">
        <v>3.726</v>
      </c>
      <c r="C205" s="2">
        <v>3.7290000000000001</v>
      </c>
      <c r="D205" s="2">
        <v>3.6829999999999998</v>
      </c>
      <c r="E205" s="2">
        <v>3.5459999999999998</v>
      </c>
      <c r="F205" s="2">
        <v>3.4940000000000002</v>
      </c>
    </row>
    <row r="206" spans="1:6" x14ac:dyDescent="0.35">
      <c r="A206" t="s">
        <v>221</v>
      </c>
      <c r="B206" s="2">
        <v>3.7265000000000001</v>
      </c>
      <c r="C206" s="2">
        <v>3.7269999999999999</v>
      </c>
      <c r="D206" s="2">
        <v>3.6779999999999999</v>
      </c>
      <c r="E206" s="2">
        <v>3.5510000000000002</v>
      </c>
      <c r="F206" s="2">
        <v>3.4940000000000002</v>
      </c>
    </row>
    <row r="207" spans="1:6" x14ac:dyDescent="0.35">
      <c r="A207" t="s">
        <v>222</v>
      </c>
      <c r="B207" s="2">
        <v>3.7277999999999998</v>
      </c>
      <c r="C207" s="2">
        <v>3.7330000000000001</v>
      </c>
      <c r="D207" s="2">
        <v>3.5790000000000002</v>
      </c>
      <c r="E207" s="2">
        <v>3.504</v>
      </c>
      <c r="F207" s="2">
        <v>3.4119999999999999</v>
      </c>
    </row>
    <row r="208" spans="1:6" x14ac:dyDescent="0.35">
      <c r="A208" t="s">
        <v>223</v>
      </c>
      <c r="B208" s="2">
        <v>3.7279</v>
      </c>
      <c r="C208" s="2">
        <v>3.5569999999999999</v>
      </c>
      <c r="D208" s="2">
        <v>3.4929999999999999</v>
      </c>
      <c r="E208" s="2">
        <v>3.403</v>
      </c>
      <c r="F208" s="2">
        <v>3.339</v>
      </c>
    </row>
    <row r="209" spans="1:6" x14ac:dyDescent="0.35">
      <c r="A209" t="s">
        <v>224</v>
      </c>
      <c r="B209" s="2">
        <v>3.7271000000000001</v>
      </c>
      <c r="C209" s="2">
        <v>3.5579999999999998</v>
      </c>
      <c r="D209" s="2">
        <v>3.4990000000000001</v>
      </c>
      <c r="E209" s="2">
        <v>3.41</v>
      </c>
      <c r="F209" s="2">
        <v>3.351</v>
      </c>
    </row>
    <row r="210" spans="1:6" x14ac:dyDescent="0.35">
      <c r="A210" t="s">
        <v>225</v>
      </c>
      <c r="B210" s="2">
        <v>3.7269999999999999</v>
      </c>
      <c r="C210" s="2">
        <v>3.5579999999999998</v>
      </c>
      <c r="D210" s="2">
        <v>3.5009999999999999</v>
      </c>
      <c r="E210" s="2">
        <v>3.415</v>
      </c>
      <c r="F210" s="2">
        <v>3.3530000000000002</v>
      </c>
    </row>
    <row r="211" spans="1:6" x14ac:dyDescent="0.35">
      <c r="A211" t="s">
        <v>226</v>
      </c>
      <c r="B211" s="2">
        <v>3.7273999999999998</v>
      </c>
      <c r="C211" s="2">
        <v>3.5569999999999999</v>
      </c>
      <c r="D211" s="2">
        <v>3.4990000000000001</v>
      </c>
      <c r="E211" s="2">
        <v>3.4140000000000001</v>
      </c>
      <c r="F211" s="2">
        <v>3.35</v>
      </c>
    </row>
    <row r="212" spans="1:6" x14ac:dyDescent="0.35">
      <c r="A212" t="s">
        <v>227</v>
      </c>
      <c r="B212" s="2">
        <v>3.7271999999999998</v>
      </c>
      <c r="C212" s="2">
        <v>3.5510000000000002</v>
      </c>
      <c r="D212" s="2">
        <v>3.4990000000000001</v>
      </c>
      <c r="E212" s="2">
        <v>3.4079999999999999</v>
      </c>
      <c r="F212" s="2">
        <v>3.3410000000000002</v>
      </c>
    </row>
    <row r="213" spans="1:6" x14ac:dyDescent="0.35">
      <c r="A213" t="s">
        <v>228</v>
      </c>
      <c r="B213" s="2">
        <v>3.7267000000000001</v>
      </c>
      <c r="C213" s="2">
        <v>3.5510000000000002</v>
      </c>
      <c r="D213" s="2">
        <v>3.488</v>
      </c>
      <c r="E213" s="2">
        <v>3.4020000000000001</v>
      </c>
      <c r="F213" s="2">
        <v>3.335</v>
      </c>
    </row>
    <row r="214" spans="1:6" x14ac:dyDescent="0.35">
      <c r="A214" t="s">
        <v>229</v>
      </c>
      <c r="B214" s="2">
        <v>3.7275999999999998</v>
      </c>
      <c r="C214" s="2">
        <v>3.55</v>
      </c>
      <c r="D214" s="2">
        <v>3.49</v>
      </c>
      <c r="E214" s="2">
        <v>3.403</v>
      </c>
      <c r="F214" s="2">
        <v>3.339</v>
      </c>
    </row>
    <row r="215" spans="1:6" x14ac:dyDescent="0.35">
      <c r="A215" t="s">
        <v>230</v>
      </c>
      <c r="B215" s="2">
        <v>3.7275999999999998</v>
      </c>
      <c r="C215" s="2">
        <v>3.536</v>
      </c>
      <c r="D215" s="2">
        <v>3.4929999999999999</v>
      </c>
      <c r="E215" s="2">
        <v>3.399</v>
      </c>
      <c r="F215" s="2">
        <v>3.331</v>
      </c>
    </row>
    <row r="216" spans="1:6" x14ac:dyDescent="0.35">
      <c r="A216" t="s">
        <v>231</v>
      </c>
      <c r="B216" s="2">
        <v>3.7277</v>
      </c>
      <c r="C216" s="2">
        <v>3.5289999999999999</v>
      </c>
      <c r="D216" s="2">
        <v>3.4889999999999999</v>
      </c>
      <c r="E216" s="2">
        <v>3.39</v>
      </c>
      <c r="F216" s="2">
        <v>3.3220000000000001</v>
      </c>
    </row>
    <row r="217" spans="1:6" x14ac:dyDescent="0.35">
      <c r="A217" t="s">
        <v>232</v>
      </c>
      <c r="B217" s="2">
        <v>3.7275999999999998</v>
      </c>
      <c r="C217" s="2">
        <v>3.5259999999999998</v>
      </c>
      <c r="D217" s="2">
        <v>3.49</v>
      </c>
      <c r="E217" s="2">
        <v>3.3879999999999999</v>
      </c>
      <c r="F217" s="2">
        <v>3.319</v>
      </c>
    </row>
    <row r="218" spans="1:6" x14ac:dyDescent="0.35">
      <c r="A218" t="s">
        <v>233</v>
      </c>
      <c r="B218" s="2">
        <v>3.7282000000000002</v>
      </c>
      <c r="C218" s="2">
        <v>3.5329999999999999</v>
      </c>
      <c r="D218" s="2">
        <v>3.4950000000000001</v>
      </c>
      <c r="E218" s="2">
        <v>3.3959999999999999</v>
      </c>
      <c r="F218" s="2">
        <v>3.327</v>
      </c>
    </row>
    <row r="219" spans="1:6" x14ac:dyDescent="0.35">
      <c r="A219" t="s">
        <v>234</v>
      </c>
      <c r="B219" s="2">
        <v>3.7280000000000002</v>
      </c>
      <c r="C219" s="2">
        <v>3.5350000000000001</v>
      </c>
      <c r="D219" s="2">
        <v>3.496</v>
      </c>
      <c r="E219" s="2">
        <v>3.3959999999999999</v>
      </c>
      <c r="F219" s="2">
        <v>3.3290000000000002</v>
      </c>
    </row>
    <row r="220" spans="1:6" x14ac:dyDescent="0.35">
      <c r="A220" t="s">
        <v>235</v>
      </c>
      <c r="B220" s="2">
        <v>3.7277999999999998</v>
      </c>
      <c r="C220" s="2">
        <v>3.5459999999999998</v>
      </c>
      <c r="D220" s="2">
        <v>3.4980000000000002</v>
      </c>
      <c r="E220" s="2">
        <v>3.407</v>
      </c>
      <c r="F220" s="2">
        <v>3.3370000000000002</v>
      </c>
    </row>
    <row r="221" spans="1:6" x14ac:dyDescent="0.35">
      <c r="A221" t="s">
        <v>238</v>
      </c>
      <c r="B221" s="2">
        <v>3.7275999999999998</v>
      </c>
      <c r="C221" s="2">
        <v>3.5489999999999999</v>
      </c>
      <c r="D221" s="2">
        <v>3.4940000000000002</v>
      </c>
      <c r="E221" s="2">
        <v>3.4060000000000001</v>
      </c>
      <c r="F221" s="2">
        <v>3.339</v>
      </c>
    </row>
    <row r="222" spans="1:6" x14ac:dyDescent="0.35">
      <c r="A222" t="s">
        <v>239</v>
      </c>
      <c r="B222" s="2">
        <v>3.7286000000000001</v>
      </c>
      <c r="C222" s="2">
        <v>3.5270000000000001</v>
      </c>
      <c r="D222" s="2">
        <v>3.4870000000000001</v>
      </c>
      <c r="E222" s="2">
        <v>3.3879999999999999</v>
      </c>
      <c r="F222" s="2">
        <v>3.3149999999999999</v>
      </c>
    </row>
    <row r="223" spans="1:6" x14ac:dyDescent="0.35">
      <c r="A223" t="s">
        <v>240</v>
      </c>
      <c r="B223" s="2">
        <v>3.7267000000000001</v>
      </c>
      <c r="C223" s="2">
        <v>3.5230000000000001</v>
      </c>
      <c r="D223" s="2">
        <v>3.48</v>
      </c>
      <c r="E223" s="2">
        <v>3.3839999999999999</v>
      </c>
      <c r="F223" s="2">
        <v>3.31</v>
      </c>
    </row>
    <row r="224" spans="1:6" x14ac:dyDescent="0.35">
      <c r="A224" t="s">
        <v>241</v>
      </c>
      <c r="B224" s="2">
        <v>3.7271000000000001</v>
      </c>
      <c r="C224" s="2">
        <v>3.605</v>
      </c>
      <c r="D224" s="2">
        <v>3.5489999999999999</v>
      </c>
      <c r="E224" s="2">
        <v>3.4889999999999999</v>
      </c>
      <c r="F224" s="2">
        <v>3.431</v>
      </c>
    </row>
    <row r="225" spans="1:6" x14ac:dyDescent="0.35">
      <c r="A225" t="s">
        <v>242</v>
      </c>
      <c r="B225" s="2">
        <v>3.7286000000000001</v>
      </c>
      <c r="C225" s="2">
        <v>3.665</v>
      </c>
      <c r="D225" s="2">
        <v>3.5870000000000002</v>
      </c>
      <c r="E225" s="2">
        <v>3.5419999999999998</v>
      </c>
      <c r="F225" s="2">
        <v>3.5049999999999999</v>
      </c>
    </row>
    <row r="226" spans="1:6" x14ac:dyDescent="0.35">
      <c r="A226" t="s">
        <v>243</v>
      </c>
      <c r="B226" s="2">
        <v>3.7301000000000002</v>
      </c>
      <c r="C226" s="2">
        <v>3.669</v>
      </c>
      <c r="D226" s="2">
        <v>3.577</v>
      </c>
      <c r="E226" s="2">
        <v>3.51</v>
      </c>
      <c r="F226" s="2">
        <v>3.456</v>
      </c>
    </row>
    <row r="227" spans="1:6" x14ac:dyDescent="0.35">
      <c r="A227" t="s">
        <v>248</v>
      </c>
      <c r="B227" s="2">
        <v>3.7303000000000002</v>
      </c>
      <c r="C227" s="2">
        <v>3.6920000000000002</v>
      </c>
      <c r="D227" s="2">
        <v>3.6190000000000002</v>
      </c>
      <c r="E227" s="2">
        <v>3.5819999999999999</v>
      </c>
      <c r="F227" s="2">
        <v>3.5409999999999999</v>
      </c>
    </row>
    <row r="228" spans="1:6" x14ac:dyDescent="0.35">
      <c r="A228" t="s">
        <v>249</v>
      </c>
      <c r="B228" s="2">
        <v>3.7303000000000002</v>
      </c>
      <c r="C228" s="2">
        <v>3.7080000000000002</v>
      </c>
      <c r="D228" s="2">
        <v>3.66</v>
      </c>
      <c r="E228" s="2">
        <v>3.633</v>
      </c>
      <c r="F228" s="2">
        <v>3.617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305AA-70D4-409C-864B-2569DCAF97C9}">
  <dimension ref="A1:B124"/>
  <sheetViews>
    <sheetView workbookViewId="0">
      <selection activeCell="D15" sqref="D15"/>
    </sheetView>
  </sheetViews>
  <sheetFormatPr defaultRowHeight="14.5" x14ac:dyDescent="0.35"/>
  <cols>
    <col min="2" max="2" width="15.36328125" customWidth="1"/>
  </cols>
  <sheetData>
    <row r="1" spans="1:2" x14ac:dyDescent="0.35">
      <c r="A1" s="1" t="s">
        <v>255</v>
      </c>
      <c r="B1" s="9" t="s">
        <v>250</v>
      </c>
    </row>
    <row r="2" spans="1:2" s="3" customFormat="1" ht="58" customHeight="1" x14ac:dyDescent="0.35">
      <c r="A2" s="3" t="s">
        <v>11</v>
      </c>
      <c r="B2" s="3" t="s">
        <v>254</v>
      </c>
    </row>
    <row r="3" spans="1:2" ht="0.5" customHeight="1" x14ac:dyDescent="0.35">
      <c r="A3" t="s">
        <v>10</v>
      </c>
      <c r="B3" t="s">
        <v>253</v>
      </c>
    </row>
    <row r="4" spans="1:2" ht="0.5" customHeight="1" x14ac:dyDescent="0.35">
      <c r="A4" t="s">
        <v>9</v>
      </c>
      <c r="B4" t="s">
        <v>252</v>
      </c>
    </row>
    <row r="5" spans="1:2" ht="0.5" hidden="1" customHeight="1" x14ac:dyDescent="0.35">
      <c r="A5" t="s">
        <v>8</v>
      </c>
      <c r="B5" t="s">
        <v>12</v>
      </c>
    </row>
    <row r="6" spans="1:2" ht="1.5" customHeight="1" x14ac:dyDescent="0.35">
      <c r="A6" t="s">
        <v>7</v>
      </c>
      <c r="B6" t="s">
        <v>251</v>
      </c>
    </row>
    <row r="7" spans="1:2" ht="1.5" customHeight="1" x14ac:dyDescent="0.35">
      <c r="A7" t="s">
        <v>257</v>
      </c>
      <c r="B7" t="s">
        <v>258</v>
      </c>
    </row>
    <row r="8" spans="1:2" x14ac:dyDescent="0.35">
      <c r="A8" t="s">
        <v>256</v>
      </c>
      <c r="B8" s="10" t="e">
        <v>#N/A</v>
      </c>
    </row>
    <row r="9" spans="1:2" x14ac:dyDescent="0.35">
      <c r="A9" t="s">
        <v>259</v>
      </c>
      <c r="B9" s="10" t="e">
        <v>#N/A</v>
      </c>
    </row>
    <row r="10" spans="1:2" x14ac:dyDescent="0.35">
      <c r="A10" t="s">
        <v>260</v>
      </c>
      <c r="B10" s="10" t="e">
        <v>#N/A</v>
      </c>
    </row>
    <row r="11" spans="1:2" x14ac:dyDescent="0.35">
      <c r="A11" t="s">
        <v>261</v>
      </c>
      <c r="B11" s="10" t="e">
        <v>#N/A</v>
      </c>
    </row>
    <row r="12" spans="1:2" x14ac:dyDescent="0.35">
      <c r="A12" t="s">
        <v>262</v>
      </c>
      <c r="B12" s="10" t="e">
        <v>#N/A</v>
      </c>
    </row>
    <row r="13" spans="1:2" x14ac:dyDescent="0.35">
      <c r="A13" t="s">
        <v>263</v>
      </c>
      <c r="B13" s="10" t="e">
        <v>#N/A</v>
      </c>
    </row>
    <row r="14" spans="1:2" x14ac:dyDescent="0.35">
      <c r="A14" t="s">
        <v>264</v>
      </c>
      <c r="B14" s="10" t="e">
        <v>#N/A</v>
      </c>
    </row>
    <row r="15" spans="1:2" x14ac:dyDescent="0.35">
      <c r="A15" t="s">
        <v>265</v>
      </c>
      <c r="B15" s="10" t="e">
        <v>#N/A</v>
      </c>
    </row>
    <row r="16" spans="1:2" x14ac:dyDescent="0.35">
      <c r="A16" t="s">
        <v>266</v>
      </c>
      <c r="B16" s="10" t="e">
        <v>#N/A</v>
      </c>
    </row>
    <row r="17" spans="1:2" x14ac:dyDescent="0.35">
      <c r="A17" t="s">
        <v>267</v>
      </c>
      <c r="B17" s="10" t="e">
        <v>#N/A</v>
      </c>
    </row>
    <row r="18" spans="1:2" x14ac:dyDescent="0.35">
      <c r="A18" t="s">
        <v>268</v>
      </c>
      <c r="B18" s="10" t="e">
        <v>#N/A</v>
      </c>
    </row>
    <row r="19" spans="1:2" x14ac:dyDescent="0.35">
      <c r="A19" t="s">
        <v>269</v>
      </c>
      <c r="B19" s="10" t="e">
        <v>#N/A</v>
      </c>
    </row>
    <row r="20" spans="1:2" x14ac:dyDescent="0.35">
      <c r="A20" t="s">
        <v>270</v>
      </c>
      <c r="B20" s="10" t="e">
        <v>#N/A</v>
      </c>
    </row>
    <row r="21" spans="1:2" x14ac:dyDescent="0.35">
      <c r="A21" t="s">
        <v>271</v>
      </c>
      <c r="B21" s="10" t="e">
        <v>#N/A</v>
      </c>
    </row>
    <row r="22" spans="1:2" x14ac:dyDescent="0.35">
      <c r="A22" t="s">
        <v>272</v>
      </c>
      <c r="B22" s="10" t="e">
        <v>#N/A</v>
      </c>
    </row>
    <row r="23" spans="1:2" x14ac:dyDescent="0.35">
      <c r="A23" t="s">
        <v>273</v>
      </c>
      <c r="B23" s="10" t="e">
        <v>#N/A</v>
      </c>
    </row>
    <row r="24" spans="1:2" x14ac:dyDescent="0.35">
      <c r="A24" t="s">
        <v>274</v>
      </c>
      <c r="B24" s="10">
        <v>1.3</v>
      </c>
    </row>
    <row r="25" spans="1:2" x14ac:dyDescent="0.35">
      <c r="A25" t="s">
        <v>275</v>
      </c>
      <c r="B25" s="10">
        <v>1.4</v>
      </c>
    </row>
    <row r="26" spans="1:2" x14ac:dyDescent="0.35">
      <c r="A26" t="s">
        <v>276</v>
      </c>
      <c r="B26" s="10">
        <v>1.3</v>
      </c>
    </row>
    <row r="27" spans="1:2" x14ac:dyDescent="0.35">
      <c r="A27" t="s">
        <v>277</v>
      </c>
      <c r="B27" s="10">
        <v>1.4</v>
      </c>
    </row>
    <row r="28" spans="1:2" x14ac:dyDescent="0.35">
      <c r="A28" t="s">
        <v>278</v>
      </c>
      <c r="B28" s="10">
        <v>1.7</v>
      </c>
    </row>
    <row r="29" spans="1:2" x14ac:dyDescent="0.35">
      <c r="A29" t="s">
        <v>279</v>
      </c>
      <c r="B29" s="10">
        <v>2</v>
      </c>
    </row>
    <row r="30" spans="1:2" x14ac:dyDescent="0.35">
      <c r="A30" t="s">
        <v>280</v>
      </c>
      <c r="B30" s="10">
        <v>2.4</v>
      </c>
    </row>
    <row r="31" spans="1:2" x14ac:dyDescent="0.35">
      <c r="A31" t="s">
        <v>281</v>
      </c>
      <c r="B31" s="10">
        <v>2.1</v>
      </c>
    </row>
    <row r="32" spans="1:2" x14ac:dyDescent="0.35">
      <c r="A32" t="s">
        <v>282</v>
      </c>
      <c r="B32" s="10">
        <v>1.9</v>
      </c>
    </row>
    <row r="33" spans="1:2" x14ac:dyDescent="0.35">
      <c r="A33" t="s">
        <v>283</v>
      </c>
      <c r="B33" s="10">
        <v>2.2999999999999998</v>
      </c>
    </row>
    <row r="34" spans="1:2" x14ac:dyDescent="0.35">
      <c r="A34" t="s">
        <v>284</v>
      </c>
      <c r="B34" s="10">
        <v>2.4</v>
      </c>
    </row>
    <row r="35" spans="1:2" x14ac:dyDescent="0.35">
      <c r="A35" t="s">
        <v>285</v>
      </c>
      <c r="B35" s="10">
        <v>2.7</v>
      </c>
    </row>
    <row r="36" spans="1:2" x14ac:dyDescent="0.35">
      <c r="A36" t="s">
        <v>286</v>
      </c>
      <c r="B36" s="10">
        <v>2.9</v>
      </c>
    </row>
    <row r="37" spans="1:2" x14ac:dyDescent="0.35">
      <c r="A37" t="s">
        <v>287</v>
      </c>
      <c r="B37" s="10">
        <v>2.6</v>
      </c>
    </row>
    <row r="38" spans="1:2" x14ac:dyDescent="0.35">
      <c r="A38" t="s">
        <v>288</v>
      </c>
      <c r="B38" s="10">
        <v>1.8</v>
      </c>
    </row>
    <row r="39" spans="1:2" x14ac:dyDescent="0.35">
      <c r="A39" t="s">
        <v>289</v>
      </c>
      <c r="B39" s="10">
        <v>2.1</v>
      </c>
    </row>
    <row r="40" spans="1:2" x14ac:dyDescent="0.35">
      <c r="A40" t="s">
        <v>290</v>
      </c>
      <c r="B40" s="10">
        <v>2.4</v>
      </c>
    </row>
    <row r="41" spans="1:2" x14ac:dyDescent="0.35">
      <c r="A41" t="s">
        <v>291</v>
      </c>
      <c r="B41" s="10">
        <v>3.4</v>
      </c>
    </row>
    <row r="42" spans="1:2" x14ac:dyDescent="0.35">
      <c r="A42" t="s">
        <v>292</v>
      </c>
      <c r="B42" s="10">
        <v>4.8</v>
      </c>
    </row>
    <row r="43" spans="1:2" x14ac:dyDescent="0.35">
      <c r="A43" t="s">
        <v>293</v>
      </c>
      <c r="B43" s="10">
        <v>3.9</v>
      </c>
    </row>
    <row r="44" spans="1:2" x14ac:dyDescent="0.35">
      <c r="A44" t="s">
        <v>294</v>
      </c>
      <c r="B44" s="10">
        <v>3</v>
      </c>
    </row>
    <row r="45" spans="1:2" x14ac:dyDescent="0.35">
      <c r="A45" t="s">
        <v>295</v>
      </c>
      <c r="B45" s="10">
        <v>2.1</v>
      </c>
    </row>
    <row r="46" spans="1:2" x14ac:dyDescent="0.35">
      <c r="A46" t="s">
        <v>296</v>
      </c>
      <c r="B46" s="10">
        <v>1.5</v>
      </c>
    </row>
    <row r="47" spans="1:2" x14ac:dyDescent="0.35">
      <c r="A47" t="s">
        <v>297</v>
      </c>
      <c r="B47" s="10">
        <v>2.1</v>
      </c>
    </row>
    <row r="48" spans="1:2" x14ac:dyDescent="0.35">
      <c r="A48" t="s">
        <v>298</v>
      </c>
      <c r="B48" s="10">
        <v>3.3</v>
      </c>
    </row>
    <row r="49" spans="1:2" x14ac:dyDescent="0.35">
      <c r="A49" t="s">
        <v>299</v>
      </c>
      <c r="B49" s="10">
        <v>3.5</v>
      </c>
    </row>
    <row r="50" spans="1:2" x14ac:dyDescent="0.35">
      <c r="A50" t="s">
        <v>300</v>
      </c>
      <c r="B50" s="10">
        <v>3.1</v>
      </c>
    </row>
    <row r="51" spans="1:2" x14ac:dyDescent="0.35">
      <c r="A51" t="s">
        <v>301</v>
      </c>
      <c r="B51" s="10">
        <v>3.4</v>
      </c>
    </row>
    <row r="52" spans="1:2" x14ac:dyDescent="0.35">
      <c r="A52" t="s">
        <v>302</v>
      </c>
      <c r="B52" s="10">
        <v>4.0999999999999996</v>
      </c>
    </row>
    <row r="53" spans="1:2" x14ac:dyDescent="0.35">
      <c r="A53" t="s">
        <v>303</v>
      </c>
      <c r="B53" s="10">
        <v>4.4000000000000004</v>
      </c>
    </row>
    <row r="54" spans="1:2" x14ac:dyDescent="0.35">
      <c r="A54" t="s">
        <v>304</v>
      </c>
      <c r="B54" s="10">
        <v>4.7</v>
      </c>
    </row>
    <row r="55" spans="1:2" x14ac:dyDescent="0.35">
      <c r="A55" t="s">
        <v>305</v>
      </c>
      <c r="B55" s="10">
        <v>4.5999999999999996</v>
      </c>
    </row>
    <row r="56" spans="1:2" x14ac:dyDescent="0.35">
      <c r="A56" t="s">
        <v>306</v>
      </c>
      <c r="B56" s="10">
        <v>3.5</v>
      </c>
    </row>
    <row r="57" spans="1:2" x14ac:dyDescent="0.35">
      <c r="A57" t="s">
        <v>307</v>
      </c>
      <c r="B57" s="10">
        <v>2.8</v>
      </c>
    </row>
    <row r="58" spans="1:2" x14ac:dyDescent="0.35">
      <c r="A58" t="s">
        <v>308</v>
      </c>
      <c r="B58" s="10">
        <v>2.4</v>
      </c>
    </row>
    <row r="59" spans="1:2" x14ac:dyDescent="0.35">
      <c r="A59" t="s">
        <v>309</v>
      </c>
      <c r="B59" s="10">
        <v>2.7</v>
      </c>
    </row>
    <row r="60" spans="1:2" x14ac:dyDescent="0.35">
      <c r="A60" t="s">
        <v>310</v>
      </c>
      <c r="B60" s="10">
        <v>2.8</v>
      </c>
    </row>
    <row r="61" spans="1:2" x14ac:dyDescent="0.35">
      <c r="A61" t="s">
        <v>311</v>
      </c>
      <c r="B61" s="10">
        <v>2.7</v>
      </c>
    </row>
    <row r="62" spans="1:2" x14ac:dyDescent="0.35">
      <c r="A62" t="s">
        <v>312</v>
      </c>
      <c r="B62" s="10">
        <v>2.7</v>
      </c>
    </row>
    <row r="63" spans="1:2" x14ac:dyDescent="0.35">
      <c r="A63" t="s">
        <v>313</v>
      </c>
      <c r="B63" s="10">
        <v>2.1</v>
      </c>
    </row>
    <row r="64" spans="1:2" x14ac:dyDescent="0.35">
      <c r="A64" t="s">
        <v>314</v>
      </c>
      <c r="B64" s="10">
        <v>1.7</v>
      </c>
    </row>
    <row r="65" spans="1:2" x14ac:dyDescent="0.35">
      <c r="A65" t="s">
        <v>315</v>
      </c>
      <c r="B65" s="10">
        <v>1.7</v>
      </c>
    </row>
    <row r="66" spans="1:2" x14ac:dyDescent="0.35">
      <c r="A66" t="s">
        <v>316</v>
      </c>
      <c r="B66" s="10">
        <v>1.5</v>
      </c>
    </row>
    <row r="67" spans="1:2" x14ac:dyDescent="0.35">
      <c r="A67" t="s">
        <v>317</v>
      </c>
      <c r="B67" s="10">
        <v>0.9</v>
      </c>
    </row>
    <row r="68" spans="1:2" x14ac:dyDescent="0.35">
      <c r="A68" t="s">
        <v>318</v>
      </c>
      <c r="B68" s="10">
        <v>0.1</v>
      </c>
    </row>
    <row r="69" spans="1:2" x14ac:dyDescent="0.35">
      <c r="A69" t="s">
        <v>319</v>
      </c>
      <c r="B69" s="10">
        <v>0</v>
      </c>
    </row>
    <row r="70" spans="1:2" x14ac:dyDescent="0.35">
      <c r="A70" t="s">
        <v>320</v>
      </c>
      <c r="B70" s="10">
        <v>0</v>
      </c>
    </row>
    <row r="71" spans="1:2" x14ac:dyDescent="0.35">
      <c r="A71" t="s">
        <v>321</v>
      </c>
      <c r="B71" s="10">
        <v>0.1</v>
      </c>
    </row>
    <row r="72" spans="1:2" x14ac:dyDescent="0.35">
      <c r="A72" t="s">
        <v>322</v>
      </c>
      <c r="B72" s="10">
        <v>0.3</v>
      </c>
    </row>
    <row r="73" spans="1:2" x14ac:dyDescent="0.35">
      <c r="A73" t="s">
        <v>323</v>
      </c>
      <c r="B73" s="10">
        <v>0.4</v>
      </c>
    </row>
    <row r="74" spans="1:2" x14ac:dyDescent="0.35">
      <c r="A74" t="s">
        <v>324</v>
      </c>
      <c r="B74" s="10">
        <v>0.7</v>
      </c>
    </row>
    <row r="75" spans="1:2" x14ac:dyDescent="0.35">
      <c r="A75" t="s">
        <v>325</v>
      </c>
      <c r="B75" s="10">
        <v>1.2</v>
      </c>
    </row>
    <row r="76" spans="1:2" x14ac:dyDescent="0.35">
      <c r="A76" t="s">
        <v>326</v>
      </c>
      <c r="B76" s="10">
        <v>2.1</v>
      </c>
    </row>
    <row r="77" spans="1:2" x14ac:dyDescent="0.35">
      <c r="A77" t="s">
        <v>327</v>
      </c>
      <c r="B77" s="10">
        <v>2.7</v>
      </c>
    </row>
    <row r="78" spans="1:2" x14ac:dyDescent="0.35">
      <c r="A78" t="s">
        <v>328</v>
      </c>
      <c r="B78" s="10">
        <v>2.8</v>
      </c>
    </row>
    <row r="79" spans="1:2" x14ac:dyDescent="0.35">
      <c r="A79" t="s">
        <v>329</v>
      </c>
      <c r="B79" s="10">
        <v>3</v>
      </c>
    </row>
    <row r="80" spans="1:2" x14ac:dyDescent="0.35">
      <c r="A80" t="s">
        <v>330</v>
      </c>
      <c r="B80" s="10">
        <v>2.7</v>
      </c>
    </row>
    <row r="81" spans="1:2" x14ac:dyDescent="0.35">
      <c r="A81" t="s">
        <v>331</v>
      </c>
      <c r="B81" s="10">
        <v>2.4</v>
      </c>
    </row>
    <row r="82" spans="1:2" x14ac:dyDescent="0.35">
      <c r="A82" t="s">
        <v>332</v>
      </c>
      <c r="B82" s="10">
        <v>2.5</v>
      </c>
    </row>
    <row r="83" spans="1:2" x14ac:dyDescent="0.35">
      <c r="A83" t="s">
        <v>333</v>
      </c>
      <c r="B83" s="10">
        <v>2.2999999999999998</v>
      </c>
    </row>
    <row r="84" spans="1:2" x14ac:dyDescent="0.35">
      <c r="A84" t="s">
        <v>334</v>
      </c>
      <c r="B84" s="10">
        <v>1.9</v>
      </c>
    </row>
    <row r="85" spans="1:2" x14ac:dyDescent="0.35">
      <c r="A85" t="s">
        <v>335</v>
      </c>
      <c r="B85" s="10">
        <v>2</v>
      </c>
    </row>
    <row r="86" spans="1:2" x14ac:dyDescent="0.35">
      <c r="A86" t="s">
        <v>336</v>
      </c>
      <c r="B86" s="10">
        <v>1.8</v>
      </c>
    </row>
    <row r="87" spans="1:2" x14ac:dyDescent="0.35">
      <c r="A87" t="s">
        <v>337</v>
      </c>
      <c r="B87" s="10">
        <v>1.4</v>
      </c>
    </row>
    <row r="88" spans="1:2" x14ac:dyDescent="0.35">
      <c r="A88" t="s">
        <v>338</v>
      </c>
      <c r="B88" s="10">
        <v>1.7</v>
      </c>
    </row>
    <row r="89" spans="1:2" x14ac:dyDescent="0.35">
      <c r="A89" t="s">
        <v>339</v>
      </c>
      <c r="B89" s="10">
        <v>0.6</v>
      </c>
    </row>
    <row r="90" spans="1:2" x14ac:dyDescent="0.35">
      <c r="A90" t="s">
        <v>340</v>
      </c>
      <c r="B90" s="10">
        <v>0.6</v>
      </c>
    </row>
    <row r="91" spans="1:2" x14ac:dyDescent="0.35">
      <c r="A91" t="s">
        <v>341</v>
      </c>
      <c r="B91" s="10">
        <v>0.5</v>
      </c>
    </row>
    <row r="92" spans="1:2" x14ac:dyDescent="0.35">
      <c r="A92" t="s">
        <v>342</v>
      </c>
      <c r="B92" s="10">
        <v>0.6</v>
      </c>
    </row>
    <row r="93" spans="1:2" x14ac:dyDescent="0.35">
      <c r="A93" t="s">
        <v>343</v>
      </c>
      <c r="B93" s="10">
        <v>2.1</v>
      </c>
    </row>
    <row r="94" spans="1:2" x14ac:dyDescent="0.35">
      <c r="A94" t="s">
        <v>344</v>
      </c>
      <c r="B94" s="10">
        <v>2.8</v>
      </c>
    </row>
    <row r="95" spans="1:2" x14ac:dyDescent="0.35">
      <c r="A95" t="s">
        <v>345</v>
      </c>
      <c r="B95" s="10">
        <v>4.9000000000000004</v>
      </c>
    </row>
    <row r="96" spans="1:2" x14ac:dyDescent="0.35">
      <c r="A96" t="s">
        <v>346</v>
      </c>
      <c r="B96" s="10">
        <v>6.2</v>
      </c>
    </row>
    <row r="97" spans="1:2" x14ac:dyDescent="0.35">
      <c r="A97" t="s">
        <v>347</v>
      </c>
      <c r="B97" s="10">
        <v>9.1999999999999993</v>
      </c>
    </row>
    <row r="98" spans="1:2" x14ac:dyDescent="0.35">
      <c r="A98" t="s">
        <v>348</v>
      </c>
      <c r="B98" s="10">
        <v>10</v>
      </c>
    </row>
    <row r="99" spans="1:2" x14ac:dyDescent="0.35">
      <c r="A99" t="s">
        <v>349</v>
      </c>
      <c r="B99" s="10">
        <v>10.7</v>
      </c>
    </row>
    <row r="100" spans="1:2" x14ac:dyDescent="0.35">
      <c r="A100" t="s">
        <v>350</v>
      </c>
      <c r="B100" s="10">
        <v>10.199999999999999</v>
      </c>
    </row>
    <row r="101" spans="1:2" x14ac:dyDescent="0.35">
      <c r="A101" t="s">
        <v>351</v>
      </c>
      <c r="B101" s="10">
        <v>8.4</v>
      </c>
    </row>
    <row r="102" spans="1:2" x14ac:dyDescent="0.35">
      <c r="A102" t="s">
        <v>352</v>
      </c>
      <c r="B102" s="10">
        <v>6.7</v>
      </c>
    </row>
    <row r="103" spans="1:2" x14ac:dyDescent="0.35">
      <c r="A103" t="s">
        <v>353</v>
      </c>
      <c r="B103" s="10">
        <v>4.2</v>
      </c>
    </row>
    <row r="104" spans="1:2" x14ac:dyDescent="0.35">
      <c r="A104" t="s">
        <v>354</v>
      </c>
      <c r="B104" s="10">
        <v>3.5</v>
      </c>
    </row>
    <row r="105" spans="1:2" x14ac:dyDescent="0.35">
      <c r="A105" t="s">
        <v>355</v>
      </c>
      <c r="B105" s="10">
        <v>2.1</v>
      </c>
    </row>
    <row r="106" spans="1:2" x14ac:dyDescent="0.35">
      <c r="A106" t="s">
        <v>356</v>
      </c>
      <c r="B106" s="10">
        <v>2</v>
      </c>
    </row>
    <row r="107" spans="1:2" x14ac:dyDescent="0.35">
      <c r="A107" t="s">
        <v>357</v>
      </c>
      <c r="B107" s="10">
        <v>2.5</v>
      </c>
    </row>
    <row r="108" spans="1:2" x14ac:dyDescent="0.35">
      <c r="A108" t="s">
        <v>358</v>
      </c>
      <c r="B108" s="10">
        <v>2.8</v>
      </c>
    </row>
    <row r="109" spans="1:2" x14ac:dyDescent="0.35">
      <c r="A109" t="s">
        <v>359</v>
      </c>
      <c r="B109" s="10">
        <v>3.5</v>
      </c>
    </row>
    <row r="110" spans="1:2" x14ac:dyDescent="0.35">
      <c r="A110" t="s">
        <v>360</v>
      </c>
      <c r="B110" s="10">
        <v>3.8</v>
      </c>
    </row>
    <row r="111" spans="1:2" x14ac:dyDescent="0.35">
      <c r="A111" t="s">
        <v>361</v>
      </c>
      <c r="B111" s="10">
        <v>3.4</v>
      </c>
    </row>
    <row r="112" spans="1:2" x14ac:dyDescent="0.35">
      <c r="A112" t="s">
        <v>362</v>
      </c>
      <c r="B112" s="10">
        <v>3</v>
      </c>
    </row>
    <row r="113" spans="1:2" x14ac:dyDescent="0.35">
      <c r="A113" t="s">
        <v>363</v>
      </c>
      <c r="B113" s="10">
        <v>2.1</v>
      </c>
    </row>
    <row r="114" spans="1:2" x14ac:dyDescent="0.35">
      <c r="A114" t="s">
        <v>364</v>
      </c>
      <c r="B114" s="10">
        <v>2</v>
      </c>
    </row>
    <row r="115" spans="1:2" x14ac:dyDescent="0.35">
      <c r="A115" t="s">
        <v>365</v>
      </c>
      <c r="B115" s="10">
        <v>2</v>
      </c>
    </row>
    <row r="116" spans="1:2" x14ac:dyDescent="0.35">
      <c r="A116" t="s">
        <v>366</v>
      </c>
      <c r="B116" s="10">
        <v>1.7</v>
      </c>
    </row>
    <row r="117" spans="1:2" x14ac:dyDescent="0.35">
      <c r="A117" t="s">
        <v>367</v>
      </c>
      <c r="B117" s="10">
        <v>2</v>
      </c>
    </row>
    <row r="118" spans="1:2" x14ac:dyDescent="0.35">
      <c r="A118" t="s">
        <v>368</v>
      </c>
      <c r="B118" s="10">
        <v>1.9</v>
      </c>
    </row>
    <row r="119" spans="1:2" x14ac:dyDescent="0.35">
      <c r="A119" t="s">
        <v>369</v>
      </c>
      <c r="B119" s="10">
        <v>1.8</v>
      </c>
    </row>
    <row r="120" spans="1:2" x14ac:dyDescent="0.35">
      <c r="A120" t="s">
        <v>370</v>
      </c>
      <c r="B120" s="10">
        <v>1.8</v>
      </c>
    </row>
    <row r="121" spans="1:2" x14ac:dyDescent="0.35">
      <c r="A121" t="s">
        <v>371</v>
      </c>
      <c r="B121" s="10">
        <v>2</v>
      </c>
    </row>
    <row r="122" spans="1:2" x14ac:dyDescent="0.35">
      <c r="A122" t="s">
        <v>372</v>
      </c>
      <c r="B122" s="10">
        <v>2</v>
      </c>
    </row>
    <row r="123" spans="1:2" x14ac:dyDescent="0.35">
      <c r="A123" t="s">
        <v>373</v>
      </c>
      <c r="B123" s="10">
        <v>2</v>
      </c>
    </row>
    <row r="124" spans="1:2" x14ac:dyDescent="0.35">
      <c r="A124" t="s">
        <v>374</v>
      </c>
      <c r="B124" s="10">
        <v>2</v>
      </c>
    </row>
  </sheetData>
  <hyperlinks>
    <hyperlink ref="B1" r:id="rId1" xr:uid="{E1E5FB2A-164A-46A3-8212-1C21204D13B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9222-CB68-49E4-AA64-0A832E18671D}">
  <dimension ref="A1:AB134"/>
  <sheetViews>
    <sheetView zoomScale="85" zoomScaleNormal="85"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Q28" sqref="Q28"/>
    </sheetView>
  </sheetViews>
  <sheetFormatPr defaultRowHeight="14.5" x14ac:dyDescent="0.35"/>
  <cols>
    <col min="1" max="1" width="11.6328125" customWidth="1"/>
    <col min="8" max="9" width="3.6328125" customWidth="1"/>
    <col min="15" max="16" width="3.6328125" customWidth="1"/>
    <col min="22" max="23" width="3.26953125" customWidth="1"/>
  </cols>
  <sheetData>
    <row r="1" spans="1:28" x14ac:dyDescent="0.35">
      <c r="A1" s="4" t="s">
        <v>150</v>
      </c>
      <c r="F1" t="s">
        <v>151</v>
      </c>
      <c r="J1" s="4" t="s">
        <v>244</v>
      </c>
      <c r="R1" s="12" t="s">
        <v>378</v>
      </c>
      <c r="S1" s="12"/>
      <c r="T1" s="12" t="s">
        <v>379</v>
      </c>
      <c r="U1" s="12"/>
    </row>
    <row r="2" spans="1:28" x14ac:dyDescent="0.35">
      <c r="B2" t="s">
        <v>236</v>
      </c>
      <c r="C2" t="s">
        <v>237</v>
      </c>
      <c r="D2" s="7">
        <v>0.5</v>
      </c>
      <c r="F2" t="s">
        <v>236</v>
      </c>
      <c r="G2" t="s">
        <v>237</v>
      </c>
      <c r="K2" t="s">
        <v>376</v>
      </c>
      <c r="L2" t="s">
        <v>377</v>
      </c>
      <c r="M2" t="s">
        <v>245</v>
      </c>
      <c r="N2" t="s">
        <v>375</v>
      </c>
      <c r="R2" t="s">
        <v>380</v>
      </c>
      <c r="S2" s="11" t="s">
        <v>387</v>
      </c>
      <c r="T2" t="s">
        <v>380</v>
      </c>
      <c r="U2" s="11" t="s">
        <v>387</v>
      </c>
      <c r="Y2" t="s">
        <v>386</v>
      </c>
      <c r="Z2" t="s">
        <v>383</v>
      </c>
      <c r="AA2" t="s">
        <v>384</v>
      </c>
      <c r="AB2" t="s">
        <v>385</v>
      </c>
    </row>
    <row r="3" spans="1:28" x14ac:dyDescent="0.35">
      <c r="A3" s="5">
        <v>46006</v>
      </c>
      <c r="D3" s="7">
        <v>0.5</v>
      </c>
      <c r="J3" s="8">
        <v>45292</v>
      </c>
      <c r="K3" s="6">
        <f>'[1]CPI Forecast'!D601</f>
        <v>3.5377561591716011</v>
      </c>
      <c r="L3" s="6">
        <f>'[2]CPI Forecast'!D601</f>
        <v>3.5377561591716011</v>
      </c>
      <c r="M3" s="6">
        <v>2</v>
      </c>
      <c r="N3" s="10">
        <f>K3</f>
        <v>3.5377561591716011</v>
      </c>
      <c r="Q3" s="8">
        <v>46023</v>
      </c>
      <c r="R3" s="10">
        <v>64.415999999999997</v>
      </c>
      <c r="S3" s="10">
        <v>87.8</v>
      </c>
      <c r="T3" s="10">
        <v>81.227111111111114</v>
      </c>
      <c r="U3" s="10">
        <v>120.63</v>
      </c>
      <c r="X3" s="8">
        <v>42736</v>
      </c>
      <c r="Y3" s="10">
        <v>2.6</v>
      </c>
      <c r="Z3" s="10">
        <v>3</v>
      </c>
      <c r="AA3" s="6">
        <v>2.4608333333333325</v>
      </c>
      <c r="AB3" s="6">
        <v>3.1545833333333348</v>
      </c>
    </row>
    <row r="4" spans="1:28" x14ac:dyDescent="0.35">
      <c r="A4" s="5">
        <v>46007</v>
      </c>
      <c r="D4" s="7">
        <v>0.5</v>
      </c>
      <c r="J4" s="8">
        <v>45383</v>
      </c>
      <c r="K4" s="6">
        <f>'[1]CPI Forecast'!D602</f>
        <v>2.0988784618906076</v>
      </c>
      <c r="L4" s="6">
        <f>'[2]CPI Forecast'!D602</f>
        <v>2.0988784618906076</v>
      </c>
      <c r="M4" s="6">
        <v>2</v>
      </c>
      <c r="N4" s="10">
        <f t="shared" ref="N4:N10" si="0">K4</f>
        <v>2.0988784618906076</v>
      </c>
      <c r="Q4" s="8">
        <v>46113</v>
      </c>
      <c r="R4" s="10">
        <v>63.322666666666677</v>
      </c>
      <c r="S4" s="10">
        <v>82.6</v>
      </c>
      <c r="T4" s="10">
        <v>68.946444444444452</v>
      </c>
      <c r="U4" s="10">
        <v>114.47333333333331</v>
      </c>
      <c r="X4" s="8">
        <v>42767</v>
      </c>
      <c r="Y4" s="10">
        <v>2.6</v>
      </c>
      <c r="Z4" s="10">
        <v>3.2</v>
      </c>
      <c r="AA4" s="6">
        <v>2.4608333333333325</v>
      </c>
      <c r="AB4" s="6">
        <v>3.1545833333333348</v>
      </c>
    </row>
    <row r="5" spans="1:28" x14ac:dyDescent="0.35">
      <c r="A5" s="5">
        <v>46008</v>
      </c>
      <c r="D5" s="7">
        <v>0.5</v>
      </c>
      <c r="J5" s="8">
        <v>45474</v>
      </c>
      <c r="K5" s="6">
        <f>'[1]CPI Forecast'!D603</f>
        <v>2.042876565004792</v>
      </c>
      <c r="L5" s="6">
        <f>'[2]CPI Forecast'!D603</f>
        <v>2.042876565004792</v>
      </c>
      <c r="M5" s="6">
        <v>2</v>
      </c>
      <c r="N5" s="10">
        <f t="shared" si="0"/>
        <v>2.042876565004792</v>
      </c>
      <c r="Q5" s="8">
        <v>46204</v>
      </c>
      <c r="R5" s="10">
        <v>62.746000000000002</v>
      </c>
      <c r="S5" s="10">
        <v>76.91</v>
      </c>
      <c r="T5" s="10">
        <v>68.603333333333339</v>
      </c>
      <c r="U5" s="10">
        <v>109.87</v>
      </c>
      <c r="X5" s="8">
        <v>42795</v>
      </c>
      <c r="Y5" s="10">
        <v>2.5</v>
      </c>
      <c r="Z5" s="10">
        <v>3</v>
      </c>
      <c r="AA5" s="6">
        <v>2.4608333333333325</v>
      </c>
      <c r="AB5" s="6">
        <v>3.1545833333333348</v>
      </c>
    </row>
    <row r="6" spans="1:28" x14ac:dyDescent="0.35">
      <c r="A6" s="5">
        <v>46009</v>
      </c>
      <c r="B6" s="7">
        <f t="shared" ref="B6:B50" si="1">IF(F6&lt;0,-F6/0.25,F6/0.25)</f>
        <v>0.43360000000000021</v>
      </c>
      <c r="C6" s="7">
        <f t="shared" ref="C6:C50" si="2">IF(G6&lt;0,-G6/0.25,G6/0.25)</f>
        <v>0.89359999999999928</v>
      </c>
      <c r="D6" s="7">
        <v>0.5</v>
      </c>
      <c r="F6" s="6">
        <f>HAVERD!E172-HAVERD!$B172</f>
        <v>-0.10840000000000005</v>
      </c>
      <c r="G6" s="6">
        <f>HAVERD!F172-HAVERD!$B172</f>
        <v>-0.22339999999999982</v>
      </c>
      <c r="J6" s="8">
        <v>45566</v>
      </c>
      <c r="K6" s="6">
        <f>'[1]CPI Forecast'!D604</f>
        <v>2.4685994852664539</v>
      </c>
      <c r="L6" s="6">
        <f>'[2]CPI Forecast'!D604</f>
        <v>2.4685994852664539</v>
      </c>
      <c r="M6" s="6">
        <v>2</v>
      </c>
      <c r="N6" s="10">
        <f t="shared" si="0"/>
        <v>2.4685994852664539</v>
      </c>
      <c r="Q6" s="8">
        <v>46296</v>
      </c>
      <c r="R6" s="10">
        <v>62.535666666666671</v>
      </c>
      <c r="S6" s="10">
        <v>74.47999999999999</v>
      </c>
      <c r="T6" s="10">
        <v>73.668222222222241</v>
      </c>
      <c r="U6" s="10">
        <v>111.99333333333334</v>
      </c>
      <c r="X6" s="8">
        <v>42826</v>
      </c>
      <c r="Y6" s="10">
        <v>2.5</v>
      </c>
      <c r="Z6" s="10">
        <v>2.9</v>
      </c>
      <c r="AA6" s="6">
        <v>2.4608333333333325</v>
      </c>
      <c r="AB6" s="6">
        <v>3.1545833333333348</v>
      </c>
    </row>
    <row r="7" spans="1:28" x14ac:dyDescent="0.35">
      <c r="A7" s="5">
        <v>46010</v>
      </c>
      <c r="B7" s="7">
        <f t="shared" si="1"/>
        <v>0.38239999999999874</v>
      </c>
      <c r="C7" s="7">
        <f t="shared" si="2"/>
        <v>0.81439999999999912</v>
      </c>
      <c r="D7" s="7">
        <v>0.5</v>
      </c>
      <c r="F7" s="6">
        <f>HAVERD!D173-HAVERD!$B173</f>
        <v>-9.5599999999999685E-2</v>
      </c>
      <c r="G7" s="6">
        <f>HAVERD!E173-HAVERD!$B173</f>
        <v>-0.20359999999999978</v>
      </c>
      <c r="J7" s="8">
        <v>45658</v>
      </c>
      <c r="K7" s="6">
        <f>'[1]CPI Forecast'!D605</f>
        <v>2.8036676529743287</v>
      </c>
      <c r="L7" s="6">
        <f>'[2]CPI Forecast'!D605</f>
        <v>2.8036676529743287</v>
      </c>
      <c r="M7" s="6">
        <v>2</v>
      </c>
      <c r="N7" s="10">
        <f t="shared" si="0"/>
        <v>2.8036676529743287</v>
      </c>
      <c r="Q7" s="8">
        <v>46388</v>
      </c>
      <c r="R7" s="10">
        <v>62.325333333333333</v>
      </c>
      <c r="S7" s="10">
        <v>72.05</v>
      </c>
      <c r="T7" s="10">
        <v>70.086666666666659</v>
      </c>
      <c r="U7" s="10">
        <v>101.41333333333334</v>
      </c>
      <c r="X7" s="8">
        <v>42856</v>
      </c>
      <c r="Y7" s="10">
        <v>2.6</v>
      </c>
      <c r="Z7" s="10">
        <v>3</v>
      </c>
      <c r="AA7" s="6">
        <v>2.4608333333333325</v>
      </c>
      <c r="AB7" s="6">
        <v>3.1545833333333348</v>
      </c>
    </row>
    <row r="8" spans="1:28" x14ac:dyDescent="0.35">
      <c r="A8" s="5">
        <v>46013</v>
      </c>
      <c r="B8" s="7">
        <f t="shared" si="1"/>
        <v>0.38840000000000074</v>
      </c>
      <c r="C8" s="7">
        <f t="shared" si="2"/>
        <v>0.82440000000000069</v>
      </c>
      <c r="D8" s="7">
        <v>0.5</v>
      </c>
      <c r="F8" s="6">
        <f>HAVERD!D174-HAVERD!$B174</f>
        <v>-9.7100000000000186E-2</v>
      </c>
      <c r="G8" s="6">
        <f>HAVERD!E174-HAVERD!$B174</f>
        <v>-0.20610000000000017</v>
      </c>
      <c r="J8" s="8">
        <v>45748</v>
      </c>
      <c r="K8" s="6">
        <f>'[1]CPI Forecast'!D606</f>
        <v>3.48724539994969</v>
      </c>
      <c r="L8" s="6">
        <f>'[2]CPI Forecast'!D606</f>
        <v>3.48724539994969</v>
      </c>
      <c r="M8" s="6">
        <v>2</v>
      </c>
      <c r="N8" s="10">
        <f t="shared" si="0"/>
        <v>3.48724539994969</v>
      </c>
      <c r="Q8" s="8">
        <v>46478</v>
      </c>
      <c r="R8" s="10">
        <v>62.539333333333339</v>
      </c>
      <c r="S8" s="10">
        <v>71.552499999999995</v>
      </c>
      <c r="T8" s="10">
        <v>58.123777777777775</v>
      </c>
      <c r="U8" s="10">
        <v>78.543333333333337</v>
      </c>
      <c r="X8" s="8">
        <v>42887</v>
      </c>
      <c r="Y8" s="10">
        <v>2.6</v>
      </c>
      <c r="Z8" s="10">
        <v>3.1</v>
      </c>
      <c r="AA8" s="6">
        <v>2.4608333333333325</v>
      </c>
      <c r="AB8" s="6">
        <v>3.1545833333333348</v>
      </c>
    </row>
    <row r="9" spans="1:28" x14ac:dyDescent="0.35">
      <c r="A9" s="5">
        <v>46014</v>
      </c>
      <c r="B9" s="7">
        <f t="shared" si="1"/>
        <v>0.38320000000000043</v>
      </c>
      <c r="C9" s="7">
        <f t="shared" si="2"/>
        <v>0.81120000000000125</v>
      </c>
      <c r="D9" s="7">
        <v>0.5</v>
      </c>
      <c r="F9" s="6">
        <f>HAVERD!D175-HAVERD!$B175</f>
        <v>-9.5800000000000107E-2</v>
      </c>
      <c r="G9" s="6">
        <f>HAVERD!E175-HAVERD!$B175</f>
        <v>-0.20280000000000031</v>
      </c>
      <c r="J9" s="8">
        <v>45839</v>
      </c>
      <c r="K9" s="6">
        <f>'[1]CPI Forecast'!D607</f>
        <v>3.8001302504089063</v>
      </c>
      <c r="L9" s="6">
        <f>'[2]CPI Forecast'!D607</f>
        <v>3.8001302504089063</v>
      </c>
      <c r="M9" s="6">
        <v>2</v>
      </c>
      <c r="N9" s="10">
        <f t="shared" si="0"/>
        <v>3.8001302504089063</v>
      </c>
      <c r="Q9" s="8">
        <v>46569</v>
      </c>
      <c r="R9" s="10">
        <v>62.753333333333345</v>
      </c>
      <c r="S9" s="10">
        <v>71.054999999999993</v>
      </c>
      <c r="T9" s="10">
        <v>59.818222222222225</v>
      </c>
      <c r="U9" s="10">
        <v>77.56</v>
      </c>
      <c r="X9" s="8">
        <v>42917</v>
      </c>
      <c r="Y9" s="10">
        <v>2.5</v>
      </c>
      <c r="Z9" s="10">
        <v>3.1</v>
      </c>
      <c r="AA9" s="6">
        <v>2.4608333333333325</v>
      </c>
      <c r="AB9" s="6">
        <v>3.1545833333333348</v>
      </c>
    </row>
    <row r="10" spans="1:28" x14ac:dyDescent="0.35">
      <c r="A10" s="5">
        <v>46015</v>
      </c>
      <c r="B10" s="7">
        <f t="shared" si="1"/>
        <v>0.38400000000000034</v>
      </c>
      <c r="C10" s="7">
        <f t="shared" si="2"/>
        <v>0.82800000000000118</v>
      </c>
      <c r="D10" s="7">
        <v>0.5</v>
      </c>
      <c r="F10" s="6">
        <f>HAVERD!D176-HAVERD!$B176</f>
        <v>-9.6000000000000085E-2</v>
      </c>
      <c r="G10" s="6">
        <f>HAVERD!E176-HAVERD!$B176</f>
        <v>-0.20700000000000029</v>
      </c>
      <c r="J10" s="8">
        <v>45931</v>
      </c>
      <c r="K10" s="6">
        <f>'[1]CPI Forecast'!D608</f>
        <v>3.3933355845474633</v>
      </c>
      <c r="L10" s="6">
        <f>'[2]CPI Forecast'!D608</f>
        <v>3.3933355845474633</v>
      </c>
      <c r="M10" s="6">
        <v>2</v>
      </c>
      <c r="N10" s="10">
        <f t="shared" si="0"/>
        <v>3.3933355845474633</v>
      </c>
      <c r="Q10" s="8">
        <v>46661</v>
      </c>
      <c r="R10" s="10">
        <v>62.96733333333335</v>
      </c>
      <c r="S10" s="10">
        <v>70.55749999999999</v>
      </c>
      <c r="T10" s="10">
        <v>67.562222222222218</v>
      </c>
      <c r="U10" s="10">
        <v>81.596666666666664</v>
      </c>
      <c r="X10" s="8">
        <v>42948</v>
      </c>
      <c r="Y10" s="10">
        <v>2.6</v>
      </c>
      <c r="Z10" s="10">
        <v>3.2</v>
      </c>
      <c r="AA10" s="6">
        <v>2.4608333333333325</v>
      </c>
      <c r="AB10" s="6">
        <v>3.1545833333333348</v>
      </c>
    </row>
    <row r="11" spans="1:28" x14ac:dyDescent="0.35">
      <c r="A11" s="5">
        <f t="shared" ref="A11:A12" si="3">A6+7</f>
        <v>46016</v>
      </c>
      <c r="B11" s="7" t="e">
        <f t="shared" si="1"/>
        <v>#N/A</v>
      </c>
      <c r="C11" s="7" t="e">
        <f t="shared" si="2"/>
        <v>#N/A</v>
      </c>
      <c r="D11" s="7">
        <v>0.5</v>
      </c>
      <c r="F11" s="6" t="e">
        <f>HAVERD!D177-HAVERD!$B177</f>
        <v>#N/A</v>
      </c>
      <c r="G11" s="6" t="e">
        <f>HAVERD!E177-HAVERD!$B177</f>
        <v>#N/A</v>
      </c>
      <c r="J11" s="8">
        <v>46023</v>
      </c>
      <c r="K11" s="6">
        <f>'[1]CPI Forecast'!D609</f>
        <v>2.8855185613096079</v>
      </c>
      <c r="L11" s="6">
        <f>'[2]CPI Forecast'!D609</f>
        <v>2.8946770229653529</v>
      </c>
      <c r="M11" s="6">
        <v>2</v>
      </c>
      <c r="N11" s="10">
        <f>HAVERQ!B112</f>
        <v>3</v>
      </c>
      <c r="Q11" s="8">
        <v>46753</v>
      </c>
      <c r="R11" s="10">
        <v>63.181333333333349</v>
      </c>
      <c r="S11" s="10">
        <v>70.06</v>
      </c>
      <c r="T11" s="10">
        <v>65.158888888888896</v>
      </c>
      <c r="U11" s="10">
        <v>75.043333333333337</v>
      </c>
      <c r="X11" s="8">
        <v>42979</v>
      </c>
      <c r="Y11" s="10">
        <v>2.5</v>
      </c>
      <c r="Z11" s="10">
        <v>3.1</v>
      </c>
      <c r="AA11" s="6">
        <v>2.4608333333333325</v>
      </c>
      <c r="AB11" s="6">
        <v>3.1545833333333348</v>
      </c>
    </row>
    <row r="12" spans="1:28" x14ac:dyDescent="0.35">
      <c r="A12" s="5">
        <f t="shared" si="3"/>
        <v>46017</v>
      </c>
      <c r="B12" s="7" t="e">
        <f t="shared" si="1"/>
        <v>#N/A</v>
      </c>
      <c r="C12" s="7" t="e">
        <f t="shared" si="2"/>
        <v>#N/A</v>
      </c>
      <c r="D12" s="7">
        <v>0.5</v>
      </c>
      <c r="F12" s="6" t="e">
        <f>HAVERD!D178-HAVERD!$B178</f>
        <v>#N/A</v>
      </c>
      <c r="G12" s="6" t="e">
        <f>HAVERD!E178-HAVERD!$B178</f>
        <v>#N/A</v>
      </c>
      <c r="J12" s="8">
        <v>46113</v>
      </c>
      <c r="K12" s="6">
        <f>'[1]CPI Forecast'!D610</f>
        <v>2.0807736464132143</v>
      </c>
      <c r="L12" s="6">
        <f>'[2]CPI Forecast'!D610</f>
        <v>2.4987705977833619</v>
      </c>
      <c r="M12" s="6">
        <v>2</v>
      </c>
      <c r="N12" s="10">
        <f>HAVERQ!B113</f>
        <v>2.1</v>
      </c>
      <c r="T12" s="10">
        <v>54.168888888888887</v>
      </c>
      <c r="U12" s="10">
        <v>57.193333333333335</v>
      </c>
      <c r="X12" s="8">
        <v>43009</v>
      </c>
      <c r="Y12" s="10">
        <v>2.8</v>
      </c>
      <c r="Z12" s="10">
        <v>3.2</v>
      </c>
      <c r="AA12" s="6">
        <v>2.4608333333333325</v>
      </c>
      <c r="AB12" s="6">
        <v>3.1545833333333348</v>
      </c>
    </row>
    <row r="13" spans="1:28" x14ac:dyDescent="0.35">
      <c r="A13" s="5">
        <f t="shared" ref="A13:A62" si="4">+A8+7</f>
        <v>46020</v>
      </c>
      <c r="B13" s="7">
        <f t="shared" si="1"/>
        <v>0.40039999999999942</v>
      </c>
      <c r="C13" s="7">
        <f t="shared" si="2"/>
        <v>0.85639999999999894</v>
      </c>
      <c r="D13" s="7">
        <v>0.5</v>
      </c>
      <c r="F13" s="6">
        <f>HAVERD!D179-HAVERD!$B179</f>
        <v>-0.10009999999999986</v>
      </c>
      <c r="G13" s="6">
        <f>HAVERD!E179-HAVERD!$B179</f>
        <v>-0.21409999999999973</v>
      </c>
      <c r="J13" s="8">
        <v>46204</v>
      </c>
      <c r="K13" s="6">
        <f>'[1]CPI Forecast'!D611</f>
        <v>2.1144005505330687</v>
      </c>
      <c r="L13" s="6">
        <f>'[2]CPI Forecast'!D611</f>
        <v>2.8524327199954458</v>
      </c>
      <c r="M13" s="6">
        <v>2</v>
      </c>
      <c r="N13" s="10">
        <f>HAVERQ!B114</f>
        <v>2</v>
      </c>
      <c r="T13" s="10">
        <v>56.538666666666664</v>
      </c>
      <c r="U13" s="10">
        <v>57.72</v>
      </c>
      <c r="X13" s="8">
        <v>43040</v>
      </c>
      <c r="Y13" s="10">
        <v>2.6</v>
      </c>
      <c r="Z13" s="10">
        <v>3.2</v>
      </c>
      <c r="AA13" s="6">
        <v>2.4608333333333325</v>
      </c>
      <c r="AB13" s="6">
        <v>3.1545833333333348</v>
      </c>
    </row>
    <row r="14" spans="1:28" x14ac:dyDescent="0.35">
      <c r="A14" s="5">
        <f t="shared" si="4"/>
        <v>46021</v>
      </c>
      <c r="B14" s="7">
        <f t="shared" si="1"/>
        <v>0.41360000000000063</v>
      </c>
      <c r="C14" s="7">
        <f t="shared" si="2"/>
        <v>0.86560000000000059</v>
      </c>
      <c r="D14" s="7">
        <v>0.5</v>
      </c>
      <c r="F14" s="6">
        <f>HAVERD!D180-HAVERD!$B180</f>
        <v>-0.10340000000000016</v>
      </c>
      <c r="G14" s="6">
        <f>HAVERD!E180-HAVERD!$B180</f>
        <v>-0.21640000000000015</v>
      </c>
      <c r="J14" s="8">
        <v>46296</v>
      </c>
      <c r="K14" s="6">
        <f>'[1]CPI Forecast'!D612</f>
        <v>2.1117125894258182</v>
      </c>
      <c r="L14" s="6">
        <f>'[2]CPI Forecast'!D612</f>
        <v>2.6221744546280679</v>
      </c>
      <c r="M14" s="6">
        <v>2</v>
      </c>
      <c r="N14" s="10">
        <f>HAVERQ!B115</f>
        <v>2</v>
      </c>
      <c r="T14" s="10">
        <v>64.667111111111112</v>
      </c>
      <c r="U14" s="10">
        <v>65.083333333333329</v>
      </c>
      <c r="X14" s="8">
        <v>43070</v>
      </c>
      <c r="Y14" s="10">
        <v>2.7</v>
      </c>
      <c r="Z14" s="10">
        <v>3.3</v>
      </c>
      <c r="AA14" s="6">
        <v>2.4608333333333325</v>
      </c>
      <c r="AB14" s="6">
        <v>3.1545833333333348</v>
      </c>
    </row>
    <row r="15" spans="1:28" x14ac:dyDescent="0.35">
      <c r="A15" s="5">
        <f t="shared" si="4"/>
        <v>46022</v>
      </c>
      <c r="B15" s="7">
        <f t="shared" si="1"/>
        <v>0.41879999999999917</v>
      </c>
      <c r="C15" s="7">
        <f t="shared" si="2"/>
        <v>0.87479999999999869</v>
      </c>
      <c r="D15" s="7">
        <v>0.5</v>
      </c>
      <c r="F15" s="6">
        <f>HAVERD!D181-HAVERD!$B181</f>
        <v>-0.10469999999999979</v>
      </c>
      <c r="G15" s="6">
        <f>HAVERD!E181-HAVERD!$B181</f>
        <v>-0.21869999999999967</v>
      </c>
      <c r="J15" s="8">
        <v>46388</v>
      </c>
      <c r="K15" s="6">
        <f>'[1]CPI Forecast'!D613</f>
        <v>2.1963121172453137</v>
      </c>
      <c r="L15" s="6">
        <f>'[2]CPI Forecast'!D613</f>
        <v>2.5834042053156869</v>
      </c>
      <c r="M15" s="6">
        <v>2</v>
      </c>
      <c r="N15" s="10">
        <f>HAVERQ!B116</f>
        <v>1.7</v>
      </c>
      <c r="T15" s="10">
        <v>63.04066666666666</v>
      </c>
      <c r="U15" s="10">
        <v>63.513333333333343</v>
      </c>
      <c r="X15" s="8">
        <v>43101</v>
      </c>
      <c r="Y15" s="10">
        <v>2.5</v>
      </c>
      <c r="Z15" s="10">
        <v>3.1</v>
      </c>
      <c r="AA15" s="6">
        <v>2.4608333333333325</v>
      </c>
      <c r="AB15" s="6">
        <v>3.1545833333333348</v>
      </c>
    </row>
    <row r="16" spans="1:28" x14ac:dyDescent="0.35">
      <c r="A16" s="5">
        <f t="shared" si="4"/>
        <v>46023</v>
      </c>
      <c r="B16" s="7" t="e">
        <f t="shared" si="1"/>
        <v>#N/A</v>
      </c>
      <c r="C16" s="7" t="e">
        <f t="shared" si="2"/>
        <v>#N/A</v>
      </c>
      <c r="D16" s="7">
        <v>0.5</v>
      </c>
      <c r="F16" s="6" t="e">
        <f>HAVERD!D182-HAVERD!$B182</f>
        <v>#N/A</v>
      </c>
      <c r="G16" s="6" t="e">
        <f>HAVERD!E182-HAVERD!$B182</f>
        <v>#N/A</v>
      </c>
      <c r="J16" s="8">
        <v>46478</v>
      </c>
      <c r="K16" s="6">
        <f>'[1]CPI Forecast'!D614</f>
        <v>2.2973714120832156</v>
      </c>
      <c r="L16" s="6">
        <f>'[2]CPI Forecast'!D614</f>
        <v>2.1828434382329842</v>
      </c>
      <c r="M16" s="6">
        <v>2</v>
      </c>
      <c r="N16" s="10">
        <f>HAVERQ!B117</f>
        <v>2</v>
      </c>
      <c r="T16" s="10">
        <v>54.024222222222228</v>
      </c>
      <c r="U16" s="10">
        <v>53.9</v>
      </c>
      <c r="X16" s="8">
        <v>43132</v>
      </c>
      <c r="Y16" s="10">
        <v>2.4</v>
      </c>
      <c r="Z16" s="10">
        <v>3.1</v>
      </c>
      <c r="AA16" s="6">
        <v>2.4608333333333325</v>
      </c>
      <c r="AB16" s="6">
        <v>3.1545833333333348</v>
      </c>
    </row>
    <row r="17" spans="1:28" x14ac:dyDescent="0.35">
      <c r="A17" s="5">
        <f t="shared" si="4"/>
        <v>46024</v>
      </c>
      <c r="B17" s="7">
        <f t="shared" si="1"/>
        <v>0.40920000000000023</v>
      </c>
      <c r="C17" s="7">
        <f t="shared" si="2"/>
        <v>0.84920000000000151</v>
      </c>
      <c r="D17" s="7">
        <v>0.5</v>
      </c>
      <c r="F17" s="6">
        <f>HAVERD!D183-HAVERD!$B183</f>
        <v>-0.10230000000000006</v>
      </c>
      <c r="G17" s="6">
        <f>HAVERD!E183-HAVERD!$B183</f>
        <v>-0.21230000000000038</v>
      </c>
      <c r="J17" s="8">
        <v>46569</v>
      </c>
      <c r="K17" s="6">
        <f>'[1]CPI Forecast'!D615</f>
        <v>2.2781117101507098</v>
      </c>
      <c r="L17" s="6">
        <f>'[2]CPI Forecast'!D615</f>
        <v>1.8117808573972827</v>
      </c>
      <c r="M17" s="6">
        <v>2</v>
      </c>
      <c r="N17" s="10">
        <f>HAVERQ!B118</f>
        <v>1.9</v>
      </c>
      <c r="T17" s="10">
        <v>55.600444444444435</v>
      </c>
      <c r="U17" s="10">
        <v>55.169999999999995</v>
      </c>
      <c r="X17" s="8">
        <v>43160</v>
      </c>
      <c r="Y17" s="10">
        <v>2.4</v>
      </c>
      <c r="Z17" s="10">
        <v>3</v>
      </c>
      <c r="AA17" s="6">
        <v>2.4608333333333325</v>
      </c>
      <c r="AB17" s="6">
        <v>3.1545833333333348</v>
      </c>
    </row>
    <row r="18" spans="1:28" x14ac:dyDescent="0.35">
      <c r="A18" s="5">
        <f t="shared" si="4"/>
        <v>46027</v>
      </c>
      <c r="B18" s="7">
        <f t="shared" si="1"/>
        <v>0.42439999999999856</v>
      </c>
      <c r="C18" s="7">
        <f t="shared" si="2"/>
        <v>0.87239999999999895</v>
      </c>
      <c r="D18" s="7">
        <v>0.5</v>
      </c>
      <c r="F18" s="6">
        <f>HAVERD!D184-HAVERD!$B184</f>
        <v>-0.10609999999999964</v>
      </c>
      <c r="G18" s="6">
        <f>HAVERD!E184-HAVERD!$B184</f>
        <v>-0.21809999999999974</v>
      </c>
      <c r="J18" s="8">
        <v>46661</v>
      </c>
      <c r="K18" s="6">
        <f>'[1]CPI Forecast'!D616</f>
        <v>2.2931388718659518</v>
      </c>
      <c r="L18" s="6">
        <f>'[2]CPI Forecast'!D616</f>
        <v>2.0345023379969129</v>
      </c>
      <c r="M18" s="6">
        <v>2</v>
      </c>
      <c r="N18" s="10">
        <f>HAVERQ!B119</f>
        <v>1.8</v>
      </c>
      <c r="T18" s="10">
        <v>63.876000000000012</v>
      </c>
      <c r="U18" s="10">
        <v>64.573333333333338</v>
      </c>
      <c r="X18" s="8">
        <v>43191</v>
      </c>
      <c r="Y18" s="10">
        <v>2.4</v>
      </c>
      <c r="Z18" s="10">
        <v>3.1</v>
      </c>
      <c r="AA18" s="6">
        <v>2.4608333333333325</v>
      </c>
      <c r="AB18" s="6">
        <v>3.1545833333333348</v>
      </c>
    </row>
    <row r="19" spans="1:28" x14ac:dyDescent="0.35">
      <c r="A19" s="5">
        <f t="shared" si="4"/>
        <v>46028</v>
      </c>
      <c r="B19" s="7">
        <f t="shared" si="1"/>
        <v>0.41000000000000014</v>
      </c>
      <c r="C19" s="7">
        <f t="shared" si="2"/>
        <v>0.83799999999999919</v>
      </c>
      <c r="D19" s="7">
        <v>0.5</v>
      </c>
      <c r="F19" s="6">
        <f>HAVERD!D185-HAVERD!$B185</f>
        <v>-0.10250000000000004</v>
      </c>
      <c r="G19" s="6">
        <f>HAVERD!E185-HAVERD!$B185</f>
        <v>-0.2094999999999998</v>
      </c>
      <c r="J19" s="8"/>
      <c r="K19" s="6"/>
      <c r="L19" s="6"/>
      <c r="M19" s="6"/>
      <c r="X19" s="8">
        <v>43221</v>
      </c>
      <c r="Y19" s="10">
        <v>2.5</v>
      </c>
      <c r="Z19" s="10">
        <v>3.2</v>
      </c>
      <c r="AA19" s="6">
        <v>2.4608333333333325</v>
      </c>
      <c r="AB19" s="6">
        <v>3.1545833333333348</v>
      </c>
    </row>
    <row r="20" spans="1:28" x14ac:dyDescent="0.35">
      <c r="A20" s="5">
        <f t="shared" si="4"/>
        <v>46029</v>
      </c>
      <c r="B20" s="7">
        <f t="shared" si="1"/>
        <v>0.43120000000000047</v>
      </c>
      <c r="C20" s="7">
        <f t="shared" si="2"/>
        <v>0.86720000000000041</v>
      </c>
      <c r="D20" s="7">
        <v>0.5</v>
      </c>
      <c r="F20" s="6">
        <f>HAVERD!D186-HAVERD!$B186</f>
        <v>-0.10780000000000012</v>
      </c>
      <c r="G20" s="6">
        <f>HAVERD!E186-HAVERD!$B186</f>
        <v>-0.2168000000000001</v>
      </c>
      <c r="J20" s="8"/>
      <c r="K20" s="6"/>
      <c r="L20" s="6"/>
      <c r="M20" s="6"/>
      <c r="X20" s="8">
        <v>43252</v>
      </c>
      <c r="Y20" s="10">
        <v>2.6</v>
      </c>
      <c r="Z20" s="10">
        <v>3.35</v>
      </c>
      <c r="AA20" s="6">
        <v>2.4608333333333325</v>
      </c>
      <c r="AB20" s="6">
        <v>3.1545833333333348</v>
      </c>
    </row>
    <row r="21" spans="1:28" x14ac:dyDescent="0.35">
      <c r="A21" s="5">
        <f t="shared" si="4"/>
        <v>46030</v>
      </c>
      <c r="B21" s="7">
        <f t="shared" si="1"/>
        <v>0.41559999999999953</v>
      </c>
      <c r="C21" s="7">
        <f t="shared" si="2"/>
        <v>0.8835999999999995</v>
      </c>
      <c r="D21" s="7">
        <v>0.5</v>
      </c>
      <c r="F21" s="6">
        <f>HAVERD!D187-HAVERD!$B187</f>
        <v>-0.10389999999999988</v>
      </c>
      <c r="G21" s="6">
        <f>HAVERD!E187-HAVERD!$B187</f>
        <v>-0.22089999999999987</v>
      </c>
      <c r="J21" s="8"/>
      <c r="K21" s="6"/>
      <c r="L21" s="6"/>
      <c r="M21" s="6"/>
      <c r="X21" s="8">
        <v>43282</v>
      </c>
      <c r="Y21" s="10">
        <v>2.5</v>
      </c>
      <c r="Z21" s="10">
        <v>3.3</v>
      </c>
      <c r="AA21" s="6">
        <v>2.4608333333333325</v>
      </c>
      <c r="AB21" s="6">
        <v>3.1545833333333348</v>
      </c>
    </row>
    <row r="22" spans="1:28" x14ac:dyDescent="0.35">
      <c r="A22" s="5">
        <f t="shared" si="4"/>
        <v>46031</v>
      </c>
      <c r="B22" s="7">
        <f t="shared" si="1"/>
        <v>0.426400000000001</v>
      </c>
      <c r="C22" s="7">
        <f t="shared" si="2"/>
        <v>0.91040000000000099</v>
      </c>
      <c r="D22" s="7">
        <v>0.5</v>
      </c>
      <c r="F22" s="6">
        <f>HAVERD!D188-HAVERD!$B188</f>
        <v>-0.10660000000000025</v>
      </c>
      <c r="G22" s="6">
        <f>HAVERD!E188-HAVERD!$B188</f>
        <v>-0.22760000000000025</v>
      </c>
      <c r="J22" s="8"/>
      <c r="K22" s="6"/>
      <c r="L22" s="6"/>
      <c r="M22" s="6"/>
      <c r="X22" s="8">
        <v>43313</v>
      </c>
      <c r="Y22" s="10">
        <v>2.7</v>
      </c>
      <c r="Z22" s="10">
        <v>3.3</v>
      </c>
      <c r="AA22" s="6">
        <v>2.4608333333333325</v>
      </c>
      <c r="AB22" s="6">
        <v>3.1545833333333348</v>
      </c>
    </row>
    <row r="23" spans="1:28" x14ac:dyDescent="0.35">
      <c r="A23" s="5">
        <f t="shared" si="4"/>
        <v>46034</v>
      </c>
      <c r="B23" s="7">
        <f t="shared" si="1"/>
        <v>0.39440000000000097</v>
      </c>
      <c r="C23" s="7">
        <f t="shared" si="2"/>
        <v>0.8664000000000005</v>
      </c>
      <c r="D23" s="7">
        <v>0.5</v>
      </c>
      <c r="F23" s="6">
        <f>HAVERD!D189-HAVERD!$B189</f>
        <v>-9.8600000000000243E-2</v>
      </c>
      <c r="G23" s="6">
        <f>HAVERD!E189-HAVERD!$B189</f>
        <v>-0.21660000000000013</v>
      </c>
      <c r="J23" s="8"/>
      <c r="K23" s="6"/>
      <c r="L23" s="6"/>
      <c r="M23" s="6"/>
      <c r="X23" s="8">
        <v>43344</v>
      </c>
      <c r="Y23" s="10">
        <v>2.9</v>
      </c>
      <c r="Z23" s="10">
        <v>3.4</v>
      </c>
      <c r="AA23" s="6">
        <v>2.4608333333333325</v>
      </c>
      <c r="AB23" s="6">
        <v>3.1545833333333348</v>
      </c>
    </row>
    <row r="24" spans="1:28" x14ac:dyDescent="0.35">
      <c r="A24" s="5">
        <f t="shared" si="4"/>
        <v>46035</v>
      </c>
      <c r="B24" s="7">
        <f t="shared" si="1"/>
        <v>0.38400000000000034</v>
      </c>
      <c r="C24" s="7">
        <f t="shared" si="2"/>
        <v>0.85599999999999987</v>
      </c>
      <c r="D24" s="7">
        <v>0.5</v>
      </c>
      <c r="F24" s="6">
        <f>HAVERD!D190-HAVERD!$B190</f>
        <v>-9.6000000000000085E-2</v>
      </c>
      <c r="G24" s="6">
        <f>HAVERD!E190-HAVERD!$B190</f>
        <v>-0.21399999999999997</v>
      </c>
      <c r="J24" s="8"/>
      <c r="K24" s="6"/>
      <c r="L24" s="6"/>
      <c r="M24" s="6"/>
      <c r="X24" s="8">
        <v>43374</v>
      </c>
      <c r="Y24" s="10">
        <v>2.6</v>
      </c>
      <c r="Z24" s="10">
        <v>3.2</v>
      </c>
      <c r="AA24" s="6">
        <v>2.4608333333333325</v>
      </c>
      <c r="AB24" s="6">
        <v>3.1545833333333348</v>
      </c>
    </row>
    <row r="25" spans="1:28" x14ac:dyDescent="0.35">
      <c r="A25" s="5">
        <f t="shared" si="4"/>
        <v>46036</v>
      </c>
      <c r="B25" s="7">
        <f t="shared" si="1"/>
        <v>0.39920000000000044</v>
      </c>
      <c r="C25" s="7">
        <f t="shared" si="2"/>
        <v>0.9112000000000009</v>
      </c>
      <c r="D25" s="7">
        <v>0.5</v>
      </c>
      <c r="F25" s="6">
        <f>HAVERD!D191-HAVERD!$B191</f>
        <v>-9.9800000000000111E-2</v>
      </c>
      <c r="G25" s="6">
        <f>HAVERD!E191-HAVERD!$B191</f>
        <v>-0.22780000000000022</v>
      </c>
      <c r="J25" s="8"/>
      <c r="K25" s="6"/>
      <c r="L25" s="6"/>
      <c r="M25" s="6"/>
      <c r="X25" s="8">
        <v>43405</v>
      </c>
      <c r="Y25" s="10">
        <v>2.7</v>
      </c>
      <c r="Z25" s="10">
        <v>3.1</v>
      </c>
      <c r="AA25" s="6">
        <v>2.4608333333333325</v>
      </c>
      <c r="AB25" s="6">
        <v>3.1545833333333348</v>
      </c>
    </row>
    <row r="26" spans="1:28" x14ac:dyDescent="0.35">
      <c r="A26" s="5">
        <f t="shared" si="4"/>
        <v>46037</v>
      </c>
      <c r="B26" s="7">
        <f t="shared" si="1"/>
        <v>0.31959999999999944</v>
      </c>
      <c r="C26" s="7">
        <f t="shared" si="2"/>
        <v>0.81559999999999988</v>
      </c>
      <c r="D26" s="7">
        <v>0.5</v>
      </c>
      <c r="F26" s="6">
        <f>HAVERD!D192-HAVERD!$B192</f>
        <v>-7.989999999999986E-2</v>
      </c>
      <c r="G26" s="6">
        <f>HAVERD!E192-HAVERD!$B192</f>
        <v>-0.20389999999999997</v>
      </c>
      <c r="J26" s="8"/>
      <c r="K26" s="6"/>
      <c r="L26" s="6"/>
      <c r="M26" s="6"/>
      <c r="X26" s="8">
        <v>43435</v>
      </c>
      <c r="Y26" s="10">
        <v>2.9</v>
      </c>
      <c r="Z26" s="10">
        <v>3.3</v>
      </c>
      <c r="AA26" s="6">
        <v>2.4608333333333325</v>
      </c>
      <c r="AB26" s="6">
        <v>3.1545833333333348</v>
      </c>
    </row>
    <row r="27" spans="1:28" x14ac:dyDescent="0.35">
      <c r="A27" s="5">
        <f t="shared" si="4"/>
        <v>46038</v>
      </c>
      <c r="B27" s="7">
        <f t="shared" si="1"/>
        <v>0.28919999999999924</v>
      </c>
      <c r="C27" s="7">
        <f t="shared" si="2"/>
        <v>0.77720000000000056</v>
      </c>
      <c r="D27" s="7">
        <v>0.5</v>
      </c>
      <c r="F27" s="6">
        <f>HAVERD!D193-HAVERD!$B193</f>
        <v>-7.2299999999999809E-2</v>
      </c>
      <c r="G27" s="6">
        <f>HAVERD!E193-HAVERD!$B193</f>
        <v>-0.19430000000000014</v>
      </c>
      <c r="J27" s="8"/>
      <c r="K27" s="6"/>
      <c r="L27" s="6"/>
      <c r="M27" s="6"/>
      <c r="X27" s="8">
        <v>43466</v>
      </c>
      <c r="Y27" s="10">
        <v>2.6</v>
      </c>
      <c r="Z27" s="10">
        <v>3</v>
      </c>
      <c r="AA27" s="6">
        <v>2.4608333333333325</v>
      </c>
      <c r="AB27" s="6">
        <v>3.1545833333333348</v>
      </c>
    </row>
    <row r="28" spans="1:28" x14ac:dyDescent="0.35">
      <c r="A28" s="5">
        <f t="shared" si="4"/>
        <v>46041</v>
      </c>
      <c r="B28" s="7">
        <f t="shared" si="1"/>
        <v>0.32160000000000011</v>
      </c>
      <c r="C28" s="7">
        <f t="shared" si="2"/>
        <v>0.80560000000000009</v>
      </c>
      <c r="D28" s="7">
        <v>0.5</v>
      </c>
      <c r="F28" s="6">
        <f>HAVERD!D194-HAVERD!$B194</f>
        <v>-8.0400000000000027E-2</v>
      </c>
      <c r="G28" s="6">
        <f>HAVERD!E194-HAVERD!$B194</f>
        <v>-0.20140000000000002</v>
      </c>
      <c r="J28" s="8"/>
      <c r="K28" s="6"/>
      <c r="L28" s="6"/>
      <c r="M28" s="6"/>
      <c r="X28" s="8">
        <v>43497</v>
      </c>
      <c r="Y28" s="10">
        <v>2.9</v>
      </c>
      <c r="Z28" s="10">
        <v>3.2</v>
      </c>
      <c r="AA28" s="6">
        <v>2.4608333333333325</v>
      </c>
      <c r="AB28" s="6">
        <v>3.1545833333333348</v>
      </c>
    </row>
    <row r="29" spans="1:28" x14ac:dyDescent="0.35">
      <c r="A29" s="5">
        <f t="shared" si="4"/>
        <v>46042</v>
      </c>
      <c r="B29" s="7">
        <f t="shared" si="1"/>
        <v>0.29240000000000066</v>
      </c>
      <c r="C29" s="7">
        <f t="shared" si="2"/>
        <v>0.80840000000000067</v>
      </c>
      <c r="D29" s="7">
        <v>0.5</v>
      </c>
      <c r="F29" s="6">
        <f>HAVERD!D195-HAVERD!$B195</f>
        <v>-7.3100000000000165E-2</v>
      </c>
      <c r="G29" s="6">
        <f>HAVERD!E195-HAVERD!$B195</f>
        <v>-0.20210000000000017</v>
      </c>
      <c r="J29" s="8"/>
      <c r="K29" s="6"/>
      <c r="L29" s="6"/>
      <c r="M29" s="6"/>
      <c r="X29" s="8">
        <v>43525</v>
      </c>
      <c r="Y29" s="10">
        <v>2.7</v>
      </c>
      <c r="Z29" s="10">
        <v>3</v>
      </c>
      <c r="AA29" s="6">
        <v>2.4608333333333325</v>
      </c>
      <c r="AB29" s="6">
        <v>3.1545833333333348</v>
      </c>
    </row>
    <row r="30" spans="1:28" x14ac:dyDescent="0.35">
      <c r="A30" s="5">
        <f t="shared" si="4"/>
        <v>46043</v>
      </c>
      <c r="B30" s="7">
        <f t="shared" si="1"/>
        <v>0.29039999999999999</v>
      </c>
      <c r="C30" s="7">
        <f t="shared" si="2"/>
        <v>0.84640000000000093</v>
      </c>
      <c r="D30" s="7">
        <v>0.5</v>
      </c>
      <c r="F30" s="6">
        <f>HAVERD!D196-HAVERD!$B196</f>
        <v>-7.2599999999999998E-2</v>
      </c>
      <c r="G30" s="6">
        <f>HAVERD!E196-HAVERD!$B196</f>
        <v>-0.21160000000000023</v>
      </c>
      <c r="J30" s="8"/>
      <c r="K30" s="6"/>
      <c r="L30" s="6"/>
      <c r="M30" s="6"/>
      <c r="X30" s="8">
        <v>43556</v>
      </c>
      <c r="Y30" s="10">
        <v>2.7</v>
      </c>
      <c r="Z30" s="10">
        <v>3.2</v>
      </c>
      <c r="AA30" s="6">
        <v>2.4608333333333325</v>
      </c>
      <c r="AB30" s="6">
        <v>3.1545833333333348</v>
      </c>
    </row>
    <row r="31" spans="1:28" x14ac:dyDescent="0.35">
      <c r="A31" s="5">
        <f t="shared" si="4"/>
        <v>46044</v>
      </c>
      <c r="B31" s="7">
        <f t="shared" si="1"/>
        <v>0.27999999999999936</v>
      </c>
      <c r="C31" s="7">
        <f t="shared" si="2"/>
        <v>0.8279999999999994</v>
      </c>
      <c r="D31" s="7">
        <v>0.5</v>
      </c>
      <c r="F31" s="6">
        <f>HAVERD!D197-HAVERD!$B197</f>
        <v>-6.999999999999984E-2</v>
      </c>
      <c r="G31" s="6">
        <f>HAVERD!E197-HAVERD!$B197</f>
        <v>-0.20699999999999985</v>
      </c>
      <c r="J31" s="8"/>
      <c r="K31" s="6"/>
      <c r="L31" s="6"/>
      <c r="M31" s="6"/>
      <c r="X31" s="8">
        <v>43586</v>
      </c>
      <c r="Y31" s="10">
        <v>2.6</v>
      </c>
      <c r="Z31" s="10">
        <v>3.2</v>
      </c>
      <c r="AA31" s="6">
        <v>2.4608333333333325</v>
      </c>
      <c r="AB31" s="6">
        <v>3.1545833333333348</v>
      </c>
    </row>
    <row r="32" spans="1:28" x14ac:dyDescent="0.35">
      <c r="A32" s="5">
        <f t="shared" si="4"/>
        <v>46045</v>
      </c>
      <c r="B32" s="7">
        <f t="shared" si="1"/>
        <v>0.15000000000000036</v>
      </c>
      <c r="C32" s="7">
        <f t="shared" si="2"/>
        <v>0.72200000000000131</v>
      </c>
      <c r="D32" s="7">
        <v>0.5</v>
      </c>
      <c r="F32" s="6">
        <f>HAVERD!D198-HAVERD!$B198</f>
        <v>-3.7500000000000089E-2</v>
      </c>
      <c r="G32" s="6">
        <f>HAVERD!E198-HAVERD!$B198</f>
        <v>-0.18050000000000033</v>
      </c>
      <c r="J32" s="8"/>
      <c r="K32" s="6"/>
      <c r="L32" s="6"/>
      <c r="M32" s="6"/>
      <c r="X32" s="8">
        <v>43617</v>
      </c>
      <c r="Y32" s="10">
        <v>2.6</v>
      </c>
      <c r="Z32" s="10">
        <v>3.3</v>
      </c>
      <c r="AA32" s="6">
        <v>2.4608333333333325</v>
      </c>
      <c r="AB32" s="6">
        <v>3.1545833333333348</v>
      </c>
    </row>
    <row r="33" spans="1:28" x14ac:dyDescent="0.35">
      <c r="A33" s="5">
        <f t="shared" si="4"/>
        <v>46048</v>
      </c>
      <c r="B33" s="7">
        <f t="shared" si="1"/>
        <v>0.13160000000000061</v>
      </c>
      <c r="C33" s="7">
        <f t="shared" si="2"/>
        <v>0.69560000000000066</v>
      </c>
      <c r="D33" s="7">
        <v>0.5</v>
      </c>
      <c r="F33" s="6">
        <f>HAVERD!D199-HAVERD!$B199</f>
        <v>-3.2900000000000151E-2</v>
      </c>
      <c r="G33" s="6">
        <f>HAVERD!E199-HAVERD!$B199</f>
        <v>-0.17390000000000017</v>
      </c>
      <c r="J33" s="8"/>
      <c r="K33" s="6"/>
      <c r="L33" s="6"/>
      <c r="M33" s="6"/>
      <c r="X33" s="8">
        <v>43647</v>
      </c>
      <c r="Y33" s="10">
        <v>2.9</v>
      </c>
      <c r="Z33" s="10">
        <v>3.4</v>
      </c>
      <c r="AA33" s="6">
        <v>2.4608333333333325</v>
      </c>
      <c r="AB33" s="6">
        <v>3.1545833333333348</v>
      </c>
    </row>
    <row r="34" spans="1:28" x14ac:dyDescent="0.35">
      <c r="A34" s="5">
        <f t="shared" si="4"/>
        <v>46049</v>
      </c>
      <c r="B34" s="7">
        <f t="shared" si="1"/>
        <v>0.12640000000000029</v>
      </c>
      <c r="C34" s="7">
        <f t="shared" si="2"/>
        <v>0.66639999999999944</v>
      </c>
      <c r="D34" s="7">
        <v>0.5</v>
      </c>
      <c r="F34" s="6">
        <f>HAVERD!D200-HAVERD!$B200</f>
        <v>-3.1600000000000072E-2</v>
      </c>
      <c r="G34" s="6">
        <f>HAVERD!E200-HAVERD!$B200</f>
        <v>-0.16659999999999986</v>
      </c>
      <c r="J34" s="8"/>
      <c r="K34" s="6"/>
      <c r="L34" s="6"/>
      <c r="M34" s="6"/>
      <c r="X34" s="8">
        <v>43678</v>
      </c>
      <c r="Y34" s="10">
        <v>3.2</v>
      </c>
      <c r="Z34" s="10">
        <v>3.1</v>
      </c>
      <c r="AA34" s="6">
        <v>2.4608333333333325</v>
      </c>
      <c r="AB34" s="6">
        <v>3.1545833333333348</v>
      </c>
    </row>
    <row r="35" spans="1:28" x14ac:dyDescent="0.35">
      <c r="A35" s="5">
        <f t="shared" si="4"/>
        <v>46050</v>
      </c>
      <c r="B35" s="7">
        <f t="shared" si="1"/>
        <v>0.13920000000000066</v>
      </c>
      <c r="C35" s="7">
        <f t="shared" si="2"/>
        <v>0.67520000000000024</v>
      </c>
      <c r="D35" s="7">
        <v>0.5</v>
      </c>
      <c r="F35" s="6">
        <f>HAVERD!D201-HAVERD!$B201</f>
        <v>-3.4800000000000164E-2</v>
      </c>
      <c r="G35" s="6">
        <f>HAVERD!E201-HAVERD!$B201</f>
        <v>-0.16880000000000006</v>
      </c>
      <c r="J35" s="8"/>
      <c r="K35" s="6"/>
      <c r="L35" s="6"/>
      <c r="M35" s="6"/>
      <c r="X35" s="8">
        <v>43709</v>
      </c>
      <c r="Y35" s="10">
        <v>2.9</v>
      </c>
      <c r="Z35" s="10">
        <v>3</v>
      </c>
      <c r="AA35" s="6">
        <v>2.4608333333333325</v>
      </c>
      <c r="AB35" s="6">
        <v>3.1545833333333348</v>
      </c>
    </row>
    <row r="36" spans="1:28" x14ac:dyDescent="0.35">
      <c r="A36" s="5">
        <f t="shared" si="4"/>
        <v>46051</v>
      </c>
      <c r="B36" s="7">
        <f t="shared" si="1"/>
        <v>0.18679999999999986</v>
      </c>
      <c r="C36" s="7">
        <f t="shared" si="2"/>
        <v>0.71079999999999899</v>
      </c>
      <c r="D36" s="7">
        <v>0.5</v>
      </c>
      <c r="F36" s="6">
        <f>HAVERD!D202-HAVERD!$B202</f>
        <v>-4.6699999999999964E-2</v>
      </c>
      <c r="G36" s="6">
        <f>HAVERD!E202-HAVERD!$B202</f>
        <v>-0.17769999999999975</v>
      </c>
      <c r="J36" s="8"/>
      <c r="K36" s="6"/>
      <c r="L36" s="6"/>
      <c r="M36" s="6"/>
      <c r="X36" s="8">
        <v>43739</v>
      </c>
      <c r="Y36" s="10">
        <v>2.7</v>
      </c>
      <c r="Z36" s="10">
        <v>3.1</v>
      </c>
      <c r="AA36" s="6">
        <v>2.4608333333333325</v>
      </c>
      <c r="AB36" s="6">
        <v>3.1545833333333348</v>
      </c>
    </row>
    <row r="37" spans="1:28" x14ac:dyDescent="0.35">
      <c r="A37" s="5">
        <f t="shared" si="4"/>
        <v>46052</v>
      </c>
      <c r="B37" s="7">
        <f t="shared" si="1"/>
        <v>0.17360000000000042</v>
      </c>
      <c r="C37" s="7">
        <f t="shared" si="2"/>
        <v>0.69359999999999999</v>
      </c>
      <c r="D37" s="7">
        <v>0.5</v>
      </c>
      <c r="F37" s="6">
        <f>HAVERD!D203-HAVERD!$B203</f>
        <v>-4.3400000000000105E-2</v>
      </c>
      <c r="G37" s="6">
        <f>HAVERD!E203-HAVERD!$B203</f>
        <v>-0.1734</v>
      </c>
      <c r="J37" s="8"/>
      <c r="K37" s="6"/>
      <c r="L37" s="6"/>
      <c r="M37" s="6"/>
      <c r="X37" s="8">
        <v>43770</v>
      </c>
      <c r="Y37" s="10">
        <v>2.6</v>
      </c>
      <c r="Z37" s="10">
        <v>3</v>
      </c>
      <c r="AA37" s="6">
        <v>2.4608333333333325</v>
      </c>
      <c r="AB37" s="6">
        <v>3.1545833333333348</v>
      </c>
    </row>
    <row r="38" spans="1:28" x14ac:dyDescent="0.35">
      <c r="A38" s="5">
        <f t="shared" si="4"/>
        <v>46055</v>
      </c>
      <c r="B38" s="7">
        <f t="shared" si="1"/>
        <v>0.16799999999999926</v>
      </c>
      <c r="C38" s="7">
        <f t="shared" si="2"/>
        <v>0.70400000000000063</v>
      </c>
      <c r="D38" s="7">
        <v>0.5</v>
      </c>
      <c r="F38" s="6">
        <f>HAVERD!D204-HAVERD!$B204</f>
        <v>-4.1999999999999815E-2</v>
      </c>
      <c r="G38" s="6">
        <f>HAVERD!E204-HAVERD!$B204</f>
        <v>-0.17600000000000016</v>
      </c>
      <c r="J38" s="8"/>
      <c r="K38" s="6"/>
      <c r="L38" s="6"/>
      <c r="M38" s="6"/>
      <c r="X38" s="8">
        <v>43800</v>
      </c>
      <c r="Y38" s="10">
        <v>2.2999999999999998</v>
      </c>
      <c r="Z38" s="10">
        <v>2.9</v>
      </c>
      <c r="AA38" s="6">
        <v>2.4608333333333325</v>
      </c>
      <c r="AB38" s="6">
        <v>3.1545833333333348</v>
      </c>
    </row>
    <row r="39" spans="1:28" x14ac:dyDescent="0.35">
      <c r="A39" s="5">
        <f t="shared" si="4"/>
        <v>46056</v>
      </c>
      <c r="B39" s="7">
        <f t="shared" si="1"/>
        <v>0.1720000000000006</v>
      </c>
      <c r="C39" s="7">
        <f t="shared" si="2"/>
        <v>0.72000000000000064</v>
      </c>
      <c r="D39" s="7">
        <v>0.5</v>
      </c>
      <c r="F39" s="6">
        <f>HAVERD!D205-HAVERD!$B205</f>
        <v>-4.3000000000000149E-2</v>
      </c>
      <c r="G39" s="6">
        <f>HAVERD!E205-HAVERD!$B205</f>
        <v>-0.18000000000000016</v>
      </c>
      <c r="J39" s="8"/>
      <c r="K39" s="6"/>
      <c r="L39" s="6"/>
      <c r="M39" s="6"/>
      <c r="X39" s="8">
        <v>43831</v>
      </c>
      <c r="Y39" s="10">
        <v>2.5</v>
      </c>
      <c r="Z39" s="10">
        <v>3.1</v>
      </c>
      <c r="AA39" s="6">
        <v>2.4608333333333325</v>
      </c>
      <c r="AB39" s="6">
        <v>3.1545833333333348</v>
      </c>
    </row>
    <row r="40" spans="1:28" x14ac:dyDescent="0.35">
      <c r="A40" s="5">
        <f t="shared" si="4"/>
        <v>46057</v>
      </c>
      <c r="B40" s="7">
        <f t="shared" si="1"/>
        <v>0.19400000000000084</v>
      </c>
      <c r="C40" s="7">
        <f t="shared" si="2"/>
        <v>0.70199999999999996</v>
      </c>
      <c r="D40" s="7">
        <v>0.5</v>
      </c>
      <c r="F40" s="6">
        <f>HAVERD!D206-HAVERD!$B206</f>
        <v>-4.850000000000021E-2</v>
      </c>
      <c r="G40" s="6">
        <f>HAVERD!E206-HAVERD!$B206</f>
        <v>-0.17549999999999999</v>
      </c>
      <c r="J40" s="8"/>
      <c r="K40" s="6"/>
      <c r="L40" s="6"/>
      <c r="M40" s="6"/>
      <c r="X40" s="8">
        <v>43862</v>
      </c>
      <c r="Y40" s="10">
        <v>2.2999999999999998</v>
      </c>
      <c r="Z40" s="10">
        <v>3</v>
      </c>
      <c r="AA40" s="6">
        <v>2.4608333333333325</v>
      </c>
      <c r="AB40" s="6">
        <v>3.1545833333333348</v>
      </c>
    </row>
    <row r="41" spans="1:28" x14ac:dyDescent="0.35">
      <c r="A41" s="5">
        <f t="shared" si="4"/>
        <v>46058</v>
      </c>
      <c r="B41" s="7">
        <f t="shared" si="1"/>
        <v>0.5951999999999984</v>
      </c>
      <c r="C41" s="7">
        <f t="shared" si="2"/>
        <v>0.89519999999999911</v>
      </c>
      <c r="D41" s="7">
        <v>0.5</v>
      </c>
      <c r="F41" s="6">
        <f>HAVERD!D207-HAVERD!$B207</f>
        <v>-0.1487999999999996</v>
      </c>
      <c r="G41" s="6">
        <f>HAVERD!E207-HAVERD!$B207</f>
        <v>-0.22379999999999978</v>
      </c>
      <c r="J41" s="8"/>
      <c r="K41" s="6"/>
      <c r="L41" s="6"/>
      <c r="M41" s="6"/>
      <c r="X41" s="8">
        <v>43891</v>
      </c>
      <c r="Y41" s="10">
        <v>3.2</v>
      </c>
      <c r="Z41" s="10">
        <v>3.1</v>
      </c>
      <c r="AA41" s="6">
        <v>2.4608333333333325</v>
      </c>
      <c r="AB41" s="6">
        <v>3.1545833333333348</v>
      </c>
    </row>
    <row r="42" spans="1:28" x14ac:dyDescent="0.35">
      <c r="A42" s="5">
        <f t="shared" si="4"/>
        <v>46059</v>
      </c>
      <c r="B42" s="7">
        <f t="shared" si="1"/>
        <v>0.68360000000000021</v>
      </c>
      <c r="C42" s="7">
        <f t="shared" si="2"/>
        <v>0.93960000000000043</v>
      </c>
      <c r="D42" s="7">
        <v>0.5</v>
      </c>
      <c r="F42" s="6">
        <f>HAVERD!C208-HAVERD!$B208</f>
        <v>-0.17090000000000005</v>
      </c>
      <c r="G42" s="6">
        <f>HAVERD!D208-HAVERD!$B208</f>
        <v>-0.23490000000000011</v>
      </c>
      <c r="J42" s="8"/>
      <c r="K42" s="6"/>
      <c r="L42" s="6"/>
      <c r="M42" s="6"/>
      <c r="X42" s="8">
        <v>43922</v>
      </c>
      <c r="Y42" s="10">
        <v>3.2</v>
      </c>
      <c r="Z42" s="10">
        <v>2.9</v>
      </c>
      <c r="AA42" s="6">
        <v>2.4608333333333325</v>
      </c>
      <c r="AB42" s="6">
        <v>3.1545833333333348</v>
      </c>
    </row>
    <row r="43" spans="1:28" x14ac:dyDescent="0.35">
      <c r="A43" s="5">
        <f t="shared" si="4"/>
        <v>46062</v>
      </c>
      <c r="B43" s="7">
        <f t="shared" si="1"/>
        <v>0.676400000000001</v>
      </c>
      <c r="C43" s="7">
        <f t="shared" si="2"/>
        <v>0.91239999999999988</v>
      </c>
      <c r="D43" s="7">
        <v>0.5</v>
      </c>
      <c r="F43" s="6">
        <f>HAVERD!C209-HAVERD!$B209</f>
        <v>-0.16910000000000025</v>
      </c>
      <c r="G43" s="6">
        <f>HAVERD!D209-HAVERD!$B209</f>
        <v>-0.22809999999999997</v>
      </c>
      <c r="J43" s="8"/>
      <c r="K43" s="6"/>
      <c r="L43" s="6"/>
      <c r="M43" s="6"/>
      <c r="X43" s="8">
        <v>43952</v>
      </c>
      <c r="Y43" s="10">
        <v>3.1</v>
      </c>
      <c r="Z43" s="10">
        <v>3</v>
      </c>
      <c r="AA43" s="6">
        <v>2.4608333333333325</v>
      </c>
      <c r="AB43" s="6">
        <v>3.1545833333333348</v>
      </c>
    </row>
    <row r="44" spans="1:28" x14ac:dyDescent="0.35">
      <c r="A44" s="5">
        <f t="shared" si="4"/>
        <v>46063</v>
      </c>
      <c r="B44" s="7">
        <f t="shared" si="1"/>
        <v>0.67600000000000016</v>
      </c>
      <c r="C44" s="7">
        <f t="shared" si="2"/>
        <v>0.90399999999999991</v>
      </c>
      <c r="D44" s="7">
        <v>0.5</v>
      </c>
      <c r="F44" s="6">
        <f>HAVERD!C210-HAVERD!$B210</f>
        <v>-0.16900000000000004</v>
      </c>
      <c r="G44" s="6">
        <f>HAVERD!D210-HAVERD!$B210</f>
        <v>-0.22599999999999998</v>
      </c>
      <c r="J44" s="8"/>
      <c r="K44" s="6"/>
      <c r="L44" s="6"/>
      <c r="M44" s="6"/>
      <c r="X44" s="8">
        <v>43983</v>
      </c>
      <c r="Y44" s="10">
        <v>3</v>
      </c>
      <c r="Z44" s="10">
        <v>3.2</v>
      </c>
      <c r="AA44" s="6">
        <v>2.4608333333333325</v>
      </c>
      <c r="AB44" s="6">
        <v>3.1545833333333348</v>
      </c>
    </row>
    <row r="45" spans="1:28" x14ac:dyDescent="0.35">
      <c r="A45" s="5">
        <f t="shared" si="4"/>
        <v>46064</v>
      </c>
      <c r="B45" s="7">
        <f t="shared" si="1"/>
        <v>0.68159999999999954</v>
      </c>
      <c r="C45" s="7">
        <f t="shared" si="2"/>
        <v>0.91359999999999886</v>
      </c>
      <c r="D45" s="7">
        <v>0.5</v>
      </c>
      <c r="F45" s="6">
        <f>HAVERD!C211-HAVERD!$B211</f>
        <v>-0.17039999999999988</v>
      </c>
      <c r="G45" s="6">
        <f>HAVERD!D211-HAVERD!$B211</f>
        <v>-0.22839999999999971</v>
      </c>
      <c r="J45" s="8"/>
      <c r="K45" s="6"/>
      <c r="L45" s="6"/>
      <c r="M45" s="6"/>
      <c r="X45" s="8">
        <v>44013</v>
      </c>
      <c r="Y45" s="10">
        <v>3.2</v>
      </c>
      <c r="Z45" s="10">
        <v>3.3</v>
      </c>
      <c r="AA45" s="6">
        <v>2.4608333333333325</v>
      </c>
      <c r="AB45" s="6">
        <v>3.1545833333333348</v>
      </c>
    </row>
    <row r="46" spans="1:28" x14ac:dyDescent="0.35">
      <c r="A46" s="5">
        <f t="shared" si="4"/>
        <v>46065</v>
      </c>
      <c r="B46" s="7">
        <f t="shared" si="1"/>
        <v>0.70479999999999876</v>
      </c>
      <c r="C46" s="7">
        <f t="shared" si="2"/>
        <v>0.91279999999999895</v>
      </c>
      <c r="D46" s="7">
        <v>0.5</v>
      </c>
      <c r="F46" s="6">
        <f>HAVERD!C212-HAVERD!$B212</f>
        <v>-0.17619999999999969</v>
      </c>
      <c r="G46" s="6">
        <f>HAVERD!D212-HAVERD!$B212</f>
        <v>-0.22819999999999974</v>
      </c>
      <c r="J46" s="8"/>
      <c r="K46" s="6"/>
      <c r="L46" s="6"/>
      <c r="M46" s="6"/>
      <c r="X46" s="8">
        <v>44044</v>
      </c>
      <c r="Y46" s="10">
        <v>3</v>
      </c>
      <c r="Z46" s="10">
        <v>3.2</v>
      </c>
      <c r="AA46" s="6">
        <v>2.4608333333333325</v>
      </c>
      <c r="AB46" s="6">
        <v>3.1545833333333348</v>
      </c>
    </row>
    <row r="47" spans="1:28" x14ac:dyDescent="0.35">
      <c r="A47" s="5">
        <f t="shared" si="4"/>
        <v>46066</v>
      </c>
      <c r="B47" s="7">
        <f t="shared" si="1"/>
        <v>0.70279999999999987</v>
      </c>
      <c r="C47" s="7">
        <f t="shared" si="2"/>
        <v>0.95480000000000054</v>
      </c>
      <c r="D47" s="7">
        <v>0.5</v>
      </c>
      <c r="F47" s="6">
        <f>HAVERD!C213-HAVERD!$B213</f>
        <v>-0.17569999999999997</v>
      </c>
      <c r="G47" s="6">
        <f>HAVERD!D213-HAVERD!$B213</f>
        <v>-0.23870000000000013</v>
      </c>
      <c r="J47" s="8"/>
      <c r="K47" s="6"/>
      <c r="L47" s="6"/>
      <c r="M47" s="6"/>
      <c r="X47" s="8">
        <v>44075</v>
      </c>
      <c r="Y47" s="10">
        <v>3.2</v>
      </c>
      <c r="Z47" s="10">
        <v>3.6</v>
      </c>
      <c r="AA47" s="6">
        <v>2.4608333333333325</v>
      </c>
      <c r="AB47" s="6">
        <v>3.1545833333333348</v>
      </c>
    </row>
    <row r="48" spans="1:28" x14ac:dyDescent="0.35">
      <c r="A48" s="5">
        <f t="shared" si="4"/>
        <v>46069</v>
      </c>
      <c r="B48" s="7">
        <f t="shared" si="1"/>
        <v>0.71039999999999992</v>
      </c>
      <c r="C48" s="7">
        <f t="shared" si="2"/>
        <v>0.95039999999999836</v>
      </c>
      <c r="D48" s="7">
        <v>0.5</v>
      </c>
      <c r="F48" s="6">
        <f>HAVERD!C214-HAVERD!$B214</f>
        <v>-0.17759999999999998</v>
      </c>
      <c r="G48" s="6">
        <f>HAVERD!D214-HAVERD!$B214</f>
        <v>-0.23759999999999959</v>
      </c>
      <c r="J48" s="8"/>
      <c r="K48" s="6"/>
      <c r="L48" s="6"/>
      <c r="M48" s="6"/>
      <c r="X48" s="8">
        <v>44105</v>
      </c>
      <c r="Y48" s="10">
        <v>3.2</v>
      </c>
      <c r="Z48" s="10">
        <v>3.5</v>
      </c>
      <c r="AA48" s="6">
        <v>2.4608333333333325</v>
      </c>
      <c r="AB48" s="6">
        <v>3.1545833333333348</v>
      </c>
    </row>
    <row r="49" spans="1:28" x14ac:dyDescent="0.35">
      <c r="A49" s="5">
        <f t="shared" si="4"/>
        <v>46070</v>
      </c>
      <c r="B49" s="7">
        <f t="shared" si="1"/>
        <v>0.76639999999999908</v>
      </c>
      <c r="C49" s="7">
        <f t="shared" si="2"/>
        <v>0.93839999999999968</v>
      </c>
      <c r="D49" s="7">
        <v>0.5</v>
      </c>
      <c r="F49" s="6">
        <f>HAVERD!C215-HAVERD!$B215</f>
        <v>-0.19159999999999977</v>
      </c>
      <c r="G49" s="6">
        <f>HAVERD!D215-HAVERD!$B215</f>
        <v>-0.23459999999999992</v>
      </c>
      <c r="J49" s="8"/>
      <c r="K49" s="6"/>
      <c r="L49" s="6"/>
      <c r="M49" s="6"/>
      <c r="X49" s="8">
        <v>44136</v>
      </c>
      <c r="Y49" s="10">
        <v>3.3</v>
      </c>
      <c r="Z49" s="10">
        <v>3.4</v>
      </c>
      <c r="AA49" s="6">
        <v>2.4608333333333325</v>
      </c>
      <c r="AB49" s="6">
        <v>3.1545833333333348</v>
      </c>
    </row>
    <row r="50" spans="1:28" x14ac:dyDescent="0.35">
      <c r="A50" s="5">
        <f t="shared" si="4"/>
        <v>46071</v>
      </c>
      <c r="B50" s="7">
        <f t="shared" si="1"/>
        <v>0.7948000000000004</v>
      </c>
      <c r="C50" s="7">
        <f t="shared" si="2"/>
        <v>0.95480000000000054</v>
      </c>
      <c r="D50" s="7">
        <v>0.5</v>
      </c>
      <c r="F50" s="6">
        <f>HAVERD!C216-HAVERD!$B216</f>
        <v>-0.1987000000000001</v>
      </c>
      <c r="G50" s="6">
        <f>HAVERD!D216-HAVERD!$B216</f>
        <v>-0.23870000000000013</v>
      </c>
      <c r="J50" s="8"/>
      <c r="K50" s="6"/>
      <c r="L50" s="6"/>
      <c r="M50" s="6"/>
      <c r="X50" s="8">
        <v>44166</v>
      </c>
      <c r="Y50" s="10">
        <v>3.8</v>
      </c>
      <c r="Z50" s="10">
        <v>3.4</v>
      </c>
      <c r="AA50" s="6">
        <v>2.4608333333333325</v>
      </c>
      <c r="AB50" s="6">
        <v>3.1545833333333348</v>
      </c>
    </row>
    <row r="51" spans="1:28" x14ac:dyDescent="0.35">
      <c r="A51" s="5">
        <f t="shared" si="4"/>
        <v>46072</v>
      </c>
      <c r="B51" s="7">
        <f t="shared" ref="B51" si="5">IF(F51&lt;0,-F51/0.25,F51/0.25)</f>
        <v>0.80640000000000001</v>
      </c>
      <c r="C51" s="7">
        <f t="shared" ref="C51" si="6">IF(G51&lt;0,-G51/0.25,G51/0.25)</f>
        <v>0.95039999999999836</v>
      </c>
      <c r="D51" s="7">
        <v>0.5</v>
      </c>
      <c r="F51" s="6">
        <f>HAVERD!C217-HAVERD!$B217</f>
        <v>-0.2016</v>
      </c>
      <c r="G51" s="6">
        <f>HAVERD!D217-HAVERD!$B217</f>
        <v>-0.23759999999999959</v>
      </c>
      <c r="J51" s="8"/>
      <c r="X51" s="8">
        <v>44197</v>
      </c>
      <c r="Y51" s="10">
        <v>3.3</v>
      </c>
      <c r="Z51" s="10">
        <v>3.4</v>
      </c>
      <c r="AA51" s="6">
        <v>2.4608333333333325</v>
      </c>
      <c r="AB51" s="6">
        <v>3.1545833333333348</v>
      </c>
    </row>
    <row r="52" spans="1:28" x14ac:dyDescent="0.35">
      <c r="A52" s="5">
        <f t="shared" si="4"/>
        <v>46073</v>
      </c>
      <c r="B52" s="7">
        <f t="shared" ref="B52" si="7">IF(F52&lt;0,-F52/0.25,F52/0.25)</f>
        <v>0.78080000000000105</v>
      </c>
      <c r="C52" s="7">
        <f t="shared" ref="C52" si="8">IF(G52&lt;0,-G52/0.25,G52/0.25)</f>
        <v>0.9328000000000003</v>
      </c>
      <c r="D52" s="7">
        <v>0.5</v>
      </c>
      <c r="F52" s="6">
        <f>HAVERD!C218-HAVERD!$B218</f>
        <v>-0.19520000000000026</v>
      </c>
      <c r="G52" s="6">
        <f>HAVERD!D218-HAVERD!$B218</f>
        <v>-0.23320000000000007</v>
      </c>
      <c r="X52" s="8">
        <v>44228</v>
      </c>
      <c r="Y52" s="10">
        <v>2.9</v>
      </c>
      <c r="Z52" s="10">
        <v>3.3</v>
      </c>
      <c r="AA52" s="6">
        <v>2.4608333333333325</v>
      </c>
      <c r="AB52" s="6">
        <v>3.1545833333333348</v>
      </c>
    </row>
    <row r="53" spans="1:28" x14ac:dyDescent="0.35">
      <c r="A53" s="5">
        <f t="shared" si="4"/>
        <v>46076</v>
      </c>
      <c r="B53" s="7">
        <f t="shared" ref="B53:B54" si="9">IF(F53&lt;0,-F53/0.25,F53/0.25)</f>
        <v>0.77200000000000024</v>
      </c>
      <c r="C53" s="7">
        <f t="shared" ref="C53:C54" si="10">IF(G53&lt;0,-G53/0.25,G53/0.25)</f>
        <v>0.92800000000000082</v>
      </c>
      <c r="D53" s="7">
        <v>0.5</v>
      </c>
      <c r="F53" s="6">
        <f>HAVERD!C219-HAVERD!$B219</f>
        <v>-0.19300000000000006</v>
      </c>
      <c r="G53" s="6">
        <f>HAVERD!D219-HAVERD!$B219</f>
        <v>-0.23200000000000021</v>
      </c>
      <c r="X53" s="8">
        <v>44256</v>
      </c>
      <c r="Y53" s="10">
        <v>2.7</v>
      </c>
      <c r="Z53" s="10">
        <v>3.1</v>
      </c>
      <c r="AA53" s="6">
        <v>2.4608333333333325</v>
      </c>
      <c r="AB53" s="6">
        <v>3.1545833333333348</v>
      </c>
    </row>
    <row r="54" spans="1:28" x14ac:dyDescent="0.35">
      <c r="A54" s="5">
        <f t="shared" si="4"/>
        <v>46077</v>
      </c>
      <c r="B54" s="7">
        <f t="shared" si="9"/>
        <v>0.72719999999999985</v>
      </c>
      <c r="C54" s="7">
        <f t="shared" si="10"/>
        <v>0.91919999999999824</v>
      </c>
      <c r="D54" s="7">
        <v>0.5</v>
      </c>
      <c r="F54" s="6">
        <f>HAVERD!C220-HAVERD!$B220</f>
        <v>-0.18179999999999996</v>
      </c>
      <c r="G54" s="6">
        <f>HAVERD!D220-HAVERD!$B220</f>
        <v>-0.22979999999999956</v>
      </c>
      <c r="X54" s="8">
        <v>44287</v>
      </c>
      <c r="Y54" s="10">
        <v>2.8</v>
      </c>
      <c r="Z54" s="10">
        <v>3.3</v>
      </c>
      <c r="AA54" s="6">
        <v>2.4608333333333325</v>
      </c>
      <c r="AB54" s="6">
        <v>3.1545833333333348</v>
      </c>
    </row>
    <row r="55" spans="1:28" x14ac:dyDescent="0.35">
      <c r="A55" s="5">
        <f t="shared" si="4"/>
        <v>46078</v>
      </c>
      <c r="B55" s="7">
        <f t="shared" ref="B55" si="11">IF(F55&lt;0,-F55/0.25,F55/0.25)</f>
        <v>0.71439999999999948</v>
      </c>
      <c r="C55" s="7">
        <f t="shared" ref="C55" si="12">IF(G55&lt;0,-G55/0.25,G55/0.25)</f>
        <v>0.93439999999999834</v>
      </c>
      <c r="D55" s="7">
        <v>0.5</v>
      </c>
      <c r="F55" s="6">
        <f>HAVERD!C221-HAVERD!$B221</f>
        <v>-0.17859999999999987</v>
      </c>
      <c r="G55" s="6">
        <f>HAVERD!D221-HAVERD!$B221</f>
        <v>-0.23359999999999959</v>
      </c>
      <c r="X55" s="8">
        <v>44317</v>
      </c>
      <c r="Y55" s="10">
        <v>2.7</v>
      </c>
      <c r="Z55" s="10">
        <v>3.4</v>
      </c>
      <c r="AA55" s="6">
        <v>2.4608333333333325</v>
      </c>
      <c r="AB55" s="6">
        <v>3.1545833333333348</v>
      </c>
    </row>
    <row r="56" spans="1:28" x14ac:dyDescent="0.35">
      <c r="A56" s="5">
        <f t="shared" si="4"/>
        <v>46079</v>
      </c>
      <c r="B56" s="7">
        <f t="shared" ref="B56:B57" si="13">IF(F56&lt;0,-F56/0.25,F56/0.25)</f>
        <v>0.80640000000000001</v>
      </c>
      <c r="C56" s="7">
        <f t="shared" ref="C56:C57" si="14">IF(G56&lt;0,-G56/0.25,G56/0.25)</f>
        <v>0.96640000000000015</v>
      </c>
      <c r="D56" s="7">
        <v>0.5</v>
      </c>
      <c r="F56" s="6">
        <f>HAVERD!C222-HAVERD!$B222</f>
        <v>-0.2016</v>
      </c>
      <c r="G56" s="6">
        <f>HAVERD!D222-HAVERD!$B222</f>
        <v>-0.24160000000000004</v>
      </c>
      <c r="X56" s="8">
        <v>44348</v>
      </c>
      <c r="Y56" s="10">
        <v>2.8</v>
      </c>
      <c r="Z56" s="10">
        <v>3.4</v>
      </c>
      <c r="AA56" s="6">
        <v>2.4608333333333325</v>
      </c>
      <c r="AB56" s="6">
        <v>3.1545833333333348</v>
      </c>
    </row>
    <row r="57" spans="1:28" x14ac:dyDescent="0.35">
      <c r="A57" s="5">
        <f t="shared" si="4"/>
        <v>46080</v>
      </c>
      <c r="B57" s="7">
        <f t="shared" si="13"/>
        <v>0.81479999999999997</v>
      </c>
      <c r="C57" s="7">
        <f t="shared" si="14"/>
        <v>0.98680000000000057</v>
      </c>
      <c r="D57" s="7">
        <v>0.5</v>
      </c>
      <c r="F57" s="6">
        <f>HAVERD!C223-HAVERD!$B223</f>
        <v>-0.20369999999999999</v>
      </c>
      <c r="G57" s="6">
        <f>HAVERD!D223-HAVERD!$B223</f>
        <v>-0.24670000000000014</v>
      </c>
      <c r="X57" s="8">
        <v>44378</v>
      </c>
      <c r="Y57" s="10">
        <v>3.1</v>
      </c>
      <c r="Z57" s="10">
        <v>3.4</v>
      </c>
      <c r="AA57" s="6">
        <v>2.4608333333333325</v>
      </c>
      <c r="AB57" s="6">
        <v>3.1545833333333348</v>
      </c>
    </row>
    <row r="58" spans="1:28" x14ac:dyDescent="0.35">
      <c r="A58" s="5">
        <f t="shared" si="4"/>
        <v>46083</v>
      </c>
      <c r="B58" s="7">
        <f t="shared" ref="B58:B60" si="15">IF(F58&lt;0,-F58/0.25,F58/0.25)</f>
        <v>0.48840000000000039</v>
      </c>
      <c r="C58" s="7">
        <f t="shared" ref="C58:C60" si="16">IF(G58&lt;0,-G58/0.25,G58/0.25)</f>
        <v>0.71240000000000059</v>
      </c>
      <c r="D58" s="7">
        <v>0.5</v>
      </c>
      <c r="F58" s="6">
        <f>HAVERD!C224-HAVERD!$B224</f>
        <v>-0.1221000000000001</v>
      </c>
      <c r="G58" s="6">
        <f>HAVERD!D224-HAVERD!$B224</f>
        <v>-0.17810000000000015</v>
      </c>
      <c r="X58" s="8">
        <v>44409</v>
      </c>
      <c r="Y58" s="10">
        <v>3.1</v>
      </c>
      <c r="Z58" s="10">
        <v>3.5</v>
      </c>
      <c r="AA58" s="6">
        <v>2.4608333333333325</v>
      </c>
      <c r="AB58" s="6">
        <v>3.1545833333333348</v>
      </c>
    </row>
    <row r="59" spans="1:28" x14ac:dyDescent="0.35">
      <c r="A59" s="5">
        <f t="shared" si="4"/>
        <v>46084</v>
      </c>
      <c r="B59" s="7">
        <f t="shared" si="15"/>
        <v>0.2544000000000004</v>
      </c>
      <c r="C59" s="7">
        <f t="shared" si="16"/>
        <v>0.56639999999999979</v>
      </c>
      <c r="D59" s="7">
        <v>0.5</v>
      </c>
      <c r="F59" s="6">
        <f>HAVERD!C225-HAVERD!$B225</f>
        <v>-6.3600000000000101E-2</v>
      </c>
      <c r="G59" s="6">
        <f>HAVERD!D225-HAVERD!$B225</f>
        <v>-0.14159999999999995</v>
      </c>
      <c r="X59" s="8">
        <v>44440</v>
      </c>
      <c r="Y59" s="10">
        <v>4.0999999999999996</v>
      </c>
      <c r="Z59" s="10">
        <v>3.8</v>
      </c>
      <c r="AA59" s="6">
        <v>2.4608333333333325</v>
      </c>
      <c r="AB59" s="6">
        <v>3.1545833333333348</v>
      </c>
    </row>
    <row r="60" spans="1:28" x14ac:dyDescent="0.35">
      <c r="A60" s="5">
        <f t="shared" si="4"/>
        <v>46085</v>
      </c>
      <c r="B60" s="7">
        <f t="shared" si="15"/>
        <v>0.24440000000000062</v>
      </c>
      <c r="C60" s="7">
        <f t="shared" si="16"/>
        <v>0.61240000000000094</v>
      </c>
      <c r="D60" s="7">
        <v>0.5</v>
      </c>
      <c r="F60" s="6">
        <f>HAVERD!C226-HAVERD!$B226</f>
        <v>-6.1100000000000154E-2</v>
      </c>
      <c r="G60" s="6">
        <f>HAVERD!D226-HAVERD!$B226</f>
        <v>-0.15310000000000024</v>
      </c>
      <c r="X60" s="8">
        <v>44470</v>
      </c>
      <c r="Y60" s="10">
        <v>4.4000000000000004</v>
      </c>
      <c r="Z60" s="10">
        <v>3.7</v>
      </c>
      <c r="AA60" s="6">
        <v>2.4608333333333325</v>
      </c>
      <c r="AB60" s="6">
        <v>3.1545833333333348</v>
      </c>
    </row>
    <row r="61" spans="1:28" x14ac:dyDescent="0.35">
      <c r="A61" s="5">
        <f t="shared" si="4"/>
        <v>46086</v>
      </c>
      <c r="B61" s="7">
        <f t="shared" ref="B61:B62" si="17">IF(F61&lt;0,-F61/0.25,F61/0.25)</f>
        <v>0.1532</v>
      </c>
      <c r="C61" s="7">
        <f t="shared" ref="C61:C62" si="18">IF(G61&lt;0,-G61/0.25,G61/0.25)</f>
        <v>0.44519999999999982</v>
      </c>
      <c r="D61" s="7">
        <v>0.5</v>
      </c>
      <c r="F61" s="6">
        <f>HAVERD!C227-HAVERD!$B227</f>
        <v>-3.8300000000000001E-2</v>
      </c>
      <c r="G61" s="6">
        <f>HAVERD!D227-HAVERD!$B227</f>
        <v>-0.11129999999999995</v>
      </c>
      <c r="X61" s="8">
        <v>44501</v>
      </c>
      <c r="Y61" s="10">
        <v>4</v>
      </c>
      <c r="Z61" s="10">
        <v>3.7</v>
      </c>
      <c r="AA61" s="6">
        <v>2.4608333333333325</v>
      </c>
      <c r="AB61" s="6">
        <v>3.1545833333333348</v>
      </c>
    </row>
    <row r="62" spans="1:28" x14ac:dyDescent="0.35">
      <c r="A62" s="5">
        <f t="shared" si="4"/>
        <v>46087</v>
      </c>
      <c r="B62" s="7">
        <f t="shared" si="17"/>
        <v>8.9199999999999946E-2</v>
      </c>
      <c r="C62" s="7">
        <f t="shared" si="18"/>
        <v>0.28120000000000012</v>
      </c>
      <c r="D62" s="7">
        <v>0.5</v>
      </c>
      <c r="F62" s="6">
        <f>HAVERD!C228-HAVERD!$B228</f>
        <v>-2.2299999999999986E-2</v>
      </c>
      <c r="G62" s="6">
        <f>HAVERD!D228-HAVERD!$B228</f>
        <v>-7.0300000000000029E-2</v>
      </c>
      <c r="X62" s="8">
        <v>44531</v>
      </c>
      <c r="Y62" s="10">
        <v>4</v>
      </c>
      <c r="Z62" s="10">
        <v>3.8</v>
      </c>
      <c r="AA62" s="6">
        <v>2.4608333333333325</v>
      </c>
      <c r="AB62" s="6">
        <v>3.1545833333333348</v>
      </c>
    </row>
    <row r="63" spans="1:28" x14ac:dyDescent="0.35">
      <c r="X63" s="8">
        <v>44562</v>
      </c>
      <c r="Y63" s="10">
        <v>4.8</v>
      </c>
      <c r="Z63" s="10">
        <v>3.8</v>
      </c>
      <c r="AA63" s="6">
        <v>2.4608333333333325</v>
      </c>
      <c r="AB63" s="6">
        <v>3.1545833333333348</v>
      </c>
    </row>
    <row r="64" spans="1:28" x14ac:dyDescent="0.35">
      <c r="X64" s="8">
        <v>44593</v>
      </c>
      <c r="Y64" s="10">
        <v>5.6</v>
      </c>
      <c r="Z64" s="10">
        <v>4.0999999999999996</v>
      </c>
      <c r="AA64" s="6">
        <v>2.4608333333333325</v>
      </c>
      <c r="AB64" s="6">
        <v>3.1545833333333348</v>
      </c>
    </row>
    <row r="65" spans="24:28" x14ac:dyDescent="0.35">
      <c r="X65" s="8">
        <v>44621</v>
      </c>
      <c r="Y65" s="10">
        <v>6.1</v>
      </c>
      <c r="Z65" s="10">
        <v>4.4000000000000004</v>
      </c>
      <c r="AA65" s="6">
        <v>2.4608333333333325</v>
      </c>
      <c r="AB65" s="6">
        <v>3.1545833333333348</v>
      </c>
    </row>
    <row r="66" spans="24:28" x14ac:dyDescent="0.35">
      <c r="X66" s="8">
        <v>44652</v>
      </c>
      <c r="Y66" s="10">
        <v>6</v>
      </c>
      <c r="Z66" s="10">
        <v>4.2</v>
      </c>
      <c r="AA66" s="6">
        <v>2.4608333333333325</v>
      </c>
      <c r="AB66" s="6">
        <v>3.1545833333333348</v>
      </c>
    </row>
    <row r="67" spans="24:28" x14ac:dyDescent="0.35">
      <c r="X67" s="8">
        <v>44682</v>
      </c>
      <c r="Y67" s="10">
        <v>6.1</v>
      </c>
      <c r="Z67" s="10">
        <v>4.2</v>
      </c>
      <c r="AA67" s="6">
        <v>2.4608333333333325</v>
      </c>
      <c r="AB67" s="6">
        <v>3.1545833333333348</v>
      </c>
    </row>
    <row r="68" spans="24:28" x14ac:dyDescent="0.35">
      <c r="X68" s="8">
        <v>44713</v>
      </c>
      <c r="Y68" s="10">
        <v>6.1</v>
      </c>
      <c r="Z68" s="10">
        <v>4</v>
      </c>
      <c r="AA68" s="6">
        <v>2.4608333333333325</v>
      </c>
      <c r="AB68" s="6">
        <v>3.1545833333333348</v>
      </c>
    </row>
    <row r="69" spans="24:28" x14ac:dyDescent="0.35">
      <c r="X69" s="8">
        <v>44743</v>
      </c>
      <c r="Y69" s="10">
        <v>6</v>
      </c>
      <c r="Z69" s="10">
        <v>3.8</v>
      </c>
      <c r="AA69" s="6">
        <v>2.4608333333333325</v>
      </c>
      <c r="AB69" s="6">
        <v>3.1545833333333348</v>
      </c>
    </row>
    <row r="70" spans="24:28" x14ac:dyDescent="0.35">
      <c r="X70" s="8">
        <v>44774</v>
      </c>
      <c r="Y70" s="10">
        <v>6.3</v>
      </c>
      <c r="Z70" s="10">
        <v>4.8</v>
      </c>
      <c r="AA70" s="6">
        <v>2.4608333333333325</v>
      </c>
      <c r="AB70" s="6">
        <v>3.1545833333333348</v>
      </c>
    </row>
    <row r="71" spans="24:28" x14ac:dyDescent="0.35">
      <c r="X71" s="8">
        <v>44805</v>
      </c>
      <c r="Y71" s="10">
        <v>6.2</v>
      </c>
      <c r="Z71" s="10">
        <v>4.3</v>
      </c>
      <c r="AA71" s="6">
        <v>2.4608333333333325</v>
      </c>
      <c r="AB71" s="6">
        <v>3.1545833333333348</v>
      </c>
    </row>
    <row r="72" spans="24:28" x14ac:dyDescent="0.35">
      <c r="X72" s="8">
        <v>44835</v>
      </c>
      <c r="Y72" s="10">
        <v>6.2</v>
      </c>
      <c r="Z72" s="10">
        <v>4.2</v>
      </c>
      <c r="AA72" s="6">
        <v>2.4608333333333325</v>
      </c>
      <c r="AB72" s="6">
        <v>3.1545833333333348</v>
      </c>
    </row>
    <row r="73" spans="24:28" x14ac:dyDescent="0.35">
      <c r="X73" s="8">
        <v>44866</v>
      </c>
      <c r="Y73" s="10">
        <v>6.1</v>
      </c>
      <c r="Z73" s="10">
        <v>3.9</v>
      </c>
      <c r="AA73" s="6">
        <v>2.4608333333333325</v>
      </c>
      <c r="AB73" s="6">
        <v>3.1545833333333348</v>
      </c>
    </row>
    <row r="74" spans="24:28" x14ac:dyDescent="0.35">
      <c r="X74" s="8">
        <v>44896</v>
      </c>
      <c r="Y74" s="10">
        <v>5.7</v>
      </c>
      <c r="Z74" s="10">
        <v>3.6</v>
      </c>
      <c r="AA74" s="6">
        <v>2.4608333333333325</v>
      </c>
      <c r="AB74" s="6">
        <v>3.1545833333333348</v>
      </c>
    </row>
    <row r="75" spans="24:28" x14ac:dyDescent="0.35">
      <c r="X75" s="8">
        <v>44927</v>
      </c>
      <c r="Y75" s="10">
        <v>5.4</v>
      </c>
      <c r="Z75" s="10">
        <v>3.5</v>
      </c>
      <c r="AA75" s="6">
        <v>2.4608333333333325</v>
      </c>
      <c r="AB75" s="6">
        <v>3.1545833333333348</v>
      </c>
    </row>
    <row r="76" spans="24:28" x14ac:dyDescent="0.35">
      <c r="X76" s="8">
        <v>44958</v>
      </c>
      <c r="Y76" s="10">
        <v>5.6</v>
      </c>
      <c r="Z76" s="10">
        <v>3.8</v>
      </c>
      <c r="AA76" s="6">
        <v>2.4608333333333325</v>
      </c>
      <c r="AB76" s="6">
        <v>3.1545833333333348</v>
      </c>
    </row>
    <row r="77" spans="24:28" x14ac:dyDescent="0.35">
      <c r="X77" s="8">
        <v>44986</v>
      </c>
      <c r="Y77" s="10">
        <v>5.4</v>
      </c>
      <c r="Z77" s="10">
        <v>3.7</v>
      </c>
      <c r="AA77" s="6">
        <v>2.4608333333333325</v>
      </c>
      <c r="AB77" s="6">
        <v>3.1545833333333348</v>
      </c>
    </row>
    <row r="78" spans="24:28" x14ac:dyDescent="0.35">
      <c r="X78" s="8">
        <v>45017</v>
      </c>
      <c r="Y78" s="10">
        <v>5.2</v>
      </c>
      <c r="Z78" s="10">
        <v>3.6</v>
      </c>
      <c r="AA78" s="6">
        <v>2.4608333333333325</v>
      </c>
      <c r="AB78" s="6">
        <v>3.1545833333333348</v>
      </c>
    </row>
    <row r="79" spans="24:28" x14ac:dyDescent="0.35">
      <c r="X79" s="8">
        <v>45047</v>
      </c>
      <c r="Y79" s="10">
        <v>4.7</v>
      </c>
      <c r="Z79" s="10">
        <v>3.5</v>
      </c>
      <c r="AA79" s="6">
        <v>2.4608333333333325</v>
      </c>
      <c r="AB79" s="6">
        <v>3.1545833333333348</v>
      </c>
    </row>
    <row r="80" spans="24:28" x14ac:dyDescent="0.35">
      <c r="X80" s="8">
        <v>45078</v>
      </c>
      <c r="Y80" s="10">
        <v>5</v>
      </c>
      <c r="Z80" s="10">
        <v>3.3</v>
      </c>
      <c r="AA80" s="6">
        <v>2.4608333333333325</v>
      </c>
      <c r="AB80" s="6">
        <v>3.1545833333333348</v>
      </c>
    </row>
    <row r="81" spans="24:28" x14ac:dyDescent="0.35">
      <c r="X81" s="8">
        <v>45108</v>
      </c>
      <c r="Y81" s="10">
        <v>4.3</v>
      </c>
      <c r="Z81" s="10">
        <v>3.2</v>
      </c>
      <c r="AA81" s="6">
        <v>2.4608333333333325</v>
      </c>
      <c r="AB81" s="6">
        <v>3.1545833333333348</v>
      </c>
    </row>
    <row r="82" spans="24:28" x14ac:dyDescent="0.35">
      <c r="X82" s="8">
        <v>45139</v>
      </c>
      <c r="Y82" s="10">
        <v>4.4000000000000004</v>
      </c>
      <c r="Z82" s="10">
        <v>3.3</v>
      </c>
      <c r="AA82" s="6">
        <v>2.4608333333333325</v>
      </c>
      <c r="AB82" s="6">
        <v>3.1545833333333348</v>
      </c>
    </row>
    <row r="83" spans="24:28" x14ac:dyDescent="0.35">
      <c r="X83" s="8">
        <v>45170</v>
      </c>
      <c r="Y83" s="10">
        <v>4.2</v>
      </c>
      <c r="Z83" s="10">
        <v>3.3</v>
      </c>
      <c r="AA83" s="6">
        <v>2.4608333333333325</v>
      </c>
      <c r="AB83" s="6">
        <v>3.1545833333333348</v>
      </c>
    </row>
    <row r="84" spans="24:28" x14ac:dyDescent="0.35">
      <c r="X84" s="8">
        <v>45200</v>
      </c>
      <c r="Y84" s="10">
        <v>4.2</v>
      </c>
      <c r="Z84" s="10">
        <v>3.5</v>
      </c>
      <c r="AA84" s="6">
        <v>2.4608333333333325</v>
      </c>
      <c r="AB84" s="6">
        <v>3.1545833333333348</v>
      </c>
    </row>
    <row r="85" spans="24:28" x14ac:dyDescent="0.35">
      <c r="X85" s="8">
        <v>45231</v>
      </c>
      <c r="Y85" s="10">
        <v>3.9</v>
      </c>
      <c r="Z85" s="10">
        <v>3.4</v>
      </c>
      <c r="AA85" s="6">
        <v>2.4608333333333325</v>
      </c>
      <c r="AB85" s="6">
        <v>3.1545833333333348</v>
      </c>
    </row>
    <row r="86" spans="24:28" x14ac:dyDescent="0.35">
      <c r="X86" s="8">
        <v>45261</v>
      </c>
      <c r="Y86" s="10">
        <v>3.5</v>
      </c>
      <c r="Z86" s="10">
        <v>3.4</v>
      </c>
      <c r="AA86" s="6">
        <v>2.4608333333333325</v>
      </c>
      <c r="AB86" s="6">
        <v>3.1545833333333348</v>
      </c>
    </row>
    <row r="87" spans="24:28" x14ac:dyDescent="0.35">
      <c r="X87" s="8">
        <v>45292</v>
      </c>
      <c r="Y87" s="10">
        <v>3.9</v>
      </c>
      <c r="Z87" s="10">
        <v>3.6</v>
      </c>
      <c r="AA87" s="6">
        <v>2.4608333333333325</v>
      </c>
      <c r="AB87" s="6">
        <v>3.1545833333333348</v>
      </c>
    </row>
    <row r="88" spans="24:28" x14ac:dyDescent="0.35">
      <c r="X88" s="8">
        <v>45323</v>
      </c>
      <c r="Y88" s="10">
        <v>3.6</v>
      </c>
      <c r="Z88" s="10">
        <v>3.5</v>
      </c>
      <c r="AA88" s="6">
        <v>2.4608333333333325</v>
      </c>
      <c r="AB88" s="6">
        <v>3.1545833333333348</v>
      </c>
    </row>
    <row r="89" spans="24:28" x14ac:dyDescent="0.35">
      <c r="X89" s="8">
        <v>45352</v>
      </c>
      <c r="Y89" s="10">
        <v>3.3</v>
      </c>
      <c r="Z89" s="10">
        <v>3.4</v>
      </c>
      <c r="AA89" s="6">
        <v>2.4608333333333325</v>
      </c>
      <c r="AB89" s="6">
        <v>3.1545833333333348</v>
      </c>
    </row>
    <row r="90" spans="24:28" x14ac:dyDescent="0.35">
      <c r="X90" s="8">
        <v>45383</v>
      </c>
      <c r="Y90" s="10">
        <v>3.3</v>
      </c>
      <c r="Z90" s="10">
        <v>3.5</v>
      </c>
      <c r="AA90" s="6">
        <v>2.4608333333333325</v>
      </c>
      <c r="AB90" s="6">
        <v>3.1545833333333348</v>
      </c>
    </row>
    <row r="91" spans="24:28" x14ac:dyDescent="0.35">
      <c r="X91" s="8">
        <v>45413</v>
      </c>
      <c r="Y91" s="10">
        <v>3.1</v>
      </c>
      <c r="Z91" s="10">
        <v>3.2</v>
      </c>
      <c r="AA91" s="6">
        <v>2.4608333333333325</v>
      </c>
      <c r="AB91" s="6">
        <v>3.1545833333333348</v>
      </c>
    </row>
    <row r="92" spans="24:28" x14ac:dyDescent="0.35">
      <c r="X92" s="8">
        <v>45444</v>
      </c>
      <c r="Y92" s="10">
        <v>2.6</v>
      </c>
      <c r="Z92" s="10">
        <v>3</v>
      </c>
      <c r="AA92" s="6">
        <v>2.4608333333333325</v>
      </c>
      <c r="AB92" s="6">
        <v>3.1545833333333348</v>
      </c>
    </row>
    <row r="93" spans="24:28" x14ac:dyDescent="0.35">
      <c r="X93" s="8">
        <v>45474</v>
      </c>
      <c r="Y93" s="10">
        <v>2.7</v>
      </c>
      <c r="Z93" s="10">
        <v>3.1</v>
      </c>
      <c r="AA93" s="6">
        <v>2.4608333333333325</v>
      </c>
      <c r="AB93" s="6">
        <v>3.1545833333333348</v>
      </c>
    </row>
    <row r="94" spans="24:28" x14ac:dyDescent="0.35">
      <c r="X94" s="8">
        <v>45505</v>
      </c>
      <c r="Y94" s="10">
        <v>3.1</v>
      </c>
      <c r="Z94" s="10">
        <v>3.1</v>
      </c>
      <c r="AA94" s="6">
        <v>2.4608333333333325</v>
      </c>
      <c r="AB94" s="6">
        <v>3.1545833333333348</v>
      </c>
    </row>
    <row r="95" spans="24:28" x14ac:dyDescent="0.35">
      <c r="X95" s="8">
        <v>45536</v>
      </c>
      <c r="Y95" s="10">
        <v>3.2</v>
      </c>
      <c r="Z95" s="10">
        <v>3.6</v>
      </c>
      <c r="AA95" s="6">
        <v>2.4608333333333325</v>
      </c>
      <c r="AB95" s="6">
        <v>3.1545833333333348</v>
      </c>
    </row>
    <row r="96" spans="24:28" x14ac:dyDescent="0.35">
      <c r="X96" s="8">
        <v>45566</v>
      </c>
      <c r="Y96" s="10">
        <v>3.3</v>
      </c>
      <c r="Z96" s="10">
        <v>3.8</v>
      </c>
      <c r="AA96" s="6">
        <v>2.4608333333333325</v>
      </c>
      <c r="AB96" s="6">
        <v>3.1545833333333348</v>
      </c>
    </row>
    <row r="97" spans="24:28" x14ac:dyDescent="0.35">
      <c r="X97" s="8">
        <v>45597</v>
      </c>
      <c r="Y97" s="10">
        <v>3.5</v>
      </c>
      <c r="Z97" s="10">
        <v>3.6</v>
      </c>
      <c r="AA97" s="6">
        <v>2.4608333333333325</v>
      </c>
      <c r="AB97" s="6">
        <v>3.1545833333333348</v>
      </c>
    </row>
    <row r="98" spans="24:28" x14ac:dyDescent="0.35">
      <c r="X98" s="8">
        <v>45627</v>
      </c>
      <c r="Y98" s="10">
        <v>3.7</v>
      </c>
      <c r="Z98" s="10">
        <v>3.9</v>
      </c>
      <c r="AA98" s="6">
        <v>2.4608333333333325</v>
      </c>
      <c r="AB98" s="6">
        <v>3.1545833333333348</v>
      </c>
    </row>
    <row r="99" spans="24:28" x14ac:dyDescent="0.35">
      <c r="X99" s="8">
        <v>45658</v>
      </c>
      <c r="Y99" s="10">
        <v>3.5</v>
      </c>
      <c r="Z99" s="10">
        <v>3.7</v>
      </c>
      <c r="AA99" s="6">
        <v>2.4608333333333325</v>
      </c>
      <c r="AB99" s="6">
        <v>3.1545833333333348</v>
      </c>
    </row>
    <row r="100" spans="24:28" x14ac:dyDescent="0.35">
      <c r="X100" s="8">
        <v>45689</v>
      </c>
      <c r="Y100" s="10">
        <v>3.9</v>
      </c>
      <c r="Z100" s="10">
        <v>3.9</v>
      </c>
      <c r="AA100" s="6">
        <v>2.4608333333333325</v>
      </c>
      <c r="AB100" s="6">
        <v>3.1545833333333348</v>
      </c>
    </row>
    <row r="101" spans="24:28" x14ac:dyDescent="0.35">
      <c r="X101" s="8">
        <v>45717</v>
      </c>
      <c r="Y101" s="10">
        <v>4</v>
      </c>
      <c r="Z101" s="10">
        <v>4.2</v>
      </c>
      <c r="AA101" s="6">
        <v>2.4608333333333325</v>
      </c>
      <c r="AB101" s="6">
        <v>3.1545833333333348</v>
      </c>
    </row>
    <row r="102" spans="24:28" x14ac:dyDescent="0.35">
      <c r="X102" s="8">
        <v>45748</v>
      </c>
      <c r="Y102" s="10">
        <v>4.2</v>
      </c>
      <c r="Z102" s="10">
        <v>4.2</v>
      </c>
      <c r="AA102" s="6">
        <v>2.4608333333333325</v>
      </c>
      <c r="AB102" s="6">
        <v>3.1545833333333348</v>
      </c>
    </row>
    <row r="103" spans="24:28" x14ac:dyDescent="0.35">
      <c r="X103" s="8">
        <v>45778</v>
      </c>
      <c r="Y103" s="10">
        <v>4</v>
      </c>
      <c r="Z103" s="10">
        <v>4.2</v>
      </c>
      <c r="AA103" s="6">
        <v>2.4608333333333325</v>
      </c>
      <c r="AB103" s="6">
        <v>3.1545833333333348</v>
      </c>
    </row>
    <row r="104" spans="24:28" x14ac:dyDescent="0.35">
      <c r="X104" s="8">
        <v>45809</v>
      </c>
      <c r="Y104" s="10">
        <v>3.9</v>
      </c>
      <c r="Z104" s="10">
        <v>4.3</v>
      </c>
      <c r="AA104" s="6">
        <v>2.4608333333333325</v>
      </c>
      <c r="AB104" s="6">
        <v>3.1545833333333348</v>
      </c>
    </row>
    <row r="105" spans="24:28" x14ac:dyDescent="0.35">
      <c r="X105" s="8">
        <v>45839</v>
      </c>
      <c r="Y105" s="10">
        <v>4</v>
      </c>
      <c r="Z105" s="10">
        <v>4.2</v>
      </c>
      <c r="AA105" s="6">
        <v>2.4608333333333325</v>
      </c>
      <c r="AB105" s="6">
        <v>3.1545833333333348</v>
      </c>
    </row>
    <row r="106" spans="24:28" x14ac:dyDescent="0.35">
      <c r="X106" s="8">
        <v>45870</v>
      </c>
      <c r="Y106" s="10">
        <v>4</v>
      </c>
      <c r="Z106" s="10">
        <v>3.9</v>
      </c>
      <c r="AA106" s="6">
        <v>2.4608333333333325</v>
      </c>
      <c r="AB106" s="6">
        <v>3.1545833333333348</v>
      </c>
    </row>
    <row r="107" spans="24:28" x14ac:dyDescent="0.35">
      <c r="X107" s="8">
        <v>45901</v>
      </c>
      <c r="Y107" s="10">
        <v>4</v>
      </c>
      <c r="Z107" s="10">
        <v>4.0999999999999996</v>
      </c>
      <c r="AA107" s="6">
        <v>2.4608333333333325</v>
      </c>
      <c r="AB107" s="6">
        <v>3.1545833333333348</v>
      </c>
    </row>
    <row r="108" spans="24:28" x14ac:dyDescent="0.35">
      <c r="X108" s="8">
        <v>45931</v>
      </c>
      <c r="Y108" s="10">
        <v>4.2</v>
      </c>
      <c r="Z108" s="10">
        <v>4.2</v>
      </c>
      <c r="AA108" s="6">
        <v>2.4608333333333325</v>
      </c>
      <c r="AB108" s="6">
        <v>3.1545833333333348</v>
      </c>
    </row>
    <row r="109" spans="24:28" x14ac:dyDescent="0.35">
      <c r="X109" s="8">
        <v>45962</v>
      </c>
      <c r="Y109" s="10">
        <v>3.7</v>
      </c>
      <c r="Z109" s="10">
        <v>3.9</v>
      </c>
      <c r="AA109" s="6">
        <v>2.4608333333333325</v>
      </c>
      <c r="AB109" s="6">
        <v>3.1545833333333348</v>
      </c>
    </row>
    <row r="110" spans="24:28" x14ac:dyDescent="0.35">
      <c r="X110" s="8">
        <v>45992</v>
      </c>
      <c r="Y110" s="10">
        <v>3.6</v>
      </c>
      <c r="Z110" s="10">
        <v>3.8</v>
      </c>
      <c r="AA110" s="6">
        <v>2.4608333333333325</v>
      </c>
      <c r="AB110" s="6">
        <v>3.1545833333333348</v>
      </c>
    </row>
    <row r="111" spans="24:28" x14ac:dyDescent="0.35">
      <c r="X111" s="8">
        <v>46023</v>
      </c>
      <c r="Y111" s="10">
        <v>3.778</v>
      </c>
      <c r="Z111" s="10">
        <v>4.117</v>
      </c>
      <c r="AA111" s="6">
        <v>2.4608333333333325</v>
      </c>
      <c r="AB111" s="6">
        <v>3.1545833333333348</v>
      </c>
    </row>
    <row r="112" spans="24:28" x14ac:dyDescent="0.35">
      <c r="X112" s="8">
        <v>46054</v>
      </c>
      <c r="Y112" s="10">
        <v>3.3</v>
      </c>
      <c r="Z112" s="10">
        <v>3.6</v>
      </c>
      <c r="AA112" s="6">
        <v>2.4608333333333325</v>
      </c>
      <c r="AB112" s="6">
        <v>3.1545833333333348</v>
      </c>
    </row>
    <row r="113" spans="24:28" x14ac:dyDescent="0.35">
      <c r="X113" s="8">
        <v>46082</v>
      </c>
      <c r="AA113" s="6">
        <v>2.4608333333333299</v>
      </c>
      <c r="AB113" s="6">
        <v>3.15458333333333</v>
      </c>
    </row>
    <row r="114" spans="24:28" x14ac:dyDescent="0.35">
      <c r="X114" s="8">
        <v>46113</v>
      </c>
      <c r="AA114" s="6">
        <v>2.4608333333333299</v>
      </c>
      <c r="AB114" s="6">
        <v>3.15458333333333</v>
      </c>
    </row>
    <row r="115" spans="24:28" x14ac:dyDescent="0.35">
      <c r="X115" s="8"/>
    </row>
    <row r="116" spans="24:28" x14ac:dyDescent="0.35">
      <c r="X116" s="8"/>
    </row>
    <row r="117" spans="24:28" x14ac:dyDescent="0.35">
      <c r="X117" s="8"/>
    </row>
    <row r="118" spans="24:28" x14ac:dyDescent="0.35">
      <c r="X118" s="8"/>
    </row>
    <row r="119" spans="24:28" x14ac:dyDescent="0.35">
      <c r="X119" s="8"/>
    </row>
    <row r="120" spans="24:28" x14ac:dyDescent="0.35">
      <c r="X120" s="8"/>
    </row>
    <row r="121" spans="24:28" x14ac:dyDescent="0.35">
      <c r="X121" s="8"/>
    </row>
    <row r="122" spans="24:28" x14ac:dyDescent="0.35">
      <c r="X122" s="8"/>
    </row>
    <row r="123" spans="24:28" x14ac:dyDescent="0.35">
      <c r="X123" s="8"/>
    </row>
    <row r="124" spans="24:28" x14ac:dyDescent="0.35">
      <c r="X124" s="8"/>
    </row>
    <row r="125" spans="24:28" x14ac:dyDescent="0.35">
      <c r="X125" s="8"/>
    </row>
    <row r="126" spans="24:28" x14ac:dyDescent="0.35">
      <c r="X126" s="8"/>
    </row>
    <row r="127" spans="24:28" x14ac:dyDescent="0.35">
      <c r="X127" s="8"/>
    </row>
    <row r="128" spans="24:28" x14ac:dyDescent="0.35">
      <c r="X128" s="8"/>
    </row>
    <row r="129" spans="24:24" x14ac:dyDescent="0.35">
      <c r="X129" s="8"/>
    </row>
    <row r="130" spans="24:24" x14ac:dyDescent="0.35">
      <c r="X130" s="8"/>
    </row>
    <row r="131" spans="24:24" x14ac:dyDescent="0.35">
      <c r="X131" s="8"/>
    </row>
    <row r="132" spans="24:24" x14ac:dyDescent="0.35">
      <c r="X132" s="8"/>
    </row>
    <row r="133" spans="24:24" x14ac:dyDescent="0.35">
      <c r="X133" s="8"/>
    </row>
    <row r="134" spans="24:24" x14ac:dyDescent="0.35">
      <c r="X134" s="8"/>
    </row>
  </sheetData>
  <mergeCells count="2">
    <mergeCell ref="R1:S1"/>
    <mergeCell ref="T1:U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739B-21A9-46F6-B12A-37BC37BD4992}">
  <sheetPr>
    <tabColor rgb="FFC0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11A7-CAE0-446B-90B6-0B3212C9ABDC}">
  <sheetPr>
    <tabColor rgb="FFC0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Data &gt;&gt;</vt:lpstr>
      <vt:lpstr>HAVERD</vt:lpstr>
      <vt:lpstr>HAVERQ</vt:lpstr>
      <vt:lpstr>Chart Data</vt:lpstr>
      <vt:lpstr>Charts &gt;&gt;</vt:lpstr>
      <vt:lpstr>Other charts &gt;&gt;</vt:lpstr>
      <vt:lpstr>Chart 1</vt:lpstr>
      <vt:lpstr>Chart 2</vt:lpstr>
      <vt:lpstr>Chart2</vt:lpstr>
      <vt:lpstr>Chart 4</vt:lpstr>
      <vt:lpstr>Chart 1 - gas</vt:lpstr>
      <vt:lpstr>Chart 1 - oil</vt:lpstr>
      <vt:lpstr>Chart 2 (alternative)</vt:lpstr>
      <vt:lpstr>_DLX1.INC</vt:lpstr>
      <vt:lpstr>_DLX2.INC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dcterms:created xsi:type="dcterms:W3CDTF">2025-10-30T14:01:56Z</dcterms:created>
  <dcterms:modified xsi:type="dcterms:W3CDTF">2026-03-12T08:41:53Z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2025-10-30T14:03:29Z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7d56c2c5-d2cb-4e2d-9cda-36bbe53ceae8</vt:lpwstr>
  </property>
  <property fmtid="{D5CDD505-2E9C-101B-9397-08002B2CF9AE}" pid="8" name="MSIP_Label_3b83b38b-8e91-4f17-8371-95d3d41e26c0_ContentBits">
    <vt:lpwstr>0</vt:lpwstr>
  </property>
  <property fmtid="{D5CDD505-2E9C-101B-9397-08002B2CF9AE}" pid="9" name="MSIP_Label_3b83b38b-8e91-4f17-8371-95d3d41e26c0_Tag">
    <vt:lpwstr>10, 0, 1, 1</vt:lpwstr>
  </property>
</Properties>
</file>